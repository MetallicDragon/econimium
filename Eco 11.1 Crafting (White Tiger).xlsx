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" sheetId="1" r:id="rId5"/>
    <sheet state="visible" name="Shop 1 Prices" sheetId="2" r:id="rId6"/>
    <sheet state="visible" name="Recipes" sheetId="3" r:id="rId7"/>
    <sheet state="visible" name="Price Sheet" sheetId="4" r:id="rId8"/>
    <sheet state="visible" name="Crafting Tables" sheetId="5" r:id="rId9"/>
    <sheet state="visible" name="T1 House Plan" sheetId="6" r:id="rId10"/>
    <sheet state="visible" name="T2 House Plan" sheetId="7" r:id="rId11"/>
  </sheets>
  <definedNames/>
  <calcPr/>
</workbook>
</file>

<file path=xl/sharedStrings.xml><?xml version="1.0" encoding="utf-8"?>
<sst xmlns="http://schemas.openxmlformats.org/spreadsheetml/2006/main" count="2009" uniqueCount="507">
  <si>
    <t>Food cost per 1k cal</t>
  </si>
  <si>
    <t>Selling</t>
  </si>
  <si>
    <t>Name</t>
  </si>
  <si>
    <t>$/ppm</t>
  </si>
  <si>
    <t>Total Markup:</t>
  </si>
  <si>
    <t>Generic BU Level</t>
  </si>
  <si>
    <t>Generic BU Multiplier</t>
  </si>
  <si>
    <t>Generic AU Level</t>
  </si>
  <si>
    <t>Generic AU Multiplier</t>
  </si>
  <si>
    <t>Generic MU Level</t>
  </si>
  <si>
    <t>Generic MU Multiplier</t>
  </si>
  <si>
    <t>Min Wage $/1k</t>
  </si>
  <si>
    <t>$/ppm-s</t>
  </si>
  <si>
    <t>Product 1</t>
  </si>
  <si>
    <t>Tax</t>
  </si>
  <si>
    <t>Used Cost</t>
  </si>
  <si>
    <t>Markup:</t>
  </si>
  <si>
    <t>Override?</t>
  </si>
  <si>
    <t>Cost Override</t>
  </si>
  <si>
    <t>Calculated Cost</t>
  </si>
  <si>
    <t>Input 1</t>
  </si>
  <si>
    <t>Category</t>
  </si>
  <si>
    <t>Buying</t>
  </si>
  <si>
    <t>Wood (Tag)</t>
  </si>
  <si>
    <t>Item</t>
  </si>
  <si>
    <t>Input 2</t>
  </si>
  <si>
    <t>Shop Price</t>
  </si>
  <si>
    <t>Flat Addition</t>
  </si>
  <si>
    <t>Individual Markup</t>
  </si>
  <si>
    <t>Cost</t>
  </si>
  <si>
    <t>Test</t>
  </si>
  <si>
    <t>Input 3</t>
  </si>
  <si>
    <t>Basic Upgrade 1</t>
  </si>
  <si>
    <t>Input 4</t>
  </si>
  <si>
    <t>Input 5</t>
  </si>
  <si>
    <t>Input 6</t>
  </si>
  <si>
    <t>Input 7</t>
  </si>
  <si>
    <t>Input 8</t>
  </si>
  <si>
    <t>Input 9</t>
  </si>
  <si>
    <t>Raw Resources</t>
  </si>
  <si>
    <t>Rock (Tag)</t>
  </si>
  <si>
    <t>Recipe Name</t>
  </si>
  <si>
    <t>Crushed Rock (Tag)</t>
  </si>
  <si>
    <t>Skills</t>
  </si>
  <si>
    <t>Recipe Cost</t>
  </si>
  <si>
    <t>Skill</t>
  </si>
  <si>
    <t>Crafting Table</t>
  </si>
  <si>
    <t>Upgrade Used</t>
  </si>
  <si>
    <t>Level</t>
  </si>
  <si>
    <t>Crushed Shale</t>
  </si>
  <si>
    <t>Input Multiplier</t>
  </si>
  <si>
    <t>Calorie Multiplier</t>
  </si>
  <si>
    <t>Labor</t>
  </si>
  <si>
    <t>Food cost per 1k calories calc</t>
  </si>
  <si>
    <t>Cost from Calories</t>
  </si>
  <si>
    <t>Min Wage calc</t>
  </si>
  <si>
    <t>Cost per 1k cal.</t>
  </si>
  <si>
    <t>Time</t>
  </si>
  <si>
    <t>BU Level</t>
  </si>
  <si>
    <t>Cost from time</t>
  </si>
  <si>
    <t>BU Multi</t>
  </si>
  <si>
    <t>Active?</t>
  </si>
  <si>
    <t>AU Level</t>
  </si>
  <si>
    <t>AU Multi</t>
  </si>
  <si>
    <t>Product</t>
  </si>
  <si>
    <t>MU Level</t>
  </si>
  <si>
    <t>MU Multi</t>
  </si>
  <si>
    <t>Crushed Limestone</t>
  </si>
  <si>
    <t>Carpentry</t>
  </si>
  <si>
    <t>Amount</t>
  </si>
  <si>
    <t>Cost Per</t>
  </si>
  <si>
    <t>unused</t>
  </si>
  <si>
    <t>Input Name</t>
  </si>
  <si>
    <t>Input Amount</t>
  </si>
  <si>
    <t>Input Static</t>
  </si>
  <si>
    <t>Sand</t>
  </si>
  <si>
    <t>Input Final Amount</t>
  </si>
  <si>
    <t>Input Per Ea. Cost</t>
  </si>
  <si>
    <t>Input Total Cost</t>
  </si>
  <si>
    <t>Clay</t>
  </si>
  <si>
    <t>Basic Upgrade 2</t>
  </si>
  <si>
    <t>Hewn Log</t>
  </si>
  <si>
    <t>Logging</t>
  </si>
  <si>
    <t>Board</t>
  </si>
  <si>
    <t>Butchery Table</t>
  </si>
  <si>
    <t>Basic Upgrade 3</t>
  </si>
  <si>
    <t>Dowel</t>
  </si>
  <si>
    <t>Fiber Scutching Station</t>
  </si>
  <si>
    <t>Hewn Bench</t>
  </si>
  <si>
    <t>Basic Upgrade 4</t>
  </si>
  <si>
    <t>Hewn Chair</t>
  </si>
  <si>
    <t>Hewn Door</t>
  </si>
  <si>
    <t>Hewn Dresser</t>
  </si>
  <si>
    <t>Carpentry Table</t>
  </si>
  <si>
    <t>Hewn Table</t>
  </si>
  <si>
    <t>Nails</t>
  </si>
  <si>
    <t>Wooden Mold</t>
  </si>
  <si>
    <t>Wooden Keel</t>
  </si>
  <si>
    <t>Blue Powder</t>
  </si>
  <si>
    <t>Wooden Oar</t>
  </si>
  <si>
    <t>Small Shipyard</t>
  </si>
  <si>
    <t>Small Wooden Ship Frame</t>
  </si>
  <si>
    <t>Wooden Hull Planks</t>
  </si>
  <si>
    <t>Small Canoe</t>
  </si>
  <si>
    <t>Colored Powder</t>
  </si>
  <si>
    <t>Composites</t>
  </si>
  <si>
    <t>Large Canoe</t>
  </si>
  <si>
    <t>Outpost Netting</t>
  </si>
  <si>
    <t>Wooden Moorage Post</t>
  </si>
  <si>
    <t>Copper Hydroxide</t>
  </si>
  <si>
    <t>Wooden Transport Ship</t>
  </si>
  <si>
    <t>Hemp Mooring Rope</t>
  </si>
  <si>
    <t>Cyan Powder</t>
  </si>
  <si>
    <t>Paper Milling</t>
  </si>
  <si>
    <t>Masonry</t>
  </si>
  <si>
    <t>Mortared Stone</t>
  </si>
  <si>
    <t>Iron Oxide</t>
  </si>
  <si>
    <t>Mining</t>
  </si>
  <si>
    <t>Linen Fabric</t>
  </si>
  <si>
    <t>Mortar</t>
  </si>
  <si>
    <t>Charcoal Powder</t>
  </si>
  <si>
    <t>Charcoal</t>
  </si>
  <si>
    <t>Advanced Masonry</t>
  </si>
  <si>
    <t>Wet Brick</t>
  </si>
  <si>
    <t>Fiber (Tag)</t>
  </si>
  <si>
    <t>Magenta Powder</t>
  </si>
  <si>
    <t>Brick</t>
  </si>
  <si>
    <t>Advanced Upgrade 1</t>
  </si>
  <si>
    <t>Wood Pulp</t>
  </si>
  <si>
    <t>Glassworks</t>
  </si>
  <si>
    <t>Glassworking</t>
  </si>
  <si>
    <t>White Powder</t>
  </si>
  <si>
    <t>Bakery Oven</t>
  </si>
  <si>
    <t>Small Sink</t>
  </si>
  <si>
    <t>Pottery</t>
  </si>
  <si>
    <t>Toilet</t>
  </si>
  <si>
    <t>Round/Square Pot</t>
  </si>
  <si>
    <t>Yellow Powder</t>
  </si>
  <si>
    <t>Brick Fireplace</t>
  </si>
  <si>
    <t>Campfire Cooking</t>
  </si>
  <si>
    <t>Bathtub</t>
  </si>
  <si>
    <t>Round Pot</t>
  </si>
  <si>
    <t>Advanced Baking</t>
  </si>
  <si>
    <t>Wooden Wheel</t>
  </si>
  <si>
    <t>Cotton Fabric</t>
  </si>
  <si>
    <t>Advanced Cooking</t>
  </si>
  <si>
    <t>Gearbox</t>
  </si>
  <si>
    <t>Medium Wooden Ship Frame</t>
  </si>
  <si>
    <t>Baking</t>
  </si>
  <si>
    <t>Small Wooden Boat</t>
  </si>
  <si>
    <t>Flaxseed Oil</t>
  </si>
  <si>
    <t>Cooking</t>
  </si>
  <si>
    <t>Lumber</t>
  </si>
  <si>
    <t>Large Lumber Stockpile</t>
  </si>
  <si>
    <t>Lumber Stockpile</t>
  </si>
  <si>
    <t>Basic Engineering</t>
  </si>
  <si>
    <t>Large Hanging Lumber Sign</t>
  </si>
  <si>
    <t>Large Standing Lumber Sign</t>
  </si>
  <si>
    <t>Oil</t>
  </si>
  <si>
    <t>Electronics</t>
  </si>
  <si>
    <t>Small Hanging Lumber Sign</t>
  </si>
  <si>
    <t>Small Standing Lumber Sign</t>
  </si>
  <si>
    <t>Industry</t>
  </si>
  <si>
    <t>Limestone</t>
  </si>
  <si>
    <t>Geology Research Paper Advanced</t>
  </si>
  <si>
    <t>Flour</t>
  </si>
  <si>
    <t>Limestone Owl Statue</t>
  </si>
  <si>
    <t>Mechanics</t>
  </si>
  <si>
    <t>Limestone Otter Statue</t>
  </si>
  <si>
    <t>Limestone Wolf Statue</t>
  </si>
  <si>
    <t>Oil Drilling</t>
  </si>
  <si>
    <t>Limestone Bison Statue</t>
  </si>
  <si>
    <t>Rice Flour</t>
  </si>
  <si>
    <t>Garbage</t>
  </si>
  <si>
    <t>Farming</t>
  </si>
  <si>
    <t>Mortared Stone Bench</t>
  </si>
  <si>
    <t>Cornmeal</t>
  </si>
  <si>
    <t>Mortared Stone Table</t>
  </si>
  <si>
    <t>Gathering</t>
  </si>
  <si>
    <t>Bloomery</t>
  </si>
  <si>
    <t>Sugar</t>
  </si>
  <si>
    <t>Mill</t>
  </si>
  <si>
    <t>Fertilizers</t>
  </si>
  <si>
    <t>Culinary Research Paper Basic</t>
  </si>
  <si>
    <t>Dendrology Research Paper Basic</t>
  </si>
  <si>
    <t>Simple Syrup</t>
  </si>
  <si>
    <t>Milling</t>
  </si>
  <si>
    <t>Gathering Research Paper Basic</t>
  </si>
  <si>
    <t>Geology Research Paper Basic</t>
  </si>
  <si>
    <t>Huckleberry Extract</t>
  </si>
  <si>
    <t>Butchery</t>
  </si>
  <si>
    <t>Stone Road</t>
  </si>
  <si>
    <t>Yeast</t>
  </si>
  <si>
    <t>Iron Ore</t>
  </si>
  <si>
    <t>Hunting</t>
  </si>
  <si>
    <t>Crushed Iron Ore</t>
  </si>
  <si>
    <t>Iron Concentrate</t>
  </si>
  <si>
    <t>Sun Cheese</t>
  </si>
  <si>
    <t>Smelting</t>
  </si>
  <si>
    <t>Iron Bar</t>
  </si>
  <si>
    <t>Copper Ore</t>
  </si>
  <si>
    <t>Advanced Smelting</t>
  </si>
  <si>
    <t>Camas Paste</t>
  </si>
  <si>
    <t>Crushed Copper Ore</t>
  </si>
  <si>
    <t>Copper Concentrate</t>
  </si>
  <si>
    <t>Shipwright</t>
  </si>
  <si>
    <t>Copper Bar</t>
  </si>
  <si>
    <t>Cement</t>
  </si>
  <si>
    <t>Painting</t>
  </si>
  <si>
    <t>Reinforced Concrete</t>
  </si>
  <si>
    <t>Base Paint</t>
  </si>
  <si>
    <t>Quicklime</t>
  </si>
  <si>
    <t>None</t>
  </si>
  <si>
    <t>Rebar</t>
  </si>
  <si>
    <t>Art Supplies</t>
  </si>
  <si>
    <t>Steel Bar</t>
  </si>
  <si>
    <t>Asphalt Concrete</t>
  </si>
  <si>
    <t>Tailoring</t>
  </si>
  <si>
    <t>Rivet</t>
  </si>
  <si>
    <t>Corrugated Steel</t>
  </si>
  <si>
    <t>Ashlar Stone</t>
  </si>
  <si>
    <t>Burnables</t>
  </si>
  <si>
    <t>Price</t>
  </si>
  <si>
    <t>Joules</t>
  </si>
  <si>
    <t>$/J</t>
  </si>
  <si>
    <t>Metallurgy Research Paper Basic</t>
  </si>
  <si>
    <t>Ink</t>
  </si>
  <si>
    <t>Metallurgy Research Paper Advanced</t>
  </si>
  <si>
    <t>Crushed Coal</t>
  </si>
  <si>
    <t>Cheapest</t>
  </si>
  <si>
    <t>Dendrology Research Paper Advanced</t>
  </si>
  <si>
    <t>Agriculture Research Paper Advanced</t>
  </si>
  <si>
    <t>Decorative Book</t>
  </si>
  <si>
    <t>Electricity</t>
  </si>
  <si>
    <t>Watts Produced</t>
  </si>
  <si>
    <t>Watts Consumed</t>
  </si>
  <si>
    <t>$/s</t>
  </si>
  <si>
    <t>$/w Electric</t>
  </si>
  <si>
    <t>PPM/h</t>
  </si>
  <si>
    <t>Combustion Generator</t>
  </si>
  <si>
    <t>Engineering Research Paper Advanced</t>
  </si>
  <si>
    <t>Linen Yarn</t>
  </si>
  <si>
    <t>Flax Fiber</t>
  </si>
  <si>
    <t>Barrel</t>
  </si>
  <si>
    <t>Petroleum</t>
  </si>
  <si>
    <t>Hewn (Workbench)</t>
  </si>
  <si>
    <t>Biodiesel</t>
  </si>
  <si>
    <t>Workbench</t>
  </si>
  <si>
    <t>Epoxy</t>
  </si>
  <si>
    <t>Gasoline</t>
  </si>
  <si>
    <t>Nylon</t>
  </si>
  <si>
    <t>Plastic</t>
  </si>
  <si>
    <t>Synthetic Rubber</t>
  </si>
  <si>
    <t>Fat (Tag)</t>
  </si>
  <si>
    <t>Ethanol</t>
  </si>
  <si>
    <t>Glass</t>
  </si>
  <si>
    <t>Fiberglass</t>
  </si>
  <si>
    <t>Copper Wiring</t>
  </si>
  <si>
    <t>Gold Wiring</t>
  </si>
  <si>
    <t>Gold Flakes</t>
  </si>
  <si>
    <t>Gold Bar</t>
  </si>
  <si>
    <t>Substrate</t>
  </si>
  <si>
    <t>Basic Circuit</t>
  </si>
  <si>
    <t>Advanced Circuit</t>
  </si>
  <si>
    <t>Light Bulb</t>
  </si>
  <si>
    <t>Robotic Assembly Line</t>
  </si>
  <si>
    <t>Board (Workbench)</t>
  </si>
  <si>
    <t>Servo</t>
  </si>
  <si>
    <t>Electric Motor</t>
  </si>
  <si>
    <t>Burnable Power (watts)</t>
  </si>
  <si>
    <t>Burnable power cost (Using cheapest Fuel) + Electric</t>
  </si>
  <si>
    <t>PPM/s</t>
  </si>
  <si>
    <t>PPM $/s Cost</t>
  </si>
  <si>
    <t>Elecric Power (Watts)</t>
  </si>
  <si>
    <t>Solar Generator</t>
  </si>
  <si>
    <t>Electric Power Cost</t>
  </si>
  <si>
    <t>Wind Turbine</t>
  </si>
  <si>
    <t>Steel Plate</t>
  </si>
  <si>
    <t>Basic</t>
  </si>
  <si>
    <t>Steel Pipe</t>
  </si>
  <si>
    <t>Advanced Combustion Engine</t>
  </si>
  <si>
    <t>Radiator</t>
  </si>
  <si>
    <t>Steel Axle</t>
  </si>
  <si>
    <t>Jaw Crusher</t>
  </si>
  <si>
    <t>Steel Gear</t>
  </si>
  <si>
    <t>Hewn Nightstand</t>
  </si>
  <si>
    <t>Paper</t>
  </si>
  <si>
    <t>Masonry Table</t>
  </si>
  <si>
    <t>Geology Research Paper Modern</t>
  </si>
  <si>
    <t>Kiln</t>
  </si>
  <si>
    <t>Advanced</t>
  </si>
  <si>
    <t>Clay Mold</t>
  </si>
  <si>
    <t>Sulfur</t>
  </si>
  <si>
    <t>Crushed Sulfur</t>
  </si>
  <si>
    <t>Campfire</t>
  </si>
  <si>
    <t>Dynamite</t>
  </si>
  <si>
    <t>Sawmill</t>
  </si>
  <si>
    <t>Compost</t>
  </si>
  <si>
    <t>Black Powder</t>
  </si>
  <si>
    <t>Wainwright Table</t>
  </si>
  <si>
    <t>Board (Carpentry Table)</t>
  </si>
  <si>
    <t>Research Table</t>
  </si>
  <si>
    <t>Laboratory</t>
  </si>
  <si>
    <t>Iron Gear</t>
  </si>
  <si>
    <t>Arrastra</t>
  </si>
  <si>
    <t>Iron Plate</t>
  </si>
  <si>
    <t>Small Paper Machine</t>
  </si>
  <si>
    <t>Iron Pipe</t>
  </si>
  <si>
    <t>Rocker Box</t>
  </si>
  <si>
    <t>Lubricant</t>
  </si>
  <si>
    <t>Steam Engine</t>
  </si>
  <si>
    <t>Copper Plate</t>
  </si>
  <si>
    <t>Screw</t>
  </si>
  <si>
    <t>Cement Kiln</t>
  </si>
  <si>
    <t>Boiler</t>
  </si>
  <si>
    <t>Stamp Mill</t>
  </si>
  <si>
    <t>Blast Furnace</t>
  </si>
  <si>
    <t>Screening Machine</t>
  </si>
  <si>
    <t>Engineering Research Paper Modern</t>
  </si>
  <si>
    <t>Iron Axle</t>
  </si>
  <si>
    <t>Copper Pipe</t>
  </si>
  <si>
    <t>Portable Steam Engine</t>
  </si>
  <si>
    <t>Piston</t>
  </si>
  <si>
    <t>Iron Wheel</t>
  </si>
  <si>
    <t>Rolling Mill</t>
  </si>
  <si>
    <t>Leather Hide</t>
  </si>
  <si>
    <t>Steam Tractor</t>
  </si>
  <si>
    <t>Advanced Masonry Table</t>
  </si>
  <si>
    <t>Modern</t>
  </si>
  <si>
    <t>Steam Tractor Scoop</t>
  </si>
  <si>
    <t>Steam Tractor Harvester</t>
  </si>
  <si>
    <t>Tailoring Table</t>
  </si>
  <si>
    <t>Steam Tractor Sower</t>
  </si>
  <si>
    <t>Loom</t>
  </si>
  <si>
    <t>Steam Tractor Plow</t>
  </si>
  <si>
    <t>Particle Boards</t>
  </si>
  <si>
    <t>Steam Truck</t>
  </si>
  <si>
    <t>Pump Jack</t>
  </si>
  <si>
    <t>Glass Lens</t>
  </si>
  <si>
    <t>Electric Machinist Table</t>
  </si>
  <si>
    <t>Medium Shipyard</t>
  </si>
  <si>
    <t>Combustion Engine</t>
  </si>
  <si>
    <t>Oil Refinery</t>
  </si>
  <si>
    <t>Heat Sink</t>
  </si>
  <si>
    <t>Electronics Assembly</t>
  </si>
  <si>
    <t>Waterwheel</t>
  </si>
  <si>
    <t>Windmill</t>
  </si>
  <si>
    <t>Mechanical Water Pump</t>
  </si>
  <si>
    <t>Ceramic Mold</t>
  </si>
  <si>
    <t>Printing Press</t>
  </si>
  <si>
    <t>Farmer's Table</t>
  </si>
  <si>
    <t>Machinist Table</t>
  </si>
  <si>
    <t>Beans</t>
  </si>
  <si>
    <t>Corn</t>
  </si>
  <si>
    <t>Rice</t>
  </si>
  <si>
    <t>Shaper</t>
  </si>
  <si>
    <t>Wheat</t>
  </si>
  <si>
    <t>Beet</t>
  </si>
  <si>
    <t>Screw Press</t>
  </si>
  <si>
    <t>Huckleberries</t>
  </si>
  <si>
    <t>Lathe</t>
  </si>
  <si>
    <t>Camas Bulb</t>
  </si>
  <si>
    <t>Petals</t>
  </si>
  <si>
    <t>Assembly Line</t>
  </si>
  <si>
    <t>Creosote Flower</t>
  </si>
  <si>
    <t>Cotton Seed</t>
  </si>
  <si>
    <t>Saw Boards</t>
  </si>
  <si>
    <t>Paint Mixer</t>
  </si>
  <si>
    <t>Flax Seed</t>
  </si>
  <si>
    <t>Sunflower Seed</t>
  </si>
  <si>
    <t>Sunflower</t>
  </si>
  <si>
    <t>Trillium Flower</t>
  </si>
  <si>
    <t>Raw Fish</t>
  </si>
  <si>
    <t>Urchin</t>
  </si>
  <si>
    <t>Bean Paste</t>
  </si>
  <si>
    <t>Cereal Germ</t>
  </si>
  <si>
    <t>Canvas</t>
  </si>
  <si>
    <t>Oil Paint</t>
  </si>
  <si>
    <t>Bedroom</t>
  </si>
  <si>
    <t>Count</t>
  </si>
  <si>
    <t>m3/u</t>
  </si>
  <si>
    <t>m3 total</t>
  </si>
  <si>
    <t>val</t>
  </si>
  <si>
    <t>val dup % reduction</t>
  </si>
  <si>
    <t>val total</t>
  </si>
  <si>
    <t>Cost/u</t>
  </si>
  <si>
    <t>Cost Total</t>
  </si>
  <si>
    <t>Footprint (sqrft)</t>
  </si>
  <si>
    <t>sqrft total</t>
  </si>
  <si>
    <t>Footprint (dimensions)</t>
  </si>
  <si>
    <t>Wooden Straw Bed</t>
  </si>
  <si>
    <t>3x1</t>
  </si>
  <si>
    <t>Nightstand</t>
  </si>
  <si>
    <t>2x1</t>
  </si>
  <si>
    <t>2x2</t>
  </si>
  <si>
    <t>Bench</t>
  </si>
  <si>
    <t>1x2</t>
  </si>
  <si>
    <t>Table</t>
  </si>
  <si>
    <t>Pelt</t>
  </si>
  <si>
    <t>1x2 (Rug)</t>
  </si>
  <si>
    <t>Participation Trophy</t>
  </si>
  <si>
    <t>x</t>
  </si>
  <si>
    <t>y</t>
  </si>
  <si>
    <t>z</t>
  </si>
  <si>
    <t>m3</t>
  </si>
  <si>
    <t>m2</t>
  </si>
  <si>
    <t>Sum</t>
  </si>
  <si>
    <t>m3/sqft:</t>
  </si>
  <si>
    <t>Planned size:</t>
  </si>
  <si>
    <t>Bathroom</t>
  </si>
  <si>
    <t>Footprint (sqr)</t>
  </si>
  <si>
    <t>Wooden Latrine</t>
  </si>
  <si>
    <t>1x1</t>
  </si>
  <si>
    <t>Washboard</t>
  </si>
  <si>
    <t>Large Bath Mat</t>
  </si>
  <si>
    <t>1x2 (rug)</t>
  </si>
  <si>
    <t>Kitchen</t>
  </si>
  <si>
    <t>Icebox</t>
  </si>
  <si>
    <t>Salt Basket</t>
  </si>
  <si>
    <t>Living Room</t>
  </si>
  <si>
    <t>Mount</t>
  </si>
  <si>
    <t>Wolf</t>
  </si>
  <si>
    <t>Stone Fireplace</t>
  </si>
  <si>
    <t>1x3</t>
  </si>
  <si>
    <t>Padded Chair</t>
  </si>
  <si>
    <t>1x1 (Rug)</t>
  </si>
  <si>
    <t>Outdoors</t>
  </si>
  <si>
    <t>Fountain</t>
  </si>
  <si>
    <t>Bath</t>
  </si>
  <si>
    <t>Garden Pond</t>
  </si>
  <si>
    <t>3x3</t>
  </si>
  <si>
    <t>Rustic Planter</t>
  </si>
  <si>
    <t>Limestone Wolf</t>
  </si>
  <si>
    <t>Total Val</t>
  </si>
  <si>
    <t>For 3 floors:</t>
  </si>
  <si>
    <t>Per</t>
  </si>
  <si>
    <t>Needed</t>
  </si>
  <si>
    <t>Total</t>
  </si>
  <si>
    <t>Total Val (Less Outdoors)</t>
  </si>
  <si>
    <t>BUILDING COSTS</t>
  </si>
  <si>
    <t>Living</t>
  </si>
  <si>
    <t>FURNITURE TOTAL</t>
  </si>
  <si>
    <t>CLAIM COSTS</t>
  </si>
  <si>
    <t>GRAND TOTAL</t>
  </si>
  <si>
    <t>Rent</t>
  </si>
  <si>
    <t>Less Tax</t>
  </si>
  <si>
    <t>Hours to recoup</t>
  </si>
  <si>
    <t>Ladder</t>
  </si>
  <si>
    <t>Shopping List</t>
  </si>
  <si>
    <t>Need</t>
  </si>
  <si>
    <t>Have</t>
  </si>
  <si>
    <t>To Buy</t>
  </si>
  <si>
    <t>Animal Mount</t>
  </si>
  <si>
    <t>Fireplace</t>
  </si>
  <si>
    <t>Straw Bed</t>
  </si>
  <si>
    <t>Latrine</t>
  </si>
  <si>
    <t>Val total</t>
  </si>
  <si>
    <t>sqr total</t>
  </si>
  <si>
    <t>Fabric Bed</t>
  </si>
  <si>
    <t>3x2</t>
  </si>
  <si>
    <t>Lumber Dresser</t>
  </si>
  <si>
    <t>Lumber Bench</t>
  </si>
  <si>
    <t>Stuffed Jaguar</t>
  </si>
  <si>
    <t>Lumber Table</t>
  </si>
  <si>
    <t xml:space="preserve">Val total </t>
  </si>
  <si>
    <t>Towel Rack</t>
  </si>
  <si>
    <t>2x3</t>
  </si>
  <si>
    <t>Sheep Mount</t>
  </si>
  <si>
    <t>Shelf Cabinet</t>
  </si>
  <si>
    <t>For 2 floors:</t>
  </si>
  <si>
    <t>Lumber Door</t>
  </si>
  <si>
    <t>Wet Brick (Shale)</t>
  </si>
  <si>
    <t>Mortar (Campfire)</t>
  </si>
  <si>
    <t>Mortar (Masonry)</t>
  </si>
  <si>
    <t>Recycle Hewn Log</t>
  </si>
  <si>
    <t>Wooden Barge</t>
  </si>
  <si>
    <t>Flaxeed Oil</t>
  </si>
  <si>
    <t>Crushed Iron Ore (Arrastra)</t>
  </si>
  <si>
    <t>Crushed Iron Ore (Stamp Mill)</t>
  </si>
  <si>
    <t>Crushed Iron Ore (Jaw Crusher)</t>
  </si>
  <si>
    <t>Iron Concentrate (Rocker Box)</t>
  </si>
  <si>
    <t>Iron Concentrate (Screening Machine)</t>
  </si>
  <si>
    <t>Iron Bar (Bloomery)</t>
  </si>
  <si>
    <t>Iron Bar (Blast Furnace)</t>
  </si>
  <si>
    <t>Crushed Copper Ore (Arrastra)</t>
  </si>
  <si>
    <t>Crushed Copper Ore (Stamp Mill)</t>
  </si>
  <si>
    <t>Crushed Copper Ore (Jaw Crusher)</t>
  </si>
  <si>
    <t>Copper Concentrate (Rocker Box)</t>
  </si>
  <si>
    <t>Copper Concentrate (Froth Flotation)</t>
  </si>
  <si>
    <t>Copper Bar (Bloomery)</t>
  </si>
  <si>
    <t>Copper Bar (Blast Furnace)</t>
  </si>
  <si>
    <t>Sulfurcrete</t>
  </si>
  <si>
    <t>Glass (Limestone)</t>
  </si>
  <si>
    <t>Glass (Quicklime)</t>
  </si>
  <si>
    <t>Industrial Generator</t>
  </si>
  <si>
    <t>Geology Research Paper Modern (Glass)</t>
  </si>
  <si>
    <t>PIston</t>
  </si>
  <si>
    <t>Bean Oil</t>
  </si>
  <si>
    <t>Corn Oil</t>
  </si>
  <si>
    <t>Cottonseed Oil</t>
  </si>
  <si>
    <t>Fish Oil</t>
  </si>
  <si>
    <t>Oil (Cereal Germ)</t>
  </si>
  <si>
    <t>Sunflower Oil</t>
  </si>
  <si>
    <t>Beet Sugar</t>
  </si>
  <si>
    <t>Sugar (Huckleberries)</t>
  </si>
  <si>
    <t>Yellow Powder (Sunflower)</t>
  </si>
  <si>
    <t>Yellow Powder (Creosote)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</si>
</sst>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/>
    <font>
      <b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F1C232"/>
        <bgColor rgb="FFF1C232"/>
      </patternFill>
    </fill>
    <fill>
      <patternFill patternType="solid">
        <fgColor rgb="FF00FFFF"/>
        <bgColor rgb="FF00FFFF"/>
      </patternFill>
    </fill>
    <fill>
      <patternFill patternType="solid">
        <fgColor rgb="FFEFEFEF"/>
        <bgColor rgb="FFEFEFEF"/>
      </patternFill>
    </fill>
  </fills>
  <borders count="10">
    <border/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2" fontId="1" numFmtId="0" xfId="0" applyAlignment="1" applyFill="1" applyFont="1">
      <alignment readingOrder="0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1" fillId="0" fontId="2" numFmtId="0" xfId="0" applyAlignment="1" applyBorder="1" applyFont="1">
      <alignment readingOrder="0"/>
    </xf>
    <xf borderId="0" fillId="3" fontId="3" numFmtId="10" xfId="0" applyAlignment="1" applyFont="1" applyNumberFormat="1">
      <alignment readingOrder="0"/>
    </xf>
    <xf borderId="2" fillId="0" fontId="2" numFmtId="0" xfId="0" applyAlignment="1" applyBorder="1" applyFont="1">
      <alignment readingOrder="0"/>
    </xf>
    <xf borderId="0" fillId="3" fontId="3" numFmtId="9" xfId="0" applyAlignment="1" applyFont="1" applyNumberFormat="1">
      <alignment readingOrder="0"/>
    </xf>
    <xf borderId="3" fillId="0" fontId="2" numFmtId="0" xfId="0" applyAlignment="1" applyBorder="1" applyFont="1">
      <alignment readingOrder="0"/>
    </xf>
    <xf borderId="4" fillId="0" fontId="4" numFmtId="0" xfId="0" applyBorder="1" applyFont="1"/>
    <xf borderId="0" fillId="3" fontId="1" numFmtId="0" xfId="0" applyAlignment="1" applyFont="1">
      <alignment horizontal="right" readingOrder="0" vertical="bottom"/>
    </xf>
    <xf borderId="2" fillId="0" fontId="4" numFmtId="0" xfId="0" applyBorder="1" applyFont="1"/>
    <xf borderId="5" fillId="0" fontId="2" numFmtId="0" xfId="0" applyAlignment="1" applyBorder="1" applyFont="1">
      <alignment readingOrder="0"/>
    </xf>
    <xf borderId="0" fillId="0" fontId="1" numFmtId="0" xfId="0" applyAlignment="1" applyFont="1">
      <alignment horizontal="right" vertical="bottom"/>
    </xf>
    <xf borderId="0" fillId="0" fontId="3" numFmtId="4" xfId="0" applyAlignment="1" applyFont="1" applyNumberFormat="1">
      <alignment readingOrder="0"/>
    </xf>
    <xf borderId="0" fillId="2" fontId="3" numFmtId="0" xfId="0" applyAlignment="1" applyFont="1">
      <alignment readingOrder="0"/>
    </xf>
    <xf borderId="0" fillId="0" fontId="3" numFmtId="4" xfId="0" applyFont="1" applyNumberFormat="1"/>
    <xf borderId="0" fillId="0" fontId="3" numFmtId="0" xfId="0" applyFont="1"/>
    <xf borderId="5" fillId="0" fontId="2" numFmtId="0" xfId="0" applyAlignment="1" applyBorder="1" applyFont="1">
      <alignment readingOrder="0" shrinkToFit="0" wrapText="1"/>
    </xf>
    <xf borderId="0" fillId="0" fontId="5" numFmtId="0" xfId="0" applyAlignment="1" applyFont="1">
      <alignment vertical="bottom"/>
    </xf>
    <xf borderId="1" fillId="0" fontId="3" numFmtId="0" xfId="0" applyAlignment="1" applyBorder="1" applyFont="1">
      <alignment readingOrder="0"/>
    </xf>
    <xf borderId="6" fillId="0" fontId="2" numFmtId="0" xfId="0" applyAlignment="1" applyBorder="1" applyFont="1">
      <alignment readingOrder="0" shrinkToFit="0" wrapText="1"/>
    </xf>
    <xf borderId="5" fillId="0" fontId="2" numFmtId="4" xfId="0" applyAlignment="1" applyBorder="1" applyFont="1" applyNumberFormat="1">
      <alignment readingOrder="0" shrinkToFit="0" wrapText="1"/>
    </xf>
    <xf borderId="7" fillId="0" fontId="2" numFmtId="0" xfId="0" applyAlignment="1" applyBorder="1" applyFont="1">
      <alignment readingOrder="0" shrinkToFit="0" wrapText="1"/>
    </xf>
    <xf borderId="0" fillId="3" fontId="3" numFmtId="0" xfId="0" applyFont="1"/>
    <xf borderId="0" fillId="2" fontId="3" numFmtId="0" xfId="0" applyFont="1"/>
    <xf borderId="0" fillId="0" fontId="2" numFmtId="0" xfId="0" applyAlignment="1" applyFont="1">
      <alignment readingOrder="0" shrinkToFit="0" wrapText="1"/>
    </xf>
    <xf borderId="1" fillId="3" fontId="3" numFmtId="0" xfId="0" applyAlignment="1" applyBorder="1" applyFont="1">
      <alignment readingOrder="0"/>
    </xf>
    <xf borderId="8" fillId="0" fontId="3" numFmtId="0" xfId="0" applyBorder="1" applyFont="1"/>
    <xf borderId="0" fillId="0" fontId="2" numFmtId="0" xfId="0" applyFont="1"/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1" fillId="3" fontId="3" numFmtId="0" xfId="0" applyBorder="1" applyFont="1"/>
    <xf borderId="5" fillId="0" fontId="3" numFmtId="0" xfId="0" applyAlignment="1" applyBorder="1" applyFont="1">
      <alignment readingOrder="0"/>
    </xf>
    <xf borderId="5" fillId="0" fontId="3" numFmtId="0" xfId="0" applyBorder="1" applyFont="1"/>
    <xf borderId="0" fillId="4" fontId="3" numFmtId="0" xfId="0" applyFill="1" applyFont="1"/>
    <xf borderId="0" fillId="4" fontId="3" numFmtId="0" xfId="0" applyAlignment="1" applyFont="1">
      <alignment readingOrder="0"/>
    </xf>
    <xf borderId="4" fillId="0" fontId="2" numFmtId="0" xfId="0" applyAlignment="1" applyBorder="1" applyFont="1">
      <alignment readingOrder="0"/>
    </xf>
    <xf borderId="4" fillId="0" fontId="2" numFmtId="0" xfId="0" applyBorder="1" applyFont="1"/>
    <xf borderId="4" fillId="0" fontId="3" numFmtId="0" xfId="0" applyBorder="1" applyFont="1"/>
    <xf borderId="0" fillId="5" fontId="3" numFmtId="0" xfId="0" applyFill="1" applyFont="1"/>
    <xf borderId="0" fillId="6" fontId="3" numFmtId="0" xfId="0" applyAlignment="1" applyFill="1" applyFont="1">
      <alignment readingOrder="0"/>
    </xf>
    <xf borderId="0" fillId="7" fontId="3" numFmtId="0" xfId="0" applyAlignment="1" applyFill="1" applyFont="1">
      <alignment readingOrder="0"/>
    </xf>
    <xf borderId="0" fillId="7" fontId="3" numFmtId="0" xfId="0" applyFont="1"/>
    <xf borderId="0" fillId="6" fontId="3" numFmtId="0" xfId="0" applyFont="1"/>
    <xf borderId="3" fillId="5" fontId="3" numFmtId="0" xfId="0" applyBorder="1" applyFont="1"/>
    <xf borderId="4" fillId="5" fontId="3" numFmtId="0" xfId="0" applyBorder="1" applyFont="1"/>
    <xf borderId="2" fillId="5" fontId="3" numFmtId="0" xfId="0" applyBorder="1" applyFont="1"/>
    <xf borderId="2" fillId="0" fontId="3" numFmtId="0" xfId="0" applyBorder="1" applyFont="1"/>
    <xf borderId="1" fillId="5" fontId="3" numFmtId="0" xfId="0" applyBorder="1" applyFont="1"/>
    <xf borderId="0" fillId="8" fontId="3" numFmtId="0" xfId="0" applyAlignment="1" applyFill="1" applyFont="1">
      <alignment readingOrder="0"/>
    </xf>
    <xf borderId="0" fillId="8" fontId="3" numFmtId="0" xfId="0" applyFont="1"/>
    <xf borderId="8" fillId="8" fontId="3" numFmtId="0" xfId="0" applyBorder="1" applyFont="1"/>
    <xf borderId="0" fillId="9" fontId="3" numFmtId="0" xfId="0" applyAlignment="1" applyFill="1" applyFont="1">
      <alignment readingOrder="0"/>
    </xf>
    <xf borderId="0" fillId="9" fontId="3" numFmtId="0" xfId="0" applyFont="1"/>
    <xf borderId="8" fillId="5" fontId="3" numFmtId="0" xfId="0" applyBorder="1" applyFont="1"/>
    <xf borderId="1" fillId="9" fontId="3" numFmtId="0" xfId="0" applyAlignment="1" applyBorder="1" applyFont="1">
      <alignment readingOrder="0"/>
    </xf>
    <xf borderId="8" fillId="8" fontId="3" numFmtId="0" xfId="0" applyAlignment="1" applyBorder="1" applyFont="1">
      <alignment readingOrder="0"/>
    </xf>
    <xf borderId="1" fillId="8" fontId="3" numFmtId="0" xfId="0" applyBorder="1" applyFont="1"/>
    <xf borderId="1" fillId="9" fontId="3" numFmtId="0" xfId="0" applyBorder="1" applyFont="1"/>
    <xf borderId="6" fillId="5" fontId="3" numFmtId="0" xfId="0" applyBorder="1" applyFont="1"/>
    <xf borderId="5" fillId="5" fontId="3" numFmtId="0" xfId="0" applyBorder="1" applyFont="1"/>
    <xf borderId="7" fillId="5" fontId="3" numFmtId="0" xfId="0" applyBorder="1" applyFont="1"/>
    <xf borderId="7" fillId="0" fontId="3" numFmtId="0" xfId="0" applyBorder="1" applyFont="1"/>
    <xf borderId="9" fillId="0" fontId="2" numFmtId="4" xfId="0" applyBorder="1" applyFont="1" applyNumberFormat="1"/>
    <xf borderId="3" fillId="10" fontId="3" numFmtId="0" xfId="0" applyAlignment="1" applyBorder="1" applyFill="1" applyFont="1">
      <alignment readingOrder="0"/>
    </xf>
    <xf borderId="4" fillId="10" fontId="3" numFmtId="0" xfId="0" applyBorder="1" applyFont="1"/>
    <xf borderId="2" fillId="6" fontId="3" numFmtId="0" xfId="0" applyAlignment="1" applyBorder="1" applyFont="1">
      <alignment readingOrder="0"/>
    </xf>
    <xf borderId="4" fillId="7" fontId="3" numFmtId="0" xfId="0" applyAlignment="1" applyBorder="1" applyFont="1">
      <alignment readingOrder="0"/>
    </xf>
    <xf borderId="4" fillId="7" fontId="3" numFmtId="0" xfId="0" applyBorder="1" applyFont="1"/>
    <xf borderId="3" fillId="7" fontId="3" numFmtId="0" xfId="0" applyAlignment="1" applyBorder="1" applyFont="1">
      <alignment readingOrder="0"/>
    </xf>
    <xf borderId="4" fillId="10" fontId="3" numFmtId="0" xfId="0" applyAlignment="1" applyBorder="1" applyFont="1">
      <alignment readingOrder="0"/>
    </xf>
    <xf borderId="1" fillId="10" fontId="3" numFmtId="0" xfId="0" applyBorder="1" applyFont="1"/>
    <xf borderId="0" fillId="10" fontId="3" numFmtId="0" xfId="0" applyFont="1"/>
    <xf borderId="8" fillId="6" fontId="3" numFmtId="0" xfId="0" applyBorder="1" applyFont="1"/>
    <xf borderId="1" fillId="7" fontId="3" numFmtId="0" xfId="0" applyAlignment="1" applyBorder="1" applyFont="1">
      <alignment readingOrder="0"/>
    </xf>
    <xf borderId="1" fillId="7" fontId="3" numFmtId="0" xfId="0" applyBorder="1" applyFont="1"/>
    <xf borderId="6" fillId="10" fontId="3" numFmtId="0" xfId="0" applyBorder="1" applyFont="1"/>
    <xf borderId="5" fillId="10" fontId="3" numFmtId="0" xfId="0" applyBorder="1" applyFont="1"/>
    <xf borderId="6" fillId="11" fontId="3" numFmtId="0" xfId="0" applyAlignment="1" applyBorder="1" applyFill="1" applyFont="1">
      <alignment readingOrder="0"/>
    </xf>
    <xf borderId="7" fillId="12" fontId="3" numFmtId="0" xfId="0" applyBorder="1" applyFill="1" applyFont="1"/>
    <xf borderId="6" fillId="12" fontId="3" numFmtId="0" xfId="0" applyBorder="1" applyFont="1"/>
    <xf borderId="5" fillId="12" fontId="3" numFmtId="0" xfId="0" applyBorder="1" applyFont="1"/>
    <xf borderId="5" fillId="11" fontId="3" numFmtId="0" xfId="0" applyAlignment="1" applyBorder="1" applyFont="1">
      <alignment readingOrder="0"/>
    </xf>
    <xf borderId="8" fillId="7" fontId="3" numFmtId="0" xfId="0" applyAlignment="1" applyBorder="1" applyFont="1">
      <alignment readingOrder="0"/>
    </xf>
    <xf borderId="1" fillId="6" fontId="3" numFmtId="0" xfId="0" applyAlignment="1" applyBorder="1" applyFont="1">
      <alignment readingOrder="0"/>
    </xf>
    <xf borderId="8" fillId="7" fontId="3" numFmtId="0" xfId="0" applyBorder="1" applyFont="1"/>
    <xf borderId="1" fillId="6" fontId="3" numFmtId="0" xfId="0" applyBorder="1" applyFont="1"/>
    <xf borderId="4" fillId="8" fontId="3" numFmtId="0" xfId="0" applyAlignment="1" applyBorder="1" applyFont="1">
      <alignment readingOrder="0"/>
    </xf>
    <xf borderId="4" fillId="8" fontId="3" numFmtId="0" xfId="0" applyBorder="1" applyFont="1"/>
    <xf borderId="3" fillId="12" fontId="3" numFmtId="0" xfId="0" applyBorder="1" applyFont="1"/>
    <xf borderId="4" fillId="12" fontId="3" numFmtId="0" xfId="0" applyBorder="1" applyFont="1"/>
    <xf borderId="1" fillId="12" fontId="3" numFmtId="0" xfId="0" applyBorder="1" applyFont="1"/>
    <xf borderId="0" fillId="12" fontId="3" numFmtId="0" xfId="0" applyFont="1"/>
    <xf borderId="1" fillId="11" fontId="3" numFmtId="0" xfId="0" applyAlignment="1" applyBorder="1" applyFont="1">
      <alignment readingOrder="0"/>
    </xf>
    <xf borderId="0" fillId="12" fontId="3" numFmtId="0" xfId="0" applyAlignment="1" applyFont="1">
      <alignment readingOrder="0"/>
    </xf>
    <xf borderId="1" fillId="12" fontId="3" numFmtId="0" xfId="0" applyAlignment="1" applyBorder="1" applyFont="1">
      <alignment readingOrder="0"/>
    </xf>
    <xf borderId="0" fillId="11" fontId="3" numFmtId="0" xfId="0" applyAlignment="1" applyFont="1">
      <alignment readingOrder="0"/>
    </xf>
    <xf borderId="3" fillId="0" fontId="3" numFmtId="0" xfId="0" applyBorder="1" applyFont="1"/>
    <xf borderId="1" fillId="0" fontId="3" numFmtId="0" xfId="0" applyBorder="1" applyFont="1"/>
    <xf borderId="6" fillId="0" fontId="3" numFmtId="0" xfId="0" applyBorder="1" applyFont="1"/>
    <xf borderId="5" fillId="8" fontId="3" numFmtId="0" xfId="0" applyBorder="1" applyFont="1"/>
    <xf borderId="7" fillId="8" fontId="3" numFmtId="0" xfId="0" applyBorder="1" applyFont="1"/>
    <xf borderId="5" fillId="7" fontId="3" numFmtId="0" xfId="0" applyBorder="1" applyFont="1"/>
    <xf borderId="7" fillId="7" fontId="3" numFmtId="0" xfId="0" applyBorder="1" applyFont="1"/>
    <xf borderId="5" fillId="9" fontId="3" numFmtId="0" xfId="0" applyBorder="1" applyFont="1"/>
    <xf borderId="2" fillId="8" fontId="3" numFmtId="0" xfId="0" applyBorder="1" applyFont="1"/>
    <xf borderId="2" fillId="7" fontId="3" numFmtId="0" xfId="0" applyBorder="1" applyFont="1"/>
    <xf borderId="4" fillId="9" fontId="3" numFmtId="0" xfId="0" applyBorder="1" applyFont="1"/>
    <xf borderId="0" fillId="0" fontId="3" numFmtId="0" xfId="0" applyAlignment="1" applyFont="1">
      <alignment readingOrder="0"/>
    </xf>
    <xf borderId="4" fillId="6" fontId="3" numFmtId="0" xfId="0" applyBorder="1" applyFont="1"/>
    <xf borderId="2" fillId="6" fontId="3" numFmtId="0" xfId="0" applyBorder="1" applyFont="1"/>
    <xf borderId="3" fillId="6" fontId="3" numFmtId="0" xfId="0" applyBorder="1" applyFont="1"/>
    <xf borderId="6" fillId="7" fontId="3" numFmtId="0" xfId="0" applyBorder="1" applyFont="1"/>
    <xf borderId="3" fillId="7" fontId="3" numFmtId="0" xfId="0" applyBorder="1" applyFont="1"/>
    <xf borderId="1" fillId="8" fontId="3" numFmtId="0" xfId="0" applyAlignment="1" applyBorder="1" applyFont="1">
      <alignment readingOrder="0"/>
    </xf>
    <xf borderId="5" fillId="6" fontId="3" numFmtId="0" xfId="0" applyBorder="1" applyFont="1"/>
    <xf borderId="6" fillId="8" fontId="3" numFmtId="0" xfId="0" applyBorder="1" applyFont="1"/>
    <xf borderId="3" fillId="8" fontId="3" numFmtId="0" xfId="0" applyBorder="1" applyFont="1"/>
    <xf borderId="8" fillId="12" fontId="3" numFmtId="0" xfId="0" applyAlignment="1" applyBorder="1" applyFont="1">
      <alignment readingOrder="0"/>
    </xf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2"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3" max="3" width="13.75"/>
    <col customWidth="1" min="7" max="7" width="14.0"/>
    <col customWidth="1" min="8" max="8" width="16.75"/>
    <col customWidth="1" min="9" max="9" width="14.0"/>
    <col customWidth="1" min="10" max="10" width="16.75"/>
    <col customWidth="1" min="11" max="11" width="14.38"/>
    <col customWidth="1" min="12" max="12" width="17.0"/>
  </cols>
  <sheetData>
    <row r="1">
      <c r="A1" s="1" t="s">
        <v>0</v>
      </c>
      <c r="B1" s="2">
        <v>5.0</v>
      </c>
      <c r="C1" s="4" t="s">
        <v>3</v>
      </c>
      <c r="D1" s="5">
        <v>100.0</v>
      </c>
      <c r="E1" s="6"/>
      <c r="F1" s="6"/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</row>
    <row r="2">
      <c r="A2" s="1" t="s">
        <v>11</v>
      </c>
      <c r="B2" s="2">
        <v>40.0</v>
      </c>
      <c r="C2" s="4" t="s">
        <v>12</v>
      </c>
      <c r="D2" s="6">
        <f>D1/3600</f>
        <v>0.02777777778</v>
      </c>
      <c r="E2" s="6"/>
      <c r="F2" s="6"/>
      <c r="G2" s="15">
        <v>4.0</v>
      </c>
      <c r="H2" s="18">
        <f>SWITCH(G2, 0, 1, 1, 0.9,2,0.75,3,0.6,4,0.55,5,0.5)</f>
        <v>0.55</v>
      </c>
      <c r="I2" s="15">
        <v>0.0</v>
      </c>
      <c r="J2" s="18">
        <f>SWITCH(I2, 0, 1, 1, 0.9,2,0.75,3,0.6,4,0.55,5,0.5)</f>
        <v>1</v>
      </c>
      <c r="K2" s="15">
        <v>0.0</v>
      </c>
      <c r="L2" s="18">
        <f>SWITCH(K2, 0, 1, 1, 0.9,2,0.75,3,0.6,4,0.55,5,0.5)</f>
        <v>1</v>
      </c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>
      <c r="A4" s="24" t="s">
        <v>43</v>
      </c>
      <c r="B4" s="6" t="s">
        <v>48</v>
      </c>
      <c r="C4" s="6" t="s">
        <v>51</v>
      </c>
      <c r="D4" s="6" t="s">
        <v>53</v>
      </c>
      <c r="E4" s="6" t="s">
        <v>55</v>
      </c>
      <c r="F4" s="6" t="s">
        <v>56</v>
      </c>
      <c r="G4" s="6" t="s">
        <v>58</v>
      </c>
      <c r="H4" s="6" t="s">
        <v>60</v>
      </c>
      <c r="I4" s="6" t="s">
        <v>62</v>
      </c>
      <c r="J4" s="6" t="s">
        <v>63</v>
      </c>
      <c r="K4" s="6" t="s">
        <v>65</v>
      </c>
      <c r="L4" s="6" t="s">
        <v>66</v>
      </c>
    </row>
    <row r="5">
      <c r="A5" s="6" t="s">
        <v>68</v>
      </c>
      <c r="B5" s="2">
        <v>0.0</v>
      </c>
      <c r="C5" s="18">
        <f t="shared" ref="C5:C35" si="1">IF(B5&gt;0, 1-(0.15+B5*0.05), 1)</f>
        <v>1</v>
      </c>
      <c r="D5" s="18">
        <f t="shared" ref="D5:D35" si="2">$B$1</f>
        <v>5</v>
      </c>
      <c r="E5" s="18">
        <f t="shared" ref="E5:E35" si="3">$B$2</f>
        <v>40</v>
      </c>
      <c r="F5" s="18">
        <f t="shared" ref="F5:F35" si="4">IF(B5&gt;0, D5*C5,E5)</f>
        <v>40</v>
      </c>
      <c r="G5" s="18">
        <f t="shared" ref="G5:G26" si="5">$G$2</f>
        <v>4</v>
      </c>
      <c r="H5" s="18">
        <f>SWITCH(G5, 0, 1, 1, 0.9,2,0.75,3,0.6,4,0.55,5,0.5)*IF(B5&gt;=6, 0.95, 1)</f>
        <v>0.55</v>
      </c>
      <c r="I5" s="18">
        <f t="shared" ref="I5:I11" si="6">$I$2</f>
        <v>0</v>
      </c>
      <c r="J5" s="18">
        <f>SWITCH(I5, 0, 1, 1, 0.9,2,0.75,3,0.6,4,0.55,5,0.5)*IF(B5&gt;=6, 0.95, 1)</f>
        <v>1</v>
      </c>
      <c r="K5" s="18">
        <f t="shared" ref="K5:K35" si="7">$K$2</f>
        <v>0</v>
      </c>
      <c r="L5" s="18">
        <f>SWITCH(K5, 0, 1, 1, 0.9,2,0.75,3,0.6,4,0.55,5,0.5)*IF(B5&gt;=6, 0.95, 1)</f>
        <v>1</v>
      </c>
    </row>
    <row r="6">
      <c r="A6" s="6" t="s">
        <v>82</v>
      </c>
      <c r="B6" s="2">
        <v>0.0</v>
      </c>
      <c r="C6" s="18">
        <f t="shared" si="1"/>
        <v>1</v>
      </c>
      <c r="D6" s="18">
        <f t="shared" si="2"/>
        <v>5</v>
      </c>
      <c r="E6" s="18">
        <f t="shared" si="3"/>
        <v>40</v>
      </c>
      <c r="F6" s="18">
        <f t="shared" si="4"/>
        <v>40</v>
      </c>
      <c r="G6" s="18">
        <f t="shared" si="5"/>
        <v>4</v>
      </c>
      <c r="H6" s="18">
        <f>SWITCH(G6, 0, 1, 1, 0.9,2,0.75,3,0.6,4,0.55,5,0.5)</f>
        <v>0.55</v>
      </c>
      <c r="I6" s="18">
        <f t="shared" si="6"/>
        <v>0</v>
      </c>
      <c r="J6" s="18">
        <f>SWITCH(I6, 0, 1, 1, 0.9,2,0.75,3,0.6,4,0.55,5,0.5)</f>
        <v>1</v>
      </c>
      <c r="K6" s="18">
        <f t="shared" si="7"/>
        <v>0</v>
      </c>
      <c r="L6" s="18">
        <f>SWITCH(K6, 0, 1, 1, 0.9,2,0.75,3,0.6,4,0.55,5,0.5)</f>
        <v>1</v>
      </c>
    </row>
    <row r="7">
      <c r="A7" s="6" t="s">
        <v>105</v>
      </c>
      <c r="B7" s="18">
        <v>0.0</v>
      </c>
      <c r="C7" s="18">
        <f t="shared" si="1"/>
        <v>1</v>
      </c>
      <c r="D7" s="18">
        <f t="shared" si="2"/>
        <v>5</v>
      </c>
      <c r="E7" s="18">
        <f t="shared" si="3"/>
        <v>40</v>
      </c>
      <c r="F7" s="18">
        <f t="shared" si="4"/>
        <v>40</v>
      </c>
      <c r="G7" s="18">
        <f t="shared" si="5"/>
        <v>4</v>
      </c>
      <c r="H7" s="18">
        <f t="shared" ref="H7:H9" si="8">SWITCH(G7, 0, 1, 1, 0.9,2,0.75,3,0.6,4,0.55,5,0.5)*IF(B7&gt;=6, 0.95, 1)</f>
        <v>0.55</v>
      </c>
      <c r="I7" s="18">
        <f t="shared" si="6"/>
        <v>0</v>
      </c>
      <c r="J7" s="18">
        <f t="shared" ref="J7:J35" si="9">SWITCH(I7, 0, 1, 1, 0.9,2,0.75,3,0.6,4,0.55,5,0.5)*IF(B7&gt;=6, 0.95, 1)</f>
        <v>1</v>
      </c>
      <c r="K7" s="18">
        <f t="shared" si="7"/>
        <v>0</v>
      </c>
      <c r="L7" s="18">
        <f t="shared" ref="L7:L9" si="10">SWITCH(K7, 0, 1, 1, 0.9,2,0.75,3,0.6,4,0.55,5,0.5)*IF(B7&gt;=6, 0.95, 1)</f>
        <v>1</v>
      </c>
    </row>
    <row r="8">
      <c r="A8" s="6" t="s">
        <v>113</v>
      </c>
      <c r="B8" s="18">
        <v>0.0</v>
      </c>
      <c r="C8" s="18">
        <f t="shared" si="1"/>
        <v>1</v>
      </c>
      <c r="D8" s="18">
        <f t="shared" si="2"/>
        <v>5</v>
      </c>
      <c r="E8" s="18">
        <f t="shared" si="3"/>
        <v>40</v>
      </c>
      <c r="F8" s="18">
        <f t="shared" si="4"/>
        <v>40</v>
      </c>
      <c r="G8" s="18">
        <f t="shared" si="5"/>
        <v>4</v>
      </c>
      <c r="H8" s="18">
        <f t="shared" si="8"/>
        <v>0.55</v>
      </c>
      <c r="I8" s="18">
        <f t="shared" si="6"/>
        <v>0</v>
      </c>
      <c r="J8" s="18">
        <f t="shared" si="9"/>
        <v>1</v>
      </c>
      <c r="K8" s="18">
        <f t="shared" si="7"/>
        <v>0</v>
      </c>
      <c r="L8" s="18">
        <f t="shared" si="10"/>
        <v>1</v>
      </c>
    </row>
    <row r="9">
      <c r="A9" s="6" t="s">
        <v>114</v>
      </c>
      <c r="B9" s="2">
        <v>0.0</v>
      </c>
      <c r="C9" s="18">
        <f t="shared" si="1"/>
        <v>1</v>
      </c>
      <c r="D9" s="18">
        <f t="shared" si="2"/>
        <v>5</v>
      </c>
      <c r="E9" s="18">
        <f t="shared" si="3"/>
        <v>40</v>
      </c>
      <c r="F9" s="18">
        <f t="shared" si="4"/>
        <v>40</v>
      </c>
      <c r="G9" s="18">
        <f t="shared" si="5"/>
        <v>4</v>
      </c>
      <c r="H9" s="18">
        <f t="shared" si="8"/>
        <v>0.55</v>
      </c>
      <c r="I9" s="18">
        <f t="shared" si="6"/>
        <v>0</v>
      </c>
      <c r="J9" s="18">
        <f t="shared" si="9"/>
        <v>1</v>
      </c>
      <c r="K9" s="18">
        <f t="shared" si="7"/>
        <v>0</v>
      </c>
      <c r="L9" s="18">
        <f t="shared" si="10"/>
        <v>1</v>
      </c>
    </row>
    <row r="10">
      <c r="A10" s="6" t="s">
        <v>117</v>
      </c>
      <c r="B10" s="2">
        <v>0.0</v>
      </c>
      <c r="C10" s="18">
        <f t="shared" si="1"/>
        <v>1</v>
      </c>
      <c r="D10" s="18">
        <f t="shared" si="2"/>
        <v>5</v>
      </c>
      <c r="E10" s="18">
        <f t="shared" si="3"/>
        <v>40</v>
      </c>
      <c r="F10" s="18">
        <f t="shared" si="4"/>
        <v>40</v>
      </c>
      <c r="G10" s="18">
        <f t="shared" si="5"/>
        <v>4</v>
      </c>
      <c r="H10" s="18">
        <f>SWITCH(G10, 0, 1, 1, 0.9,2,0.75,3,0.6,4,0.55,5,0.5)</f>
        <v>0.55</v>
      </c>
      <c r="I10" s="18">
        <f t="shared" si="6"/>
        <v>0</v>
      </c>
      <c r="J10" s="18">
        <f t="shared" si="9"/>
        <v>1</v>
      </c>
      <c r="K10" s="18">
        <f t="shared" si="7"/>
        <v>0</v>
      </c>
      <c r="L10" s="18">
        <f>SWITCH(K10, 0, 1, 1, 0.9,2,0.75,3,0.6,4,0.55,5,0.5)</f>
        <v>1</v>
      </c>
    </row>
    <row r="11">
      <c r="A11" s="6" t="s">
        <v>122</v>
      </c>
      <c r="B11" s="18">
        <v>0.0</v>
      </c>
      <c r="C11" s="18">
        <f t="shared" si="1"/>
        <v>1</v>
      </c>
      <c r="D11" s="18">
        <f t="shared" si="2"/>
        <v>5</v>
      </c>
      <c r="E11" s="18">
        <f t="shared" si="3"/>
        <v>40</v>
      </c>
      <c r="F11" s="18">
        <f t="shared" si="4"/>
        <v>40</v>
      </c>
      <c r="G11" s="18">
        <f t="shared" si="5"/>
        <v>4</v>
      </c>
      <c r="H11" s="18">
        <f t="shared" ref="H11:H35" si="11">SWITCH(G11, 0, 1, 1, 0.9,2,0.75,3,0.6,4,0.55,5,0.5)*IF(B11&gt;=6, 0.95, 1)</f>
        <v>0.55</v>
      </c>
      <c r="I11" s="18">
        <f t="shared" si="6"/>
        <v>0</v>
      </c>
      <c r="J11" s="18">
        <f t="shared" si="9"/>
        <v>1</v>
      </c>
      <c r="K11" s="18">
        <f t="shared" si="7"/>
        <v>0</v>
      </c>
      <c r="L11" s="18">
        <f t="shared" ref="L11:L35" si="12">SWITCH(K11, 0, 1, 1, 0.9,2,0.75,3,0.6,4,0.55,5,0.5)*IF(B11&gt;=6, 0.95, 1)</f>
        <v>1</v>
      </c>
    </row>
    <row r="12">
      <c r="A12" s="6" t="s">
        <v>130</v>
      </c>
      <c r="B12" s="2">
        <v>0.0</v>
      </c>
      <c r="C12" s="18">
        <f t="shared" si="1"/>
        <v>1</v>
      </c>
      <c r="D12" s="18">
        <f t="shared" si="2"/>
        <v>5</v>
      </c>
      <c r="E12" s="18">
        <f t="shared" si="3"/>
        <v>40</v>
      </c>
      <c r="F12" s="18">
        <f t="shared" si="4"/>
        <v>40</v>
      </c>
      <c r="G12" s="18">
        <f t="shared" si="5"/>
        <v>4</v>
      </c>
      <c r="H12" s="18">
        <f t="shared" si="11"/>
        <v>0.55</v>
      </c>
      <c r="I12" s="2">
        <v>5.0</v>
      </c>
      <c r="J12" s="18">
        <f t="shared" si="9"/>
        <v>0.5</v>
      </c>
      <c r="K12" s="18">
        <f t="shared" si="7"/>
        <v>0</v>
      </c>
      <c r="L12" s="18">
        <f t="shared" si="12"/>
        <v>1</v>
      </c>
    </row>
    <row r="13">
      <c r="A13" s="6" t="s">
        <v>134</v>
      </c>
      <c r="B13" s="2">
        <v>0.0</v>
      </c>
      <c r="C13" s="18">
        <f t="shared" si="1"/>
        <v>1</v>
      </c>
      <c r="D13" s="18">
        <f t="shared" si="2"/>
        <v>5</v>
      </c>
      <c r="E13" s="18">
        <f t="shared" si="3"/>
        <v>40</v>
      </c>
      <c r="F13" s="18">
        <f t="shared" si="4"/>
        <v>40</v>
      </c>
      <c r="G13" s="18">
        <f t="shared" si="5"/>
        <v>4</v>
      </c>
      <c r="H13" s="18">
        <f t="shared" si="11"/>
        <v>0.55</v>
      </c>
      <c r="I13" s="18">
        <f t="shared" ref="I13:I35" si="13">$I$2</f>
        <v>0</v>
      </c>
      <c r="J13" s="18">
        <f t="shared" si="9"/>
        <v>1</v>
      </c>
      <c r="K13" s="18">
        <f t="shared" si="7"/>
        <v>0</v>
      </c>
      <c r="L13" s="18">
        <f t="shared" si="12"/>
        <v>1</v>
      </c>
    </row>
    <row r="14">
      <c r="A14" s="6" t="s">
        <v>139</v>
      </c>
      <c r="B14" s="18">
        <v>0.0</v>
      </c>
      <c r="C14" s="18">
        <f t="shared" si="1"/>
        <v>1</v>
      </c>
      <c r="D14" s="18">
        <f t="shared" si="2"/>
        <v>5</v>
      </c>
      <c r="E14" s="18">
        <f t="shared" si="3"/>
        <v>40</v>
      </c>
      <c r="F14" s="18">
        <f t="shared" si="4"/>
        <v>40</v>
      </c>
      <c r="G14" s="18">
        <f t="shared" si="5"/>
        <v>4</v>
      </c>
      <c r="H14" s="18">
        <f t="shared" si="11"/>
        <v>0.55</v>
      </c>
      <c r="I14" s="18">
        <f t="shared" si="13"/>
        <v>0</v>
      </c>
      <c r="J14" s="18">
        <f t="shared" si="9"/>
        <v>1</v>
      </c>
      <c r="K14" s="18">
        <f t="shared" si="7"/>
        <v>0</v>
      </c>
      <c r="L14" s="18">
        <f t="shared" si="12"/>
        <v>1</v>
      </c>
    </row>
    <row r="15">
      <c r="A15" s="6" t="s">
        <v>142</v>
      </c>
      <c r="B15" s="18">
        <v>0.0</v>
      </c>
      <c r="C15" s="18">
        <f t="shared" si="1"/>
        <v>1</v>
      </c>
      <c r="D15" s="18">
        <f t="shared" si="2"/>
        <v>5</v>
      </c>
      <c r="E15" s="18">
        <f t="shared" si="3"/>
        <v>40</v>
      </c>
      <c r="F15" s="18">
        <f t="shared" si="4"/>
        <v>40</v>
      </c>
      <c r="G15" s="18">
        <f t="shared" si="5"/>
        <v>4</v>
      </c>
      <c r="H15" s="18">
        <f t="shared" si="11"/>
        <v>0.55</v>
      </c>
      <c r="I15" s="18">
        <f t="shared" si="13"/>
        <v>0</v>
      </c>
      <c r="J15" s="18">
        <f t="shared" si="9"/>
        <v>1</v>
      </c>
      <c r="K15" s="18">
        <f t="shared" si="7"/>
        <v>0</v>
      </c>
      <c r="L15" s="18">
        <f t="shared" si="12"/>
        <v>1</v>
      </c>
    </row>
    <row r="16">
      <c r="A16" s="6" t="s">
        <v>145</v>
      </c>
      <c r="B16" s="18">
        <v>0.0</v>
      </c>
      <c r="C16" s="18">
        <f t="shared" si="1"/>
        <v>1</v>
      </c>
      <c r="D16" s="18">
        <f t="shared" si="2"/>
        <v>5</v>
      </c>
      <c r="E16" s="18">
        <f t="shared" si="3"/>
        <v>40</v>
      </c>
      <c r="F16" s="18">
        <f t="shared" si="4"/>
        <v>40</v>
      </c>
      <c r="G16" s="18">
        <f t="shared" si="5"/>
        <v>4</v>
      </c>
      <c r="H16" s="18">
        <f t="shared" si="11"/>
        <v>0.55</v>
      </c>
      <c r="I16" s="18">
        <f t="shared" si="13"/>
        <v>0</v>
      </c>
      <c r="J16" s="18">
        <f t="shared" si="9"/>
        <v>1</v>
      </c>
      <c r="K16" s="18">
        <f t="shared" si="7"/>
        <v>0</v>
      </c>
      <c r="L16" s="18">
        <f t="shared" si="12"/>
        <v>1</v>
      </c>
    </row>
    <row r="17">
      <c r="A17" s="6" t="s">
        <v>148</v>
      </c>
      <c r="B17" s="18">
        <v>0.0</v>
      </c>
      <c r="C17" s="18">
        <f t="shared" si="1"/>
        <v>1</v>
      </c>
      <c r="D17" s="18">
        <f t="shared" si="2"/>
        <v>5</v>
      </c>
      <c r="E17" s="18">
        <f t="shared" si="3"/>
        <v>40</v>
      </c>
      <c r="F17" s="18">
        <f t="shared" si="4"/>
        <v>40</v>
      </c>
      <c r="G17" s="18">
        <f t="shared" si="5"/>
        <v>4</v>
      </c>
      <c r="H17" s="18">
        <f t="shared" si="11"/>
        <v>0.55</v>
      </c>
      <c r="I17" s="18">
        <f t="shared" si="13"/>
        <v>0</v>
      </c>
      <c r="J17" s="18">
        <f t="shared" si="9"/>
        <v>1</v>
      </c>
      <c r="K17" s="18">
        <f t="shared" si="7"/>
        <v>0</v>
      </c>
      <c r="L17" s="18">
        <f t="shared" si="12"/>
        <v>1</v>
      </c>
    </row>
    <row r="18">
      <c r="A18" s="6" t="s">
        <v>151</v>
      </c>
      <c r="B18" s="18">
        <v>0.0</v>
      </c>
      <c r="C18" s="18">
        <f t="shared" si="1"/>
        <v>1</v>
      </c>
      <c r="D18" s="18">
        <f t="shared" si="2"/>
        <v>5</v>
      </c>
      <c r="E18" s="18">
        <f t="shared" si="3"/>
        <v>40</v>
      </c>
      <c r="F18" s="18">
        <f t="shared" si="4"/>
        <v>40</v>
      </c>
      <c r="G18" s="18">
        <f t="shared" si="5"/>
        <v>4</v>
      </c>
      <c r="H18" s="18">
        <f t="shared" si="11"/>
        <v>0.55</v>
      </c>
      <c r="I18" s="18">
        <f t="shared" si="13"/>
        <v>0</v>
      </c>
      <c r="J18" s="18">
        <f t="shared" si="9"/>
        <v>1</v>
      </c>
      <c r="K18" s="18">
        <f t="shared" si="7"/>
        <v>0</v>
      </c>
      <c r="L18" s="18">
        <f t="shared" si="12"/>
        <v>1</v>
      </c>
    </row>
    <row r="19">
      <c r="A19" s="6" t="s">
        <v>155</v>
      </c>
      <c r="B19" s="2">
        <v>0.0</v>
      </c>
      <c r="C19" s="18">
        <f t="shared" si="1"/>
        <v>1</v>
      </c>
      <c r="D19" s="18">
        <f t="shared" si="2"/>
        <v>5</v>
      </c>
      <c r="E19" s="18">
        <f t="shared" si="3"/>
        <v>40</v>
      </c>
      <c r="F19" s="18">
        <f t="shared" si="4"/>
        <v>40</v>
      </c>
      <c r="G19" s="18">
        <f t="shared" si="5"/>
        <v>4</v>
      </c>
      <c r="H19" s="18">
        <f t="shared" si="11"/>
        <v>0.55</v>
      </c>
      <c r="I19" s="18">
        <f t="shared" si="13"/>
        <v>0</v>
      </c>
      <c r="J19" s="18">
        <f t="shared" si="9"/>
        <v>1</v>
      </c>
      <c r="K19" s="18">
        <f t="shared" si="7"/>
        <v>0</v>
      </c>
      <c r="L19" s="18">
        <f t="shared" si="12"/>
        <v>1</v>
      </c>
    </row>
    <row r="20">
      <c r="A20" s="6" t="s">
        <v>159</v>
      </c>
      <c r="B20" s="2">
        <v>0.0</v>
      </c>
      <c r="C20" s="18">
        <f t="shared" si="1"/>
        <v>1</v>
      </c>
      <c r="D20" s="18">
        <f t="shared" si="2"/>
        <v>5</v>
      </c>
      <c r="E20" s="18">
        <f t="shared" si="3"/>
        <v>40</v>
      </c>
      <c r="F20" s="18">
        <f t="shared" si="4"/>
        <v>40</v>
      </c>
      <c r="G20" s="18">
        <f t="shared" si="5"/>
        <v>4</v>
      </c>
      <c r="H20" s="18">
        <f t="shared" si="11"/>
        <v>0.55</v>
      </c>
      <c r="I20" s="18">
        <f t="shared" si="13"/>
        <v>0</v>
      </c>
      <c r="J20" s="18">
        <f t="shared" si="9"/>
        <v>1</v>
      </c>
      <c r="K20" s="18">
        <f t="shared" si="7"/>
        <v>0</v>
      </c>
      <c r="L20" s="18">
        <f t="shared" si="12"/>
        <v>1</v>
      </c>
    </row>
    <row r="21">
      <c r="A21" s="6" t="s">
        <v>162</v>
      </c>
      <c r="B21" s="18">
        <v>0.0</v>
      </c>
      <c r="C21" s="18">
        <f t="shared" si="1"/>
        <v>1</v>
      </c>
      <c r="D21" s="18">
        <f t="shared" si="2"/>
        <v>5</v>
      </c>
      <c r="E21" s="18">
        <f t="shared" si="3"/>
        <v>40</v>
      </c>
      <c r="F21" s="18">
        <f t="shared" si="4"/>
        <v>40</v>
      </c>
      <c r="G21" s="18">
        <f t="shared" si="5"/>
        <v>4</v>
      </c>
      <c r="H21" s="18">
        <f t="shared" si="11"/>
        <v>0.55</v>
      </c>
      <c r="I21" s="18">
        <f t="shared" si="13"/>
        <v>0</v>
      </c>
      <c r="J21" s="18">
        <f t="shared" si="9"/>
        <v>1</v>
      </c>
      <c r="K21" s="18">
        <f t="shared" si="7"/>
        <v>0</v>
      </c>
      <c r="L21" s="18">
        <f t="shared" si="12"/>
        <v>1</v>
      </c>
    </row>
    <row r="22">
      <c r="A22" s="6" t="s">
        <v>167</v>
      </c>
      <c r="B22" s="2">
        <v>0.0</v>
      </c>
      <c r="C22" s="18">
        <f t="shared" si="1"/>
        <v>1</v>
      </c>
      <c r="D22" s="18">
        <f t="shared" si="2"/>
        <v>5</v>
      </c>
      <c r="E22" s="18">
        <f t="shared" si="3"/>
        <v>40</v>
      </c>
      <c r="F22" s="18">
        <f t="shared" si="4"/>
        <v>40</v>
      </c>
      <c r="G22" s="18">
        <f t="shared" si="5"/>
        <v>4</v>
      </c>
      <c r="H22" s="18">
        <f t="shared" si="11"/>
        <v>0.55</v>
      </c>
      <c r="I22" s="18">
        <f t="shared" si="13"/>
        <v>0</v>
      </c>
      <c r="J22" s="18">
        <f t="shared" si="9"/>
        <v>1</v>
      </c>
      <c r="K22" s="18">
        <f t="shared" si="7"/>
        <v>0</v>
      </c>
      <c r="L22" s="18">
        <f t="shared" si="12"/>
        <v>1</v>
      </c>
    </row>
    <row r="23">
      <c r="A23" s="6" t="s">
        <v>170</v>
      </c>
      <c r="B23" s="2">
        <v>0.0</v>
      </c>
      <c r="C23" s="18">
        <f t="shared" si="1"/>
        <v>1</v>
      </c>
      <c r="D23" s="18">
        <f t="shared" si="2"/>
        <v>5</v>
      </c>
      <c r="E23" s="18">
        <f t="shared" si="3"/>
        <v>40</v>
      </c>
      <c r="F23" s="18">
        <f t="shared" si="4"/>
        <v>40</v>
      </c>
      <c r="G23" s="18">
        <f t="shared" si="5"/>
        <v>4</v>
      </c>
      <c r="H23" s="18">
        <f t="shared" si="11"/>
        <v>0.55</v>
      </c>
      <c r="I23" s="18">
        <f t="shared" si="13"/>
        <v>0</v>
      </c>
      <c r="J23" s="18">
        <f t="shared" si="9"/>
        <v>1</v>
      </c>
      <c r="K23" s="18">
        <f t="shared" si="7"/>
        <v>0</v>
      </c>
      <c r="L23" s="18">
        <f t="shared" si="12"/>
        <v>1</v>
      </c>
    </row>
    <row r="24">
      <c r="A24" s="6" t="s">
        <v>174</v>
      </c>
      <c r="B24" s="18">
        <v>0.0</v>
      </c>
      <c r="C24" s="18">
        <f t="shared" si="1"/>
        <v>1</v>
      </c>
      <c r="D24" s="18">
        <f t="shared" si="2"/>
        <v>5</v>
      </c>
      <c r="E24" s="18">
        <f t="shared" si="3"/>
        <v>40</v>
      </c>
      <c r="F24" s="18">
        <f t="shared" si="4"/>
        <v>40</v>
      </c>
      <c r="G24" s="18">
        <f t="shared" si="5"/>
        <v>4</v>
      </c>
      <c r="H24" s="18">
        <f t="shared" si="11"/>
        <v>0.55</v>
      </c>
      <c r="I24" s="18">
        <f t="shared" si="13"/>
        <v>0</v>
      </c>
      <c r="J24" s="18">
        <f t="shared" si="9"/>
        <v>1</v>
      </c>
      <c r="K24" s="18">
        <f t="shared" si="7"/>
        <v>0</v>
      </c>
      <c r="L24" s="18">
        <f t="shared" si="12"/>
        <v>1</v>
      </c>
    </row>
    <row r="25">
      <c r="A25" s="6" t="s">
        <v>178</v>
      </c>
      <c r="B25" s="18">
        <v>0.0</v>
      </c>
      <c r="C25" s="18">
        <f t="shared" si="1"/>
        <v>1</v>
      </c>
      <c r="D25" s="18">
        <f t="shared" si="2"/>
        <v>5</v>
      </c>
      <c r="E25" s="18">
        <f t="shared" si="3"/>
        <v>40</v>
      </c>
      <c r="F25" s="18">
        <f t="shared" si="4"/>
        <v>40</v>
      </c>
      <c r="G25" s="18">
        <f t="shared" si="5"/>
        <v>4</v>
      </c>
      <c r="H25" s="18">
        <f t="shared" si="11"/>
        <v>0.55</v>
      </c>
      <c r="I25" s="18">
        <f t="shared" si="13"/>
        <v>0</v>
      </c>
      <c r="J25" s="18">
        <f t="shared" si="9"/>
        <v>1</v>
      </c>
      <c r="K25" s="18">
        <f t="shared" si="7"/>
        <v>0</v>
      </c>
      <c r="L25" s="18">
        <f t="shared" si="12"/>
        <v>1</v>
      </c>
    </row>
    <row r="26">
      <c r="A26" s="6" t="s">
        <v>182</v>
      </c>
      <c r="B26" s="18">
        <v>0.0</v>
      </c>
      <c r="C26" s="18">
        <f t="shared" si="1"/>
        <v>1</v>
      </c>
      <c r="D26" s="18">
        <f t="shared" si="2"/>
        <v>5</v>
      </c>
      <c r="E26" s="18">
        <f t="shared" si="3"/>
        <v>40</v>
      </c>
      <c r="F26" s="18">
        <f t="shared" si="4"/>
        <v>40</v>
      </c>
      <c r="G26" s="18">
        <f t="shared" si="5"/>
        <v>4</v>
      </c>
      <c r="H26" s="18">
        <f t="shared" si="11"/>
        <v>0.55</v>
      </c>
      <c r="I26" s="18">
        <f t="shared" si="13"/>
        <v>0</v>
      </c>
      <c r="J26" s="18">
        <f t="shared" si="9"/>
        <v>1</v>
      </c>
      <c r="K26" s="18">
        <f t="shared" si="7"/>
        <v>0</v>
      </c>
      <c r="L26" s="18">
        <f t="shared" si="12"/>
        <v>1</v>
      </c>
    </row>
    <row r="27">
      <c r="A27" s="6" t="s">
        <v>186</v>
      </c>
      <c r="B27" s="2">
        <v>7.0</v>
      </c>
      <c r="C27" s="18">
        <f t="shared" si="1"/>
        <v>0.5</v>
      </c>
      <c r="D27" s="18">
        <f t="shared" si="2"/>
        <v>5</v>
      </c>
      <c r="E27" s="18">
        <f t="shared" si="3"/>
        <v>40</v>
      </c>
      <c r="F27" s="18">
        <f t="shared" si="4"/>
        <v>2.5</v>
      </c>
      <c r="G27" s="2">
        <v>5.0</v>
      </c>
      <c r="H27" s="18">
        <f t="shared" si="11"/>
        <v>0.475</v>
      </c>
      <c r="I27" s="18">
        <f t="shared" si="13"/>
        <v>0</v>
      </c>
      <c r="J27" s="18">
        <f t="shared" si="9"/>
        <v>0.95</v>
      </c>
      <c r="K27" s="18">
        <f t="shared" si="7"/>
        <v>0</v>
      </c>
      <c r="L27" s="18">
        <f t="shared" si="12"/>
        <v>0.95</v>
      </c>
    </row>
    <row r="28">
      <c r="A28" s="6" t="s">
        <v>190</v>
      </c>
      <c r="B28" s="18">
        <v>0.0</v>
      </c>
      <c r="C28" s="18">
        <f t="shared" si="1"/>
        <v>1</v>
      </c>
      <c r="D28" s="18">
        <f t="shared" si="2"/>
        <v>5</v>
      </c>
      <c r="E28" s="18">
        <f t="shared" si="3"/>
        <v>40</v>
      </c>
      <c r="F28" s="18">
        <f t="shared" si="4"/>
        <v>40</v>
      </c>
      <c r="G28" s="18">
        <f t="shared" ref="G28:G35" si="14">$G$2</f>
        <v>4</v>
      </c>
      <c r="H28" s="18">
        <f t="shared" si="11"/>
        <v>0.55</v>
      </c>
      <c r="I28" s="18">
        <f t="shared" si="13"/>
        <v>0</v>
      </c>
      <c r="J28" s="18">
        <f t="shared" si="9"/>
        <v>1</v>
      </c>
      <c r="K28" s="18">
        <f t="shared" si="7"/>
        <v>0</v>
      </c>
      <c r="L28" s="18">
        <f t="shared" si="12"/>
        <v>1</v>
      </c>
    </row>
    <row r="29">
      <c r="A29" s="6" t="s">
        <v>194</v>
      </c>
      <c r="B29" s="18">
        <v>0.0</v>
      </c>
      <c r="C29" s="18">
        <f t="shared" si="1"/>
        <v>1</v>
      </c>
      <c r="D29" s="18">
        <f t="shared" si="2"/>
        <v>5</v>
      </c>
      <c r="E29" s="18">
        <f t="shared" si="3"/>
        <v>40</v>
      </c>
      <c r="F29" s="18">
        <f t="shared" si="4"/>
        <v>40</v>
      </c>
      <c r="G29" s="18">
        <f t="shared" si="14"/>
        <v>4</v>
      </c>
      <c r="H29" s="18">
        <f t="shared" si="11"/>
        <v>0.55</v>
      </c>
      <c r="I29" s="18">
        <f t="shared" si="13"/>
        <v>0</v>
      </c>
      <c r="J29" s="18">
        <f t="shared" si="9"/>
        <v>1</v>
      </c>
      <c r="K29" s="18">
        <f t="shared" si="7"/>
        <v>0</v>
      </c>
      <c r="L29" s="18">
        <f t="shared" si="12"/>
        <v>1</v>
      </c>
    </row>
    <row r="30">
      <c r="A30" s="6" t="s">
        <v>198</v>
      </c>
      <c r="B30" s="2">
        <v>0.0</v>
      </c>
      <c r="C30" s="18">
        <f t="shared" si="1"/>
        <v>1</v>
      </c>
      <c r="D30" s="18">
        <f t="shared" si="2"/>
        <v>5</v>
      </c>
      <c r="E30" s="18">
        <f t="shared" si="3"/>
        <v>40</v>
      </c>
      <c r="F30" s="18">
        <f t="shared" si="4"/>
        <v>40</v>
      </c>
      <c r="G30" s="18">
        <f t="shared" si="14"/>
        <v>4</v>
      </c>
      <c r="H30" s="18">
        <f t="shared" si="11"/>
        <v>0.55</v>
      </c>
      <c r="I30" s="18">
        <f t="shared" si="13"/>
        <v>0</v>
      </c>
      <c r="J30" s="18">
        <f t="shared" si="9"/>
        <v>1</v>
      </c>
      <c r="K30" s="18">
        <f t="shared" si="7"/>
        <v>0</v>
      </c>
      <c r="L30" s="18">
        <f t="shared" si="12"/>
        <v>1</v>
      </c>
    </row>
    <row r="31">
      <c r="A31" s="6" t="s">
        <v>201</v>
      </c>
      <c r="B31" s="2">
        <v>0.0</v>
      </c>
      <c r="C31" s="18">
        <f t="shared" si="1"/>
        <v>1</v>
      </c>
      <c r="D31" s="18">
        <f t="shared" si="2"/>
        <v>5</v>
      </c>
      <c r="E31" s="18">
        <f t="shared" si="3"/>
        <v>40</v>
      </c>
      <c r="F31" s="18">
        <f t="shared" si="4"/>
        <v>40</v>
      </c>
      <c r="G31" s="18">
        <f t="shared" si="14"/>
        <v>4</v>
      </c>
      <c r="H31" s="18">
        <f t="shared" si="11"/>
        <v>0.55</v>
      </c>
      <c r="I31" s="18">
        <f t="shared" si="13"/>
        <v>0</v>
      </c>
      <c r="J31" s="18">
        <f t="shared" si="9"/>
        <v>1</v>
      </c>
      <c r="K31" s="18">
        <f t="shared" si="7"/>
        <v>0</v>
      </c>
      <c r="L31" s="18">
        <f t="shared" si="12"/>
        <v>1</v>
      </c>
    </row>
    <row r="32">
      <c r="A32" s="4" t="s">
        <v>205</v>
      </c>
      <c r="B32" s="2">
        <v>0.0</v>
      </c>
      <c r="C32" s="18">
        <f t="shared" si="1"/>
        <v>1</v>
      </c>
      <c r="D32" s="18">
        <f t="shared" si="2"/>
        <v>5</v>
      </c>
      <c r="E32" s="18">
        <f t="shared" si="3"/>
        <v>40</v>
      </c>
      <c r="F32" s="18">
        <f t="shared" si="4"/>
        <v>40</v>
      </c>
      <c r="G32" s="18">
        <f t="shared" si="14"/>
        <v>4</v>
      </c>
      <c r="H32" s="18">
        <f t="shared" si="11"/>
        <v>0.55</v>
      </c>
      <c r="I32" s="18">
        <f t="shared" si="13"/>
        <v>0</v>
      </c>
      <c r="J32" s="18">
        <f t="shared" si="9"/>
        <v>1</v>
      </c>
      <c r="K32" s="18">
        <f t="shared" si="7"/>
        <v>0</v>
      </c>
      <c r="L32" s="18">
        <f t="shared" si="12"/>
        <v>1</v>
      </c>
    </row>
    <row r="33">
      <c r="A33" s="4" t="s">
        <v>208</v>
      </c>
      <c r="B33" s="2">
        <v>3.0</v>
      </c>
      <c r="C33" s="18">
        <f t="shared" si="1"/>
        <v>0.7</v>
      </c>
      <c r="D33" s="18">
        <f t="shared" si="2"/>
        <v>5</v>
      </c>
      <c r="E33" s="18">
        <f t="shared" si="3"/>
        <v>40</v>
      </c>
      <c r="F33" s="18">
        <f t="shared" si="4"/>
        <v>3.5</v>
      </c>
      <c r="G33" s="18">
        <f t="shared" si="14"/>
        <v>4</v>
      </c>
      <c r="H33" s="18">
        <f t="shared" si="11"/>
        <v>0.55</v>
      </c>
      <c r="I33" s="18">
        <f t="shared" si="13"/>
        <v>0</v>
      </c>
      <c r="J33" s="18">
        <f t="shared" si="9"/>
        <v>1</v>
      </c>
      <c r="K33" s="18">
        <f t="shared" si="7"/>
        <v>0</v>
      </c>
      <c r="L33" s="18">
        <f t="shared" si="12"/>
        <v>1</v>
      </c>
    </row>
    <row r="34">
      <c r="A34" s="4" t="s">
        <v>212</v>
      </c>
      <c r="B34" s="18">
        <v>0.0</v>
      </c>
      <c r="C34" s="18">
        <f t="shared" si="1"/>
        <v>1</v>
      </c>
      <c r="D34" s="18">
        <f t="shared" si="2"/>
        <v>5</v>
      </c>
      <c r="E34" s="18">
        <f t="shared" si="3"/>
        <v>40</v>
      </c>
      <c r="F34" s="18">
        <f t="shared" si="4"/>
        <v>40</v>
      </c>
      <c r="G34" s="18">
        <f t="shared" si="14"/>
        <v>4</v>
      </c>
      <c r="H34" s="18">
        <f t="shared" si="11"/>
        <v>0.55</v>
      </c>
      <c r="I34" s="18">
        <f t="shared" si="13"/>
        <v>0</v>
      </c>
      <c r="J34" s="18">
        <f t="shared" si="9"/>
        <v>1</v>
      </c>
      <c r="K34" s="18">
        <f t="shared" si="7"/>
        <v>0</v>
      </c>
      <c r="L34" s="18">
        <f t="shared" si="12"/>
        <v>1</v>
      </c>
    </row>
    <row r="35">
      <c r="A35" s="6" t="s">
        <v>217</v>
      </c>
      <c r="B35" s="18">
        <v>0.0</v>
      </c>
      <c r="C35" s="18">
        <f t="shared" si="1"/>
        <v>1</v>
      </c>
      <c r="D35" s="18">
        <f t="shared" si="2"/>
        <v>5</v>
      </c>
      <c r="E35" s="18">
        <f t="shared" si="3"/>
        <v>40</v>
      </c>
      <c r="F35" s="18">
        <f t="shared" si="4"/>
        <v>40</v>
      </c>
      <c r="G35" s="18">
        <f t="shared" si="14"/>
        <v>4</v>
      </c>
      <c r="H35" s="18">
        <f t="shared" si="11"/>
        <v>0.55</v>
      </c>
      <c r="I35" s="18">
        <f t="shared" si="13"/>
        <v>0</v>
      </c>
      <c r="J35" s="18">
        <f t="shared" si="9"/>
        <v>1</v>
      </c>
      <c r="K35" s="18">
        <f t="shared" si="7"/>
        <v>0</v>
      </c>
      <c r="L35" s="18">
        <f t="shared" si="12"/>
        <v>1</v>
      </c>
    </row>
    <row r="39">
      <c r="A39" s="7" t="s">
        <v>221</v>
      </c>
      <c r="B39" s="7" t="s">
        <v>222</v>
      </c>
      <c r="C39" s="7" t="s">
        <v>223</v>
      </c>
      <c r="D39" s="7" t="s">
        <v>224</v>
      </c>
    </row>
    <row r="40">
      <c r="A40" s="7" t="s">
        <v>121</v>
      </c>
      <c r="B40" s="7">
        <v>1.2</v>
      </c>
      <c r="C40" s="7">
        <v>20000.0</v>
      </c>
      <c r="D40" s="22">
        <f t="shared" ref="D40:D41" si="15">B40/C40</f>
        <v>0.00006</v>
      </c>
    </row>
    <row r="41">
      <c r="A41" s="7" t="s">
        <v>228</v>
      </c>
      <c r="B41" s="7">
        <v>3.0</v>
      </c>
      <c r="C41" s="7">
        <v>80000.0</v>
      </c>
      <c r="D41" s="22">
        <f t="shared" si="15"/>
        <v>0.0000375</v>
      </c>
    </row>
    <row r="42">
      <c r="A42" s="3" t="s">
        <v>229</v>
      </c>
      <c r="D42" s="34">
        <f>MIN(D40:D41)</f>
        <v>0.0000375</v>
      </c>
    </row>
    <row r="44">
      <c r="A44" s="7" t="s">
        <v>233</v>
      </c>
      <c r="B44" s="7" t="s">
        <v>234</v>
      </c>
      <c r="C44" s="7" t="s">
        <v>235</v>
      </c>
      <c r="D44" s="7" t="s">
        <v>236</v>
      </c>
      <c r="E44" s="7" t="s">
        <v>237</v>
      </c>
      <c r="F44" s="7" t="s">
        <v>238</v>
      </c>
    </row>
    <row r="45">
      <c r="A45" s="7" t="s">
        <v>239</v>
      </c>
      <c r="B45" s="7">
        <v>3000.0</v>
      </c>
      <c r="C45" s="7">
        <v>0.0</v>
      </c>
      <c r="D45" s="22">
        <f>$D$42*C45</f>
        <v>0</v>
      </c>
      <c r="E45" s="22">
        <f>D45/B45</f>
        <v>0</v>
      </c>
      <c r="F45" s="7">
        <v>1.12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3" max="4" width="17.38"/>
    <col customWidth="1" min="9" max="9" width="14.25"/>
    <col customWidth="1" min="11" max="11" width="17.38"/>
  </cols>
  <sheetData>
    <row r="1">
      <c r="A1" s="3" t="s">
        <v>1</v>
      </c>
      <c r="B1" s="3" t="s">
        <v>4</v>
      </c>
      <c r="C1" s="8">
        <f>(1+G1)*(1/(1-$E$1))</f>
        <v>1.875</v>
      </c>
      <c r="D1" s="3" t="s">
        <v>14</v>
      </c>
      <c r="E1" s="10">
        <v>0.2</v>
      </c>
      <c r="F1" s="3" t="s">
        <v>16</v>
      </c>
      <c r="G1" s="12">
        <v>0.5</v>
      </c>
      <c r="H1" s="3"/>
      <c r="I1" s="3" t="s">
        <v>22</v>
      </c>
      <c r="J1" s="3" t="s">
        <v>16</v>
      </c>
      <c r="K1" s="8">
        <v>0.8</v>
      </c>
      <c r="L1" s="3"/>
      <c r="M1" s="3"/>
      <c r="N1" s="3"/>
    </row>
    <row r="2">
      <c r="A2" s="17" t="s">
        <v>24</v>
      </c>
      <c r="B2" s="17" t="s">
        <v>26</v>
      </c>
      <c r="C2" s="17" t="s">
        <v>27</v>
      </c>
      <c r="D2" s="17" t="s">
        <v>28</v>
      </c>
      <c r="E2" s="17" t="s">
        <v>17</v>
      </c>
      <c r="F2" s="17" t="s">
        <v>18</v>
      </c>
      <c r="G2" s="17" t="s">
        <v>29</v>
      </c>
      <c r="H2" s="3" t="s">
        <v>30</v>
      </c>
      <c r="I2" s="17" t="s">
        <v>24</v>
      </c>
      <c r="J2" s="17" t="s">
        <v>26</v>
      </c>
      <c r="K2" s="17" t="s">
        <v>28</v>
      </c>
      <c r="L2" s="17" t="s">
        <v>17</v>
      </c>
      <c r="M2" s="17" t="s">
        <v>18</v>
      </c>
      <c r="N2" s="17" t="s">
        <v>29</v>
      </c>
    </row>
    <row r="3">
      <c r="A3" s="7" t="s">
        <v>32</v>
      </c>
      <c r="B3" s="21">
        <f t="shared" ref="B3:B85" si="1">IF(ISBLANK(A3),"", IFERROR(IF(E3, F3, G3) * IF(ISBLANK(D3), C$1,D3) + C3, ""))</f>
        <v>129.375</v>
      </c>
      <c r="C3" s="8"/>
      <c r="D3" s="8"/>
      <c r="E3" s="8" t="b">
        <v>0</v>
      </c>
      <c r="F3" s="8"/>
      <c r="G3" s="21">
        <f>IFERROR(VLOOKUP(A3, 'Price Sheet'!$A$2:$B1010, 2, false), "")</f>
        <v>69</v>
      </c>
      <c r="H3" s="7"/>
      <c r="I3" s="7" t="s">
        <v>23</v>
      </c>
      <c r="J3" s="21">
        <f t="shared" ref="J3:J21" si="2">IF(ISBLANK(I3),"", IFERROR(IF(L3, M3, N3) * IF(ISBLANK(K3), K$1,K3), ""))</f>
        <v>0.4</v>
      </c>
      <c r="K3" s="8"/>
      <c r="L3" s="8" t="b">
        <v>0</v>
      </c>
      <c r="M3" s="8"/>
      <c r="N3" s="21">
        <f>IFERROR(VLOOKUP(I3, 'Price Sheet'!$A$2:$B1010, 2, false), "")</f>
        <v>0.5</v>
      </c>
    </row>
    <row r="4">
      <c r="A4" s="7" t="s">
        <v>80</v>
      </c>
      <c r="B4" s="21">
        <f t="shared" si="1"/>
        <v>238.125</v>
      </c>
      <c r="C4" s="8"/>
      <c r="D4" s="8"/>
      <c r="E4" s="29" t="b">
        <v>0</v>
      </c>
      <c r="F4" s="29"/>
      <c r="G4" s="21">
        <f>IFERROR(VLOOKUP(A4, 'Price Sheet'!$A$2:$B1010, 2, false), "")</f>
        <v>127</v>
      </c>
      <c r="H4" s="7"/>
      <c r="J4" s="21" t="str">
        <f t="shared" si="2"/>
        <v/>
      </c>
      <c r="K4" s="8"/>
      <c r="L4" s="29" t="b">
        <v>0</v>
      </c>
      <c r="M4" s="29"/>
      <c r="N4" s="21" t="str">
        <f>IFERROR(VLOOKUP(I4, 'Price Sheet'!$A$2:$B1010, 2, false), "")</f>
        <v/>
      </c>
    </row>
    <row r="5">
      <c r="A5" s="7" t="s">
        <v>85</v>
      </c>
      <c r="B5" s="21">
        <f t="shared" si="1"/>
        <v>871.875</v>
      </c>
      <c r="C5" s="8"/>
      <c r="D5" s="8"/>
      <c r="E5" s="8" t="b">
        <v>0</v>
      </c>
      <c r="F5" s="29"/>
      <c r="G5" s="21">
        <f>IFERROR(VLOOKUP(A5, 'Price Sheet'!$A$2:$B1010, 2, false), "")</f>
        <v>465</v>
      </c>
      <c r="J5" s="21" t="str">
        <f t="shared" si="2"/>
        <v/>
      </c>
      <c r="K5" s="8"/>
      <c r="L5" s="8" t="b">
        <v>0</v>
      </c>
      <c r="M5" s="29"/>
      <c r="N5" s="21" t="str">
        <f>IFERROR(VLOOKUP(I5, 'Price Sheet'!$A$2:$B1010, 2, false), "")</f>
        <v/>
      </c>
    </row>
    <row r="6">
      <c r="A6" s="7" t="s">
        <v>89</v>
      </c>
      <c r="B6" s="21">
        <f t="shared" si="1"/>
        <v>1229.15625</v>
      </c>
      <c r="C6" s="8"/>
      <c r="D6" s="8"/>
      <c r="E6" s="8" t="b">
        <v>0</v>
      </c>
      <c r="F6" s="29"/>
      <c r="G6" s="21">
        <f>IFERROR(VLOOKUP(A6, 'Price Sheet'!$A$2:$B1010, 2, false), "")</f>
        <v>655.55</v>
      </c>
      <c r="J6" s="21" t="str">
        <f t="shared" si="2"/>
        <v/>
      </c>
      <c r="K6" s="29"/>
      <c r="L6" s="8" t="b">
        <v>0</v>
      </c>
      <c r="M6" s="29"/>
      <c r="N6" s="21" t="str">
        <f>IFERROR(VLOOKUP(I6, 'Price Sheet'!$A$2:$B1010, 2, false), "")</f>
        <v/>
      </c>
    </row>
    <row r="7">
      <c r="B7" s="21" t="str">
        <f t="shared" si="1"/>
        <v/>
      </c>
      <c r="C7" s="8"/>
      <c r="D7" s="8"/>
      <c r="E7" s="29" t="b">
        <v>0</v>
      </c>
      <c r="F7" s="29"/>
      <c r="G7" s="21" t="str">
        <f>IFERROR(VLOOKUP(A7, 'Price Sheet'!$A$2:$B1010, 2, false), "")</f>
        <v/>
      </c>
      <c r="J7" s="21" t="str">
        <f t="shared" si="2"/>
        <v/>
      </c>
      <c r="K7" s="8"/>
      <c r="L7" s="29" t="b">
        <v>0</v>
      </c>
      <c r="M7" s="29"/>
      <c r="N7" s="21" t="str">
        <f>IFERROR(VLOOKUP(I7, 'Price Sheet'!$A$2:$B1010, 2, false), "")</f>
        <v/>
      </c>
    </row>
    <row r="8">
      <c r="A8" s="7" t="s">
        <v>98</v>
      </c>
      <c r="B8" s="21">
        <f t="shared" si="1"/>
        <v>0.04921875</v>
      </c>
      <c r="C8" s="8"/>
      <c r="D8" s="8"/>
      <c r="E8" s="29" t="b">
        <v>0</v>
      </c>
      <c r="F8" s="29"/>
      <c r="G8" s="21">
        <f>IFERROR(VLOOKUP(A8, 'Price Sheet'!$A$2:$B1010, 2, false), "")</f>
        <v>0.02625</v>
      </c>
      <c r="J8" s="21" t="str">
        <f t="shared" si="2"/>
        <v/>
      </c>
      <c r="K8" s="29"/>
      <c r="L8" s="29" t="b">
        <v>0</v>
      </c>
      <c r="M8" s="29"/>
      <c r="N8" s="21" t="str">
        <f>IFERROR(VLOOKUP(I8, 'Price Sheet'!$A$2:$B1010, 2, false), "")</f>
        <v/>
      </c>
    </row>
    <row r="9">
      <c r="A9" s="7" t="s">
        <v>104</v>
      </c>
      <c r="B9" s="21">
        <f t="shared" si="1"/>
        <v>0.46875</v>
      </c>
      <c r="C9" s="29"/>
      <c r="D9" s="8"/>
      <c r="E9" s="8" t="b">
        <v>0</v>
      </c>
      <c r="F9" s="29"/>
      <c r="G9" s="21">
        <f>IFERROR(VLOOKUP(A9, 'Price Sheet'!$A$2:$B1010, 2, false), "")</f>
        <v>0.25</v>
      </c>
      <c r="J9" s="21" t="str">
        <f t="shared" si="2"/>
        <v/>
      </c>
      <c r="K9" s="29"/>
      <c r="L9" s="29" t="b">
        <v>0</v>
      </c>
      <c r="M9" s="29"/>
      <c r="N9" s="21" t="str">
        <f>IFERROR(VLOOKUP(I9, 'Price Sheet'!$A$2:$B1010, 2, false), "")</f>
        <v/>
      </c>
    </row>
    <row r="10">
      <c r="A10" s="7" t="s">
        <v>109</v>
      </c>
      <c r="B10" s="21">
        <f t="shared" si="1"/>
        <v>0.38046875</v>
      </c>
      <c r="C10" s="8"/>
      <c r="D10" s="8"/>
      <c r="E10" s="8" t="b">
        <v>0</v>
      </c>
      <c r="F10" s="29"/>
      <c r="G10" s="21">
        <f>IFERROR(VLOOKUP(A10, 'Price Sheet'!$A$2:$B1010, 2, false), "")</f>
        <v>0.2029166667</v>
      </c>
      <c r="J10" s="21" t="str">
        <f t="shared" si="2"/>
        <v/>
      </c>
      <c r="K10" s="29"/>
      <c r="L10" s="29" t="b">
        <v>0</v>
      </c>
      <c r="M10" s="29"/>
      <c r="N10" s="21" t="str">
        <f>IFERROR(VLOOKUP(I10, 'Price Sheet'!$A$2:$B1010, 2, false), "")</f>
        <v/>
      </c>
    </row>
    <row r="11">
      <c r="A11" s="7" t="s">
        <v>112</v>
      </c>
      <c r="B11" s="21">
        <f t="shared" si="1"/>
        <v>0.1863333333</v>
      </c>
      <c r="C11" s="8"/>
      <c r="D11" s="8"/>
      <c r="E11" s="8" t="b">
        <v>0</v>
      </c>
      <c r="F11" s="29"/>
      <c r="G11" s="21">
        <f>IFERROR(VLOOKUP(A11, 'Price Sheet'!$A$2:$B1010, 2, false), "")</f>
        <v>0.09937777778</v>
      </c>
      <c r="J11" s="21" t="str">
        <f t="shared" si="2"/>
        <v/>
      </c>
      <c r="K11" s="29"/>
      <c r="L11" s="29" t="b">
        <v>0</v>
      </c>
      <c r="M11" s="29"/>
      <c r="N11" s="21" t="str">
        <f>IFERROR(VLOOKUP(I11, 'Price Sheet'!$A$2:$B1010, 2, false), "")</f>
        <v/>
      </c>
    </row>
    <row r="12">
      <c r="A12" s="7" t="s">
        <v>116</v>
      </c>
      <c r="B12" s="21">
        <f t="shared" si="1"/>
        <v>0.2923828125</v>
      </c>
      <c r="C12" s="8"/>
      <c r="D12" s="8"/>
      <c r="E12" s="8" t="b">
        <v>0</v>
      </c>
      <c r="F12" s="29"/>
      <c r="G12" s="21">
        <f>IFERROR(VLOOKUP(A12, 'Price Sheet'!$A$2:$B1010, 2, false), "")</f>
        <v>0.1559375</v>
      </c>
      <c r="J12" s="21" t="str">
        <f t="shared" si="2"/>
        <v/>
      </c>
      <c r="K12" s="29"/>
      <c r="L12" s="29" t="b">
        <v>0</v>
      </c>
      <c r="M12" s="29"/>
      <c r="N12" s="21" t="str">
        <f>IFERROR(VLOOKUP(I12, 'Price Sheet'!$A$2:$B1010, 2, false), "")</f>
        <v/>
      </c>
    </row>
    <row r="13">
      <c r="A13" s="7" t="s">
        <v>120</v>
      </c>
      <c r="B13" s="21">
        <f t="shared" si="1"/>
        <v>0.200625</v>
      </c>
      <c r="C13" s="8"/>
      <c r="D13" s="8"/>
      <c r="E13" s="8" t="b">
        <v>0</v>
      </c>
      <c r="F13" s="29"/>
      <c r="G13" s="21">
        <f>IFERROR(VLOOKUP(A13, 'Price Sheet'!$A$2:$B1010, 2, false), "")</f>
        <v>0.107</v>
      </c>
      <c r="J13" s="21" t="str">
        <f t="shared" si="2"/>
        <v/>
      </c>
      <c r="K13" s="29"/>
      <c r="L13" s="29" t="b">
        <v>0</v>
      </c>
      <c r="M13" s="29"/>
      <c r="N13" s="21" t="str">
        <f>IFERROR(VLOOKUP(I13, 'Price Sheet'!$A$2:$B1010, 2, false), "")</f>
        <v/>
      </c>
    </row>
    <row r="14">
      <c r="A14" s="7" t="s">
        <v>125</v>
      </c>
      <c r="B14" s="21">
        <f t="shared" si="1"/>
        <v>0.200625</v>
      </c>
      <c r="C14" s="8"/>
      <c r="D14" s="8"/>
      <c r="E14" s="8" t="b">
        <v>0</v>
      </c>
      <c r="F14" s="29"/>
      <c r="G14" s="21">
        <f>IFERROR(VLOOKUP(A14, 'Price Sheet'!$A$2:$B1010, 2, false), "")</f>
        <v>0.107</v>
      </c>
      <c r="J14" s="21" t="str">
        <f t="shared" si="2"/>
        <v/>
      </c>
      <c r="K14" s="29"/>
      <c r="L14" s="29" t="b">
        <v>0</v>
      </c>
      <c r="M14" s="29"/>
      <c r="N14" s="21" t="str">
        <f>IFERROR(VLOOKUP(I14, 'Price Sheet'!$A$2:$B1010, 2, false), "")</f>
        <v/>
      </c>
    </row>
    <row r="15">
      <c r="A15" s="7" t="s">
        <v>131</v>
      </c>
      <c r="B15" s="21">
        <f t="shared" si="1"/>
        <v>0.0403125</v>
      </c>
      <c r="C15" s="8"/>
      <c r="D15" s="8"/>
      <c r="E15" s="8" t="b">
        <v>0</v>
      </c>
      <c r="F15" s="29"/>
      <c r="G15" s="21">
        <f>IFERROR(VLOOKUP(A15, 'Price Sheet'!$A$2:$B1010, 2, false), "")</f>
        <v>0.0215</v>
      </c>
      <c r="J15" s="21" t="str">
        <f t="shared" si="2"/>
        <v/>
      </c>
      <c r="K15" s="29"/>
      <c r="L15" s="29" t="b">
        <v>0</v>
      </c>
      <c r="M15" s="29"/>
      <c r="N15" s="21" t="str">
        <f>IFERROR(VLOOKUP(I15, 'Price Sheet'!$A$2:$B1010, 2, false), "")</f>
        <v/>
      </c>
    </row>
    <row r="16">
      <c r="A16" s="7" t="s">
        <v>137</v>
      </c>
      <c r="B16" s="21">
        <f t="shared" si="1"/>
        <v>0.075</v>
      </c>
      <c r="C16" s="8"/>
      <c r="D16" s="8"/>
      <c r="E16" s="29" t="b">
        <v>0</v>
      </c>
      <c r="F16" s="29"/>
      <c r="G16" s="21">
        <f>IFERROR(VLOOKUP(A16, 'Price Sheet'!$A$2:$B1010, 2, false), "")</f>
        <v>0.04</v>
      </c>
      <c r="J16" s="21" t="str">
        <f t="shared" si="2"/>
        <v/>
      </c>
      <c r="K16" s="8"/>
      <c r="L16" s="8" t="b">
        <v>0</v>
      </c>
      <c r="M16" s="29"/>
      <c r="N16" s="21" t="str">
        <f>IFERROR(VLOOKUP(I16, 'Price Sheet'!$A$2:$B1010, 2, false), "")</f>
        <v/>
      </c>
    </row>
    <row r="17">
      <c r="B17" s="21" t="str">
        <f t="shared" si="1"/>
        <v/>
      </c>
      <c r="C17" s="8"/>
      <c r="D17" s="8"/>
      <c r="E17" s="8" t="b">
        <v>0</v>
      </c>
      <c r="F17" s="29"/>
      <c r="G17" s="21" t="str">
        <f>IFERROR(VLOOKUP(A17, 'Price Sheet'!$A$2:$B1010, 2, false), "")</f>
        <v/>
      </c>
      <c r="J17" s="21" t="str">
        <f t="shared" si="2"/>
        <v/>
      </c>
      <c r="K17" s="29"/>
      <c r="L17" s="29" t="b">
        <v>0</v>
      </c>
      <c r="M17" s="29"/>
      <c r="N17" s="21" t="str">
        <f>IFERROR(VLOOKUP(I17, 'Price Sheet'!$A$2:$B1010, 2, false), "")</f>
        <v/>
      </c>
    </row>
    <row r="18">
      <c r="B18" s="21" t="str">
        <f t="shared" si="1"/>
        <v/>
      </c>
      <c r="C18" s="8"/>
      <c r="D18" s="8"/>
      <c r="E18" s="8" t="b">
        <v>0</v>
      </c>
      <c r="F18" s="29"/>
      <c r="G18" s="21" t="str">
        <f>IFERROR(VLOOKUP(A18, 'Price Sheet'!$A$2:$B1010, 2, false), "")</f>
        <v/>
      </c>
      <c r="J18" s="21" t="str">
        <f t="shared" si="2"/>
        <v/>
      </c>
      <c r="K18" s="29"/>
      <c r="L18" s="29" t="b">
        <v>0</v>
      </c>
      <c r="M18" s="29"/>
      <c r="N18" s="21" t="str">
        <f>IFERROR(VLOOKUP(I18, 'Price Sheet'!$A$2:$B1010, 2, false), "")</f>
        <v/>
      </c>
    </row>
    <row r="19">
      <c r="A19" s="7" t="s">
        <v>150</v>
      </c>
      <c r="B19" s="21">
        <f t="shared" si="1"/>
        <v>2.2546875</v>
      </c>
      <c r="C19" s="8"/>
      <c r="D19" s="8"/>
      <c r="E19" s="8" t="b">
        <v>0</v>
      </c>
      <c r="F19" s="29"/>
      <c r="G19" s="21">
        <f>IFERROR(VLOOKUP(A19, 'Price Sheet'!$A$2:$B1010, 2, false), "")</f>
        <v>1.2025</v>
      </c>
      <c r="J19" s="21" t="str">
        <f t="shared" si="2"/>
        <v/>
      </c>
      <c r="K19" s="29"/>
      <c r="L19" s="29" t="b">
        <v>0</v>
      </c>
      <c r="M19" s="29"/>
      <c r="N19" s="21" t="str">
        <f>IFERROR(VLOOKUP(I19, 'Price Sheet'!$A$2:$B1010, 2, false), "")</f>
        <v/>
      </c>
    </row>
    <row r="20">
      <c r="A20" s="7" t="s">
        <v>158</v>
      </c>
      <c r="B20" s="21">
        <f t="shared" si="1"/>
        <v>0.992</v>
      </c>
      <c r="C20" s="8"/>
      <c r="D20" s="8">
        <v>1.6</v>
      </c>
      <c r="E20" s="8" t="b">
        <v>0</v>
      </c>
      <c r="F20" s="29"/>
      <c r="G20" s="21">
        <f>IFERROR(VLOOKUP(A20, 'Price Sheet'!$A$2:$B1010, 2, false), "")</f>
        <v>0.62</v>
      </c>
      <c r="J20" s="21" t="str">
        <f t="shared" si="2"/>
        <v/>
      </c>
      <c r="K20" s="29"/>
      <c r="L20" s="29" t="b">
        <v>0</v>
      </c>
      <c r="M20" s="29"/>
      <c r="N20" s="21" t="str">
        <f>IFERROR(VLOOKUP(I20, 'Price Sheet'!$A$2:$B1010, 2, false), "")</f>
        <v/>
      </c>
    </row>
    <row r="21">
      <c r="A21" s="7" t="s">
        <v>165</v>
      </c>
      <c r="B21" s="21">
        <f t="shared" si="1"/>
        <v>0.8953125</v>
      </c>
      <c r="C21" s="8"/>
      <c r="D21" s="8"/>
      <c r="E21" s="8" t="b">
        <v>0</v>
      </c>
      <c r="F21" s="29"/>
      <c r="G21" s="21">
        <f>IFERROR(VLOOKUP(A21, 'Price Sheet'!$A$2:$B1010, 2, false), "")</f>
        <v>0.4775</v>
      </c>
      <c r="J21" s="21" t="str">
        <f t="shared" si="2"/>
        <v/>
      </c>
      <c r="K21" s="29"/>
      <c r="L21" s="29" t="b">
        <v>0</v>
      </c>
      <c r="M21" s="29"/>
      <c r="N21" s="21" t="str">
        <f>IFERROR(VLOOKUP(I21, 'Price Sheet'!$A$2:$B1010, 2, false), "")</f>
        <v/>
      </c>
    </row>
    <row r="22">
      <c r="A22" s="7" t="s">
        <v>172</v>
      </c>
      <c r="B22" s="21">
        <f t="shared" si="1"/>
        <v>0.3609375</v>
      </c>
      <c r="C22" s="8"/>
      <c r="D22" s="8"/>
      <c r="E22" s="29" t="b">
        <v>0</v>
      </c>
      <c r="F22" s="29"/>
      <c r="G22" s="21">
        <f>IFERROR(VLOOKUP(A22, 'Price Sheet'!$A$2:$B1010, 2, false), "")</f>
        <v>0.1925</v>
      </c>
      <c r="J22" s="21"/>
      <c r="K22" s="29"/>
      <c r="L22" s="29" t="b">
        <v>0</v>
      </c>
      <c r="M22" s="29"/>
      <c r="N22" s="21"/>
    </row>
    <row r="23">
      <c r="A23" s="7" t="s">
        <v>176</v>
      </c>
      <c r="B23" s="21">
        <f t="shared" si="1"/>
        <v>1.7203125</v>
      </c>
      <c r="C23" s="8"/>
      <c r="D23" s="8"/>
      <c r="E23" s="8" t="b">
        <v>0</v>
      </c>
      <c r="F23" s="29"/>
      <c r="G23" s="21">
        <f>IFERROR(VLOOKUP(A23, 'Price Sheet'!$A$2:$B1010, 2, false), "")</f>
        <v>0.9175</v>
      </c>
      <c r="J23" s="21"/>
      <c r="K23" s="29"/>
      <c r="L23" s="29" t="b">
        <v>0</v>
      </c>
      <c r="M23" s="29"/>
      <c r="N23" s="21"/>
    </row>
    <row r="24">
      <c r="A24" s="7" t="s">
        <v>180</v>
      </c>
      <c r="B24" s="21">
        <f t="shared" si="1"/>
        <v>1.1390625</v>
      </c>
      <c r="C24" s="8"/>
      <c r="D24" s="8"/>
      <c r="E24" s="29" t="b">
        <v>0</v>
      </c>
      <c r="F24" s="29"/>
      <c r="G24" s="21">
        <f>IFERROR(VLOOKUP(A24, 'Price Sheet'!$A$2:$B1010, 2, false), "")</f>
        <v>0.6075</v>
      </c>
      <c r="J24" s="21"/>
      <c r="K24" s="29"/>
      <c r="L24" s="29" t="b">
        <v>0</v>
      </c>
      <c r="M24" s="29"/>
      <c r="N24" s="21"/>
    </row>
    <row r="25">
      <c r="A25" s="7" t="s">
        <v>185</v>
      </c>
      <c r="B25" s="21">
        <f t="shared" si="1"/>
        <v>5.480859375</v>
      </c>
      <c r="C25" s="8"/>
      <c r="D25" s="8"/>
      <c r="E25" s="8" t="b">
        <v>0</v>
      </c>
      <c r="F25" s="29"/>
      <c r="G25" s="21">
        <f>IFERROR(VLOOKUP(A25, 'Price Sheet'!$A$2:$B1010, 2, false), "")</f>
        <v>2.923125</v>
      </c>
      <c r="J25" s="21"/>
      <c r="K25" s="29"/>
      <c r="L25" s="29" t="b">
        <v>0</v>
      </c>
      <c r="M25" s="29"/>
      <c r="N25" s="21"/>
    </row>
    <row r="26">
      <c r="A26" s="7" t="s">
        <v>189</v>
      </c>
      <c r="B26" s="21">
        <f t="shared" si="1"/>
        <v>2.7421875</v>
      </c>
      <c r="C26" s="8"/>
      <c r="D26" s="8"/>
      <c r="E26" s="8" t="b">
        <v>0</v>
      </c>
      <c r="F26" s="29"/>
      <c r="G26" s="21">
        <f>IFERROR(VLOOKUP(A26, 'Price Sheet'!$A$2:$B1010, 2, false), "")</f>
        <v>1.4625</v>
      </c>
      <c r="J26" s="21"/>
      <c r="K26" s="29"/>
      <c r="L26" s="8" t="b">
        <v>1</v>
      </c>
      <c r="M26" s="29"/>
      <c r="N26" s="21"/>
    </row>
    <row r="27">
      <c r="A27" s="7" t="s">
        <v>192</v>
      </c>
      <c r="B27" s="21">
        <f t="shared" si="1"/>
        <v>1.152421875</v>
      </c>
      <c r="C27" s="8"/>
      <c r="D27" s="8"/>
      <c r="E27" s="8" t="b">
        <v>0</v>
      </c>
      <c r="F27" s="29"/>
      <c r="G27" s="21">
        <f>IFERROR(VLOOKUP(A27, 'Price Sheet'!$A$2:$B1010, 2, false), "")</f>
        <v>0.614625</v>
      </c>
      <c r="J27" s="21"/>
      <c r="K27" s="29"/>
      <c r="L27" s="29" t="b">
        <v>0</v>
      </c>
      <c r="M27" s="29"/>
      <c r="N27" s="21"/>
    </row>
    <row r="28">
      <c r="A28" s="7" t="s">
        <v>197</v>
      </c>
      <c r="B28" s="21">
        <f t="shared" si="1"/>
        <v>4.406988281</v>
      </c>
      <c r="C28" s="8"/>
      <c r="D28" s="8"/>
      <c r="E28" s="8" t="b">
        <v>0</v>
      </c>
      <c r="F28" s="29"/>
      <c r="G28" s="21">
        <f>IFERROR(VLOOKUP(A28, 'Price Sheet'!$A$2:$B1010, 2, false), "")</f>
        <v>2.35039375</v>
      </c>
      <c r="J28" s="21"/>
      <c r="K28" s="29"/>
      <c r="L28" s="29" t="b">
        <v>0</v>
      </c>
      <c r="M28" s="29"/>
      <c r="N28" s="21"/>
    </row>
    <row r="29">
      <c r="A29" s="7" t="s">
        <v>202</v>
      </c>
      <c r="B29" s="21">
        <f t="shared" si="1"/>
        <v>1.8515625</v>
      </c>
      <c r="C29" s="8"/>
      <c r="D29" s="8"/>
      <c r="E29" s="8" t="b">
        <v>0</v>
      </c>
      <c r="F29" s="29"/>
      <c r="G29" s="21">
        <f>IFERROR(VLOOKUP(A29, 'Price Sheet'!$A$2:$B1010, 2, false), "")</f>
        <v>0.9875</v>
      </c>
      <c r="J29" s="21"/>
      <c r="K29" s="29"/>
      <c r="L29" s="29" t="b">
        <v>0</v>
      </c>
      <c r="M29" s="29"/>
      <c r="N29" s="21"/>
    </row>
    <row r="30">
      <c r="B30" s="21" t="str">
        <f t="shared" si="1"/>
        <v/>
      </c>
      <c r="C30" s="8"/>
      <c r="D30" s="8"/>
      <c r="E30" s="8" t="b">
        <v>0</v>
      </c>
      <c r="F30" s="29"/>
      <c r="G30" s="21" t="str">
        <f>IFERROR(VLOOKUP(A30, 'Price Sheet'!$A$2:$B1010, 2, false), "")</f>
        <v/>
      </c>
      <c r="J30" s="21"/>
      <c r="K30" s="29"/>
      <c r="L30" s="29" t="b">
        <v>0</v>
      </c>
      <c r="M30" s="29"/>
      <c r="N30" s="21"/>
    </row>
    <row r="31">
      <c r="A31" s="7" t="s">
        <v>210</v>
      </c>
      <c r="B31" s="21">
        <f t="shared" si="1"/>
        <v>0.36924375</v>
      </c>
      <c r="C31" s="8"/>
      <c r="D31" s="8"/>
      <c r="E31" s="8" t="b">
        <v>0</v>
      </c>
      <c r="F31" s="29"/>
      <c r="G31" s="21">
        <f>IFERROR(VLOOKUP(A31, 'Price Sheet'!$A$2:$B1010, 2, false), "")</f>
        <v>0.19693</v>
      </c>
      <c r="J31" s="21"/>
      <c r="K31" s="29"/>
      <c r="L31" s="29" t="b">
        <v>0</v>
      </c>
      <c r="M31" s="29"/>
      <c r="N31" s="21"/>
    </row>
    <row r="32">
      <c r="A32" s="7" t="s">
        <v>214</v>
      </c>
      <c r="B32" s="21">
        <f t="shared" si="1"/>
        <v>4.519571777</v>
      </c>
      <c r="C32" s="8"/>
      <c r="D32" s="8"/>
      <c r="E32" s="8" t="b">
        <v>0</v>
      </c>
      <c r="F32" s="29"/>
      <c r="G32" s="21">
        <f>IFERROR(VLOOKUP(A32, 'Price Sheet'!$A$2:$B1010, 2, false), "")</f>
        <v>2.410438281</v>
      </c>
      <c r="J32" s="21" t="str">
        <f t="shared" ref="J32:J1010" si="3">IF(ISBLANK(I32),"", IFERROR(IF(L32, M32, N32) * IF(ISBLANK(K32), K$1,K32), ""))</f>
        <v/>
      </c>
      <c r="K32" s="29"/>
      <c r="L32" s="29" t="b">
        <v>0</v>
      </c>
      <c r="M32" s="29"/>
      <c r="N32" s="21" t="str">
        <f>IFERROR(VLOOKUP(I32, 'Price Sheet'!$A$2:$B1010, 2, false), "")</f>
        <v/>
      </c>
    </row>
    <row r="33">
      <c r="A33" s="7" t="s">
        <v>226</v>
      </c>
      <c r="B33" s="21">
        <f t="shared" si="1"/>
        <v>2.56753125</v>
      </c>
      <c r="C33" s="8"/>
      <c r="D33" s="8"/>
      <c r="E33" s="29" t="b">
        <v>0</v>
      </c>
      <c r="F33" s="29"/>
      <c r="G33" s="21">
        <f>IFERROR(VLOOKUP(A33, 'Price Sheet'!$A$2:$B1010, 2, false), "")</f>
        <v>1.36935</v>
      </c>
      <c r="J33" s="21" t="str">
        <f t="shared" si="3"/>
        <v/>
      </c>
      <c r="K33" s="29"/>
      <c r="L33" s="29" t="b">
        <v>0</v>
      </c>
      <c r="M33" s="29"/>
      <c r="N33" s="21" t="str">
        <f>IFERROR(VLOOKUP(I33, 'Price Sheet'!$A$2:$B1010, 2, false), "")</f>
        <v/>
      </c>
    </row>
    <row r="34">
      <c r="A34" s="7" t="s">
        <v>232</v>
      </c>
      <c r="B34" s="21">
        <f t="shared" si="1"/>
        <v>69.61178438</v>
      </c>
      <c r="C34" s="8"/>
      <c r="D34" s="8"/>
      <c r="E34" s="29" t="b">
        <v>0</v>
      </c>
      <c r="F34" s="29"/>
      <c r="G34" s="21">
        <f>IFERROR(VLOOKUP(A34, 'Price Sheet'!$A$2:$B1010, 2, false), "")</f>
        <v>37.126285</v>
      </c>
      <c r="J34" s="21" t="str">
        <f t="shared" si="3"/>
        <v/>
      </c>
      <c r="K34" s="29"/>
      <c r="L34" s="29" t="b">
        <v>0</v>
      </c>
      <c r="M34" s="29"/>
      <c r="N34" s="21" t="str">
        <f>IFERROR(VLOOKUP(I34, 'Price Sheet'!$A$2:$B1010, 2, false), "")</f>
        <v/>
      </c>
    </row>
    <row r="35">
      <c r="B35" s="21" t="str">
        <f t="shared" si="1"/>
        <v/>
      </c>
      <c r="C35" s="8"/>
      <c r="D35" s="8"/>
      <c r="E35" s="29" t="b">
        <v>0</v>
      </c>
      <c r="F35" s="29"/>
      <c r="G35" s="21" t="str">
        <f>IFERROR(VLOOKUP(A35, 'Price Sheet'!$A$2:$B1010, 2, false), "")</f>
        <v/>
      </c>
      <c r="J35" s="21" t="str">
        <f t="shared" si="3"/>
        <v/>
      </c>
      <c r="K35" s="29"/>
      <c r="L35" s="29" t="b">
        <v>0</v>
      </c>
      <c r="M35" s="29"/>
      <c r="N35" s="21" t="str">
        <f>IFERROR(VLOOKUP(I35, 'Price Sheet'!$A$2:$B1010, 2, false), "")</f>
        <v/>
      </c>
    </row>
    <row r="36">
      <c r="B36" s="21" t="str">
        <f t="shared" si="1"/>
        <v/>
      </c>
      <c r="C36" s="8"/>
      <c r="D36" s="8"/>
      <c r="E36" s="29" t="b">
        <v>0</v>
      </c>
      <c r="F36" s="29"/>
      <c r="G36" s="21" t="str">
        <f>IFERROR(VLOOKUP(A36, 'Price Sheet'!$A$2:$B1010, 2, false), "")</f>
        <v/>
      </c>
      <c r="J36" s="21" t="str">
        <f t="shared" si="3"/>
        <v/>
      </c>
      <c r="K36" s="29"/>
      <c r="L36" s="29" t="b">
        <v>0</v>
      </c>
      <c r="M36" s="29"/>
      <c r="N36" s="21" t="str">
        <f>IFERROR(VLOOKUP(I36, 'Price Sheet'!$A$2:$B1010, 2, false), "")</f>
        <v/>
      </c>
    </row>
    <row r="37">
      <c r="B37" s="21" t="str">
        <f t="shared" si="1"/>
        <v/>
      </c>
      <c r="C37" s="8"/>
      <c r="D37" s="8"/>
      <c r="E37" s="8" t="b">
        <v>0</v>
      </c>
      <c r="F37" s="29"/>
      <c r="G37" s="21" t="str">
        <f>IFERROR(VLOOKUP(A37, 'Price Sheet'!$A$2:$B1010, 2, false), "")</f>
        <v/>
      </c>
      <c r="J37" s="21" t="str">
        <f t="shared" si="3"/>
        <v/>
      </c>
      <c r="K37" s="29"/>
      <c r="L37" s="29" t="b">
        <v>0</v>
      </c>
      <c r="M37" s="29"/>
      <c r="N37" s="21" t="str">
        <f>IFERROR(VLOOKUP(I37, 'Price Sheet'!$A$2:$B1010, 2, false), "")</f>
        <v/>
      </c>
    </row>
    <row r="38">
      <c r="B38" s="21" t="str">
        <f t="shared" si="1"/>
        <v/>
      </c>
      <c r="C38" s="8"/>
      <c r="D38" s="8"/>
      <c r="E38" s="8" t="b">
        <v>0</v>
      </c>
      <c r="F38" s="29"/>
      <c r="G38" s="21" t="str">
        <f>IFERROR(VLOOKUP(A38, 'Price Sheet'!$A$2:$B1010, 2, false), "")</f>
        <v/>
      </c>
      <c r="J38" s="21" t="str">
        <f t="shared" si="3"/>
        <v/>
      </c>
      <c r="K38" s="29"/>
      <c r="L38" s="29" t="b">
        <v>0</v>
      </c>
      <c r="M38" s="29"/>
      <c r="N38" s="21" t="str">
        <f>IFERROR(VLOOKUP(I38, 'Price Sheet'!$A$2:$B1010, 2, false), "")</f>
        <v/>
      </c>
    </row>
    <row r="39">
      <c r="A39" s="25"/>
      <c r="B39" s="21" t="str">
        <f t="shared" si="1"/>
        <v/>
      </c>
      <c r="C39" s="8"/>
      <c r="D39" s="8"/>
      <c r="E39" s="8" t="b">
        <v>0</v>
      </c>
      <c r="F39" s="29"/>
      <c r="G39" s="21" t="str">
        <f>IFERROR(VLOOKUP(A39, 'Price Sheet'!$A$2:$B1010, 2, false), "")</f>
        <v/>
      </c>
      <c r="J39" s="21" t="str">
        <f t="shared" si="3"/>
        <v/>
      </c>
      <c r="K39" s="29"/>
      <c r="L39" s="29" t="b">
        <v>0</v>
      </c>
      <c r="M39" s="29"/>
      <c r="N39" s="21" t="str">
        <f>IFERROR(VLOOKUP(I39, 'Price Sheet'!$A$2:$B1010, 2, false), "")</f>
        <v/>
      </c>
    </row>
    <row r="40">
      <c r="B40" s="21" t="str">
        <f t="shared" si="1"/>
        <v/>
      </c>
      <c r="C40" s="8"/>
      <c r="D40" s="8"/>
      <c r="E40" s="29" t="b">
        <v>0</v>
      </c>
      <c r="F40" s="29"/>
      <c r="G40" s="21" t="str">
        <f>IFERROR(VLOOKUP(A40, 'Price Sheet'!$A$2:$B1010, 2, false), "")</f>
        <v/>
      </c>
      <c r="J40" s="21" t="str">
        <f t="shared" si="3"/>
        <v/>
      </c>
      <c r="K40" s="29"/>
      <c r="L40" s="29" t="b">
        <v>0</v>
      </c>
      <c r="M40" s="29"/>
      <c r="N40" s="21" t="str">
        <f>IFERROR(VLOOKUP(I40, 'Price Sheet'!$A$2:$B1010, 2, false), "")</f>
        <v/>
      </c>
    </row>
    <row r="41">
      <c r="B41" s="21" t="str">
        <f t="shared" si="1"/>
        <v/>
      </c>
      <c r="C41" s="8"/>
      <c r="D41" s="8"/>
      <c r="E41" s="29" t="b">
        <v>0</v>
      </c>
      <c r="F41" s="29"/>
      <c r="G41" s="21" t="str">
        <f>IFERROR(VLOOKUP(A41, 'Price Sheet'!$A$2:$B1010, 2, false), "")</f>
        <v/>
      </c>
      <c r="J41" s="21" t="str">
        <f t="shared" si="3"/>
        <v/>
      </c>
      <c r="K41" s="29"/>
      <c r="L41" s="29" t="b">
        <v>0</v>
      </c>
      <c r="M41" s="29"/>
      <c r="N41" s="21" t="str">
        <f>IFERROR(VLOOKUP(I41, 'Price Sheet'!$A$2:$B1010, 2, false), "")</f>
        <v/>
      </c>
    </row>
    <row r="42">
      <c r="B42" s="21" t="str">
        <f t="shared" si="1"/>
        <v/>
      </c>
      <c r="C42" s="8"/>
      <c r="D42" s="8"/>
      <c r="E42" s="29" t="b">
        <v>0</v>
      </c>
      <c r="F42" s="29"/>
      <c r="G42" s="21" t="str">
        <f>IFERROR(VLOOKUP(A42, 'Price Sheet'!$A$2:$B1010, 2, false), "")</f>
        <v/>
      </c>
      <c r="J42" s="21" t="str">
        <f t="shared" si="3"/>
        <v/>
      </c>
      <c r="K42" s="29"/>
      <c r="L42" s="29" t="b">
        <v>0</v>
      </c>
      <c r="M42" s="29"/>
      <c r="N42" s="21" t="str">
        <f>IFERROR(VLOOKUP(I42, 'Price Sheet'!$A$2:$B1010, 2, false), "")</f>
        <v/>
      </c>
    </row>
    <row r="43">
      <c r="B43" s="21" t="str">
        <f t="shared" si="1"/>
        <v/>
      </c>
      <c r="C43" s="8"/>
      <c r="D43" s="8"/>
      <c r="E43" s="29" t="b">
        <v>0</v>
      </c>
      <c r="F43" s="29"/>
      <c r="G43" s="21" t="str">
        <f>IFERROR(VLOOKUP(A43, 'Price Sheet'!$A$2:$B1010, 2, false), "")</f>
        <v/>
      </c>
      <c r="J43" s="21" t="str">
        <f t="shared" si="3"/>
        <v/>
      </c>
      <c r="K43" s="29"/>
      <c r="L43" s="29" t="b">
        <v>0</v>
      </c>
      <c r="M43" s="29"/>
      <c r="N43" s="21" t="str">
        <f>IFERROR(VLOOKUP(I43, 'Price Sheet'!$A$2:$B1010, 2, false), "")</f>
        <v/>
      </c>
    </row>
    <row r="44">
      <c r="B44" s="21" t="str">
        <f t="shared" si="1"/>
        <v/>
      </c>
      <c r="C44" s="29"/>
      <c r="D44" s="29"/>
      <c r="E44" s="8" t="b">
        <v>0</v>
      </c>
      <c r="F44" s="29"/>
      <c r="G44" s="21" t="str">
        <f>IFERROR(VLOOKUP(A44, 'Price Sheet'!$A$2:$B1010, 2, false), "")</f>
        <v/>
      </c>
      <c r="J44" s="21" t="str">
        <f t="shared" si="3"/>
        <v/>
      </c>
      <c r="K44" s="29"/>
      <c r="L44" s="29" t="b">
        <v>0</v>
      </c>
      <c r="M44" s="29"/>
      <c r="N44" s="21" t="str">
        <f>IFERROR(VLOOKUP(I44, 'Price Sheet'!$A$2:$B1010, 2, false), "")</f>
        <v/>
      </c>
    </row>
    <row r="45">
      <c r="B45" s="21" t="str">
        <f t="shared" si="1"/>
        <v/>
      </c>
      <c r="C45" s="8"/>
      <c r="D45" s="8"/>
      <c r="E45" s="29" t="b">
        <v>0</v>
      </c>
      <c r="F45" s="29"/>
      <c r="G45" s="21" t="str">
        <f>IFERROR(VLOOKUP(A45, 'Price Sheet'!$A$2:$B1010, 2, false), "")</f>
        <v/>
      </c>
      <c r="J45" s="21" t="str">
        <f t="shared" si="3"/>
        <v/>
      </c>
      <c r="K45" s="29"/>
      <c r="L45" s="29" t="b">
        <v>0</v>
      </c>
      <c r="M45" s="29"/>
      <c r="N45" s="21" t="str">
        <f>IFERROR(VLOOKUP(I45, 'Price Sheet'!$A$2:$B1010, 2, false), "")</f>
        <v/>
      </c>
    </row>
    <row r="46">
      <c r="B46" s="21" t="str">
        <f t="shared" si="1"/>
        <v/>
      </c>
      <c r="C46" s="29"/>
      <c r="D46" s="29"/>
      <c r="E46" s="29" t="b">
        <v>0</v>
      </c>
      <c r="F46" s="29"/>
      <c r="G46" s="21" t="str">
        <f>IFERROR(VLOOKUP(A46, 'Price Sheet'!$A$2:$B1010, 2, false), "")</f>
        <v/>
      </c>
      <c r="J46" s="21" t="str">
        <f t="shared" si="3"/>
        <v/>
      </c>
      <c r="K46" s="29"/>
      <c r="L46" s="29" t="b">
        <v>0</v>
      </c>
      <c r="M46" s="29"/>
      <c r="N46" s="21" t="str">
        <f>IFERROR(VLOOKUP(I46, 'Price Sheet'!$A$2:$B1010, 2, false), "")</f>
        <v/>
      </c>
    </row>
    <row r="47">
      <c r="B47" s="21" t="str">
        <f t="shared" si="1"/>
        <v/>
      </c>
      <c r="C47" s="29"/>
      <c r="D47" s="29"/>
      <c r="E47" s="29" t="b">
        <v>0</v>
      </c>
      <c r="F47" s="29"/>
      <c r="G47" s="21" t="str">
        <f>IFERROR(VLOOKUP(A47, 'Price Sheet'!$A$2:$B1010, 2, false), "")</f>
        <v/>
      </c>
      <c r="J47" s="21" t="str">
        <f t="shared" si="3"/>
        <v/>
      </c>
      <c r="K47" s="29"/>
      <c r="L47" s="29" t="b">
        <v>0</v>
      </c>
      <c r="M47" s="29"/>
      <c r="N47" s="21" t="str">
        <f>IFERROR(VLOOKUP(I47, 'Price Sheet'!$A$2:$B1010, 2, false), "")</f>
        <v/>
      </c>
    </row>
    <row r="48">
      <c r="B48" s="21" t="str">
        <f t="shared" si="1"/>
        <v/>
      </c>
      <c r="C48" s="29"/>
      <c r="D48" s="29"/>
      <c r="E48" s="29" t="b">
        <v>0</v>
      </c>
      <c r="F48" s="29"/>
      <c r="G48" s="21" t="str">
        <f>IFERROR(VLOOKUP(A48, 'Price Sheet'!$A$2:$B1010, 2, false), "")</f>
        <v/>
      </c>
      <c r="J48" s="21" t="str">
        <f t="shared" si="3"/>
        <v/>
      </c>
      <c r="K48" s="29"/>
      <c r="L48" s="29" t="b">
        <v>0</v>
      </c>
      <c r="M48" s="29"/>
      <c r="N48" s="21" t="str">
        <f>IFERROR(VLOOKUP(I48, 'Price Sheet'!$A$2:$B1010, 2, false), "")</f>
        <v/>
      </c>
    </row>
    <row r="49">
      <c r="B49" s="21" t="str">
        <f t="shared" si="1"/>
        <v/>
      </c>
      <c r="C49" s="29"/>
      <c r="D49" s="29"/>
      <c r="E49" s="29" t="b">
        <v>0</v>
      </c>
      <c r="F49" s="29"/>
      <c r="G49" s="21" t="str">
        <f>IFERROR(VLOOKUP(A49, 'Price Sheet'!$A$2:$B1010, 2, false), "")</f>
        <v/>
      </c>
      <c r="J49" s="21" t="str">
        <f t="shared" si="3"/>
        <v/>
      </c>
      <c r="K49" s="29"/>
      <c r="L49" s="29" t="b">
        <v>0</v>
      </c>
      <c r="M49" s="29"/>
      <c r="N49" s="21" t="str">
        <f>IFERROR(VLOOKUP(I49, 'Price Sheet'!$A$2:$B1010, 2, false), "")</f>
        <v/>
      </c>
    </row>
    <row r="50">
      <c r="B50" s="21" t="str">
        <f t="shared" si="1"/>
        <v/>
      </c>
      <c r="C50" s="29"/>
      <c r="D50" s="29"/>
      <c r="E50" s="29" t="b">
        <v>0</v>
      </c>
      <c r="F50" s="29"/>
      <c r="G50" s="21" t="str">
        <f>IFERROR(VLOOKUP(A50, 'Price Sheet'!$A$2:$B1010, 2, false), "")</f>
        <v/>
      </c>
      <c r="J50" s="21" t="str">
        <f t="shared" si="3"/>
        <v/>
      </c>
      <c r="K50" s="29"/>
      <c r="L50" s="29" t="b">
        <v>0</v>
      </c>
      <c r="M50" s="29"/>
      <c r="N50" s="21" t="str">
        <f>IFERROR(VLOOKUP(I50, 'Price Sheet'!$A$2:$B1010, 2, false), "")</f>
        <v/>
      </c>
    </row>
    <row r="51">
      <c r="B51" s="21" t="str">
        <f t="shared" si="1"/>
        <v/>
      </c>
      <c r="C51" s="29"/>
      <c r="D51" s="29"/>
      <c r="E51" s="29" t="b">
        <v>0</v>
      </c>
      <c r="F51" s="29"/>
      <c r="G51" s="21" t="str">
        <f>IFERROR(VLOOKUP(A51, 'Price Sheet'!$A$2:$B1010, 2, false), "")</f>
        <v/>
      </c>
      <c r="J51" s="21" t="str">
        <f t="shared" si="3"/>
        <v/>
      </c>
      <c r="K51" s="29"/>
      <c r="L51" s="29" t="b">
        <v>0</v>
      </c>
      <c r="M51" s="29"/>
      <c r="N51" s="21" t="str">
        <f>IFERROR(VLOOKUP(I51, 'Price Sheet'!$A$2:$B1010, 2, false), "")</f>
        <v/>
      </c>
    </row>
    <row r="52">
      <c r="B52" s="21" t="str">
        <f t="shared" si="1"/>
        <v/>
      </c>
      <c r="C52" s="29"/>
      <c r="D52" s="29"/>
      <c r="E52" s="29" t="b">
        <v>0</v>
      </c>
      <c r="F52" s="29"/>
      <c r="G52" s="21" t="str">
        <f>IFERROR(VLOOKUP(A52, 'Price Sheet'!$A$2:$B1010, 2, false), "")</f>
        <v/>
      </c>
      <c r="J52" s="21" t="str">
        <f t="shared" si="3"/>
        <v/>
      </c>
      <c r="K52" s="29"/>
      <c r="L52" s="29" t="b">
        <v>0</v>
      </c>
      <c r="M52" s="29"/>
      <c r="N52" s="21" t="str">
        <f>IFERROR(VLOOKUP(I52, 'Price Sheet'!$A$2:$B1010, 2, false), "")</f>
        <v/>
      </c>
    </row>
    <row r="53">
      <c r="B53" s="21" t="str">
        <f t="shared" si="1"/>
        <v/>
      </c>
      <c r="C53" s="29"/>
      <c r="D53" s="29"/>
      <c r="E53" s="29" t="b">
        <v>0</v>
      </c>
      <c r="F53" s="29"/>
      <c r="G53" s="21" t="str">
        <f>IFERROR(VLOOKUP(A53, 'Price Sheet'!$A$2:$B1010, 2, false), "")</f>
        <v/>
      </c>
      <c r="J53" s="21" t="str">
        <f t="shared" si="3"/>
        <v/>
      </c>
      <c r="K53" s="29"/>
      <c r="L53" s="29" t="b">
        <v>0</v>
      </c>
      <c r="M53" s="29"/>
      <c r="N53" s="21" t="str">
        <f>IFERROR(VLOOKUP(I53, 'Price Sheet'!$A$2:$B1010, 2, false), "")</f>
        <v/>
      </c>
    </row>
    <row r="54">
      <c r="B54" s="21" t="str">
        <f t="shared" si="1"/>
        <v/>
      </c>
      <c r="C54" s="29"/>
      <c r="D54" s="29"/>
      <c r="E54" s="29" t="b">
        <v>0</v>
      </c>
      <c r="F54" s="29"/>
      <c r="G54" s="21" t="str">
        <f>IFERROR(VLOOKUP(A54, 'Price Sheet'!$A$2:$B1010, 2, false), "")</f>
        <v/>
      </c>
      <c r="J54" s="21" t="str">
        <f t="shared" si="3"/>
        <v/>
      </c>
      <c r="K54" s="29"/>
      <c r="L54" s="29" t="b">
        <v>0</v>
      </c>
      <c r="M54" s="29"/>
      <c r="N54" s="21" t="str">
        <f>IFERROR(VLOOKUP(I54, 'Price Sheet'!$A$2:$B1010, 2, false), "")</f>
        <v/>
      </c>
    </row>
    <row r="55">
      <c r="B55" s="21" t="str">
        <f t="shared" si="1"/>
        <v/>
      </c>
      <c r="C55" s="29"/>
      <c r="D55" s="29"/>
      <c r="E55" s="29" t="b">
        <v>0</v>
      </c>
      <c r="F55" s="29"/>
      <c r="G55" s="21" t="str">
        <f>IFERROR(VLOOKUP(A55, 'Price Sheet'!$A$2:$B1010, 2, false), "")</f>
        <v/>
      </c>
      <c r="J55" s="21" t="str">
        <f t="shared" si="3"/>
        <v/>
      </c>
      <c r="K55" s="29"/>
      <c r="L55" s="29" t="b">
        <v>0</v>
      </c>
      <c r="M55" s="29"/>
      <c r="N55" s="21" t="str">
        <f>IFERROR(VLOOKUP(I55, 'Price Sheet'!$A$2:$B1010, 2, false), "")</f>
        <v/>
      </c>
    </row>
    <row r="56">
      <c r="B56" s="21" t="str">
        <f t="shared" si="1"/>
        <v/>
      </c>
      <c r="C56" s="29"/>
      <c r="D56" s="29"/>
      <c r="E56" s="29" t="b">
        <v>0</v>
      </c>
      <c r="F56" s="29"/>
      <c r="G56" s="21" t="str">
        <f>IFERROR(VLOOKUP(A56, 'Price Sheet'!$A$2:$B1010, 2, false), "")</f>
        <v/>
      </c>
      <c r="J56" s="21" t="str">
        <f t="shared" si="3"/>
        <v/>
      </c>
      <c r="K56" s="29"/>
      <c r="L56" s="29" t="b">
        <v>0</v>
      </c>
      <c r="M56" s="29"/>
      <c r="N56" s="21" t="str">
        <f>IFERROR(VLOOKUP(I56, 'Price Sheet'!$A$2:$B1010, 2, false), "")</f>
        <v/>
      </c>
    </row>
    <row r="57">
      <c r="B57" s="21" t="str">
        <f t="shared" si="1"/>
        <v/>
      </c>
      <c r="C57" s="29"/>
      <c r="D57" s="29"/>
      <c r="E57" s="29" t="b">
        <v>0</v>
      </c>
      <c r="F57" s="29"/>
      <c r="G57" s="21" t="str">
        <f>IFERROR(VLOOKUP(A57, 'Price Sheet'!$A$2:$B1010, 2, false), "")</f>
        <v/>
      </c>
      <c r="J57" s="21" t="str">
        <f t="shared" si="3"/>
        <v/>
      </c>
      <c r="K57" s="29"/>
      <c r="L57" s="29" t="b">
        <v>0</v>
      </c>
      <c r="M57" s="29"/>
      <c r="N57" s="21" t="str">
        <f>IFERROR(VLOOKUP(I57, 'Price Sheet'!$A$2:$B1010, 2, false), "")</f>
        <v/>
      </c>
    </row>
    <row r="58">
      <c r="B58" s="21" t="str">
        <f t="shared" si="1"/>
        <v/>
      </c>
      <c r="C58" s="29"/>
      <c r="D58" s="29"/>
      <c r="E58" s="29" t="b">
        <v>0</v>
      </c>
      <c r="F58" s="29"/>
      <c r="G58" s="21" t="str">
        <f>IFERROR(VLOOKUP(A58, 'Price Sheet'!$A$2:$B1010, 2, false), "")</f>
        <v/>
      </c>
      <c r="J58" s="21" t="str">
        <f t="shared" si="3"/>
        <v/>
      </c>
      <c r="K58" s="29"/>
      <c r="L58" s="29" t="b">
        <v>0</v>
      </c>
      <c r="M58" s="29"/>
      <c r="N58" s="21" t="str">
        <f>IFERROR(VLOOKUP(I58, 'Price Sheet'!$A$2:$B1010, 2, false), "")</f>
        <v/>
      </c>
    </row>
    <row r="59">
      <c r="B59" s="21" t="str">
        <f t="shared" si="1"/>
        <v/>
      </c>
      <c r="C59" s="29"/>
      <c r="D59" s="29"/>
      <c r="E59" s="29" t="b">
        <v>0</v>
      </c>
      <c r="F59" s="29"/>
      <c r="G59" s="21" t="str">
        <f>IFERROR(VLOOKUP(A59, 'Price Sheet'!$A$2:$B1010, 2, false), "")</f>
        <v/>
      </c>
      <c r="J59" s="21" t="str">
        <f t="shared" si="3"/>
        <v/>
      </c>
      <c r="K59" s="29"/>
      <c r="L59" s="29" t="b">
        <v>0</v>
      </c>
      <c r="M59" s="29"/>
      <c r="N59" s="21" t="str">
        <f>IFERROR(VLOOKUP(I59, 'Price Sheet'!$A$2:$B1010, 2, false), "")</f>
        <v/>
      </c>
    </row>
    <row r="60">
      <c r="B60" s="21" t="str">
        <f t="shared" si="1"/>
        <v/>
      </c>
      <c r="C60" s="29"/>
      <c r="D60" s="29"/>
      <c r="E60" s="29" t="b">
        <v>0</v>
      </c>
      <c r="F60" s="29"/>
      <c r="G60" s="21" t="str">
        <f>IFERROR(VLOOKUP(A60, 'Price Sheet'!$A$2:$B1010, 2, false), "")</f>
        <v/>
      </c>
      <c r="J60" s="21" t="str">
        <f t="shared" si="3"/>
        <v/>
      </c>
      <c r="K60" s="29"/>
      <c r="L60" s="29" t="b">
        <v>0</v>
      </c>
      <c r="M60" s="29"/>
      <c r="N60" s="21" t="str">
        <f>IFERROR(VLOOKUP(I60, 'Price Sheet'!$A$2:$B1010, 2, false), "")</f>
        <v/>
      </c>
    </row>
    <row r="61">
      <c r="B61" s="21" t="str">
        <f t="shared" si="1"/>
        <v/>
      </c>
      <c r="C61" s="29"/>
      <c r="D61" s="29"/>
      <c r="E61" s="29" t="b">
        <v>0</v>
      </c>
      <c r="F61" s="29"/>
      <c r="G61" s="21" t="str">
        <f>IFERROR(VLOOKUP(A61, 'Price Sheet'!$A$2:$B1010, 2, false), "")</f>
        <v/>
      </c>
      <c r="J61" s="21" t="str">
        <f t="shared" si="3"/>
        <v/>
      </c>
      <c r="K61" s="29"/>
      <c r="L61" s="29" t="b">
        <v>0</v>
      </c>
      <c r="M61" s="29"/>
      <c r="N61" s="21" t="str">
        <f>IFERROR(VLOOKUP(I61, 'Price Sheet'!$A$2:$B1010, 2, false), "")</f>
        <v/>
      </c>
    </row>
    <row r="62">
      <c r="B62" s="21" t="str">
        <f t="shared" si="1"/>
        <v/>
      </c>
      <c r="C62" s="29"/>
      <c r="D62" s="29"/>
      <c r="E62" s="29" t="b">
        <v>0</v>
      </c>
      <c r="F62" s="29"/>
      <c r="G62" s="21" t="str">
        <f>IFERROR(VLOOKUP(A62, 'Price Sheet'!$A$2:$B1010, 2, false), "")</f>
        <v/>
      </c>
      <c r="J62" s="21" t="str">
        <f t="shared" si="3"/>
        <v/>
      </c>
      <c r="K62" s="29"/>
      <c r="L62" s="29" t="b">
        <v>0</v>
      </c>
      <c r="M62" s="29"/>
      <c r="N62" s="21" t="str">
        <f>IFERROR(VLOOKUP(I62, 'Price Sheet'!$A$2:$B1010, 2, false), "")</f>
        <v/>
      </c>
    </row>
    <row r="63">
      <c r="B63" s="21" t="str">
        <f t="shared" si="1"/>
        <v/>
      </c>
      <c r="C63" s="29"/>
      <c r="D63" s="29"/>
      <c r="E63" s="29" t="b">
        <v>0</v>
      </c>
      <c r="F63" s="29"/>
      <c r="G63" s="21" t="str">
        <f>IFERROR(VLOOKUP(A63, 'Price Sheet'!$A$2:$B1010, 2, false), "")</f>
        <v/>
      </c>
      <c r="J63" s="21" t="str">
        <f t="shared" si="3"/>
        <v/>
      </c>
      <c r="K63" s="29"/>
      <c r="L63" s="29" t="b">
        <v>0</v>
      </c>
      <c r="M63" s="29"/>
      <c r="N63" s="21" t="str">
        <f>IFERROR(VLOOKUP(I63, 'Price Sheet'!$A$2:$B1010, 2, false), "")</f>
        <v/>
      </c>
    </row>
    <row r="64">
      <c r="B64" s="21" t="str">
        <f t="shared" si="1"/>
        <v/>
      </c>
      <c r="C64" s="29"/>
      <c r="D64" s="29"/>
      <c r="E64" s="29" t="b">
        <v>0</v>
      </c>
      <c r="F64" s="29"/>
      <c r="G64" s="21" t="str">
        <f>IFERROR(VLOOKUP(A64, 'Price Sheet'!$A$2:$B1010, 2, false), "")</f>
        <v/>
      </c>
      <c r="J64" s="21" t="str">
        <f t="shared" si="3"/>
        <v/>
      </c>
      <c r="K64" s="29"/>
      <c r="L64" s="29" t="b">
        <v>0</v>
      </c>
      <c r="M64" s="29"/>
      <c r="N64" s="21" t="str">
        <f>IFERROR(VLOOKUP(I64, 'Price Sheet'!$A$2:$B1010, 2, false), "")</f>
        <v/>
      </c>
    </row>
    <row r="65">
      <c r="B65" s="21" t="str">
        <f t="shared" si="1"/>
        <v/>
      </c>
      <c r="C65" s="29"/>
      <c r="D65" s="29"/>
      <c r="E65" s="29" t="b">
        <v>0</v>
      </c>
      <c r="F65" s="29"/>
      <c r="G65" s="21" t="str">
        <f>IFERROR(VLOOKUP(A65, 'Price Sheet'!$A$2:$B1010, 2, false), "")</f>
        <v/>
      </c>
      <c r="J65" s="21" t="str">
        <f t="shared" si="3"/>
        <v/>
      </c>
      <c r="K65" s="29"/>
      <c r="L65" s="29" t="b">
        <v>0</v>
      </c>
      <c r="M65" s="29"/>
      <c r="N65" s="21" t="str">
        <f>IFERROR(VLOOKUP(I65, 'Price Sheet'!$A$2:$B1010, 2, false), "")</f>
        <v/>
      </c>
    </row>
    <row r="66">
      <c r="B66" s="21" t="str">
        <f t="shared" si="1"/>
        <v/>
      </c>
      <c r="C66" s="29"/>
      <c r="D66" s="29"/>
      <c r="E66" s="29" t="b">
        <v>0</v>
      </c>
      <c r="F66" s="29"/>
      <c r="G66" s="21" t="str">
        <f>IFERROR(VLOOKUP(A66, 'Price Sheet'!$A$2:$B1010, 2, false), "")</f>
        <v/>
      </c>
      <c r="J66" s="21" t="str">
        <f t="shared" si="3"/>
        <v/>
      </c>
      <c r="K66" s="29"/>
      <c r="L66" s="29" t="b">
        <v>0</v>
      </c>
      <c r="M66" s="29"/>
      <c r="N66" s="21" t="str">
        <f>IFERROR(VLOOKUP(I66, 'Price Sheet'!$A$2:$B1010, 2, false), "")</f>
        <v/>
      </c>
    </row>
    <row r="67">
      <c r="B67" s="21" t="str">
        <f t="shared" si="1"/>
        <v/>
      </c>
      <c r="C67" s="29"/>
      <c r="D67" s="29"/>
      <c r="E67" s="29" t="b">
        <v>0</v>
      </c>
      <c r="F67" s="29"/>
      <c r="G67" s="21" t="str">
        <f>IFERROR(VLOOKUP(A67, 'Price Sheet'!$A$2:$B1010, 2, false), "")</f>
        <v/>
      </c>
      <c r="J67" s="21" t="str">
        <f t="shared" si="3"/>
        <v/>
      </c>
      <c r="K67" s="29"/>
      <c r="L67" s="29" t="b">
        <v>0</v>
      </c>
      <c r="M67" s="29"/>
      <c r="N67" s="21" t="str">
        <f>IFERROR(VLOOKUP(I67, 'Price Sheet'!$A$2:$B1010, 2, false), "")</f>
        <v/>
      </c>
    </row>
    <row r="68">
      <c r="B68" s="21" t="str">
        <f t="shared" si="1"/>
        <v/>
      </c>
      <c r="C68" s="29"/>
      <c r="D68" s="29"/>
      <c r="E68" s="29" t="b">
        <v>0</v>
      </c>
      <c r="F68" s="29"/>
      <c r="G68" s="21" t="str">
        <f>IFERROR(VLOOKUP(A68, 'Price Sheet'!$A$2:$B1010, 2, false), "")</f>
        <v/>
      </c>
      <c r="J68" s="21" t="str">
        <f t="shared" si="3"/>
        <v/>
      </c>
      <c r="K68" s="29"/>
      <c r="L68" s="29" t="b">
        <v>0</v>
      </c>
      <c r="M68" s="29"/>
      <c r="N68" s="21" t="str">
        <f>IFERROR(VLOOKUP(I68, 'Price Sheet'!$A$2:$B1010, 2, false), "")</f>
        <v/>
      </c>
    </row>
    <row r="69">
      <c r="B69" s="21" t="str">
        <f t="shared" si="1"/>
        <v/>
      </c>
      <c r="C69" s="29"/>
      <c r="D69" s="29"/>
      <c r="E69" s="29" t="b">
        <v>0</v>
      </c>
      <c r="F69" s="29"/>
      <c r="G69" s="21" t="str">
        <f>IFERROR(VLOOKUP(A69, 'Price Sheet'!$A$2:$B1010, 2, false), "")</f>
        <v/>
      </c>
      <c r="J69" s="21" t="str">
        <f t="shared" si="3"/>
        <v/>
      </c>
      <c r="K69" s="29"/>
      <c r="L69" s="29" t="b">
        <v>0</v>
      </c>
      <c r="M69" s="29"/>
      <c r="N69" s="21" t="str">
        <f>IFERROR(VLOOKUP(I69, 'Price Sheet'!$A$2:$B1010, 2, false), "")</f>
        <v/>
      </c>
    </row>
    <row r="70">
      <c r="B70" s="21" t="str">
        <f t="shared" si="1"/>
        <v/>
      </c>
      <c r="C70" s="29"/>
      <c r="D70" s="29"/>
      <c r="E70" s="29" t="b">
        <v>0</v>
      </c>
      <c r="F70" s="29"/>
      <c r="G70" s="21" t="str">
        <f>IFERROR(VLOOKUP(A70, 'Price Sheet'!$A$2:$B1010, 2, false), "")</f>
        <v/>
      </c>
      <c r="J70" s="21" t="str">
        <f t="shared" si="3"/>
        <v/>
      </c>
      <c r="K70" s="29"/>
      <c r="L70" s="29" t="b">
        <v>0</v>
      </c>
      <c r="M70" s="29"/>
      <c r="N70" s="21" t="str">
        <f>IFERROR(VLOOKUP(I70, 'Price Sheet'!$A$2:$B1010, 2, false), "")</f>
        <v/>
      </c>
    </row>
    <row r="71">
      <c r="B71" s="21" t="str">
        <f t="shared" si="1"/>
        <v/>
      </c>
      <c r="C71" s="29"/>
      <c r="D71" s="29"/>
      <c r="E71" s="29" t="b">
        <v>0</v>
      </c>
      <c r="F71" s="29"/>
      <c r="G71" s="21" t="str">
        <f>IFERROR(VLOOKUP(A71, 'Price Sheet'!$A$2:$B1010, 2, false), "")</f>
        <v/>
      </c>
      <c r="J71" s="21" t="str">
        <f t="shared" si="3"/>
        <v/>
      </c>
      <c r="K71" s="29"/>
      <c r="L71" s="29" t="b">
        <v>0</v>
      </c>
      <c r="M71" s="29"/>
      <c r="N71" s="21" t="str">
        <f>IFERROR(VLOOKUP(I71, 'Price Sheet'!$A$2:$B1010, 2, false), "")</f>
        <v/>
      </c>
    </row>
    <row r="72">
      <c r="B72" s="21" t="str">
        <f t="shared" si="1"/>
        <v/>
      </c>
      <c r="C72" s="29"/>
      <c r="D72" s="29"/>
      <c r="E72" s="29" t="b">
        <v>0</v>
      </c>
      <c r="F72" s="29"/>
      <c r="G72" s="21" t="str">
        <f>IFERROR(VLOOKUP(A72, 'Price Sheet'!$A$2:$B1010, 2, false), "")</f>
        <v/>
      </c>
      <c r="J72" s="21" t="str">
        <f t="shared" si="3"/>
        <v/>
      </c>
      <c r="K72" s="29"/>
      <c r="L72" s="29" t="b">
        <v>0</v>
      </c>
      <c r="M72" s="29"/>
      <c r="N72" s="21" t="str">
        <f>IFERROR(VLOOKUP(I72, 'Price Sheet'!$A$2:$B1010, 2, false), "")</f>
        <v/>
      </c>
    </row>
    <row r="73">
      <c r="B73" s="21" t="str">
        <f t="shared" si="1"/>
        <v/>
      </c>
      <c r="C73" s="29"/>
      <c r="D73" s="29"/>
      <c r="E73" s="29" t="b">
        <v>0</v>
      </c>
      <c r="F73" s="29"/>
      <c r="G73" s="21" t="str">
        <f>IFERROR(VLOOKUP(A73, 'Price Sheet'!$A$2:$B1010, 2, false), "")</f>
        <v/>
      </c>
      <c r="J73" s="21" t="str">
        <f t="shared" si="3"/>
        <v/>
      </c>
      <c r="K73" s="29"/>
      <c r="L73" s="29" t="b">
        <v>0</v>
      </c>
      <c r="M73" s="29"/>
      <c r="N73" s="21" t="str">
        <f>IFERROR(VLOOKUP(I73, 'Price Sheet'!$A$2:$B1010, 2, false), "")</f>
        <v/>
      </c>
    </row>
    <row r="74">
      <c r="B74" s="21" t="str">
        <f t="shared" si="1"/>
        <v/>
      </c>
      <c r="C74" s="29"/>
      <c r="D74" s="29"/>
      <c r="E74" s="29" t="b">
        <v>0</v>
      </c>
      <c r="F74" s="29"/>
      <c r="G74" s="21" t="str">
        <f>IFERROR(VLOOKUP(A74, 'Price Sheet'!$A$2:$B1010, 2, false), "")</f>
        <v/>
      </c>
      <c r="J74" s="21" t="str">
        <f t="shared" si="3"/>
        <v/>
      </c>
      <c r="K74" s="29"/>
      <c r="L74" s="29" t="b">
        <v>0</v>
      </c>
      <c r="M74" s="29"/>
      <c r="N74" s="21" t="str">
        <f>IFERROR(VLOOKUP(I74, 'Price Sheet'!$A$2:$B1010, 2, false), "")</f>
        <v/>
      </c>
    </row>
    <row r="75">
      <c r="B75" s="21" t="str">
        <f t="shared" si="1"/>
        <v/>
      </c>
      <c r="C75" s="29"/>
      <c r="D75" s="29"/>
      <c r="E75" s="29" t="b">
        <v>0</v>
      </c>
      <c r="F75" s="29"/>
      <c r="G75" s="21" t="str">
        <f>IFERROR(VLOOKUP(A75, 'Price Sheet'!$A$2:$B1010, 2, false), "")</f>
        <v/>
      </c>
      <c r="J75" s="21" t="str">
        <f t="shared" si="3"/>
        <v/>
      </c>
      <c r="K75" s="29"/>
      <c r="L75" s="29" t="b">
        <v>0</v>
      </c>
      <c r="M75" s="29"/>
      <c r="N75" s="21" t="str">
        <f>IFERROR(VLOOKUP(I75, 'Price Sheet'!$A$2:$B1010, 2, false), "")</f>
        <v/>
      </c>
    </row>
    <row r="76">
      <c r="B76" s="21" t="str">
        <f t="shared" si="1"/>
        <v/>
      </c>
      <c r="C76" s="29"/>
      <c r="D76" s="29"/>
      <c r="E76" s="29" t="b">
        <v>0</v>
      </c>
      <c r="F76" s="29"/>
      <c r="G76" s="21" t="str">
        <f>IFERROR(VLOOKUP(A76, 'Price Sheet'!$A$2:$B1010, 2, false), "")</f>
        <v/>
      </c>
      <c r="J76" s="21" t="str">
        <f t="shared" si="3"/>
        <v/>
      </c>
      <c r="K76" s="29"/>
      <c r="L76" s="29" t="b">
        <v>0</v>
      </c>
      <c r="M76" s="29"/>
      <c r="N76" s="21" t="str">
        <f>IFERROR(VLOOKUP(I76, 'Price Sheet'!$A$2:$B1010, 2, false), "")</f>
        <v/>
      </c>
    </row>
    <row r="77">
      <c r="B77" s="21" t="str">
        <f t="shared" si="1"/>
        <v/>
      </c>
      <c r="C77" s="29"/>
      <c r="D77" s="29"/>
      <c r="E77" s="29" t="b">
        <v>0</v>
      </c>
      <c r="F77" s="29"/>
      <c r="G77" s="21" t="str">
        <f>IFERROR(VLOOKUP(A77, 'Price Sheet'!$A$2:$B1010, 2, false), "")</f>
        <v/>
      </c>
      <c r="J77" s="21" t="str">
        <f t="shared" si="3"/>
        <v/>
      </c>
      <c r="K77" s="29"/>
      <c r="L77" s="29" t="b">
        <v>0</v>
      </c>
      <c r="M77" s="29"/>
      <c r="N77" s="21" t="str">
        <f>IFERROR(VLOOKUP(I77, 'Price Sheet'!$A$2:$B1010, 2, false), "")</f>
        <v/>
      </c>
    </row>
    <row r="78">
      <c r="B78" s="21" t="str">
        <f t="shared" si="1"/>
        <v/>
      </c>
      <c r="C78" s="29"/>
      <c r="D78" s="29"/>
      <c r="E78" s="29" t="b">
        <v>0</v>
      </c>
      <c r="F78" s="29"/>
      <c r="G78" s="21" t="str">
        <f>IFERROR(VLOOKUP(A78, 'Price Sheet'!$A$2:$B1010, 2, false), "")</f>
        <v/>
      </c>
      <c r="J78" s="21" t="str">
        <f t="shared" si="3"/>
        <v/>
      </c>
      <c r="K78" s="29"/>
      <c r="L78" s="29" t="b">
        <v>0</v>
      </c>
      <c r="M78" s="29"/>
      <c r="N78" s="21" t="str">
        <f>IFERROR(VLOOKUP(I78, 'Price Sheet'!$A$2:$B1010, 2, false), "")</f>
        <v/>
      </c>
    </row>
    <row r="79">
      <c r="B79" s="21" t="str">
        <f t="shared" si="1"/>
        <v/>
      </c>
      <c r="C79" s="29"/>
      <c r="D79" s="29"/>
      <c r="E79" s="29" t="b">
        <v>0</v>
      </c>
      <c r="F79" s="29"/>
      <c r="G79" s="21" t="str">
        <f>IFERROR(VLOOKUP(A79, 'Price Sheet'!$A$2:$B1010, 2, false), "")</f>
        <v/>
      </c>
      <c r="J79" s="21" t="str">
        <f t="shared" si="3"/>
        <v/>
      </c>
      <c r="K79" s="29"/>
      <c r="L79" s="29" t="b">
        <v>0</v>
      </c>
      <c r="M79" s="29"/>
      <c r="N79" s="21" t="str">
        <f>IFERROR(VLOOKUP(I79, 'Price Sheet'!$A$2:$B1010, 2, false), "")</f>
        <v/>
      </c>
    </row>
    <row r="80">
      <c r="B80" s="21" t="str">
        <f t="shared" si="1"/>
        <v/>
      </c>
      <c r="C80" s="29"/>
      <c r="D80" s="29"/>
      <c r="E80" s="29" t="b">
        <v>0</v>
      </c>
      <c r="F80" s="29"/>
      <c r="G80" s="21" t="str">
        <f>IFERROR(VLOOKUP(A80, 'Price Sheet'!$A$2:$B1010, 2, false), "")</f>
        <v/>
      </c>
      <c r="J80" s="21" t="str">
        <f t="shared" si="3"/>
        <v/>
      </c>
      <c r="K80" s="29"/>
      <c r="L80" s="29" t="b">
        <v>0</v>
      </c>
      <c r="M80" s="29"/>
      <c r="N80" s="21" t="str">
        <f>IFERROR(VLOOKUP(I80, 'Price Sheet'!$A$2:$B1010, 2, false), "")</f>
        <v/>
      </c>
    </row>
    <row r="81">
      <c r="B81" s="21" t="str">
        <f t="shared" si="1"/>
        <v/>
      </c>
      <c r="C81" s="29"/>
      <c r="D81" s="29"/>
      <c r="E81" s="29" t="b">
        <v>0</v>
      </c>
      <c r="F81" s="29"/>
      <c r="G81" s="21" t="str">
        <f>IFERROR(VLOOKUP(A81, 'Price Sheet'!$A$2:$B1010, 2, false), "")</f>
        <v/>
      </c>
      <c r="J81" s="21" t="str">
        <f t="shared" si="3"/>
        <v/>
      </c>
      <c r="K81" s="29"/>
      <c r="L81" s="29" t="b">
        <v>0</v>
      </c>
      <c r="M81" s="29"/>
      <c r="N81" s="21" t="str">
        <f>IFERROR(VLOOKUP(I81, 'Price Sheet'!$A$2:$B1010, 2, false), "")</f>
        <v/>
      </c>
    </row>
    <row r="82">
      <c r="B82" s="21" t="str">
        <f t="shared" si="1"/>
        <v/>
      </c>
      <c r="C82" s="29"/>
      <c r="D82" s="29"/>
      <c r="E82" s="29" t="b">
        <v>0</v>
      </c>
      <c r="F82" s="29"/>
      <c r="G82" s="21" t="str">
        <f>IFERROR(VLOOKUP(A82, 'Price Sheet'!$A$2:$B1010, 2, false), "")</f>
        <v/>
      </c>
      <c r="J82" s="21" t="str">
        <f t="shared" si="3"/>
        <v/>
      </c>
      <c r="K82" s="29"/>
      <c r="L82" s="29" t="b">
        <v>0</v>
      </c>
      <c r="M82" s="29"/>
      <c r="N82" s="21" t="str">
        <f>IFERROR(VLOOKUP(I82, 'Price Sheet'!$A$2:$B1010, 2, false), "")</f>
        <v/>
      </c>
    </row>
    <row r="83">
      <c r="B83" s="21" t="str">
        <f t="shared" si="1"/>
        <v/>
      </c>
      <c r="C83" s="29"/>
      <c r="D83" s="29"/>
      <c r="E83" s="29" t="b">
        <v>0</v>
      </c>
      <c r="F83" s="29"/>
      <c r="G83" s="21" t="str">
        <f>IFERROR(VLOOKUP(A83, 'Price Sheet'!$A$2:$B1010, 2, false), "")</f>
        <v/>
      </c>
      <c r="J83" s="21" t="str">
        <f t="shared" si="3"/>
        <v/>
      </c>
      <c r="K83" s="29"/>
      <c r="L83" s="29" t="b">
        <v>0</v>
      </c>
      <c r="M83" s="29"/>
      <c r="N83" s="21" t="str">
        <f>IFERROR(VLOOKUP(I83, 'Price Sheet'!$A$2:$B1010, 2, false), "")</f>
        <v/>
      </c>
    </row>
    <row r="84">
      <c r="B84" s="21" t="str">
        <f t="shared" si="1"/>
        <v/>
      </c>
      <c r="C84" s="29"/>
      <c r="D84" s="29"/>
      <c r="E84" s="29" t="b">
        <v>0</v>
      </c>
      <c r="F84" s="29"/>
      <c r="G84" s="21" t="str">
        <f>IFERROR(VLOOKUP(A84, 'Price Sheet'!$A$2:$B1010, 2, false), "")</f>
        <v/>
      </c>
      <c r="J84" s="21" t="str">
        <f t="shared" si="3"/>
        <v/>
      </c>
      <c r="K84" s="29"/>
      <c r="L84" s="29" t="b">
        <v>0</v>
      </c>
      <c r="M84" s="29"/>
      <c r="N84" s="21" t="str">
        <f>IFERROR(VLOOKUP(I84, 'Price Sheet'!$A$2:$B1010, 2, false), "")</f>
        <v/>
      </c>
    </row>
    <row r="85">
      <c r="B85" s="21" t="str">
        <f t="shared" si="1"/>
        <v/>
      </c>
      <c r="C85" s="29"/>
      <c r="D85" s="29"/>
      <c r="E85" s="29" t="b">
        <v>0</v>
      </c>
      <c r="F85" s="29"/>
      <c r="G85" s="21" t="str">
        <f>IFERROR(VLOOKUP(A85, 'Price Sheet'!$A$2:$B1010, 2, false), "")</f>
        <v/>
      </c>
      <c r="J85" s="21" t="str">
        <f t="shared" si="3"/>
        <v/>
      </c>
      <c r="K85" s="29"/>
      <c r="L85" s="29" t="b">
        <v>0</v>
      </c>
      <c r="M85" s="29"/>
      <c r="N85" s="21" t="str">
        <f>IFERROR(VLOOKUP(I85, 'Price Sheet'!$A$2:$B1010, 2, false), "")</f>
        <v/>
      </c>
    </row>
    <row r="86">
      <c r="B86" s="21" t="str">
        <f t="shared" ref="B86:B1010" si="4">IF(ISBLANK(A86),"", IFERROR(IF(E86, F86, G86) * IF(ISBLANK(D86), C$1,D86), ""))</f>
        <v/>
      </c>
      <c r="C86" s="29"/>
      <c r="D86" s="29"/>
      <c r="E86" s="29" t="b">
        <v>0</v>
      </c>
      <c r="F86" s="29"/>
      <c r="G86" s="21" t="str">
        <f>IFERROR(VLOOKUP(A86, 'Price Sheet'!$A$2:$B1010, 2, false), "")</f>
        <v/>
      </c>
      <c r="J86" s="21" t="str">
        <f t="shared" si="3"/>
        <v/>
      </c>
      <c r="K86" s="29"/>
      <c r="L86" s="29" t="b">
        <v>0</v>
      </c>
      <c r="M86" s="29"/>
      <c r="N86" s="21" t="str">
        <f>IFERROR(VLOOKUP(I86, 'Price Sheet'!$A$2:$B1010, 2, false), "")</f>
        <v/>
      </c>
    </row>
    <row r="87">
      <c r="B87" s="21" t="str">
        <f t="shared" si="4"/>
        <v/>
      </c>
      <c r="C87" s="29"/>
      <c r="D87" s="29"/>
      <c r="E87" s="29" t="b">
        <v>0</v>
      </c>
      <c r="F87" s="29"/>
      <c r="G87" s="21" t="str">
        <f>IFERROR(VLOOKUP(A87, 'Price Sheet'!$A$2:$B1010, 2, false), "")</f>
        <v/>
      </c>
      <c r="J87" s="21" t="str">
        <f t="shared" si="3"/>
        <v/>
      </c>
      <c r="K87" s="29"/>
      <c r="L87" s="29" t="b">
        <v>0</v>
      </c>
      <c r="M87" s="29"/>
      <c r="N87" s="21" t="str">
        <f>IFERROR(VLOOKUP(I87, 'Price Sheet'!$A$2:$B1010, 2, false), "")</f>
        <v/>
      </c>
    </row>
    <row r="88">
      <c r="B88" s="21" t="str">
        <f t="shared" si="4"/>
        <v/>
      </c>
      <c r="C88" s="29"/>
      <c r="D88" s="29"/>
      <c r="E88" s="29" t="b">
        <v>0</v>
      </c>
      <c r="F88" s="29"/>
      <c r="G88" s="21" t="str">
        <f>IFERROR(VLOOKUP(A88, 'Price Sheet'!$A$2:$B1010, 2, false), "")</f>
        <v/>
      </c>
      <c r="J88" s="21" t="str">
        <f t="shared" si="3"/>
        <v/>
      </c>
      <c r="K88" s="29"/>
      <c r="L88" s="29" t="b">
        <v>0</v>
      </c>
      <c r="M88" s="29"/>
      <c r="N88" s="21" t="str">
        <f>IFERROR(VLOOKUP(I88, 'Price Sheet'!$A$2:$B1010, 2, false), "")</f>
        <v/>
      </c>
    </row>
    <row r="89">
      <c r="B89" s="21" t="str">
        <f t="shared" si="4"/>
        <v/>
      </c>
      <c r="C89" s="29"/>
      <c r="D89" s="29"/>
      <c r="E89" s="29" t="b">
        <v>0</v>
      </c>
      <c r="F89" s="29"/>
      <c r="G89" s="21" t="str">
        <f>IFERROR(VLOOKUP(A89, 'Price Sheet'!$A$2:$B1010, 2, false), "")</f>
        <v/>
      </c>
      <c r="J89" s="21" t="str">
        <f t="shared" si="3"/>
        <v/>
      </c>
      <c r="K89" s="29"/>
      <c r="L89" s="29" t="b">
        <v>0</v>
      </c>
      <c r="M89" s="29"/>
      <c r="N89" s="21" t="str">
        <f>IFERROR(VLOOKUP(I89, 'Price Sheet'!$A$2:$B1010, 2, false), "")</f>
        <v/>
      </c>
    </row>
    <row r="90">
      <c r="B90" s="21" t="str">
        <f t="shared" si="4"/>
        <v/>
      </c>
      <c r="C90" s="29"/>
      <c r="D90" s="29"/>
      <c r="E90" s="29" t="b">
        <v>0</v>
      </c>
      <c r="F90" s="29"/>
      <c r="G90" s="21" t="str">
        <f>IFERROR(VLOOKUP(A90, 'Price Sheet'!$A$2:$B1010, 2, false), "")</f>
        <v/>
      </c>
      <c r="J90" s="21" t="str">
        <f t="shared" si="3"/>
        <v/>
      </c>
      <c r="K90" s="29"/>
      <c r="L90" s="29" t="b">
        <v>0</v>
      </c>
      <c r="M90" s="29"/>
      <c r="N90" s="21" t="str">
        <f>IFERROR(VLOOKUP(I90, 'Price Sheet'!$A$2:$B1010, 2, false), "")</f>
        <v/>
      </c>
    </row>
    <row r="91">
      <c r="B91" s="21" t="str">
        <f t="shared" si="4"/>
        <v/>
      </c>
      <c r="C91" s="29"/>
      <c r="D91" s="29"/>
      <c r="E91" s="29" t="b">
        <v>0</v>
      </c>
      <c r="F91" s="29"/>
      <c r="G91" s="21" t="str">
        <f>IFERROR(VLOOKUP(A91, 'Price Sheet'!$A$2:$B1010, 2, false), "")</f>
        <v/>
      </c>
      <c r="J91" s="21" t="str">
        <f t="shared" si="3"/>
        <v/>
      </c>
      <c r="K91" s="29"/>
      <c r="L91" s="29" t="b">
        <v>0</v>
      </c>
      <c r="M91" s="29"/>
      <c r="N91" s="21" t="str">
        <f>IFERROR(VLOOKUP(I91, 'Price Sheet'!$A$2:$B1010, 2, false), "")</f>
        <v/>
      </c>
    </row>
    <row r="92">
      <c r="B92" s="21" t="str">
        <f t="shared" si="4"/>
        <v/>
      </c>
      <c r="C92" s="29"/>
      <c r="D92" s="29"/>
      <c r="E92" s="29" t="b">
        <v>0</v>
      </c>
      <c r="F92" s="29"/>
      <c r="G92" s="21" t="str">
        <f>IFERROR(VLOOKUP(A92, 'Price Sheet'!$A$2:$B1010, 2, false), "")</f>
        <v/>
      </c>
      <c r="J92" s="21" t="str">
        <f t="shared" si="3"/>
        <v/>
      </c>
      <c r="K92" s="29"/>
      <c r="L92" s="29" t="b">
        <v>0</v>
      </c>
      <c r="M92" s="29"/>
      <c r="N92" s="21" t="str">
        <f>IFERROR(VLOOKUP(I92, 'Price Sheet'!$A$2:$B1010, 2, false), "")</f>
        <v/>
      </c>
    </row>
    <row r="93">
      <c r="B93" s="21" t="str">
        <f t="shared" si="4"/>
        <v/>
      </c>
      <c r="C93" s="29"/>
      <c r="D93" s="29"/>
      <c r="E93" s="29" t="b">
        <v>0</v>
      </c>
      <c r="F93" s="29"/>
      <c r="G93" s="21" t="str">
        <f>IFERROR(VLOOKUP(A93, 'Price Sheet'!$A$2:$B1010, 2, false), "")</f>
        <v/>
      </c>
      <c r="J93" s="21" t="str">
        <f t="shared" si="3"/>
        <v/>
      </c>
      <c r="K93" s="29"/>
      <c r="L93" s="29" t="b">
        <v>0</v>
      </c>
      <c r="M93" s="29"/>
      <c r="N93" s="21" t="str">
        <f>IFERROR(VLOOKUP(I93, 'Price Sheet'!$A$2:$B1010, 2, false), "")</f>
        <v/>
      </c>
    </row>
    <row r="94">
      <c r="B94" s="21" t="str">
        <f t="shared" si="4"/>
        <v/>
      </c>
      <c r="C94" s="29"/>
      <c r="D94" s="29"/>
      <c r="E94" s="29" t="b">
        <v>0</v>
      </c>
      <c r="F94" s="29"/>
      <c r="G94" s="21" t="str">
        <f>IFERROR(VLOOKUP(A94, 'Price Sheet'!$A$2:$B1010, 2, false), "")</f>
        <v/>
      </c>
      <c r="J94" s="21" t="str">
        <f t="shared" si="3"/>
        <v/>
      </c>
      <c r="K94" s="29"/>
      <c r="L94" s="29" t="b">
        <v>0</v>
      </c>
      <c r="M94" s="29"/>
      <c r="N94" s="21" t="str">
        <f>IFERROR(VLOOKUP(I94, 'Price Sheet'!$A$2:$B1010, 2, false), "")</f>
        <v/>
      </c>
    </row>
    <row r="95">
      <c r="B95" s="21" t="str">
        <f t="shared" si="4"/>
        <v/>
      </c>
      <c r="C95" s="29"/>
      <c r="D95" s="29"/>
      <c r="E95" s="29" t="b">
        <v>0</v>
      </c>
      <c r="F95" s="29"/>
      <c r="G95" s="21" t="str">
        <f>IFERROR(VLOOKUP(A95, 'Price Sheet'!$A$2:$B1010, 2, false), "")</f>
        <v/>
      </c>
      <c r="J95" s="21" t="str">
        <f t="shared" si="3"/>
        <v/>
      </c>
      <c r="K95" s="29"/>
      <c r="L95" s="29" t="b">
        <v>0</v>
      </c>
      <c r="M95" s="29"/>
      <c r="N95" s="21" t="str">
        <f>IFERROR(VLOOKUP(I95, 'Price Sheet'!$A$2:$B1010, 2, false), "")</f>
        <v/>
      </c>
    </row>
    <row r="96">
      <c r="B96" s="21" t="str">
        <f t="shared" si="4"/>
        <v/>
      </c>
      <c r="C96" s="29"/>
      <c r="D96" s="29"/>
      <c r="E96" s="29" t="b">
        <v>0</v>
      </c>
      <c r="F96" s="29"/>
      <c r="G96" s="21" t="str">
        <f>IFERROR(VLOOKUP(A96, 'Price Sheet'!$A$2:$B1010, 2, false), "")</f>
        <v/>
      </c>
      <c r="J96" s="21" t="str">
        <f t="shared" si="3"/>
        <v/>
      </c>
      <c r="K96" s="29"/>
      <c r="L96" s="29" t="b">
        <v>0</v>
      </c>
      <c r="M96" s="29"/>
      <c r="N96" s="21" t="str">
        <f>IFERROR(VLOOKUP(I96, 'Price Sheet'!$A$2:$B1010, 2, false), "")</f>
        <v/>
      </c>
    </row>
    <row r="97">
      <c r="B97" s="21" t="str">
        <f t="shared" si="4"/>
        <v/>
      </c>
      <c r="C97" s="29"/>
      <c r="D97" s="29"/>
      <c r="E97" s="29" t="b">
        <v>0</v>
      </c>
      <c r="F97" s="29"/>
      <c r="G97" s="21" t="str">
        <f>IFERROR(VLOOKUP(A97, 'Price Sheet'!$A$2:$B1010, 2, false), "")</f>
        <v/>
      </c>
      <c r="J97" s="21" t="str">
        <f t="shared" si="3"/>
        <v/>
      </c>
      <c r="K97" s="29"/>
      <c r="L97" s="29" t="b">
        <v>0</v>
      </c>
      <c r="M97" s="29"/>
      <c r="N97" s="21" t="str">
        <f>IFERROR(VLOOKUP(I97, 'Price Sheet'!$A$2:$B1010, 2, false), "")</f>
        <v/>
      </c>
    </row>
    <row r="98">
      <c r="B98" s="21" t="str">
        <f t="shared" si="4"/>
        <v/>
      </c>
      <c r="C98" s="29"/>
      <c r="D98" s="29"/>
      <c r="E98" s="29" t="b">
        <v>0</v>
      </c>
      <c r="F98" s="29"/>
      <c r="G98" s="21" t="str">
        <f>IFERROR(VLOOKUP(A98, 'Price Sheet'!$A$2:$B1010, 2, false), "")</f>
        <v/>
      </c>
      <c r="J98" s="21" t="str">
        <f t="shared" si="3"/>
        <v/>
      </c>
      <c r="K98" s="29"/>
      <c r="L98" s="29" t="b">
        <v>0</v>
      </c>
      <c r="M98" s="29"/>
      <c r="N98" s="21" t="str">
        <f>IFERROR(VLOOKUP(I98, 'Price Sheet'!$A$2:$B1010, 2, false), "")</f>
        <v/>
      </c>
    </row>
    <row r="99">
      <c r="B99" s="21" t="str">
        <f t="shared" si="4"/>
        <v/>
      </c>
      <c r="C99" s="29"/>
      <c r="D99" s="29"/>
      <c r="E99" s="29" t="b">
        <v>0</v>
      </c>
      <c r="F99" s="29"/>
      <c r="G99" s="21" t="str">
        <f>IFERROR(VLOOKUP(A99, 'Price Sheet'!$A$2:$B1010, 2, false), "")</f>
        <v/>
      </c>
      <c r="J99" s="21" t="str">
        <f t="shared" si="3"/>
        <v/>
      </c>
      <c r="K99" s="29"/>
      <c r="L99" s="29" t="b">
        <v>0</v>
      </c>
      <c r="M99" s="29"/>
      <c r="N99" s="21" t="str">
        <f>IFERROR(VLOOKUP(I99, 'Price Sheet'!$A$2:$B1010, 2, false), "")</f>
        <v/>
      </c>
    </row>
    <row r="100">
      <c r="B100" s="21" t="str">
        <f t="shared" si="4"/>
        <v/>
      </c>
      <c r="C100" s="29"/>
      <c r="D100" s="29"/>
      <c r="E100" s="29" t="b">
        <v>0</v>
      </c>
      <c r="F100" s="29"/>
      <c r="G100" s="21" t="str">
        <f>IFERROR(VLOOKUP(A100, 'Price Sheet'!$A$2:$B1010, 2, false), "")</f>
        <v/>
      </c>
      <c r="J100" s="21" t="str">
        <f t="shared" si="3"/>
        <v/>
      </c>
      <c r="K100" s="29"/>
      <c r="L100" s="29" t="b">
        <v>0</v>
      </c>
      <c r="M100" s="29"/>
      <c r="N100" s="21" t="str">
        <f>IFERROR(VLOOKUP(I100, 'Price Sheet'!$A$2:$B1010, 2, false), "")</f>
        <v/>
      </c>
    </row>
    <row r="101">
      <c r="B101" s="21" t="str">
        <f t="shared" si="4"/>
        <v/>
      </c>
      <c r="C101" s="29"/>
      <c r="D101" s="29"/>
      <c r="E101" s="29" t="b">
        <v>0</v>
      </c>
      <c r="F101" s="29"/>
      <c r="G101" s="21" t="str">
        <f>IFERROR(VLOOKUP(A101, 'Price Sheet'!$A$2:$B1010, 2, false), "")</f>
        <v/>
      </c>
      <c r="J101" s="21" t="str">
        <f t="shared" si="3"/>
        <v/>
      </c>
      <c r="K101" s="29"/>
      <c r="L101" s="29" t="b">
        <v>0</v>
      </c>
      <c r="M101" s="29"/>
      <c r="N101" s="21" t="str">
        <f>IFERROR(VLOOKUP(I101, 'Price Sheet'!$A$2:$B1010, 2, false), "")</f>
        <v/>
      </c>
    </row>
    <row r="102">
      <c r="B102" s="21" t="str">
        <f t="shared" si="4"/>
        <v/>
      </c>
      <c r="C102" s="29"/>
      <c r="D102" s="29"/>
      <c r="E102" s="29" t="b">
        <v>0</v>
      </c>
      <c r="F102" s="29"/>
      <c r="G102" s="21" t="str">
        <f>IFERROR(VLOOKUP(A102, 'Price Sheet'!$A$2:$B1010, 2, false), "")</f>
        <v/>
      </c>
      <c r="J102" s="21" t="str">
        <f t="shared" si="3"/>
        <v/>
      </c>
      <c r="K102" s="29"/>
      <c r="L102" s="29" t="b">
        <v>0</v>
      </c>
      <c r="M102" s="29"/>
      <c r="N102" s="21" t="str">
        <f>IFERROR(VLOOKUP(I102, 'Price Sheet'!$A$2:$B1010, 2, false), "")</f>
        <v/>
      </c>
    </row>
    <row r="103">
      <c r="B103" s="21" t="str">
        <f t="shared" si="4"/>
        <v/>
      </c>
      <c r="C103" s="29"/>
      <c r="D103" s="29"/>
      <c r="E103" s="29" t="b">
        <v>0</v>
      </c>
      <c r="F103" s="29"/>
      <c r="G103" s="21" t="str">
        <f>IFERROR(VLOOKUP(A103, 'Price Sheet'!$A$2:$B1010, 2, false), "")</f>
        <v/>
      </c>
      <c r="J103" s="21" t="str">
        <f t="shared" si="3"/>
        <v/>
      </c>
      <c r="K103" s="29"/>
      <c r="L103" s="29" t="b">
        <v>0</v>
      </c>
      <c r="M103" s="29"/>
      <c r="N103" s="21" t="str">
        <f>IFERROR(VLOOKUP(I103, 'Price Sheet'!$A$2:$B1010, 2, false), "")</f>
        <v/>
      </c>
    </row>
    <row r="104">
      <c r="B104" s="21" t="str">
        <f t="shared" si="4"/>
        <v/>
      </c>
      <c r="C104" s="29"/>
      <c r="D104" s="29"/>
      <c r="E104" s="29" t="b">
        <v>0</v>
      </c>
      <c r="F104" s="29"/>
      <c r="G104" s="21" t="str">
        <f>IFERROR(VLOOKUP(A104, 'Price Sheet'!$A$2:$B1010, 2, false), "")</f>
        <v/>
      </c>
      <c r="J104" s="21" t="str">
        <f t="shared" si="3"/>
        <v/>
      </c>
      <c r="K104" s="29"/>
      <c r="L104" s="29" t="b">
        <v>0</v>
      </c>
      <c r="M104" s="29"/>
      <c r="N104" s="21" t="str">
        <f>IFERROR(VLOOKUP(I104, 'Price Sheet'!$A$2:$B1010, 2, false), "")</f>
        <v/>
      </c>
    </row>
    <row r="105">
      <c r="B105" s="21" t="str">
        <f t="shared" si="4"/>
        <v/>
      </c>
      <c r="C105" s="29"/>
      <c r="D105" s="29"/>
      <c r="E105" s="29" t="b">
        <v>0</v>
      </c>
      <c r="F105" s="29"/>
      <c r="G105" s="21" t="str">
        <f>IFERROR(VLOOKUP(A105, 'Price Sheet'!$A$2:$B1010, 2, false), "")</f>
        <v/>
      </c>
      <c r="J105" s="21" t="str">
        <f t="shared" si="3"/>
        <v/>
      </c>
      <c r="K105" s="29"/>
      <c r="L105" s="29" t="b">
        <v>0</v>
      </c>
      <c r="M105" s="29"/>
      <c r="N105" s="21" t="str">
        <f>IFERROR(VLOOKUP(I105, 'Price Sheet'!$A$2:$B1010, 2, false), "")</f>
        <v/>
      </c>
    </row>
    <row r="106">
      <c r="B106" s="21" t="str">
        <f t="shared" si="4"/>
        <v/>
      </c>
      <c r="C106" s="29"/>
      <c r="D106" s="29"/>
      <c r="E106" s="29" t="b">
        <v>0</v>
      </c>
      <c r="F106" s="29"/>
      <c r="G106" s="21" t="str">
        <f>IFERROR(VLOOKUP(A106, 'Price Sheet'!$A$2:$B1010, 2, false), "")</f>
        <v/>
      </c>
      <c r="J106" s="21" t="str">
        <f t="shared" si="3"/>
        <v/>
      </c>
      <c r="K106" s="29"/>
      <c r="L106" s="29" t="b">
        <v>0</v>
      </c>
      <c r="M106" s="29"/>
      <c r="N106" s="21" t="str">
        <f>IFERROR(VLOOKUP(I106, 'Price Sheet'!$A$2:$B1010, 2, false), "")</f>
        <v/>
      </c>
    </row>
    <row r="107">
      <c r="B107" s="21" t="str">
        <f t="shared" si="4"/>
        <v/>
      </c>
      <c r="C107" s="29"/>
      <c r="D107" s="29"/>
      <c r="E107" s="29" t="b">
        <v>0</v>
      </c>
      <c r="F107" s="29"/>
      <c r="G107" s="21" t="str">
        <f>IFERROR(VLOOKUP(A107, 'Price Sheet'!$A$2:$B1010, 2, false), "")</f>
        <v/>
      </c>
      <c r="J107" s="21" t="str">
        <f t="shared" si="3"/>
        <v/>
      </c>
      <c r="K107" s="29"/>
      <c r="L107" s="29" t="b">
        <v>0</v>
      </c>
      <c r="M107" s="29"/>
      <c r="N107" s="21" t="str">
        <f>IFERROR(VLOOKUP(I107, 'Price Sheet'!$A$2:$B1010, 2, false), "")</f>
        <v/>
      </c>
    </row>
    <row r="108">
      <c r="B108" s="21" t="str">
        <f t="shared" si="4"/>
        <v/>
      </c>
      <c r="C108" s="29"/>
      <c r="D108" s="29"/>
      <c r="E108" s="29" t="b">
        <v>0</v>
      </c>
      <c r="F108" s="29"/>
      <c r="G108" s="21" t="str">
        <f>IFERROR(VLOOKUP(A108, 'Price Sheet'!$A$2:$B1010, 2, false), "")</f>
        <v/>
      </c>
      <c r="J108" s="21" t="str">
        <f t="shared" si="3"/>
        <v/>
      </c>
      <c r="K108" s="29"/>
      <c r="L108" s="29" t="b">
        <v>0</v>
      </c>
      <c r="M108" s="29"/>
      <c r="N108" s="21" t="str">
        <f>IFERROR(VLOOKUP(I108, 'Price Sheet'!$A$2:$B1010, 2, false), "")</f>
        <v/>
      </c>
    </row>
    <row r="109">
      <c r="B109" s="21" t="str">
        <f t="shared" si="4"/>
        <v/>
      </c>
      <c r="C109" s="29"/>
      <c r="D109" s="29"/>
      <c r="E109" s="29" t="b">
        <v>0</v>
      </c>
      <c r="F109" s="29"/>
      <c r="G109" s="21" t="str">
        <f>IFERROR(VLOOKUP(A109, 'Price Sheet'!$A$2:$B1010, 2, false), "")</f>
        <v/>
      </c>
      <c r="J109" s="21" t="str">
        <f t="shared" si="3"/>
        <v/>
      </c>
      <c r="K109" s="29"/>
      <c r="L109" s="29" t="b">
        <v>0</v>
      </c>
      <c r="M109" s="29"/>
      <c r="N109" s="21" t="str">
        <f>IFERROR(VLOOKUP(I109, 'Price Sheet'!$A$2:$B1010, 2, false), "")</f>
        <v/>
      </c>
    </row>
    <row r="110">
      <c r="B110" s="21" t="str">
        <f t="shared" si="4"/>
        <v/>
      </c>
      <c r="C110" s="29"/>
      <c r="D110" s="29"/>
      <c r="E110" s="29" t="b">
        <v>0</v>
      </c>
      <c r="F110" s="29"/>
      <c r="G110" s="21" t="str">
        <f>IFERROR(VLOOKUP(A110, 'Price Sheet'!$A$2:$B1010, 2, false), "")</f>
        <v/>
      </c>
      <c r="J110" s="21" t="str">
        <f t="shared" si="3"/>
        <v/>
      </c>
      <c r="K110" s="29"/>
      <c r="L110" s="29" t="b">
        <v>0</v>
      </c>
      <c r="M110" s="29"/>
      <c r="N110" s="21" t="str">
        <f>IFERROR(VLOOKUP(I110, 'Price Sheet'!$A$2:$B1010, 2, false), "")</f>
        <v/>
      </c>
    </row>
    <row r="111">
      <c r="B111" s="21" t="str">
        <f t="shared" si="4"/>
        <v/>
      </c>
      <c r="C111" s="29"/>
      <c r="D111" s="29"/>
      <c r="E111" s="29" t="b">
        <v>0</v>
      </c>
      <c r="F111" s="29"/>
      <c r="G111" s="21" t="str">
        <f>IFERROR(VLOOKUP(A111, 'Price Sheet'!$A$2:$B1010, 2, false), "")</f>
        <v/>
      </c>
      <c r="J111" s="21" t="str">
        <f t="shared" si="3"/>
        <v/>
      </c>
      <c r="K111" s="29"/>
      <c r="L111" s="29" t="b">
        <v>0</v>
      </c>
      <c r="M111" s="29"/>
      <c r="N111" s="21" t="str">
        <f>IFERROR(VLOOKUP(I111, 'Price Sheet'!$A$2:$B1010, 2, false), "")</f>
        <v/>
      </c>
    </row>
    <row r="112">
      <c r="B112" s="21" t="str">
        <f t="shared" si="4"/>
        <v/>
      </c>
      <c r="C112" s="29"/>
      <c r="D112" s="29"/>
      <c r="E112" s="29" t="b">
        <v>0</v>
      </c>
      <c r="F112" s="29"/>
      <c r="G112" s="21" t="str">
        <f>IFERROR(VLOOKUP(A112, 'Price Sheet'!$A$2:$B1010, 2, false), "")</f>
        <v/>
      </c>
      <c r="J112" s="21" t="str">
        <f t="shared" si="3"/>
        <v/>
      </c>
      <c r="K112" s="29"/>
      <c r="L112" s="29" t="b">
        <v>0</v>
      </c>
      <c r="M112" s="29"/>
      <c r="N112" s="21" t="str">
        <f>IFERROR(VLOOKUP(I112, 'Price Sheet'!$A$2:$B1010, 2, false), "")</f>
        <v/>
      </c>
    </row>
    <row r="113">
      <c r="B113" s="21" t="str">
        <f t="shared" si="4"/>
        <v/>
      </c>
      <c r="C113" s="29"/>
      <c r="D113" s="29"/>
      <c r="E113" s="29" t="b">
        <v>0</v>
      </c>
      <c r="F113" s="29"/>
      <c r="G113" s="21" t="str">
        <f>IFERROR(VLOOKUP(A113, 'Price Sheet'!$A$2:$B1010, 2, false), "")</f>
        <v/>
      </c>
      <c r="J113" s="21" t="str">
        <f t="shared" si="3"/>
        <v/>
      </c>
      <c r="K113" s="29"/>
      <c r="L113" s="29" t="b">
        <v>0</v>
      </c>
      <c r="M113" s="29"/>
      <c r="N113" s="21" t="str">
        <f>IFERROR(VLOOKUP(I113, 'Price Sheet'!$A$2:$B1010, 2, false), "")</f>
        <v/>
      </c>
    </row>
    <row r="114">
      <c r="B114" s="21" t="str">
        <f t="shared" si="4"/>
        <v/>
      </c>
      <c r="C114" s="29"/>
      <c r="D114" s="29"/>
      <c r="E114" s="29" t="b">
        <v>0</v>
      </c>
      <c r="F114" s="29"/>
      <c r="G114" s="21" t="str">
        <f>IFERROR(VLOOKUP(A114, 'Price Sheet'!$A$2:$B1010, 2, false), "")</f>
        <v/>
      </c>
      <c r="J114" s="21" t="str">
        <f t="shared" si="3"/>
        <v/>
      </c>
      <c r="K114" s="29"/>
      <c r="L114" s="29" t="b">
        <v>0</v>
      </c>
      <c r="M114" s="29"/>
      <c r="N114" s="21" t="str">
        <f>IFERROR(VLOOKUP(I114, 'Price Sheet'!$A$2:$B1010, 2, false), "")</f>
        <v/>
      </c>
    </row>
    <row r="115">
      <c r="B115" s="21" t="str">
        <f t="shared" si="4"/>
        <v/>
      </c>
      <c r="C115" s="29"/>
      <c r="D115" s="29"/>
      <c r="E115" s="29" t="b">
        <v>0</v>
      </c>
      <c r="F115" s="29"/>
      <c r="G115" s="21" t="str">
        <f>IFERROR(VLOOKUP(A115, 'Price Sheet'!$A$2:$B1010, 2, false), "")</f>
        <v/>
      </c>
      <c r="J115" s="21" t="str">
        <f t="shared" si="3"/>
        <v/>
      </c>
      <c r="K115" s="29"/>
      <c r="L115" s="29" t="b">
        <v>0</v>
      </c>
      <c r="M115" s="29"/>
      <c r="N115" s="21" t="str">
        <f>IFERROR(VLOOKUP(I115, 'Price Sheet'!$A$2:$B1010, 2, false), "")</f>
        <v/>
      </c>
    </row>
    <row r="116">
      <c r="B116" s="21" t="str">
        <f t="shared" si="4"/>
        <v/>
      </c>
      <c r="C116" s="29"/>
      <c r="D116" s="29"/>
      <c r="E116" s="29" t="b">
        <v>0</v>
      </c>
      <c r="F116" s="29"/>
      <c r="G116" s="21" t="str">
        <f>IFERROR(VLOOKUP(A116, 'Price Sheet'!$A$2:$B1010, 2, false), "")</f>
        <v/>
      </c>
      <c r="J116" s="21" t="str">
        <f t="shared" si="3"/>
        <v/>
      </c>
      <c r="K116" s="29"/>
      <c r="L116" s="29" t="b">
        <v>0</v>
      </c>
      <c r="M116" s="29"/>
      <c r="N116" s="21" t="str">
        <f>IFERROR(VLOOKUP(I116, 'Price Sheet'!$A$2:$B1010, 2, false), "")</f>
        <v/>
      </c>
    </row>
    <row r="117">
      <c r="B117" s="21" t="str">
        <f t="shared" si="4"/>
        <v/>
      </c>
      <c r="C117" s="29"/>
      <c r="D117" s="29"/>
      <c r="E117" s="29" t="b">
        <v>0</v>
      </c>
      <c r="F117" s="29"/>
      <c r="G117" s="21" t="str">
        <f>IFERROR(VLOOKUP(A117, 'Price Sheet'!$A$2:$B1010, 2, false), "")</f>
        <v/>
      </c>
      <c r="J117" s="21" t="str">
        <f t="shared" si="3"/>
        <v/>
      </c>
      <c r="K117" s="29"/>
      <c r="L117" s="29" t="b">
        <v>0</v>
      </c>
      <c r="M117" s="29"/>
      <c r="N117" s="21" t="str">
        <f>IFERROR(VLOOKUP(I117, 'Price Sheet'!$A$2:$B1010, 2, false), "")</f>
        <v/>
      </c>
    </row>
    <row r="118">
      <c r="B118" s="21" t="str">
        <f t="shared" si="4"/>
        <v/>
      </c>
      <c r="C118" s="29"/>
      <c r="D118" s="29"/>
      <c r="E118" s="29" t="b">
        <v>0</v>
      </c>
      <c r="F118" s="29"/>
      <c r="G118" s="21" t="str">
        <f>IFERROR(VLOOKUP(A118, 'Price Sheet'!$A$2:$B1010, 2, false), "")</f>
        <v/>
      </c>
      <c r="J118" s="21" t="str">
        <f t="shared" si="3"/>
        <v/>
      </c>
      <c r="K118" s="29"/>
      <c r="L118" s="29" t="b">
        <v>0</v>
      </c>
      <c r="M118" s="29"/>
      <c r="N118" s="21" t="str">
        <f>IFERROR(VLOOKUP(I118, 'Price Sheet'!$A$2:$B1010, 2, false), "")</f>
        <v/>
      </c>
    </row>
    <row r="119">
      <c r="B119" s="21" t="str">
        <f t="shared" si="4"/>
        <v/>
      </c>
      <c r="C119" s="29"/>
      <c r="D119" s="29"/>
      <c r="E119" s="29" t="b">
        <v>0</v>
      </c>
      <c r="F119" s="29"/>
      <c r="G119" s="21" t="str">
        <f>IFERROR(VLOOKUP(A119, 'Price Sheet'!$A$2:$B1010, 2, false), "")</f>
        <v/>
      </c>
      <c r="J119" s="21" t="str">
        <f t="shared" si="3"/>
        <v/>
      </c>
      <c r="K119" s="29"/>
      <c r="L119" s="29" t="b">
        <v>0</v>
      </c>
      <c r="M119" s="29"/>
      <c r="N119" s="21" t="str">
        <f>IFERROR(VLOOKUP(I119, 'Price Sheet'!$A$2:$B1010, 2, false), "")</f>
        <v/>
      </c>
    </row>
    <row r="120">
      <c r="B120" s="21" t="str">
        <f t="shared" si="4"/>
        <v/>
      </c>
      <c r="C120" s="29"/>
      <c r="D120" s="29"/>
      <c r="E120" s="29" t="b">
        <v>0</v>
      </c>
      <c r="F120" s="29"/>
      <c r="G120" s="21" t="str">
        <f>IFERROR(VLOOKUP(A120, 'Price Sheet'!$A$2:$B1010, 2, false), "")</f>
        <v/>
      </c>
      <c r="J120" s="21" t="str">
        <f t="shared" si="3"/>
        <v/>
      </c>
      <c r="K120" s="29"/>
      <c r="L120" s="29" t="b">
        <v>0</v>
      </c>
      <c r="M120" s="29"/>
      <c r="N120" s="21" t="str">
        <f>IFERROR(VLOOKUP(I120, 'Price Sheet'!$A$2:$B1010, 2, false), "")</f>
        <v/>
      </c>
    </row>
    <row r="121">
      <c r="B121" s="21" t="str">
        <f t="shared" si="4"/>
        <v/>
      </c>
      <c r="C121" s="29"/>
      <c r="D121" s="29"/>
      <c r="E121" s="29" t="b">
        <v>0</v>
      </c>
      <c r="F121" s="29"/>
      <c r="G121" s="21" t="str">
        <f>IFERROR(VLOOKUP(A121, 'Price Sheet'!$A$2:$B1010, 2, false), "")</f>
        <v/>
      </c>
      <c r="J121" s="21" t="str">
        <f t="shared" si="3"/>
        <v/>
      </c>
      <c r="K121" s="29"/>
      <c r="L121" s="29" t="b">
        <v>0</v>
      </c>
      <c r="M121" s="29"/>
      <c r="N121" s="21" t="str">
        <f>IFERROR(VLOOKUP(I121, 'Price Sheet'!$A$2:$B1010, 2, false), "")</f>
        <v/>
      </c>
    </row>
    <row r="122">
      <c r="B122" s="21" t="str">
        <f t="shared" si="4"/>
        <v/>
      </c>
      <c r="C122" s="29"/>
      <c r="D122" s="29"/>
      <c r="E122" s="29" t="b">
        <v>0</v>
      </c>
      <c r="F122" s="29"/>
      <c r="G122" s="21" t="str">
        <f>IFERROR(VLOOKUP(A122, 'Price Sheet'!$A$2:$B1010, 2, false), "")</f>
        <v/>
      </c>
      <c r="J122" s="21" t="str">
        <f t="shared" si="3"/>
        <v/>
      </c>
      <c r="K122" s="29"/>
      <c r="L122" s="29" t="b">
        <v>0</v>
      </c>
      <c r="M122" s="29"/>
      <c r="N122" s="21" t="str">
        <f>IFERROR(VLOOKUP(I122, 'Price Sheet'!$A$2:$B1010, 2, false), "")</f>
        <v/>
      </c>
    </row>
    <row r="123">
      <c r="B123" s="21" t="str">
        <f t="shared" si="4"/>
        <v/>
      </c>
      <c r="C123" s="29"/>
      <c r="D123" s="29"/>
      <c r="E123" s="29" t="b">
        <v>0</v>
      </c>
      <c r="F123" s="29"/>
      <c r="G123" s="21" t="str">
        <f>IFERROR(VLOOKUP(A123, 'Price Sheet'!$A$2:$B1010, 2, false), "")</f>
        <v/>
      </c>
      <c r="J123" s="21" t="str">
        <f t="shared" si="3"/>
        <v/>
      </c>
      <c r="K123" s="29"/>
      <c r="L123" s="29" t="b">
        <v>0</v>
      </c>
      <c r="M123" s="29"/>
      <c r="N123" s="21" t="str">
        <f>IFERROR(VLOOKUP(I123, 'Price Sheet'!$A$2:$B1010, 2, false), "")</f>
        <v/>
      </c>
    </row>
    <row r="124">
      <c r="B124" s="21" t="str">
        <f t="shared" si="4"/>
        <v/>
      </c>
      <c r="C124" s="29"/>
      <c r="D124" s="29"/>
      <c r="E124" s="29" t="b">
        <v>0</v>
      </c>
      <c r="F124" s="29"/>
      <c r="G124" s="21" t="str">
        <f>IFERROR(VLOOKUP(A124, 'Price Sheet'!$A$2:$B1010, 2, false), "")</f>
        <v/>
      </c>
      <c r="J124" s="21" t="str">
        <f t="shared" si="3"/>
        <v/>
      </c>
      <c r="K124" s="29"/>
      <c r="L124" s="29" t="b">
        <v>0</v>
      </c>
      <c r="M124" s="29"/>
      <c r="N124" s="21" t="str">
        <f>IFERROR(VLOOKUP(I124, 'Price Sheet'!$A$2:$B1010, 2, false), "")</f>
        <v/>
      </c>
    </row>
    <row r="125">
      <c r="B125" s="21" t="str">
        <f t="shared" si="4"/>
        <v/>
      </c>
      <c r="C125" s="29"/>
      <c r="D125" s="29"/>
      <c r="E125" s="29" t="b">
        <v>0</v>
      </c>
      <c r="F125" s="29"/>
      <c r="G125" s="21" t="str">
        <f>IFERROR(VLOOKUP(A125, 'Price Sheet'!$A$2:$B1010, 2, false), "")</f>
        <v/>
      </c>
      <c r="J125" s="21" t="str">
        <f t="shared" si="3"/>
        <v/>
      </c>
      <c r="K125" s="29"/>
      <c r="L125" s="29" t="b">
        <v>0</v>
      </c>
      <c r="M125" s="29"/>
      <c r="N125" s="21" t="str">
        <f>IFERROR(VLOOKUP(I125, 'Price Sheet'!$A$2:$B1010, 2, false), "")</f>
        <v/>
      </c>
    </row>
    <row r="126">
      <c r="B126" s="21" t="str">
        <f t="shared" si="4"/>
        <v/>
      </c>
      <c r="C126" s="29"/>
      <c r="D126" s="29"/>
      <c r="E126" s="29" t="b">
        <v>0</v>
      </c>
      <c r="F126" s="29"/>
      <c r="G126" s="21" t="str">
        <f>IFERROR(VLOOKUP(A126, 'Price Sheet'!$A$2:$B1010, 2, false), "")</f>
        <v/>
      </c>
      <c r="J126" s="21" t="str">
        <f t="shared" si="3"/>
        <v/>
      </c>
      <c r="K126" s="29"/>
      <c r="L126" s="29" t="b">
        <v>0</v>
      </c>
      <c r="M126" s="29"/>
      <c r="N126" s="21" t="str">
        <f>IFERROR(VLOOKUP(I126, 'Price Sheet'!$A$2:$B1010, 2, false), "")</f>
        <v/>
      </c>
    </row>
    <row r="127">
      <c r="B127" s="21" t="str">
        <f t="shared" si="4"/>
        <v/>
      </c>
      <c r="C127" s="29"/>
      <c r="D127" s="29"/>
      <c r="E127" s="29" t="b">
        <v>0</v>
      </c>
      <c r="F127" s="29"/>
      <c r="G127" s="21" t="str">
        <f>IFERROR(VLOOKUP(A127, 'Price Sheet'!$A$2:$B1010, 2, false), "")</f>
        <v/>
      </c>
      <c r="J127" s="21" t="str">
        <f t="shared" si="3"/>
        <v/>
      </c>
      <c r="K127" s="29"/>
      <c r="L127" s="29" t="b">
        <v>0</v>
      </c>
      <c r="M127" s="29"/>
      <c r="N127" s="21" t="str">
        <f>IFERROR(VLOOKUP(I127, 'Price Sheet'!$A$2:$B1010, 2, false), "")</f>
        <v/>
      </c>
    </row>
    <row r="128">
      <c r="B128" s="21" t="str">
        <f t="shared" si="4"/>
        <v/>
      </c>
      <c r="C128" s="29"/>
      <c r="D128" s="29"/>
      <c r="E128" s="29" t="b">
        <v>0</v>
      </c>
      <c r="F128" s="29"/>
      <c r="G128" s="21" t="str">
        <f>IFERROR(VLOOKUP(A128, 'Price Sheet'!$A$2:$B1010, 2, false), "")</f>
        <v/>
      </c>
      <c r="J128" s="21" t="str">
        <f t="shared" si="3"/>
        <v/>
      </c>
      <c r="K128" s="29"/>
      <c r="L128" s="29" t="b">
        <v>0</v>
      </c>
      <c r="M128" s="29"/>
      <c r="N128" s="21" t="str">
        <f>IFERROR(VLOOKUP(I128, 'Price Sheet'!$A$2:$B1010, 2, false), "")</f>
        <v/>
      </c>
    </row>
    <row r="129">
      <c r="B129" s="21" t="str">
        <f t="shared" si="4"/>
        <v/>
      </c>
      <c r="C129" s="29"/>
      <c r="D129" s="29"/>
      <c r="E129" s="29" t="b">
        <v>0</v>
      </c>
      <c r="F129" s="29"/>
      <c r="G129" s="21" t="str">
        <f>IFERROR(VLOOKUP(A129, 'Price Sheet'!$A$2:$B1010, 2, false), "")</f>
        <v/>
      </c>
      <c r="J129" s="21" t="str">
        <f t="shared" si="3"/>
        <v/>
      </c>
      <c r="K129" s="29"/>
      <c r="L129" s="29" t="b">
        <v>0</v>
      </c>
      <c r="M129" s="29"/>
      <c r="N129" s="21" t="str">
        <f>IFERROR(VLOOKUP(I129, 'Price Sheet'!$A$2:$B1010, 2, false), "")</f>
        <v/>
      </c>
    </row>
    <row r="130">
      <c r="B130" s="21" t="str">
        <f t="shared" si="4"/>
        <v/>
      </c>
      <c r="C130" s="29"/>
      <c r="D130" s="29"/>
      <c r="E130" s="29" t="b">
        <v>0</v>
      </c>
      <c r="F130" s="29"/>
      <c r="G130" s="21" t="str">
        <f>IFERROR(VLOOKUP(A130, 'Price Sheet'!$A$2:$B1010, 2, false), "")</f>
        <v/>
      </c>
      <c r="J130" s="21" t="str">
        <f t="shared" si="3"/>
        <v/>
      </c>
      <c r="K130" s="29"/>
      <c r="L130" s="29" t="b">
        <v>0</v>
      </c>
      <c r="M130" s="29"/>
      <c r="N130" s="21" t="str">
        <f>IFERROR(VLOOKUP(I130, 'Price Sheet'!$A$2:$B1010, 2, false), "")</f>
        <v/>
      </c>
    </row>
    <row r="131">
      <c r="B131" s="21" t="str">
        <f t="shared" si="4"/>
        <v/>
      </c>
      <c r="C131" s="29"/>
      <c r="D131" s="29"/>
      <c r="E131" s="29" t="b">
        <v>0</v>
      </c>
      <c r="F131" s="29"/>
      <c r="G131" s="21" t="str">
        <f>IFERROR(VLOOKUP(A131, 'Price Sheet'!$A$2:$B1010, 2, false), "")</f>
        <v/>
      </c>
      <c r="J131" s="21" t="str">
        <f t="shared" si="3"/>
        <v/>
      </c>
      <c r="K131" s="29"/>
      <c r="L131" s="29" t="b">
        <v>0</v>
      </c>
      <c r="M131" s="29"/>
      <c r="N131" s="21" t="str">
        <f>IFERROR(VLOOKUP(I131, 'Price Sheet'!$A$2:$B1010, 2, false), "")</f>
        <v/>
      </c>
    </row>
    <row r="132">
      <c r="B132" s="21" t="str">
        <f t="shared" si="4"/>
        <v/>
      </c>
      <c r="C132" s="29"/>
      <c r="D132" s="29"/>
      <c r="E132" s="29" t="b">
        <v>0</v>
      </c>
      <c r="F132" s="29"/>
      <c r="G132" s="21" t="str">
        <f>IFERROR(VLOOKUP(A132, 'Price Sheet'!$A$2:$B1010, 2, false), "")</f>
        <v/>
      </c>
      <c r="J132" s="21" t="str">
        <f t="shared" si="3"/>
        <v/>
      </c>
      <c r="K132" s="29"/>
      <c r="L132" s="29" t="b">
        <v>0</v>
      </c>
      <c r="M132" s="29"/>
      <c r="N132" s="21" t="str">
        <f>IFERROR(VLOOKUP(I132, 'Price Sheet'!$A$2:$B1010, 2, false), "")</f>
        <v/>
      </c>
    </row>
    <row r="133">
      <c r="B133" s="21" t="str">
        <f t="shared" si="4"/>
        <v/>
      </c>
      <c r="C133" s="29"/>
      <c r="D133" s="29"/>
      <c r="E133" s="29" t="b">
        <v>0</v>
      </c>
      <c r="F133" s="29"/>
      <c r="G133" s="21" t="str">
        <f>IFERROR(VLOOKUP(A133, 'Price Sheet'!$A$2:$B1010, 2, false), "")</f>
        <v/>
      </c>
      <c r="J133" s="21" t="str">
        <f t="shared" si="3"/>
        <v/>
      </c>
      <c r="K133" s="29"/>
      <c r="L133" s="29" t="b">
        <v>0</v>
      </c>
      <c r="M133" s="29"/>
      <c r="N133" s="21" t="str">
        <f>IFERROR(VLOOKUP(I133, 'Price Sheet'!$A$2:$B1010, 2, false), "")</f>
        <v/>
      </c>
    </row>
    <row r="134">
      <c r="B134" s="21" t="str">
        <f t="shared" si="4"/>
        <v/>
      </c>
      <c r="C134" s="29"/>
      <c r="D134" s="29"/>
      <c r="E134" s="29" t="b">
        <v>0</v>
      </c>
      <c r="F134" s="29"/>
      <c r="G134" s="21" t="str">
        <f>IFERROR(VLOOKUP(A134, 'Price Sheet'!$A$2:$B1010, 2, false), "")</f>
        <v/>
      </c>
      <c r="J134" s="21" t="str">
        <f t="shared" si="3"/>
        <v/>
      </c>
      <c r="K134" s="29"/>
      <c r="L134" s="29" t="b">
        <v>0</v>
      </c>
      <c r="M134" s="29"/>
      <c r="N134" s="21" t="str">
        <f>IFERROR(VLOOKUP(I134, 'Price Sheet'!$A$2:$B1010, 2, false), "")</f>
        <v/>
      </c>
    </row>
    <row r="135">
      <c r="B135" s="21" t="str">
        <f t="shared" si="4"/>
        <v/>
      </c>
      <c r="C135" s="29"/>
      <c r="D135" s="29"/>
      <c r="E135" s="29" t="b">
        <v>0</v>
      </c>
      <c r="F135" s="29"/>
      <c r="G135" s="21" t="str">
        <f>IFERROR(VLOOKUP(A135, 'Price Sheet'!$A$2:$B1010, 2, false), "")</f>
        <v/>
      </c>
      <c r="J135" s="21" t="str">
        <f t="shared" si="3"/>
        <v/>
      </c>
      <c r="K135" s="29"/>
      <c r="L135" s="29" t="b">
        <v>0</v>
      </c>
      <c r="M135" s="29"/>
      <c r="N135" s="21" t="str">
        <f>IFERROR(VLOOKUP(I135, 'Price Sheet'!$A$2:$B1010, 2, false), "")</f>
        <v/>
      </c>
    </row>
    <row r="136">
      <c r="B136" s="21" t="str">
        <f t="shared" si="4"/>
        <v/>
      </c>
      <c r="C136" s="29"/>
      <c r="D136" s="29"/>
      <c r="E136" s="29" t="b">
        <v>0</v>
      </c>
      <c r="F136" s="29"/>
      <c r="G136" s="21" t="str">
        <f>IFERROR(VLOOKUP(A136, 'Price Sheet'!$A$2:$B1010, 2, false), "")</f>
        <v/>
      </c>
      <c r="J136" s="21" t="str">
        <f t="shared" si="3"/>
        <v/>
      </c>
      <c r="K136" s="29"/>
      <c r="L136" s="29" t="b">
        <v>0</v>
      </c>
      <c r="M136" s="29"/>
      <c r="N136" s="21" t="str">
        <f>IFERROR(VLOOKUP(I136, 'Price Sheet'!$A$2:$B1010, 2, false), "")</f>
        <v/>
      </c>
    </row>
    <row r="137">
      <c r="B137" s="21" t="str">
        <f t="shared" si="4"/>
        <v/>
      </c>
      <c r="C137" s="29"/>
      <c r="D137" s="29"/>
      <c r="E137" s="29" t="b">
        <v>0</v>
      </c>
      <c r="F137" s="29"/>
      <c r="G137" s="21" t="str">
        <f>IFERROR(VLOOKUP(A137, 'Price Sheet'!$A$2:$B1010, 2, false), "")</f>
        <v/>
      </c>
      <c r="J137" s="21" t="str">
        <f t="shared" si="3"/>
        <v/>
      </c>
      <c r="K137" s="29"/>
      <c r="L137" s="29" t="b">
        <v>0</v>
      </c>
      <c r="M137" s="29"/>
      <c r="N137" s="21" t="str">
        <f>IFERROR(VLOOKUP(I137, 'Price Sheet'!$A$2:$B1010, 2, false), "")</f>
        <v/>
      </c>
    </row>
    <row r="138">
      <c r="B138" s="21" t="str">
        <f t="shared" si="4"/>
        <v/>
      </c>
      <c r="C138" s="29"/>
      <c r="D138" s="29"/>
      <c r="E138" s="29" t="b">
        <v>0</v>
      </c>
      <c r="F138" s="29"/>
      <c r="G138" s="21" t="str">
        <f>IFERROR(VLOOKUP(A138, 'Price Sheet'!$A$2:$B1010, 2, false), "")</f>
        <v/>
      </c>
      <c r="J138" s="21" t="str">
        <f t="shared" si="3"/>
        <v/>
      </c>
      <c r="K138" s="29"/>
      <c r="L138" s="29" t="b">
        <v>0</v>
      </c>
      <c r="M138" s="29"/>
      <c r="N138" s="21" t="str">
        <f>IFERROR(VLOOKUP(I138, 'Price Sheet'!$A$2:$B1010, 2, false), "")</f>
        <v/>
      </c>
    </row>
    <row r="139">
      <c r="B139" s="21" t="str">
        <f t="shared" si="4"/>
        <v/>
      </c>
      <c r="C139" s="29"/>
      <c r="D139" s="29"/>
      <c r="E139" s="29" t="b">
        <v>0</v>
      </c>
      <c r="F139" s="29"/>
      <c r="G139" s="21" t="str">
        <f>IFERROR(VLOOKUP(A139, 'Price Sheet'!$A$2:$B1010, 2, false), "")</f>
        <v/>
      </c>
      <c r="J139" s="21" t="str">
        <f t="shared" si="3"/>
        <v/>
      </c>
      <c r="K139" s="29"/>
      <c r="L139" s="29" t="b">
        <v>0</v>
      </c>
      <c r="M139" s="29"/>
      <c r="N139" s="21" t="str">
        <f>IFERROR(VLOOKUP(I139, 'Price Sheet'!$A$2:$B1010, 2, false), "")</f>
        <v/>
      </c>
    </row>
    <row r="140">
      <c r="B140" s="21" t="str">
        <f t="shared" si="4"/>
        <v/>
      </c>
      <c r="C140" s="29"/>
      <c r="D140" s="29"/>
      <c r="E140" s="29" t="b">
        <v>0</v>
      </c>
      <c r="F140" s="29"/>
      <c r="G140" s="21" t="str">
        <f>IFERROR(VLOOKUP(A140, 'Price Sheet'!$A$2:$B1010, 2, false), "")</f>
        <v/>
      </c>
      <c r="J140" s="21" t="str">
        <f t="shared" si="3"/>
        <v/>
      </c>
      <c r="K140" s="29"/>
      <c r="L140" s="29" t="b">
        <v>0</v>
      </c>
      <c r="M140" s="29"/>
      <c r="N140" s="21" t="str">
        <f>IFERROR(VLOOKUP(I140, 'Price Sheet'!$A$2:$B1010, 2, false), "")</f>
        <v/>
      </c>
    </row>
    <row r="141">
      <c r="B141" s="21" t="str">
        <f t="shared" si="4"/>
        <v/>
      </c>
      <c r="C141" s="29"/>
      <c r="D141" s="29"/>
      <c r="E141" s="29" t="b">
        <v>0</v>
      </c>
      <c r="F141" s="29"/>
      <c r="G141" s="21" t="str">
        <f>IFERROR(VLOOKUP(A141, 'Price Sheet'!$A$2:$B1010, 2, false), "")</f>
        <v/>
      </c>
      <c r="J141" s="21" t="str">
        <f t="shared" si="3"/>
        <v/>
      </c>
      <c r="K141" s="29"/>
      <c r="L141" s="29" t="b">
        <v>0</v>
      </c>
      <c r="M141" s="29"/>
      <c r="N141" s="21" t="str">
        <f>IFERROR(VLOOKUP(I141, 'Price Sheet'!$A$2:$B1010, 2, false), "")</f>
        <v/>
      </c>
    </row>
    <row r="142">
      <c r="B142" s="21" t="str">
        <f t="shared" si="4"/>
        <v/>
      </c>
      <c r="C142" s="29"/>
      <c r="D142" s="29"/>
      <c r="E142" s="29" t="b">
        <v>0</v>
      </c>
      <c r="F142" s="29"/>
      <c r="G142" s="21" t="str">
        <f>IFERROR(VLOOKUP(A142, 'Price Sheet'!$A$2:$B1010, 2, false), "")</f>
        <v/>
      </c>
      <c r="J142" s="21" t="str">
        <f t="shared" si="3"/>
        <v/>
      </c>
      <c r="K142" s="29"/>
      <c r="L142" s="29" t="b">
        <v>0</v>
      </c>
      <c r="M142" s="29"/>
      <c r="N142" s="21" t="str">
        <f>IFERROR(VLOOKUP(I142, 'Price Sheet'!$A$2:$B1010, 2, false), "")</f>
        <v/>
      </c>
    </row>
    <row r="143">
      <c r="B143" s="21" t="str">
        <f t="shared" si="4"/>
        <v/>
      </c>
      <c r="C143" s="29"/>
      <c r="D143" s="29"/>
      <c r="E143" s="29" t="b">
        <v>0</v>
      </c>
      <c r="F143" s="29"/>
      <c r="G143" s="21" t="str">
        <f>IFERROR(VLOOKUP(A143, 'Price Sheet'!$A$2:$B1010, 2, false), "")</f>
        <v/>
      </c>
      <c r="J143" s="21" t="str">
        <f t="shared" si="3"/>
        <v/>
      </c>
      <c r="K143" s="29"/>
      <c r="L143" s="29" t="b">
        <v>0</v>
      </c>
      <c r="M143" s="29"/>
      <c r="N143" s="21" t="str">
        <f>IFERROR(VLOOKUP(I143, 'Price Sheet'!$A$2:$B1010, 2, false), "")</f>
        <v/>
      </c>
    </row>
    <row r="144">
      <c r="B144" s="21" t="str">
        <f t="shared" si="4"/>
        <v/>
      </c>
      <c r="C144" s="29"/>
      <c r="D144" s="29"/>
      <c r="E144" s="29" t="b">
        <v>0</v>
      </c>
      <c r="F144" s="29"/>
      <c r="G144" s="21" t="str">
        <f>IFERROR(VLOOKUP(A144, 'Price Sheet'!$A$2:$B1010, 2, false), "")</f>
        <v/>
      </c>
      <c r="J144" s="21" t="str">
        <f t="shared" si="3"/>
        <v/>
      </c>
      <c r="K144" s="29"/>
      <c r="L144" s="29" t="b">
        <v>0</v>
      </c>
      <c r="M144" s="29"/>
      <c r="N144" s="21" t="str">
        <f>IFERROR(VLOOKUP(I144, 'Price Sheet'!$A$2:$B1010, 2, false), "")</f>
        <v/>
      </c>
    </row>
    <row r="145">
      <c r="B145" s="21" t="str">
        <f t="shared" si="4"/>
        <v/>
      </c>
      <c r="C145" s="29"/>
      <c r="D145" s="29"/>
      <c r="E145" s="29" t="b">
        <v>0</v>
      </c>
      <c r="F145" s="29"/>
      <c r="G145" s="21" t="str">
        <f>IFERROR(VLOOKUP(A145, 'Price Sheet'!$A$2:$B1010, 2, false), "")</f>
        <v/>
      </c>
      <c r="J145" s="21" t="str">
        <f t="shared" si="3"/>
        <v/>
      </c>
      <c r="K145" s="29"/>
      <c r="L145" s="29" t="b">
        <v>0</v>
      </c>
      <c r="M145" s="29"/>
      <c r="N145" s="21" t="str">
        <f>IFERROR(VLOOKUP(I145, 'Price Sheet'!$A$2:$B1010, 2, false), "")</f>
        <v/>
      </c>
    </row>
    <row r="146">
      <c r="B146" s="21" t="str">
        <f t="shared" si="4"/>
        <v/>
      </c>
      <c r="C146" s="29"/>
      <c r="D146" s="29"/>
      <c r="E146" s="29" t="b">
        <v>0</v>
      </c>
      <c r="F146" s="29"/>
      <c r="G146" s="21" t="str">
        <f>IFERROR(VLOOKUP(A146, 'Price Sheet'!$A$2:$B1010, 2, false), "")</f>
        <v/>
      </c>
      <c r="J146" s="21" t="str">
        <f t="shared" si="3"/>
        <v/>
      </c>
      <c r="K146" s="29"/>
      <c r="L146" s="29" t="b">
        <v>0</v>
      </c>
      <c r="M146" s="29"/>
      <c r="N146" s="21" t="str">
        <f>IFERROR(VLOOKUP(I146, 'Price Sheet'!$A$2:$B1010, 2, false), "")</f>
        <v/>
      </c>
    </row>
    <row r="147">
      <c r="B147" s="21" t="str">
        <f t="shared" si="4"/>
        <v/>
      </c>
      <c r="C147" s="29"/>
      <c r="D147" s="29"/>
      <c r="E147" s="29" t="b">
        <v>0</v>
      </c>
      <c r="F147" s="29"/>
      <c r="G147" s="21" t="str">
        <f>IFERROR(VLOOKUP(A147, 'Price Sheet'!$A$2:$B1010, 2, false), "")</f>
        <v/>
      </c>
      <c r="J147" s="21" t="str">
        <f t="shared" si="3"/>
        <v/>
      </c>
      <c r="K147" s="29"/>
      <c r="L147" s="29" t="b">
        <v>0</v>
      </c>
      <c r="M147" s="29"/>
      <c r="N147" s="21" t="str">
        <f>IFERROR(VLOOKUP(I147, 'Price Sheet'!$A$2:$B1010, 2, false), "")</f>
        <v/>
      </c>
    </row>
    <row r="148">
      <c r="B148" s="21" t="str">
        <f t="shared" si="4"/>
        <v/>
      </c>
      <c r="C148" s="29"/>
      <c r="D148" s="29"/>
      <c r="E148" s="29" t="b">
        <v>0</v>
      </c>
      <c r="F148" s="29"/>
      <c r="G148" s="21" t="str">
        <f>IFERROR(VLOOKUP(A148, 'Price Sheet'!$A$2:$B1010, 2, false), "")</f>
        <v/>
      </c>
      <c r="J148" s="21" t="str">
        <f t="shared" si="3"/>
        <v/>
      </c>
      <c r="K148" s="29"/>
      <c r="L148" s="29" t="b">
        <v>0</v>
      </c>
      <c r="M148" s="29"/>
      <c r="N148" s="21" t="str">
        <f>IFERROR(VLOOKUP(I148, 'Price Sheet'!$A$2:$B1010, 2, false), "")</f>
        <v/>
      </c>
    </row>
    <row r="149">
      <c r="B149" s="21" t="str">
        <f t="shared" si="4"/>
        <v/>
      </c>
      <c r="C149" s="29"/>
      <c r="D149" s="29"/>
      <c r="E149" s="29" t="b">
        <v>0</v>
      </c>
      <c r="F149" s="29"/>
      <c r="G149" s="21" t="str">
        <f>IFERROR(VLOOKUP(A149, 'Price Sheet'!$A$2:$B1010, 2, false), "")</f>
        <v/>
      </c>
      <c r="J149" s="21" t="str">
        <f t="shared" si="3"/>
        <v/>
      </c>
      <c r="K149" s="29"/>
      <c r="L149" s="29" t="b">
        <v>0</v>
      </c>
      <c r="M149" s="29"/>
      <c r="N149" s="21" t="str">
        <f>IFERROR(VLOOKUP(I149, 'Price Sheet'!$A$2:$B1010, 2, false), "")</f>
        <v/>
      </c>
    </row>
    <row r="150">
      <c r="B150" s="21" t="str">
        <f t="shared" si="4"/>
        <v/>
      </c>
      <c r="C150" s="29"/>
      <c r="D150" s="29"/>
      <c r="E150" s="29" t="b">
        <v>0</v>
      </c>
      <c r="F150" s="29"/>
      <c r="G150" s="21" t="str">
        <f>IFERROR(VLOOKUP(A150, 'Price Sheet'!$A$2:$B1010, 2, false), "")</f>
        <v/>
      </c>
      <c r="J150" s="21" t="str">
        <f t="shared" si="3"/>
        <v/>
      </c>
      <c r="K150" s="29"/>
      <c r="L150" s="29" t="b">
        <v>0</v>
      </c>
      <c r="M150" s="29"/>
      <c r="N150" s="21" t="str">
        <f>IFERROR(VLOOKUP(I150, 'Price Sheet'!$A$2:$B1010, 2, false), "")</f>
        <v/>
      </c>
    </row>
    <row r="151">
      <c r="B151" s="21" t="str">
        <f t="shared" si="4"/>
        <v/>
      </c>
      <c r="C151" s="29"/>
      <c r="D151" s="29"/>
      <c r="E151" s="29" t="b">
        <v>0</v>
      </c>
      <c r="F151" s="29"/>
      <c r="G151" s="21" t="str">
        <f>IFERROR(VLOOKUP(A151, 'Price Sheet'!$A$2:$B1010, 2, false), "")</f>
        <v/>
      </c>
      <c r="J151" s="21" t="str">
        <f t="shared" si="3"/>
        <v/>
      </c>
      <c r="K151" s="29"/>
      <c r="L151" s="29" t="b">
        <v>0</v>
      </c>
      <c r="M151" s="29"/>
      <c r="N151" s="21" t="str">
        <f>IFERROR(VLOOKUP(I151, 'Price Sheet'!$A$2:$B1010, 2, false), "")</f>
        <v/>
      </c>
    </row>
    <row r="152">
      <c r="B152" s="21" t="str">
        <f t="shared" si="4"/>
        <v/>
      </c>
      <c r="C152" s="29"/>
      <c r="D152" s="29"/>
      <c r="E152" s="29" t="b">
        <v>0</v>
      </c>
      <c r="F152" s="29"/>
      <c r="G152" s="21" t="str">
        <f>IFERROR(VLOOKUP(A152, 'Price Sheet'!$A$2:$B1010, 2, false), "")</f>
        <v/>
      </c>
      <c r="J152" s="21" t="str">
        <f t="shared" si="3"/>
        <v/>
      </c>
      <c r="K152" s="29"/>
      <c r="L152" s="29" t="b">
        <v>0</v>
      </c>
      <c r="M152" s="29"/>
      <c r="N152" s="21" t="str">
        <f>IFERROR(VLOOKUP(I152, 'Price Sheet'!$A$2:$B1010, 2, false), "")</f>
        <v/>
      </c>
    </row>
    <row r="153">
      <c r="B153" s="21" t="str">
        <f t="shared" si="4"/>
        <v/>
      </c>
      <c r="C153" s="29"/>
      <c r="D153" s="29"/>
      <c r="E153" s="29" t="b">
        <v>0</v>
      </c>
      <c r="F153" s="29"/>
      <c r="G153" s="21" t="str">
        <f>IFERROR(VLOOKUP(A153, 'Price Sheet'!$A$2:$B1010, 2, false), "")</f>
        <v/>
      </c>
      <c r="J153" s="21" t="str">
        <f t="shared" si="3"/>
        <v/>
      </c>
      <c r="K153" s="29"/>
      <c r="L153" s="29" t="b">
        <v>0</v>
      </c>
      <c r="M153" s="29"/>
      <c r="N153" s="21" t="str">
        <f>IFERROR(VLOOKUP(I153, 'Price Sheet'!$A$2:$B1010, 2, false), "")</f>
        <v/>
      </c>
    </row>
    <row r="154">
      <c r="B154" s="21" t="str">
        <f t="shared" si="4"/>
        <v/>
      </c>
      <c r="C154" s="29"/>
      <c r="D154" s="29"/>
      <c r="E154" s="29" t="b">
        <v>0</v>
      </c>
      <c r="F154" s="29"/>
      <c r="G154" s="21" t="str">
        <f>IFERROR(VLOOKUP(A154, 'Price Sheet'!$A$2:$B1010, 2, false), "")</f>
        <v/>
      </c>
      <c r="J154" s="21" t="str">
        <f t="shared" si="3"/>
        <v/>
      </c>
      <c r="K154" s="29"/>
      <c r="L154" s="29" t="b">
        <v>0</v>
      </c>
      <c r="M154" s="29"/>
      <c r="N154" s="21" t="str">
        <f>IFERROR(VLOOKUP(I154, 'Price Sheet'!$A$2:$B1010, 2, false), "")</f>
        <v/>
      </c>
    </row>
    <row r="155">
      <c r="B155" s="21" t="str">
        <f t="shared" si="4"/>
        <v/>
      </c>
      <c r="C155" s="29"/>
      <c r="D155" s="29"/>
      <c r="E155" s="29" t="b">
        <v>0</v>
      </c>
      <c r="F155" s="29"/>
      <c r="G155" s="21" t="str">
        <f>IFERROR(VLOOKUP(A155, 'Price Sheet'!$A$2:$B1010, 2, false), "")</f>
        <v/>
      </c>
      <c r="J155" s="21" t="str">
        <f t="shared" si="3"/>
        <v/>
      </c>
      <c r="K155" s="29"/>
      <c r="L155" s="29" t="b">
        <v>0</v>
      </c>
      <c r="M155" s="29"/>
      <c r="N155" s="21" t="str">
        <f>IFERROR(VLOOKUP(I155, 'Price Sheet'!$A$2:$B1010, 2, false), "")</f>
        <v/>
      </c>
    </row>
    <row r="156">
      <c r="B156" s="21" t="str">
        <f t="shared" si="4"/>
        <v/>
      </c>
      <c r="C156" s="29"/>
      <c r="D156" s="29"/>
      <c r="E156" s="29" t="b">
        <v>0</v>
      </c>
      <c r="F156" s="29"/>
      <c r="G156" s="21" t="str">
        <f>IFERROR(VLOOKUP(A156, 'Price Sheet'!$A$2:$B1010, 2, false), "")</f>
        <v/>
      </c>
      <c r="J156" s="21" t="str">
        <f t="shared" si="3"/>
        <v/>
      </c>
      <c r="K156" s="29"/>
      <c r="L156" s="29" t="b">
        <v>0</v>
      </c>
      <c r="M156" s="29"/>
      <c r="N156" s="21" t="str">
        <f>IFERROR(VLOOKUP(I156, 'Price Sheet'!$A$2:$B1010, 2, false), "")</f>
        <v/>
      </c>
    </row>
    <row r="157">
      <c r="B157" s="21" t="str">
        <f t="shared" si="4"/>
        <v/>
      </c>
      <c r="C157" s="29"/>
      <c r="D157" s="29"/>
      <c r="E157" s="29" t="b">
        <v>0</v>
      </c>
      <c r="F157" s="29"/>
      <c r="G157" s="21" t="str">
        <f>IFERROR(VLOOKUP(A157, 'Price Sheet'!$A$2:$B1010, 2, false), "")</f>
        <v/>
      </c>
      <c r="J157" s="21" t="str">
        <f t="shared" si="3"/>
        <v/>
      </c>
      <c r="K157" s="29"/>
      <c r="L157" s="29" t="b">
        <v>0</v>
      </c>
      <c r="M157" s="29"/>
      <c r="N157" s="21" t="str">
        <f>IFERROR(VLOOKUP(I157, 'Price Sheet'!$A$2:$B1010, 2, false), "")</f>
        <v/>
      </c>
    </row>
    <row r="158">
      <c r="B158" s="21" t="str">
        <f t="shared" si="4"/>
        <v/>
      </c>
      <c r="C158" s="29"/>
      <c r="D158" s="29"/>
      <c r="E158" s="29" t="b">
        <v>0</v>
      </c>
      <c r="F158" s="29"/>
      <c r="G158" s="21" t="str">
        <f>IFERROR(VLOOKUP(A158, 'Price Sheet'!$A$2:$B1010, 2, false), "")</f>
        <v/>
      </c>
      <c r="J158" s="21" t="str">
        <f t="shared" si="3"/>
        <v/>
      </c>
      <c r="K158" s="29"/>
      <c r="L158" s="29" t="b">
        <v>0</v>
      </c>
      <c r="M158" s="29"/>
      <c r="N158" s="21" t="str">
        <f>IFERROR(VLOOKUP(I158, 'Price Sheet'!$A$2:$B1010, 2, false), "")</f>
        <v/>
      </c>
    </row>
    <row r="159">
      <c r="B159" s="21" t="str">
        <f t="shared" si="4"/>
        <v/>
      </c>
      <c r="C159" s="29"/>
      <c r="D159" s="29"/>
      <c r="E159" s="29" t="b">
        <v>0</v>
      </c>
      <c r="F159" s="29"/>
      <c r="G159" s="21" t="str">
        <f>IFERROR(VLOOKUP(A159, 'Price Sheet'!$A$2:$B1010, 2, false), "")</f>
        <v/>
      </c>
      <c r="J159" s="21" t="str">
        <f t="shared" si="3"/>
        <v/>
      </c>
      <c r="K159" s="29"/>
      <c r="L159" s="29" t="b">
        <v>0</v>
      </c>
      <c r="M159" s="29"/>
      <c r="N159" s="21" t="str">
        <f>IFERROR(VLOOKUP(I159, 'Price Sheet'!$A$2:$B1010, 2, false), "")</f>
        <v/>
      </c>
    </row>
    <row r="160">
      <c r="B160" s="21" t="str">
        <f t="shared" si="4"/>
        <v/>
      </c>
      <c r="C160" s="29"/>
      <c r="D160" s="29"/>
      <c r="E160" s="29" t="b">
        <v>0</v>
      </c>
      <c r="F160" s="29"/>
      <c r="G160" s="21" t="str">
        <f>IFERROR(VLOOKUP(A160, 'Price Sheet'!$A$2:$B1010, 2, false), "")</f>
        <v/>
      </c>
      <c r="J160" s="21" t="str">
        <f t="shared" si="3"/>
        <v/>
      </c>
      <c r="K160" s="29"/>
      <c r="L160" s="29" t="b">
        <v>0</v>
      </c>
      <c r="M160" s="29"/>
      <c r="N160" s="21" t="str">
        <f>IFERROR(VLOOKUP(I160, 'Price Sheet'!$A$2:$B1010, 2, false), "")</f>
        <v/>
      </c>
    </row>
    <row r="161">
      <c r="B161" s="21" t="str">
        <f t="shared" si="4"/>
        <v/>
      </c>
      <c r="C161" s="29"/>
      <c r="D161" s="29"/>
      <c r="E161" s="29" t="b">
        <v>0</v>
      </c>
      <c r="F161" s="29"/>
      <c r="G161" s="21" t="str">
        <f>IFERROR(VLOOKUP(A161, 'Price Sheet'!$A$2:$B1010, 2, false), "")</f>
        <v/>
      </c>
      <c r="J161" s="21" t="str">
        <f t="shared" si="3"/>
        <v/>
      </c>
      <c r="K161" s="29"/>
      <c r="L161" s="29" t="b">
        <v>0</v>
      </c>
      <c r="M161" s="29"/>
      <c r="N161" s="21" t="str">
        <f>IFERROR(VLOOKUP(I161, 'Price Sheet'!$A$2:$B1010, 2, false), "")</f>
        <v/>
      </c>
    </row>
    <row r="162">
      <c r="B162" s="21" t="str">
        <f t="shared" si="4"/>
        <v/>
      </c>
      <c r="C162" s="29"/>
      <c r="D162" s="29"/>
      <c r="E162" s="29" t="b">
        <v>0</v>
      </c>
      <c r="F162" s="29"/>
      <c r="G162" s="21" t="str">
        <f>IFERROR(VLOOKUP(A162, 'Price Sheet'!$A$2:$B1010, 2, false), "")</f>
        <v/>
      </c>
      <c r="J162" s="21" t="str">
        <f t="shared" si="3"/>
        <v/>
      </c>
      <c r="K162" s="29"/>
      <c r="L162" s="29" t="b">
        <v>0</v>
      </c>
      <c r="M162" s="29"/>
      <c r="N162" s="21" t="str">
        <f>IFERROR(VLOOKUP(I162, 'Price Sheet'!$A$2:$B1010, 2, false), "")</f>
        <v/>
      </c>
    </row>
    <row r="163">
      <c r="B163" s="21" t="str">
        <f t="shared" si="4"/>
        <v/>
      </c>
      <c r="C163" s="29"/>
      <c r="D163" s="29"/>
      <c r="E163" s="29" t="b">
        <v>0</v>
      </c>
      <c r="F163" s="29"/>
      <c r="G163" s="21" t="str">
        <f>IFERROR(VLOOKUP(A163, 'Price Sheet'!$A$2:$B1010, 2, false), "")</f>
        <v/>
      </c>
      <c r="J163" s="21" t="str">
        <f t="shared" si="3"/>
        <v/>
      </c>
      <c r="K163" s="29"/>
      <c r="L163" s="29" t="b">
        <v>0</v>
      </c>
      <c r="M163" s="29"/>
      <c r="N163" s="21" t="str">
        <f>IFERROR(VLOOKUP(I163, 'Price Sheet'!$A$2:$B1010, 2, false), "")</f>
        <v/>
      </c>
    </row>
    <row r="164">
      <c r="B164" s="21" t="str">
        <f t="shared" si="4"/>
        <v/>
      </c>
      <c r="C164" s="29"/>
      <c r="D164" s="29"/>
      <c r="E164" s="29" t="b">
        <v>0</v>
      </c>
      <c r="F164" s="29"/>
      <c r="G164" s="21" t="str">
        <f>IFERROR(VLOOKUP(A164, 'Price Sheet'!$A$2:$B1010, 2, false), "")</f>
        <v/>
      </c>
      <c r="J164" s="21" t="str">
        <f t="shared" si="3"/>
        <v/>
      </c>
      <c r="K164" s="29"/>
      <c r="L164" s="29" t="b">
        <v>0</v>
      </c>
      <c r="M164" s="29"/>
      <c r="N164" s="21" t="str">
        <f>IFERROR(VLOOKUP(I164, 'Price Sheet'!$A$2:$B1010, 2, false), "")</f>
        <v/>
      </c>
    </row>
    <row r="165">
      <c r="B165" s="21" t="str">
        <f t="shared" si="4"/>
        <v/>
      </c>
      <c r="C165" s="29"/>
      <c r="D165" s="29"/>
      <c r="E165" s="29" t="b">
        <v>0</v>
      </c>
      <c r="F165" s="29"/>
      <c r="G165" s="21" t="str">
        <f>IFERROR(VLOOKUP(A165, 'Price Sheet'!$A$2:$B1010, 2, false), "")</f>
        <v/>
      </c>
      <c r="J165" s="21" t="str">
        <f t="shared" si="3"/>
        <v/>
      </c>
      <c r="K165" s="29"/>
      <c r="L165" s="29" t="b">
        <v>0</v>
      </c>
      <c r="M165" s="29"/>
      <c r="N165" s="21" t="str">
        <f>IFERROR(VLOOKUP(I165, 'Price Sheet'!$A$2:$B1010, 2, false), "")</f>
        <v/>
      </c>
    </row>
    <row r="166">
      <c r="B166" s="21" t="str">
        <f t="shared" si="4"/>
        <v/>
      </c>
      <c r="C166" s="29"/>
      <c r="D166" s="29"/>
      <c r="E166" s="29" t="b">
        <v>0</v>
      </c>
      <c r="F166" s="29"/>
      <c r="G166" s="21" t="str">
        <f>IFERROR(VLOOKUP(A166, 'Price Sheet'!$A$2:$B1010, 2, false), "")</f>
        <v/>
      </c>
      <c r="J166" s="21" t="str">
        <f t="shared" si="3"/>
        <v/>
      </c>
      <c r="K166" s="29"/>
      <c r="L166" s="29" t="b">
        <v>0</v>
      </c>
      <c r="M166" s="29"/>
      <c r="N166" s="21" t="str">
        <f>IFERROR(VLOOKUP(I166, 'Price Sheet'!$A$2:$B1010, 2, false), "")</f>
        <v/>
      </c>
    </row>
    <row r="167">
      <c r="B167" s="21" t="str">
        <f t="shared" si="4"/>
        <v/>
      </c>
      <c r="C167" s="29"/>
      <c r="D167" s="29"/>
      <c r="E167" s="29" t="b">
        <v>0</v>
      </c>
      <c r="F167" s="29"/>
      <c r="G167" s="21" t="str">
        <f>IFERROR(VLOOKUP(A167, 'Price Sheet'!$A$2:$B1010, 2, false), "")</f>
        <v/>
      </c>
      <c r="J167" s="21" t="str">
        <f t="shared" si="3"/>
        <v/>
      </c>
      <c r="K167" s="29"/>
      <c r="L167" s="29" t="b">
        <v>0</v>
      </c>
      <c r="M167" s="29"/>
      <c r="N167" s="21" t="str">
        <f>IFERROR(VLOOKUP(I167, 'Price Sheet'!$A$2:$B1010, 2, false), "")</f>
        <v/>
      </c>
    </row>
    <row r="168">
      <c r="B168" s="21" t="str">
        <f t="shared" si="4"/>
        <v/>
      </c>
      <c r="C168" s="29"/>
      <c r="D168" s="29"/>
      <c r="E168" s="29" t="b">
        <v>0</v>
      </c>
      <c r="F168" s="29"/>
      <c r="G168" s="21" t="str">
        <f>IFERROR(VLOOKUP(A168, 'Price Sheet'!$A$2:$B1010, 2, false), "")</f>
        <v/>
      </c>
      <c r="J168" s="21" t="str">
        <f t="shared" si="3"/>
        <v/>
      </c>
      <c r="K168" s="29"/>
      <c r="L168" s="29" t="b">
        <v>0</v>
      </c>
      <c r="M168" s="29"/>
      <c r="N168" s="21" t="str">
        <f>IFERROR(VLOOKUP(I168, 'Price Sheet'!$A$2:$B1010, 2, false), "")</f>
        <v/>
      </c>
    </row>
    <row r="169">
      <c r="B169" s="21" t="str">
        <f t="shared" si="4"/>
        <v/>
      </c>
      <c r="C169" s="29"/>
      <c r="D169" s="29"/>
      <c r="E169" s="29" t="b">
        <v>0</v>
      </c>
      <c r="F169" s="29"/>
      <c r="G169" s="21" t="str">
        <f>IFERROR(VLOOKUP(A169, 'Price Sheet'!$A$2:$B1010, 2, false), "")</f>
        <v/>
      </c>
      <c r="J169" s="21" t="str">
        <f t="shared" si="3"/>
        <v/>
      </c>
      <c r="K169" s="29"/>
      <c r="L169" s="29" t="b">
        <v>0</v>
      </c>
      <c r="M169" s="29"/>
      <c r="N169" s="21" t="str">
        <f>IFERROR(VLOOKUP(I169, 'Price Sheet'!$A$2:$B1010, 2, false), "")</f>
        <v/>
      </c>
    </row>
    <row r="170">
      <c r="B170" s="21" t="str">
        <f t="shared" si="4"/>
        <v/>
      </c>
      <c r="C170" s="29"/>
      <c r="D170" s="29"/>
      <c r="E170" s="29" t="b">
        <v>0</v>
      </c>
      <c r="F170" s="29"/>
      <c r="G170" s="21" t="str">
        <f>IFERROR(VLOOKUP(A170, 'Price Sheet'!$A$2:$B1010, 2, false), "")</f>
        <v/>
      </c>
      <c r="J170" s="21" t="str">
        <f t="shared" si="3"/>
        <v/>
      </c>
      <c r="K170" s="29"/>
      <c r="L170" s="29" t="b">
        <v>0</v>
      </c>
      <c r="M170" s="29"/>
      <c r="N170" s="21" t="str">
        <f>IFERROR(VLOOKUP(I170, 'Price Sheet'!$A$2:$B1010, 2, false), "")</f>
        <v/>
      </c>
    </row>
    <row r="171">
      <c r="B171" s="21" t="str">
        <f t="shared" si="4"/>
        <v/>
      </c>
      <c r="C171" s="29"/>
      <c r="D171" s="29"/>
      <c r="E171" s="29" t="b">
        <v>0</v>
      </c>
      <c r="F171" s="29"/>
      <c r="G171" s="21" t="str">
        <f>IFERROR(VLOOKUP(A171, 'Price Sheet'!$A$2:$B1010, 2, false), "")</f>
        <v/>
      </c>
      <c r="J171" s="21" t="str">
        <f t="shared" si="3"/>
        <v/>
      </c>
      <c r="K171" s="29"/>
      <c r="L171" s="29" t="b">
        <v>0</v>
      </c>
      <c r="M171" s="29"/>
      <c r="N171" s="21" t="str">
        <f>IFERROR(VLOOKUP(I171, 'Price Sheet'!$A$2:$B1010, 2, false), "")</f>
        <v/>
      </c>
    </row>
    <row r="172">
      <c r="B172" s="21" t="str">
        <f t="shared" si="4"/>
        <v/>
      </c>
      <c r="C172" s="29"/>
      <c r="D172" s="29"/>
      <c r="E172" s="29" t="b">
        <v>0</v>
      </c>
      <c r="F172" s="29"/>
      <c r="G172" s="21" t="str">
        <f>IFERROR(VLOOKUP(A172, 'Price Sheet'!$A$2:$B1010, 2, false), "")</f>
        <v/>
      </c>
      <c r="J172" s="21" t="str">
        <f t="shared" si="3"/>
        <v/>
      </c>
      <c r="K172" s="29"/>
      <c r="L172" s="29" t="b">
        <v>0</v>
      </c>
      <c r="M172" s="29"/>
      <c r="N172" s="21" t="str">
        <f>IFERROR(VLOOKUP(I172, 'Price Sheet'!$A$2:$B1010, 2, false), "")</f>
        <v/>
      </c>
    </row>
    <row r="173">
      <c r="B173" s="21" t="str">
        <f t="shared" si="4"/>
        <v/>
      </c>
      <c r="C173" s="29"/>
      <c r="D173" s="29"/>
      <c r="E173" s="29" t="b">
        <v>0</v>
      </c>
      <c r="F173" s="29"/>
      <c r="G173" s="21" t="str">
        <f>IFERROR(VLOOKUP(A173, 'Price Sheet'!$A$2:$B1010, 2, false), "")</f>
        <v/>
      </c>
      <c r="J173" s="21" t="str">
        <f t="shared" si="3"/>
        <v/>
      </c>
      <c r="K173" s="29"/>
      <c r="L173" s="29" t="b">
        <v>0</v>
      </c>
      <c r="M173" s="29"/>
      <c r="N173" s="21" t="str">
        <f>IFERROR(VLOOKUP(I173, 'Price Sheet'!$A$2:$B1010, 2, false), "")</f>
        <v/>
      </c>
    </row>
    <row r="174">
      <c r="B174" s="21" t="str">
        <f t="shared" si="4"/>
        <v/>
      </c>
      <c r="C174" s="29"/>
      <c r="D174" s="29"/>
      <c r="E174" s="29" t="b">
        <v>0</v>
      </c>
      <c r="F174" s="29"/>
      <c r="G174" s="21" t="str">
        <f>IFERROR(VLOOKUP(A174, 'Price Sheet'!$A$2:$B1010, 2, false), "")</f>
        <v/>
      </c>
      <c r="J174" s="21" t="str">
        <f t="shared" si="3"/>
        <v/>
      </c>
      <c r="K174" s="29"/>
      <c r="L174" s="29" t="b">
        <v>0</v>
      </c>
      <c r="M174" s="29"/>
      <c r="N174" s="21" t="str">
        <f>IFERROR(VLOOKUP(I174, 'Price Sheet'!$A$2:$B1010, 2, false), "")</f>
        <v/>
      </c>
    </row>
    <row r="175">
      <c r="B175" s="21" t="str">
        <f t="shared" si="4"/>
        <v/>
      </c>
      <c r="C175" s="29"/>
      <c r="D175" s="29"/>
      <c r="E175" s="29" t="b">
        <v>0</v>
      </c>
      <c r="F175" s="29"/>
      <c r="G175" s="21" t="str">
        <f>IFERROR(VLOOKUP(A175, 'Price Sheet'!$A$2:$B1010, 2, false), "")</f>
        <v/>
      </c>
      <c r="J175" s="21" t="str">
        <f t="shared" si="3"/>
        <v/>
      </c>
      <c r="K175" s="29"/>
      <c r="L175" s="29" t="b">
        <v>0</v>
      </c>
      <c r="M175" s="29"/>
      <c r="N175" s="21" t="str">
        <f>IFERROR(VLOOKUP(I175, 'Price Sheet'!$A$2:$B1010, 2, false), "")</f>
        <v/>
      </c>
    </row>
    <row r="176">
      <c r="B176" s="21" t="str">
        <f t="shared" si="4"/>
        <v/>
      </c>
      <c r="C176" s="29"/>
      <c r="D176" s="29"/>
      <c r="E176" s="29" t="b">
        <v>0</v>
      </c>
      <c r="F176" s="29"/>
      <c r="G176" s="21" t="str">
        <f>IFERROR(VLOOKUP(A176, 'Price Sheet'!$A$2:$B1010, 2, false), "")</f>
        <v/>
      </c>
      <c r="J176" s="21" t="str">
        <f t="shared" si="3"/>
        <v/>
      </c>
      <c r="K176" s="29"/>
      <c r="L176" s="29" t="b">
        <v>0</v>
      </c>
      <c r="M176" s="29"/>
      <c r="N176" s="21" t="str">
        <f>IFERROR(VLOOKUP(I176, 'Price Sheet'!$A$2:$B1010, 2, false), "")</f>
        <v/>
      </c>
    </row>
    <row r="177">
      <c r="B177" s="21" t="str">
        <f t="shared" si="4"/>
        <v/>
      </c>
      <c r="C177" s="29"/>
      <c r="D177" s="29"/>
      <c r="E177" s="29" t="b">
        <v>0</v>
      </c>
      <c r="F177" s="29"/>
      <c r="G177" s="21" t="str">
        <f>IFERROR(VLOOKUP(A177, 'Price Sheet'!$A$2:$B1010, 2, false), "")</f>
        <v/>
      </c>
      <c r="J177" s="21" t="str">
        <f t="shared" si="3"/>
        <v/>
      </c>
      <c r="K177" s="29"/>
      <c r="L177" s="29" t="b">
        <v>0</v>
      </c>
      <c r="M177" s="29"/>
      <c r="N177" s="21" t="str">
        <f>IFERROR(VLOOKUP(I177, 'Price Sheet'!$A$2:$B1010, 2, false), "")</f>
        <v/>
      </c>
    </row>
    <row r="178">
      <c r="B178" s="21" t="str">
        <f t="shared" si="4"/>
        <v/>
      </c>
      <c r="C178" s="29"/>
      <c r="D178" s="29"/>
      <c r="E178" s="29" t="b">
        <v>0</v>
      </c>
      <c r="F178" s="29"/>
      <c r="G178" s="21" t="str">
        <f>IFERROR(VLOOKUP(A178, 'Price Sheet'!$A$2:$B1010, 2, false), "")</f>
        <v/>
      </c>
      <c r="J178" s="21" t="str">
        <f t="shared" si="3"/>
        <v/>
      </c>
      <c r="K178" s="29"/>
      <c r="L178" s="29" t="b">
        <v>0</v>
      </c>
      <c r="M178" s="29"/>
      <c r="N178" s="21" t="str">
        <f>IFERROR(VLOOKUP(I178, 'Price Sheet'!$A$2:$B1010, 2, false), "")</f>
        <v/>
      </c>
    </row>
    <row r="179">
      <c r="B179" s="21" t="str">
        <f t="shared" si="4"/>
        <v/>
      </c>
      <c r="C179" s="29"/>
      <c r="D179" s="29"/>
      <c r="E179" s="29" t="b">
        <v>0</v>
      </c>
      <c r="F179" s="29"/>
      <c r="G179" s="21" t="str">
        <f>IFERROR(VLOOKUP(A179, 'Price Sheet'!$A$2:$B1010, 2, false), "")</f>
        <v/>
      </c>
      <c r="J179" s="21" t="str">
        <f t="shared" si="3"/>
        <v/>
      </c>
      <c r="K179" s="29"/>
      <c r="L179" s="29" t="b">
        <v>0</v>
      </c>
      <c r="M179" s="29"/>
      <c r="N179" s="21" t="str">
        <f>IFERROR(VLOOKUP(I179, 'Price Sheet'!$A$2:$B1010, 2, false), "")</f>
        <v/>
      </c>
    </row>
    <row r="180">
      <c r="B180" s="21" t="str">
        <f t="shared" si="4"/>
        <v/>
      </c>
      <c r="C180" s="29"/>
      <c r="D180" s="29"/>
      <c r="E180" s="29" t="b">
        <v>0</v>
      </c>
      <c r="F180" s="29"/>
      <c r="G180" s="21" t="str">
        <f>IFERROR(VLOOKUP(A180, 'Price Sheet'!$A$2:$B1010, 2, false), "")</f>
        <v/>
      </c>
      <c r="J180" s="21" t="str">
        <f t="shared" si="3"/>
        <v/>
      </c>
      <c r="K180" s="29"/>
      <c r="L180" s="29" t="b">
        <v>0</v>
      </c>
      <c r="M180" s="29"/>
      <c r="N180" s="21" t="str">
        <f>IFERROR(VLOOKUP(I180, 'Price Sheet'!$A$2:$B1010, 2, false), "")</f>
        <v/>
      </c>
    </row>
    <row r="181">
      <c r="B181" s="21" t="str">
        <f t="shared" si="4"/>
        <v/>
      </c>
      <c r="C181" s="29"/>
      <c r="D181" s="29"/>
      <c r="E181" s="29" t="b">
        <v>0</v>
      </c>
      <c r="F181" s="29"/>
      <c r="G181" s="21" t="str">
        <f>IFERROR(VLOOKUP(A181, 'Price Sheet'!$A$2:$B1010, 2, false), "")</f>
        <v/>
      </c>
      <c r="J181" s="21" t="str">
        <f t="shared" si="3"/>
        <v/>
      </c>
      <c r="K181" s="29"/>
      <c r="L181" s="29" t="b">
        <v>0</v>
      </c>
      <c r="M181" s="29"/>
      <c r="N181" s="21" t="str">
        <f>IFERROR(VLOOKUP(I181, 'Price Sheet'!$A$2:$B1010, 2, false), "")</f>
        <v/>
      </c>
    </row>
    <row r="182">
      <c r="B182" s="21" t="str">
        <f t="shared" si="4"/>
        <v/>
      </c>
      <c r="C182" s="29"/>
      <c r="D182" s="29"/>
      <c r="E182" s="29" t="b">
        <v>0</v>
      </c>
      <c r="F182" s="29"/>
      <c r="G182" s="21" t="str">
        <f>IFERROR(VLOOKUP(A182, 'Price Sheet'!$A$2:$B1010, 2, false), "")</f>
        <v/>
      </c>
      <c r="J182" s="21" t="str">
        <f t="shared" si="3"/>
        <v/>
      </c>
      <c r="K182" s="29"/>
      <c r="L182" s="29" t="b">
        <v>0</v>
      </c>
      <c r="M182" s="29"/>
      <c r="N182" s="21" t="str">
        <f>IFERROR(VLOOKUP(I182, 'Price Sheet'!$A$2:$B1010, 2, false), "")</f>
        <v/>
      </c>
    </row>
    <row r="183">
      <c r="B183" s="21" t="str">
        <f t="shared" si="4"/>
        <v/>
      </c>
      <c r="C183" s="29"/>
      <c r="D183" s="29"/>
      <c r="E183" s="29" t="b">
        <v>0</v>
      </c>
      <c r="F183" s="29"/>
      <c r="G183" s="21" t="str">
        <f>IFERROR(VLOOKUP(A183, 'Price Sheet'!$A$2:$B1010, 2, false), "")</f>
        <v/>
      </c>
      <c r="J183" s="21" t="str">
        <f t="shared" si="3"/>
        <v/>
      </c>
      <c r="K183" s="29"/>
      <c r="L183" s="29" t="b">
        <v>0</v>
      </c>
      <c r="M183" s="29"/>
      <c r="N183" s="21" t="str">
        <f>IFERROR(VLOOKUP(I183, 'Price Sheet'!$A$2:$B1010, 2, false), "")</f>
        <v/>
      </c>
    </row>
    <row r="184">
      <c r="B184" s="21" t="str">
        <f t="shared" si="4"/>
        <v/>
      </c>
      <c r="C184" s="29"/>
      <c r="D184" s="29"/>
      <c r="E184" s="29" t="b">
        <v>0</v>
      </c>
      <c r="F184" s="29"/>
      <c r="G184" s="21" t="str">
        <f>IFERROR(VLOOKUP(A184, 'Price Sheet'!$A$2:$B1010, 2, false), "")</f>
        <v/>
      </c>
      <c r="J184" s="21" t="str">
        <f t="shared" si="3"/>
        <v/>
      </c>
      <c r="K184" s="29"/>
      <c r="L184" s="29" t="b">
        <v>0</v>
      </c>
      <c r="M184" s="29"/>
      <c r="N184" s="21" t="str">
        <f>IFERROR(VLOOKUP(I184, 'Price Sheet'!$A$2:$B1010, 2, false), "")</f>
        <v/>
      </c>
    </row>
    <row r="185">
      <c r="B185" s="21" t="str">
        <f t="shared" si="4"/>
        <v/>
      </c>
      <c r="C185" s="29"/>
      <c r="D185" s="29"/>
      <c r="E185" s="29" t="b">
        <v>0</v>
      </c>
      <c r="F185" s="29"/>
      <c r="G185" s="21" t="str">
        <f>IFERROR(VLOOKUP(A185, 'Price Sheet'!$A$2:$B1010, 2, false), "")</f>
        <v/>
      </c>
      <c r="J185" s="21" t="str">
        <f t="shared" si="3"/>
        <v/>
      </c>
      <c r="K185" s="29"/>
      <c r="L185" s="29" t="b">
        <v>0</v>
      </c>
      <c r="M185" s="29"/>
      <c r="N185" s="21" t="str">
        <f>IFERROR(VLOOKUP(I185, 'Price Sheet'!$A$2:$B1010, 2, false), "")</f>
        <v/>
      </c>
    </row>
    <row r="186">
      <c r="B186" s="21" t="str">
        <f t="shared" si="4"/>
        <v/>
      </c>
      <c r="C186" s="29"/>
      <c r="D186" s="29"/>
      <c r="E186" s="29" t="b">
        <v>0</v>
      </c>
      <c r="F186" s="29"/>
      <c r="G186" s="21" t="str">
        <f>IFERROR(VLOOKUP(A186, 'Price Sheet'!$A$2:$B1010, 2, false), "")</f>
        <v/>
      </c>
      <c r="J186" s="21" t="str">
        <f t="shared" si="3"/>
        <v/>
      </c>
      <c r="K186" s="29"/>
      <c r="L186" s="29" t="b">
        <v>0</v>
      </c>
      <c r="M186" s="29"/>
      <c r="N186" s="21" t="str">
        <f>IFERROR(VLOOKUP(I186, 'Price Sheet'!$A$2:$B1010, 2, false), "")</f>
        <v/>
      </c>
    </row>
    <row r="187">
      <c r="B187" s="21" t="str">
        <f t="shared" si="4"/>
        <v/>
      </c>
      <c r="C187" s="29"/>
      <c r="D187" s="29"/>
      <c r="E187" s="29" t="b">
        <v>0</v>
      </c>
      <c r="F187" s="29"/>
      <c r="G187" s="21" t="str">
        <f>IFERROR(VLOOKUP(A187, 'Price Sheet'!$A$2:$B1010, 2, false), "")</f>
        <v/>
      </c>
      <c r="J187" s="21" t="str">
        <f t="shared" si="3"/>
        <v/>
      </c>
      <c r="K187" s="29"/>
      <c r="L187" s="29" t="b">
        <v>0</v>
      </c>
      <c r="M187" s="29"/>
      <c r="N187" s="21" t="str">
        <f>IFERROR(VLOOKUP(I187, 'Price Sheet'!$A$2:$B1010, 2, false), "")</f>
        <v/>
      </c>
    </row>
    <row r="188">
      <c r="B188" s="21" t="str">
        <f t="shared" si="4"/>
        <v/>
      </c>
      <c r="C188" s="29"/>
      <c r="D188" s="29"/>
      <c r="E188" s="29" t="b">
        <v>0</v>
      </c>
      <c r="F188" s="29"/>
      <c r="G188" s="21" t="str">
        <f>IFERROR(VLOOKUP(A188, 'Price Sheet'!$A$2:$B1010, 2, false), "")</f>
        <v/>
      </c>
      <c r="J188" s="21" t="str">
        <f t="shared" si="3"/>
        <v/>
      </c>
      <c r="K188" s="29"/>
      <c r="L188" s="29" t="b">
        <v>0</v>
      </c>
      <c r="M188" s="29"/>
      <c r="N188" s="21" t="str">
        <f>IFERROR(VLOOKUP(I188, 'Price Sheet'!$A$2:$B1010, 2, false), "")</f>
        <v/>
      </c>
    </row>
    <row r="189">
      <c r="B189" s="21" t="str">
        <f t="shared" si="4"/>
        <v/>
      </c>
      <c r="C189" s="29"/>
      <c r="D189" s="29"/>
      <c r="E189" s="29" t="b">
        <v>0</v>
      </c>
      <c r="F189" s="29"/>
      <c r="G189" s="21" t="str">
        <f>IFERROR(VLOOKUP(A189, 'Price Sheet'!$A$2:$B1010, 2, false), "")</f>
        <v/>
      </c>
      <c r="J189" s="21" t="str">
        <f t="shared" si="3"/>
        <v/>
      </c>
      <c r="K189" s="29"/>
      <c r="L189" s="29" t="b">
        <v>0</v>
      </c>
      <c r="M189" s="29"/>
      <c r="N189" s="21" t="str">
        <f>IFERROR(VLOOKUP(I189, 'Price Sheet'!$A$2:$B1010, 2, false), "")</f>
        <v/>
      </c>
    </row>
    <row r="190">
      <c r="B190" s="21" t="str">
        <f t="shared" si="4"/>
        <v/>
      </c>
      <c r="C190" s="29"/>
      <c r="D190" s="29"/>
      <c r="E190" s="29" t="b">
        <v>0</v>
      </c>
      <c r="F190" s="29"/>
      <c r="G190" s="21" t="str">
        <f>IFERROR(VLOOKUP(A190, 'Price Sheet'!$A$2:$B1010, 2, false), "")</f>
        <v/>
      </c>
      <c r="J190" s="21" t="str">
        <f t="shared" si="3"/>
        <v/>
      </c>
      <c r="K190" s="29"/>
      <c r="L190" s="29" t="b">
        <v>0</v>
      </c>
      <c r="M190" s="29"/>
      <c r="N190" s="21" t="str">
        <f>IFERROR(VLOOKUP(I190, 'Price Sheet'!$A$2:$B1010, 2, false), "")</f>
        <v/>
      </c>
    </row>
    <row r="191">
      <c r="B191" s="21" t="str">
        <f t="shared" si="4"/>
        <v/>
      </c>
      <c r="C191" s="29"/>
      <c r="D191" s="29"/>
      <c r="E191" s="29" t="b">
        <v>0</v>
      </c>
      <c r="F191" s="29"/>
      <c r="G191" s="21" t="str">
        <f>IFERROR(VLOOKUP(A191, 'Price Sheet'!$A$2:$B1010, 2, false), "")</f>
        <v/>
      </c>
      <c r="J191" s="21" t="str">
        <f t="shared" si="3"/>
        <v/>
      </c>
      <c r="K191" s="29"/>
      <c r="L191" s="29" t="b">
        <v>0</v>
      </c>
      <c r="M191" s="29"/>
      <c r="N191" s="21" t="str">
        <f>IFERROR(VLOOKUP(I191, 'Price Sheet'!$A$2:$B1010, 2, false), "")</f>
        <v/>
      </c>
    </row>
    <row r="192">
      <c r="B192" s="21" t="str">
        <f t="shared" si="4"/>
        <v/>
      </c>
      <c r="C192" s="29"/>
      <c r="D192" s="29"/>
      <c r="E192" s="29" t="b">
        <v>0</v>
      </c>
      <c r="F192" s="29"/>
      <c r="G192" s="21" t="str">
        <f>IFERROR(VLOOKUP(A192, 'Price Sheet'!$A$2:$B1010, 2, false), "")</f>
        <v/>
      </c>
      <c r="J192" s="21" t="str">
        <f t="shared" si="3"/>
        <v/>
      </c>
      <c r="K192" s="29"/>
      <c r="L192" s="29" t="b">
        <v>0</v>
      </c>
      <c r="M192" s="29"/>
      <c r="N192" s="21" t="str">
        <f>IFERROR(VLOOKUP(I192, 'Price Sheet'!$A$2:$B1010, 2, false), "")</f>
        <v/>
      </c>
    </row>
    <row r="193">
      <c r="B193" s="21" t="str">
        <f t="shared" si="4"/>
        <v/>
      </c>
      <c r="C193" s="29"/>
      <c r="D193" s="29"/>
      <c r="E193" s="29" t="b">
        <v>0</v>
      </c>
      <c r="F193" s="29"/>
      <c r="G193" s="21" t="str">
        <f>IFERROR(VLOOKUP(A193, 'Price Sheet'!$A$2:$B1010, 2, false), "")</f>
        <v/>
      </c>
      <c r="J193" s="21" t="str">
        <f t="shared" si="3"/>
        <v/>
      </c>
      <c r="K193" s="29"/>
      <c r="L193" s="29" t="b">
        <v>0</v>
      </c>
      <c r="M193" s="29"/>
      <c r="N193" s="21" t="str">
        <f>IFERROR(VLOOKUP(I193, 'Price Sheet'!$A$2:$B1010, 2, false), "")</f>
        <v/>
      </c>
    </row>
    <row r="194">
      <c r="B194" s="21" t="str">
        <f t="shared" si="4"/>
        <v/>
      </c>
      <c r="C194" s="29"/>
      <c r="D194" s="29"/>
      <c r="E194" s="29" t="b">
        <v>0</v>
      </c>
      <c r="F194" s="29"/>
      <c r="G194" s="21" t="str">
        <f>IFERROR(VLOOKUP(A194, 'Price Sheet'!$A$2:$B1010, 2, false), "")</f>
        <v/>
      </c>
      <c r="J194" s="21" t="str">
        <f t="shared" si="3"/>
        <v/>
      </c>
      <c r="K194" s="29"/>
      <c r="L194" s="29" t="b">
        <v>0</v>
      </c>
      <c r="M194" s="29"/>
      <c r="N194" s="21" t="str">
        <f>IFERROR(VLOOKUP(I194, 'Price Sheet'!$A$2:$B1010, 2, false), "")</f>
        <v/>
      </c>
    </row>
    <row r="195">
      <c r="B195" s="21" t="str">
        <f t="shared" si="4"/>
        <v/>
      </c>
      <c r="C195" s="29"/>
      <c r="D195" s="29"/>
      <c r="E195" s="29" t="b">
        <v>0</v>
      </c>
      <c r="F195" s="29"/>
      <c r="G195" s="21" t="str">
        <f>IFERROR(VLOOKUP(A195, 'Price Sheet'!$A$2:$B1010, 2, false), "")</f>
        <v/>
      </c>
      <c r="J195" s="21" t="str">
        <f t="shared" si="3"/>
        <v/>
      </c>
      <c r="K195" s="29"/>
      <c r="L195" s="29" t="b">
        <v>0</v>
      </c>
      <c r="M195" s="29"/>
      <c r="N195" s="21" t="str">
        <f>IFERROR(VLOOKUP(I195, 'Price Sheet'!$A$2:$B1010, 2, false), "")</f>
        <v/>
      </c>
    </row>
    <row r="196">
      <c r="B196" s="21" t="str">
        <f t="shared" si="4"/>
        <v/>
      </c>
      <c r="C196" s="29"/>
      <c r="D196" s="29"/>
      <c r="E196" s="29" t="b">
        <v>0</v>
      </c>
      <c r="F196" s="29"/>
      <c r="G196" s="21" t="str">
        <f>IFERROR(VLOOKUP(A196, 'Price Sheet'!$A$2:$B1010, 2, false), "")</f>
        <v/>
      </c>
      <c r="J196" s="21" t="str">
        <f t="shared" si="3"/>
        <v/>
      </c>
      <c r="K196" s="29"/>
      <c r="L196" s="29" t="b">
        <v>0</v>
      </c>
      <c r="M196" s="29"/>
      <c r="N196" s="21" t="str">
        <f>IFERROR(VLOOKUP(I196, 'Price Sheet'!$A$2:$B1010, 2, false), "")</f>
        <v/>
      </c>
    </row>
    <row r="197">
      <c r="B197" s="21" t="str">
        <f t="shared" si="4"/>
        <v/>
      </c>
      <c r="C197" s="29"/>
      <c r="D197" s="29"/>
      <c r="E197" s="29" t="b">
        <v>0</v>
      </c>
      <c r="F197" s="29"/>
      <c r="G197" s="21" t="str">
        <f>IFERROR(VLOOKUP(A197, 'Price Sheet'!$A$2:$B1010, 2, false), "")</f>
        <v/>
      </c>
      <c r="J197" s="21" t="str">
        <f t="shared" si="3"/>
        <v/>
      </c>
      <c r="K197" s="29"/>
      <c r="L197" s="29" t="b">
        <v>0</v>
      </c>
      <c r="M197" s="29"/>
      <c r="N197" s="21" t="str">
        <f>IFERROR(VLOOKUP(I197, 'Price Sheet'!$A$2:$B1010, 2, false), "")</f>
        <v/>
      </c>
    </row>
    <row r="198">
      <c r="B198" s="21" t="str">
        <f t="shared" si="4"/>
        <v/>
      </c>
      <c r="C198" s="29"/>
      <c r="D198" s="29"/>
      <c r="E198" s="29" t="b">
        <v>0</v>
      </c>
      <c r="F198" s="29"/>
      <c r="G198" s="21" t="str">
        <f>IFERROR(VLOOKUP(A198, 'Price Sheet'!$A$2:$B1010, 2, false), "")</f>
        <v/>
      </c>
      <c r="J198" s="21" t="str">
        <f t="shared" si="3"/>
        <v/>
      </c>
      <c r="K198" s="29"/>
      <c r="L198" s="29" t="b">
        <v>0</v>
      </c>
      <c r="M198" s="29"/>
      <c r="N198" s="21" t="str">
        <f>IFERROR(VLOOKUP(I198, 'Price Sheet'!$A$2:$B1010, 2, false), "")</f>
        <v/>
      </c>
    </row>
    <row r="199">
      <c r="B199" s="21" t="str">
        <f t="shared" si="4"/>
        <v/>
      </c>
      <c r="C199" s="29"/>
      <c r="D199" s="29"/>
      <c r="E199" s="29" t="b">
        <v>0</v>
      </c>
      <c r="F199" s="29"/>
      <c r="G199" s="21" t="str">
        <f>IFERROR(VLOOKUP(A199, 'Price Sheet'!$A$2:$B1010, 2, false), "")</f>
        <v/>
      </c>
      <c r="J199" s="21" t="str">
        <f t="shared" si="3"/>
        <v/>
      </c>
      <c r="K199" s="29"/>
      <c r="L199" s="29" t="b">
        <v>0</v>
      </c>
      <c r="M199" s="29"/>
      <c r="N199" s="21" t="str">
        <f>IFERROR(VLOOKUP(I199, 'Price Sheet'!$A$2:$B1010, 2, false), "")</f>
        <v/>
      </c>
    </row>
    <row r="200">
      <c r="B200" s="21" t="str">
        <f t="shared" si="4"/>
        <v/>
      </c>
      <c r="C200" s="29"/>
      <c r="D200" s="29"/>
      <c r="E200" s="29" t="b">
        <v>0</v>
      </c>
      <c r="F200" s="29"/>
      <c r="G200" s="21" t="str">
        <f>IFERROR(VLOOKUP(A200, 'Price Sheet'!$A$2:$B1010, 2, false), "")</f>
        <v/>
      </c>
      <c r="J200" s="21" t="str">
        <f t="shared" si="3"/>
        <v/>
      </c>
      <c r="K200" s="29"/>
      <c r="L200" s="29" t="b">
        <v>0</v>
      </c>
      <c r="M200" s="29"/>
      <c r="N200" s="21" t="str">
        <f>IFERROR(VLOOKUP(I200, 'Price Sheet'!$A$2:$B1010, 2, false), "")</f>
        <v/>
      </c>
    </row>
    <row r="201">
      <c r="B201" s="21" t="str">
        <f t="shared" si="4"/>
        <v/>
      </c>
      <c r="C201" s="29"/>
      <c r="D201" s="29"/>
      <c r="E201" s="29" t="b">
        <v>0</v>
      </c>
      <c r="F201" s="29"/>
      <c r="G201" s="21" t="str">
        <f>IFERROR(VLOOKUP(A201, 'Price Sheet'!$A$2:$B1010, 2, false), "")</f>
        <v/>
      </c>
      <c r="J201" s="21" t="str">
        <f t="shared" si="3"/>
        <v/>
      </c>
      <c r="K201" s="29"/>
      <c r="L201" s="29" t="b">
        <v>0</v>
      </c>
      <c r="M201" s="29"/>
      <c r="N201" s="21" t="str">
        <f>IFERROR(VLOOKUP(I201, 'Price Sheet'!$A$2:$B1010, 2, false), "")</f>
        <v/>
      </c>
    </row>
    <row r="202">
      <c r="B202" s="21" t="str">
        <f t="shared" si="4"/>
        <v/>
      </c>
      <c r="C202" s="29"/>
      <c r="D202" s="29"/>
      <c r="E202" s="29" t="b">
        <v>0</v>
      </c>
      <c r="F202" s="29"/>
      <c r="G202" s="21" t="str">
        <f>IFERROR(VLOOKUP(A202, 'Price Sheet'!$A$2:$B1010, 2, false), "")</f>
        <v/>
      </c>
      <c r="J202" s="21" t="str">
        <f t="shared" si="3"/>
        <v/>
      </c>
      <c r="K202" s="29"/>
      <c r="L202" s="29" t="b">
        <v>0</v>
      </c>
      <c r="M202" s="29"/>
      <c r="N202" s="21" t="str">
        <f>IFERROR(VLOOKUP(I202, 'Price Sheet'!$A$2:$B1010, 2, false), "")</f>
        <v/>
      </c>
    </row>
    <row r="203">
      <c r="B203" s="21" t="str">
        <f t="shared" si="4"/>
        <v/>
      </c>
      <c r="C203" s="29"/>
      <c r="D203" s="29"/>
      <c r="E203" s="29" t="b">
        <v>0</v>
      </c>
      <c r="F203" s="29"/>
      <c r="G203" s="21" t="str">
        <f>IFERROR(VLOOKUP(A203, 'Price Sheet'!$A$2:$B1010, 2, false), "")</f>
        <v/>
      </c>
      <c r="J203" s="21" t="str">
        <f t="shared" si="3"/>
        <v/>
      </c>
      <c r="K203" s="29"/>
      <c r="L203" s="29" t="b">
        <v>0</v>
      </c>
      <c r="M203" s="29"/>
      <c r="N203" s="21" t="str">
        <f>IFERROR(VLOOKUP(I203, 'Price Sheet'!$A$2:$B1010, 2, false), "")</f>
        <v/>
      </c>
    </row>
    <row r="204">
      <c r="B204" s="21" t="str">
        <f t="shared" si="4"/>
        <v/>
      </c>
      <c r="C204" s="29"/>
      <c r="D204" s="29"/>
      <c r="E204" s="29" t="b">
        <v>0</v>
      </c>
      <c r="F204" s="29"/>
      <c r="G204" s="21" t="str">
        <f>IFERROR(VLOOKUP(A204, 'Price Sheet'!$A$2:$B1010, 2, false), "")</f>
        <v/>
      </c>
      <c r="J204" s="21" t="str">
        <f t="shared" si="3"/>
        <v/>
      </c>
      <c r="K204" s="29"/>
      <c r="L204" s="29" t="b">
        <v>0</v>
      </c>
      <c r="M204" s="29"/>
      <c r="N204" s="21" t="str">
        <f>IFERROR(VLOOKUP(I204, 'Price Sheet'!$A$2:$B1010, 2, false), "")</f>
        <v/>
      </c>
    </row>
    <row r="205">
      <c r="B205" s="21" t="str">
        <f t="shared" si="4"/>
        <v/>
      </c>
      <c r="C205" s="29"/>
      <c r="D205" s="29"/>
      <c r="E205" s="29" t="b">
        <v>0</v>
      </c>
      <c r="F205" s="29"/>
      <c r="G205" s="21" t="str">
        <f>IFERROR(VLOOKUP(A205, 'Price Sheet'!$A$2:$B1010, 2, false), "")</f>
        <v/>
      </c>
      <c r="J205" s="21" t="str">
        <f t="shared" si="3"/>
        <v/>
      </c>
      <c r="K205" s="29"/>
      <c r="L205" s="29" t="b">
        <v>0</v>
      </c>
      <c r="M205" s="29"/>
      <c r="N205" s="21" t="str">
        <f>IFERROR(VLOOKUP(I205, 'Price Sheet'!$A$2:$B1010, 2, false), "")</f>
        <v/>
      </c>
    </row>
    <row r="206">
      <c r="B206" s="21" t="str">
        <f t="shared" si="4"/>
        <v/>
      </c>
      <c r="C206" s="29"/>
      <c r="D206" s="29"/>
      <c r="E206" s="29" t="b">
        <v>0</v>
      </c>
      <c r="F206" s="29"/>
      <c r="G206" s="21" t="str">
        <f>IFERROR(VLOOKUP(A206, 'Price Sheet'!$A$2:$B1010, 2, false), "")</f>
        <v/>
      </c>
      <c r="J206" s="21" t="str">
        <f t="shared" si="3"/>
        <v/>
      </c>
      <c r="K206" s="29"/>
      <c r="L206" s="29" t="b">
        <v>0</v>
      </c>
      <c r="M206" s="29"/>
      <c r="N206" s="21" t="str">
        <f>IFERROR(VLOOKUP(I206, 'Price Sheet'!$A$2:$B1010, 2, false), "")</f>
        <v/>
      </c>
    </row>
    <row r="207">
      <c r="B207" s="21" t="str">
        <f t="shared" si="4"/>
        <v/>
      </c>
      <c r="C207" s="29"/>
      <c r="D207" s="29"/>
      <c r="E207" s="29" t="b">
        <v>0</v>
      </c>
      <c r="F207" s="29"/>
      <c r="G207" s="21" t="str">
        <f>IFERROR(VLOOKUP(A207, 'Price Sheet'!$A$2:$B1010, 2, false), "")</f>
        <v/>
      </c>
      <c r="J207" s="21" t="str">
        <f t="shared" si="3"/>
        <v/>
      </c>
      <c r="K207" s="29"/>
      <c r="L207" s="29" t="b">
        <v>0</v>
      </c>
      <c r="M207" s="29"/>
      <c r="N207" s="21" t="str">
        <f>IFERROR(VLOOKUP(I207, 'Price Sheet'!$A$2:$B1010, 2, false), "")</f>
        <v/>
      </c>
    </row>
    <row r="208">
      <c r="B208" s="21" t="str">
        <f t="shared" si="4"/>
        <v/>
      </c>
      <c r="C208" s="29"/>
      <c r="D208" s="29"/>
      <c r="E208" s="29" t="b">
        <v>0</v>
      </c>
      <c r="F208" s="29"/>
      <c r="G208" s="21" t="str">
        <f>IFERROR(VLOOKUP(A208, 'Price Sheet'!$A$2:$B1010, 2, false), "")</f>
        <v/>
      </c>
      <c r="J208" s="21" t="str">
        <f t="shared" si="3"/>
        <v/>
      </c>
      <c r="K208" s="29"/>
      <c r="L208" s="29" t="b">
        <v>0</v>
      </c>
      <c r="M208" s="29"/>
      <c r="N208" s="21" t="str">
        <f>IFERROR(VLOOKUP(I208, 'Price Sheet'!$A$2:$B1010, 2, false), "")</f>
        <v/>
      </c>
    </row>
    <row r="209">
      <c r="B209" s="21" t="str">
        <f t="shared" si="4"/>
        <v/>
      </c>
      <c r="C209" s="29"/>
      <c r="D209" s="29"/>
      <c r="E209" s="29" t="b">
        <v>0</v>
      </c>
      <c r="F209" s="29"/>
      <c r="G209" s="21" t="str">
        <f>IFERROR(VLOOKUP(A209, 'Price Sheet'!$A$2:$B1010, 2, false), "")</f>
        <v/>
      </c>
      <c r="J209" s="21" t="str">
        <f t="shared" si="3"/>
        <v/>
      </c>
      <c r="K209" s="29"/>
      <c r="L209" s="29" t="b">
        <v>0</v>
      </c>
      <c r="M209" s="29"/>
      <c r="N209" s="21" t="str">
        <f>IFERROR(VLOOKUP(I209, 'Price Sheet'!$A$2:$B1010, 2, false), "")</f>
        <v/>
      </c>
    </row>
    <row r="210">
      <c r="B210" s="21" t="str">
        <f t="shared" si="4"/>
        <v/>
      </c>
      <c r="C210" s="29"/>
      <c r="D210" s="29"/>
      <c r="E210" s="29" t="b">
        <v>0</v>
      </c>
      <c r="F210" s="29"/>
      <c r="G210" s="21" t="str">
        <f>IFERROR(VLOOKUP(A210, 'Price Sheet'!$A$2:$B1010, 2, false), "")</f>
        <v/>
      </c>
      <c r="J210" s="21" t="str">
        <f t="shared" si="3"/>
        <v/>
      </c>
      <c r="K210" s="29"/>
      <c r="L210" s="29" t="b">
        <v>0</v>
      </c>
      <c r="M210" s="29"/>
      <c r="N210" s="21" t="str">
        <f>IFERROR(VLOOKUP(I210, 'Price Sheet'!$A$2:$B1010, 2, false), "")</f>
        <v/>
      </c>
    </row>
    <row r="211">
      <c r="B211" s="21" t="str">
        <f t="shared" si="4"/>
        <v/>
      </c>
      <c r="C211" s="29"/>
      <c r="D211" s="29"/>
      <c r="E211" s="29" t="b">
        <v>0</v>
      </c>
      <c r="F211" s="29"/>
      <c r="G211" s="21" t="str">
        <f>IFERROR(VLOOKUP(A211, 'Price Sheet'!$A$2:$B1010, 2, false), "")</f>
        <v/>
      </c>
      <c r="J211" s="21" t="str">
        <f t="shared" si="3"/>
        <v/>
      </c>
      <c r="K211" s="29"/>
      <c r="L211" s="29" t="b">
        <v>0</v>
      </c>
      <c r="M211" s="29"/>
      <c r="N211" s="21" t="str">
        <f>IFERROR(VLOOKUP(I211, 'Price Sheet'!$A$2:$B1010, 2, false), "")</f>
        <v/>
      </c>
    </row>
    <row r="212">
      <c r="B212" s="21" t="str">
        <f t="shared" si="4"/>
        <v/>
      </c>
      <c r="C212" s="29"/>
      <c r="D212" s="29"/>
      <c r="E212" s="29" t="b">
        <v>0</v>
      </c>
      <c r="F212" s="29"/>
      <c r="G212" s="21" t="str">
        <f>IFERROR(VLOOKUP(A212, 'Price Sheet'!$A$2:$B1010, 2, false), "")</f>
        <v/>
      </c>
      <c r="J212" s="21" t="str">
        <f t="shared" si="3"/>
        <v/>
      </c>
      <c r="K212" s="29"/>
      <c r="L212" s="29" t="b">
        <v>0</v>
      </c>
      <c r="M212" s="29"/>
      <c r="N212" s="21" t="str">
        <f>IFERROR(VLOOKUP(I212, 'Price Sheet'!$A$2:$B1010, 2, false), "")</f>
        <v/>
      </c>
    </row>
    <row r="213">
      <c r="B213" s="21" t="str">
        <f t="shared" si="4"/>
        <v/>
      </c>
      <c r="C213" s="29"/>
      <c r="D213" s="29"/>
      <c r="E213" s="29" t="b">
        <v>0</v>
      </c>
      <c r="F213" s="29"/>
      <c r="G213" s="21" t="str">
        <f>IFERROR(VLOOKUP(A213, 'Price Sheet'!$A$2:$B1010, 2, false), "")</f>
        <v/>
      </c>
      <c r="J213" s="21" t="str">
        <f t="shared" si="3"/>
        <v/>
      </c>
      <c r="K213" s="29"/>
      <c r="L213" s="29" t="b">
        <v>0</v>
      </c>
      <c r="M213" s="29"/>
      <c r="N213" s="21" t="str">
        <f>IFERROR(VLOOKUP(I213, 'Price Sheet'!$A$2:$B1010, 2, false), "")</f>
        <v/>
      </c>
    </row>
    <row r="214">
      <c r="B214" s="21" t="str">
        <f t="shared" si="4"/>
        <v/>
      </c>
      <c r="C214" s="29"/>
      <c r="D214" s="29"/>
      <c r="E214" s="29" t="b">
        <v>0</v>
      </c>
      <c r="F214" s="29"/>
      <c r="G214" s="21" t="str">
        <f>IFERROR(VLOOKUP(A214, 'Price Sheet'!$A$2:$B1010, 2, false), "")</f>
        <v/>
      </c>
      <c r="J214" s="21" t="str">
        <f t="shared" si="3"/>
        <v/>
      </c>
      <c r="K214" s="29"/>
      <c r="L214" s="29" t="b">
        <v>0</v>
      </c>
      <c r="M214" s="29"/>
      <c r="N214" s="21" t="str">
        <f>IFERROR(VLOOKUP(I214, 'Price Sheet'!$A$2:$B1010, 2, false), "")</f>
        <v/>
      </c>
    </row>
    <row r="215">
      <c r="B215" s="21" t="str">
        <f t="shared" si="4"/>
        <v/>
      </c>
      <c r="C215" s="29"/>
      <c r="D215" s="29"/>
      <c r="E215" s="29" t="b">
        <v>0</v>
      </c>
      <c r="F215" s="29"/>
      <c r="G215" s="21" t="str">
        <f>IFERROR(VLOOKUP(A215, 'Price Sheet'!$A$2:$B1010, 2, false), "")</f>
        <v/>
      </c>
      <c r="J215" s="21" t="str">
        <f t="shared" si="3"/>
        <v/>
      </c>
      <c r="K215" s="29"/>
      <c r="L215" s="29" t="b">
        <v>0</v>
      </c>
      <c r="M215" s="29"/>
      <c r="N215" s="21" t="str">
        <f>IFERROR(VLOOKUP(I215, 'Price Sheet'!$A$2:$B1010, 2, false), "")</f>
        <v/>
      </c>
    </row>
    <row r="216">
      <c r="B216" s="21" t="str">
        <f t="shared" si="4"/>
        <v/>
      </c>
      <c r="C216" s="29"/>
      <c r="D216" s="29"/>
      <c r="E216" s="29" t="b">
        <v>0</v>
      </c>
      <c r="F216" s="29"/>
      <c r="G216" s="21" t="str">
        <f>IFERROR(VLOOKUP(A216, 'Price Sheet'!$A$2:$B1010, 2, false), "")</f>
        <v/>
      </c>
      <c r="J216" s="21" t="str">
        <f t="shared" si="3"/>
        <v/>
      </c>
      <c r="K216" s="29"/>
      <c r="L216" s="29" t="b">
        <v>0</v>
      </c>
      <c r="M216" s="29"/>
      <c r="N216" s="21" t="str">
        <f>IFERROR(VLOOKUP(I216, 'Price Sheet'!$A$2:$B1010, 2, false), "")</f>
        <v/>
      </c>
    </row>
    <row r="217">
      <c r="B217" s="21" t="str">
        <f t="shared" si="4"/>
        <v/>
      </c>
      <c r="C217" s="29"/>
      <c r="D217" s="29"/>
      <c r="E217" s="29" t="b">
        <v>0</v>
      </c>
      <c r="F217" s="29"/>
      <c r="G217" s="21" t="str">
        <f>IFERROR(VLOOKUP(A217, 'Price Sheet'!$A$2:$B1010, 2, false), "")</f>
        <v/>
      </c>
      <c r="J217" s="21" t="str">
        <f t="shared" si="3"/>
        <v/>
      </c>
      <c r="K217" s="29"/>
      <c r="L217" s="29" t="b">
        <v>0</v>
      </c>
      <c r="M217" s="29"/>
      <c r="N217" s="21" t="str">
        <f>IFERROR(VLOOKUP(I217, 'Price Sheet'!$A$2:$B1010, 2, false), "")</f>
        <v/>
      </c>
    </row>
    <row r="218">
      <c r="B218" s="21" t="str">
        <f t="shared" si="4"/>
        <v/>
      </c>
      <c r="C218" s="29"/>
      <c r="D218" s="29"/>
      <c r="E218" s="29" t="b">
        <v>0</v>
      </c>
      <c r="F218" s="29"/>
      <c r="G218" s="21" t="str">
        <f>IFERROR(VLOOKUP(A218, 'Price Sheet'!$A$2:$B1010, 2, false), "")</f>
        <v/>
      </c>
      <c r="J218" s="21" t="str">
        <f t="shared" si="3"/>
        <v/>
      </c>
      <c r="K218" s="29"/>
      <c r="L218" s="29" t="b">
        <v>0</v>
      </c>
      <c r="M218" s="29"/>
      <c r="N218" s="21" t="str">
        <f>IFERROR(VLOOKUP(I218, 'Price Sheet'!$A$2:$B1010, 2, false), "")</f>
        <v/>
      </c>
    </row>
    <row r="219">
      <c r="B219" s="21" t="str">
        <f t="shared" si="4"/>
        <v/>
      </c>
      <c r="C219" s="29"/>
      <c r="D219" s="29"/>
      <c r="E219" s="29" t="b">
        <v>0</v>
      </c>
      <c r="F219" s="29"/>
      <c r="G219" s="21" t="str">
        <f>IFERROR(VLOOKUP(A219, 'Price Sheet'!$A$2:$B1010, 2, false), "")</f>
        <v/>
      </c>
      <c r="J219" s="21" t="str">
        <f t="shared" si="3"/>
        <v/>
      </c>
      <c r="K219" s="29"/>
      <c r="L219" s="29" t="b">
        <v>0</v>
      </c>
      <c r="M219" s="29"/>
      <c r="N219" s="21" t="str">
        <f>IFERROR(VLOOKUP(I219, 'Price Sheet'!$A$2:$B1010, 2, false), "")</f>
        <v/>
      </c>
    </row>
    <row r="220">
      <c r="B220" s="21" t="str">
        <f t="shared" si="4"/>
        <v/>
      </c>
      <c r="C220" s="29"/>
      <c r="D220" s="29"/>
      <c r="E220" s="29" t="b">
        <v>0</v>
      </c>
      <c r="F220" s="29"/>
      <c r="G220" s="21" t="str">
        <f>IFERROR(VLOOKUP(A220, 'Price Sheet'!$A$2:$B1010, 2, false), "")</f>
        <v/>
      </c>
      <c r="J220" s="21" t="str">
        <f t="shared" si="3"/>
        <v/>
      </c>
      <c r="K220" s="29"/>
      <c r="L220" s="29" t="b">
        <v>0</v>
      </c>
      <c r="M220" s="29"/>
      <c r="N220" s="21" t="str">
        <f>IFERROR(VLOOKUP(I220, 'Price Sheet'!$A$2:$B1010, 2, false), "")</f>
        <v/>
      </c>
    </row>
    <row r="221">
      <c r="B221" s="21" t="str">
        <f t="shared" si="4"/>
        <v/>
      </c>
      <c r="C221" s="29"/>
      <c r="D221" s="29"/>
      <c r="E221" s="29" t="b">
        <v>0</v>
      </c>
      <c r="F221" s="29"/>
      <c r="G221" s="21" t="str">
        <f>IFERROR(VLOOKUP(A221, 'Price Sheet'!$A$2:$B1010, 2, false), "")</f>
        <v/>
      </c>
      <c r="J221" s="21" t="str">
        <f t="shared" si="3"/>
        <v/>
      </c>
      <c r="K221" s="29"/>
      <c r="L221" s="29" t="b">
        <v>0</v>
      </c>
      <c r="M221" s="29"/>
      <c r="N221" s="21" t="str">
        <f>IFERROR(VLOOKUP(I221, 'Price Sheet'!$A$2:$B1010, 2, false), "")</f>
        <v/>
      </c>
    </row>
    <row r="222">
      <c r="B222" s="21" t="str">
        <f t="shared" si="4"/>
        <v/>
      </c>
      <c r="C222" s="29"/>
      <c r="D222" s="29"/>
      <c r="E222" s="29" t="b">
        <v>0</v>
      </c>
      <c r="F222" s="29"/>
      <c r="G222" s="21" t="str">
        <f>IFERROR(VLOOKUP(A222, 'Price Sheet'!$A$2:$B1010, 2, false), "")</f>
        <v/>
      </c>
      <c r="J222" s="21" t="str">
        <f t="shared" si="3"/>
        <v/>
      </c>
      <c r="K222" s="29"/>
      <c r="L222" s="29" t="b">
        <v>0</v>
      </c>
      <c r="M222" s="29"/>
      <c r="N222" s="21" t="str">
        <f>IFERROR(VLOOKUP(I222, 'Price Sheet'!$A$2:$B1010, 2, false), "")</f>
        <v/>
      </c>
    </row>
    <row r="223">
      <c r="B223" s="21" t="str">
        <f t="shared" si="4"/>
        <v/>
      </c>
      <c r="C223" s="29"/>
      <c r="D223" s="29"/>
      <c r="E223" s="29" t="b">
        <v>0</v>
      </c>
      <c r="F223" s="29"/>
      <c r="G223" s="21" t="str">
        <f>IFERROR(VLOOKUP(A223, 'Price Sheet'!$A$2:$B1010, 2, false), "")</f>
        <v/>
      </c>
      <c r="J223" s="21" t="str">
        <f t="shared" si="3"/>
        <v/>
      </c>
      <c r="K223" s="29"/>
      <c r="L223" s="29" t="b">
        <v>0</v>
      </c>
      <c r="M223" s="29"/>
      <c r="N223" s="21" t="str">
        <f>IFERROR(VLOOKUP(I223, 'Price Sheet'!$A$2:$B1010, 2, false), "")</f>
        <v/>
      </c>
    </row>
    <row r="224">
      <c r="B224" s="21" t="str">
        <f t="shared" si="4"/>
        <v/>
      </c>
      <c r="C224" s="29"/>
      <c r="D224" s="29"/>
      <c r="E224" s="29" t="b">
        <v>0</v>
      </c>
      <c r="F224" s="29"/>
      <c r="G224" s="21" t="str">
        <f>IFERROR(VLOOKUP(A224, 'Price Sheet'!$A$2:$B1010, 2, false), "")</f>
        <v/>
      </c>
      <c r="J224" s="21" t="str">
        <f t="shared" si="3"/>
        <v/>
      </c>
      <c r="K224" s="29"/>
      <c r="L224" s="29" t="b">
        <v>0</v>
      </c>
      <c r="M224" s="29"/>
      <c r="N224" s="21" t="str">
        <f>IFERROR(VLOOKUP(I224, 'Price Sheet'!$A$2:$B1010, 2, false), "")</f>
        <v/>
      </c>
    </row>
    <row r="225">
      <c r="B225" s="21" t="str">
        <f t="shared" si="4"/>
        <v/>
      </c>
      <c r="C225" s="29"/>
      <c r="D225" s="29"/>
      <c r="E225" s="29" t="b">
        <v>0</v>
      </c>
      <c r="F225" s="29"/>
      <c r="G225" s="21" t="str">
        <f>IFERROR(VLOOKUP(A225, 'Price Sheet'!$A$2:$B1010, 2, false), "")</f>
        <v/>
      </c>
      <c r="J225" s="21" t="str">
        <f t="shared" si="3"/>
        <v/>
      </c>
      <c r="K225" s="29"/>
      <c r="L225" s="29" t="b">
        <v>0</v>
      </c>
      <c r="M225" s="29"/>
      <c r="N225" s="21" t="str">
        <f>IFERROR(VLOOKUP(I225, 'Price Sheet'!$A$2:$B1010, 2, false), "")</f>
        <v/>
      </c>
    </row>
    <row r="226">
      <c r="B226" s="21" t="str">
        <f t="shared" si="4"/>
        <v/>
      </c>
      <c r="C226" s="29"/>
      <c r="D226" s="29"/>
      <c r="E226" s="29" t="b">
        <v>0</v>
      </c>
      <c r="F226" s="29"/>
      <c r="G226" s="21" t="str">
        <f>IFERROR(VLOOKUP(A226, 'Price Sheet'!$A$2:$B1010, 2, false), "")</f>
        <v/>
      </c>
      <c r="J226" s="21" t="str">
        <f t="shared" si="3"/>
        <v/>
      </c>
      <c r="K226" s="29"/>
      <c r="L226" s="29" t="b">
        <v>0</v>
      </c>
      <c r="M226" s="29"/>
      <c r="N226" s="21" t="str">
        <f>IFERROR(VLOOKUP(I226, 'Price Sheet'!$A$2:$B1010, 2, false), "")</f>
        <v/>
      </c>
    </row>
    <row r="227">
      <c r="B227" s="21" t="str">
        <f t="shared" si="4"/>
        <v/>
      </c>
      <c r="C227" s="29"/>
      <c r="D227" s="29"/>
      <c r="E227" s="29" t="b">
        <v>0</v>
      </c>
      <c r="F227" s="29"/>
      <c r="G227" s="21" t="str">
        <f>IFERROR(VLOOKUP(A227, 'Price Sheet'!$A$2:$B1010, 2, false), "")</f>
        <v/>
      </c>
      <c r="J227" s="21" t="str">
        <f t="shared" si="3"/>
        <v/>
      </c>
      <c r="K227" s="29"/>
      <c r="L227" s="29" t="b">
        <v>0</v>
      </c>
      <c r="M227" s="29"/>
      <c r="N227" s="21" t="str">
        <f>IFERROR(VLOOKUP(I227, 'Price Sheet'!$A$2:$B1010, 2, false), "")</f>
        <v/>
      </c>
    </row>
    <row r="228">
      <c r="B228" s="21" t="str">
        <f t="shared" si="4"/>
        <v/>
      </c>
      <c r="C228" s="29"/>
      <c r="D228" s="29"/>
      <c r="E228" s="29" t="b">
        <v>0</v>
      </c>
      <c r="F228" s="29"/>
      <c r="G228" s="21" t="str">
        <f>IFERROR(VLOOKUP(A228, 'Price Sheet'!$A$2:$B1010, 2, false), "")</f>
        <v/>
      </c>
      <c r="J228" s="21" t="str">
        <f t="shared" si="3"/>
        <v/>
      </c>
      <c r="K228" s="29"/>
      <c r="L228" s="29" t="b">
        <v>0</v>
      </c>
      <c r="M228" s="29"/>
      <c r="N228" s="21" t="str">
        <f>IFERROR(VLOOKUP(I228, 'Price Sheet'!$A$2:$B1010, 2, false), "")</f>
        <v/>
      </c>
    </row>
    <row r="229">
      <c r="B229" s="21" t="str">
        <f t="shared" si="4"/>
        <v/>
      </c>
      <c r="C229" s="29"/>
      <c r="D229" s="29"/>
      <c r="E229" s="29" t="b">
        <v>0</v>
      </c>
      <c r="F229" s="29"/>
      <c r="G229" s="21" t="str">
        <f>IFERROR(VLOOKUP(A229, 'Price Sheet'!$A$2:$B1010, 2, false), "")</f>
        <v/>
      </c>
      <c r="J229" s="21" t="str">
        <f t="shared" si="3"/>
        <v/>
      </c>
      <c r="K229" s="29"/>
      <c r="L229" s="29" t="b">
        <v>0</v>
      </c>
      <c r="M229" s="29"/>
      <c r="N229" s="21" t="str">
        <f>IFERROR(VLOOKUP(I229, 'Price Sheet'!$A$2:$B1010, 2, false), "")</f>
        <v/>
      </c>
    </row>
    <row r="230">
      <c r="B230" s="21" t="str">
        <f t="shared" si="4"/>
        <v/>
      </c>
      <c r="C230" s="29"/>
      <c r="D230" s="29"/>
      <c r="E230" s="29" t="b">
        <v>0</v>
      </c>
      <c r="F230" s="29"/>
      <c r="G230" s="21" t="str">
        <f>IFERROR(VLOOKUP(A230, 'Price Sheet'!$A$2:$B1010, 2, false), "")</f>
        <v/>
      </c>
      <c r="J230" s="21" t="str">
        <f t="shared" si="3"/>
        <v/>
      </c>
      <c r="K230" s="29"/>
      <c r="L230" s="29" t="b">
        <v>0</v>
      </c>
      <c r="M230" s="29"/>
      <c r="N230" s="21" t="str">
        <f>IFERROR(VLOOKUP(I230, 'Price Sheet'!$A$2:$B1010, 2, false), "")</f>
        <v/>
      </c>
    </row>
    <row r="231">
      <c r="B231" s="21" t="str">
        <f t="shared" si="4"/>
        <v/>
      </c>
      <c r="C231" s="29"/>
      <c r="D231" s="29"/>
      <c r="E231" s="29" t="b">
        <v>0</v>
      </c>
      <c r="F231" s="29"/>
      <c r="G231" s="21" t="str">
        <f>IFERROR(VLOOKUP(A231, 'Price Sheet'!$A$2:$B1010, 2, false), "")</f>
        <v/>
      </c>
      <c r="J231" s="21" t="str">
        <f t="shared" si="3"/>
        <v/>
      </c>
      <c r="K231" s="29"/>
      <c r="L231" s="29" t="b">
        <v>0</v>
      </c>
      <c r="M231" s="29"/>
      <c r="N231" s="21" t="str">
        <f>IFERROR(VLOOKUP(I231, 'Price Sheet'!$A$2:$B1010, 2, false), "")</f>
        <v/>
      </c>
    </row>
    <row r="232">
      <c r="B232" s="21" t="str">
        <f t="shared" si="4"/>
        <v/>
      </c>
      <c r="C232" s="29"/>
      <c r="D232" s="29"/>
      <c r="E232" s="29" t="b">
        <v>0</v>
      </c>
      <c r="F232" s="29"/>
      <c r="G232" s="21" t="str">
        <f>IFERROR(VLOOKUP(A232, 'Price Sheet'!$A$2:$B1010, 2, false), "")</f>
        <v/>
      </c>
      <c r="J232" s="21" t="str">
        <f t="shared" si="3"/>
        <v/>
      </c>
      <c r="K232" s="29"/>
      <c r="L232" s="29" t="b">
        <v>0</v>
      </c>
      <c r="M232" s="29"/>
      <c r="N232" s="21" t="str">
        <f>IFERROR(VLOOKUP(I232, 'Price Sheet'!$A$2:$B1010, 2, false), "")</f>
        <v/>
      </c>
    </row>
    <row r="233">
      <c r="B233" s="21" t="str">
        <f t="shared" si="4"/>
        <v/>
      </c>
      <c r="C233" s="29"/>
      <c r="D233" s="29"/>
      <c r="E233" s="29" t="b">
        <v>0</v>
      </c>
      <c r="F233" s="29"/>
      <c r="G233" s="21" t="str">
        <f>IFERROR(VLOOKUP(A233, 'Price Sheet'!$A$2:$B1010, 2, false), "")</f>
        <v/>
      </c>
      <c r="J233" s="21" t="str">
        <f t="shared" si="3"/>
        <v/>
      </c>
      <c r="K233" s="29"/>
      <c r="L233" s="29" t="b">
        <v>0</v>
      </c>
      <c r="M233" s="29"/>
      <c r="N233" s="21" t="str">
        <f>IFERROR(VLOOKUP(I233, 'Price Sheet'!$A$2:$B1010, 2, false), "")</f>
        <v/>
      </c>
    </row>
    <row r="234">
      <c r="B234" s="21" t="str">
        <f t="shared" si="4"/>
        <v/>
      </c>
      <c r="C234" s="29"/>
      <c r="D234" s="29"/>
      <c r="E234" s="29" t="b">
        <v>0</v>
      </c>
      <c r="F234" s="29"/>
      <c r="G234" s="21" t="str">
        <f>IFERROR(VLOOKUP(A234, 'Price Sheet'!$A$2:$B1010, 2, false), "")</f>
        <v/>
      </c>
      <c r="J234" s="21" t="str">
        <f t="shared" si="3"/>
        <v/>
      </c>
      <c r="K234" s="29"/>
      <c r="L234" s="29" t="b">
        <v>0</v>
      </c>
      <c r="M234" s="29"/>
      <c r="N234" s="21" t="str">
        <f>IFERROR(VLOOKUP(I234, 'Price Sheet'!$A$2:$B1010, 2, false), "")</f>
        <v/>
      </c>
    </row>
    <row r="235">
      <c r="B235" s="21" t="str">
        <f t="shared" si="4"/>
        <v/>
      </c>
      <c r="C235" s="29"/>
      <c r="D235" s="29"/>
      <c r="E235" s="29" t="b">
        <v>0</v>
      </c>
      <c r="F235" s="29"/>
      <c r="G235" s="21" t="str">
        <f>IFERROR(VLOOKUP(A235, 'Price Sheet'!$A$2:$B1010, 2, false), "")</f>
        <v/>
      </c>
      <c r="J235" s="21" t="str">
        <f t="shared" si="3"/>
        <v/>
      </c>
      <c r="K235" s="29"/>
      <c r="L235" s="29" t="b">
        <v>0</v>
      </c>
      <c r="M235" s="29"/>
      <c r="N235" s="21" t="str">
        <f>IFERROR(VLOOKUP(I235, 'Price Sheet'!$A$2:$B1010, 2, false), "")</f>
        <v/>
      </c>
    </row>
    <row r="236">
      <c r="B236" s="21" t="str">
        <f t="shared" si="4"/>
        <v/>
      </c>
      <c r="C236" s="29"/>
      <c r="D236" s="29"/>
      <c r="E236" s="29" t="b">
        <v>0</v>
      </c>
      <c r="F236" s="29"/>
      <c r="G236" s="21" t="str">
        <f>IFERROR(VLOOKUP(A236, 'Price Sheet'!$A$2:$B1010, 2, false), "")</f>
        <v/>
      </c>
      <c r="J236" s="21" t="str">
        <f t="shared" si="3"/>
        <v/>
      </c>
      <c r="K236" s="29"/>
      <c r="L236" s="29" t="b">
        <v>0</v>
      </c>
      <c r="M236" s="29"/>
      <c r="N236" s="21" t="str">
        <f>IFERROR(VLOOKUP(I236, 'Price Sheet'!$A$2:$B1010, 2, false), "")</f>
        <v/>
      </c>
    </row>
    <row r="237">
      <c r="B237" s="21" t="str">
        <f t="shared" si="4"/>
        <v/>
      </c>
      <c r="C237" s="29"/>
      <c r="D237" s="29"/>
      <c r="E237" s="29" t="b">
        <v>0</v>
      </c>
      <c r="F237" s="29"/>
      <c r="G237" s="21" t="str">
        <f>IFERROR(VLOOKUP(A237, 'Price Sheet'!$A$2:$B1010, 2, false), "")</f>
        <v/>
      </c>
      <c r="J237" s="21" t="str">
        <f t="shared" si="3"/>
        <v/>
      </c>
      <c r="K237" s="29"/>
      <c r="L237" s="29" t="b">
        <v>0</v>
      </c>
      <c r="M237" s="29"/>
      <c r="N237" s="21" t="str">
        <f>IFERROR(VLOOKUP(I237, 'Price Sheet'!$A$2:$B1010, 2, false), "")</f>
        <v/>
      </c>
    </row>
    <row r="238">
      <c r="B238" s="21" t="str">
        <f t="shared" si="4"/>
        <v/>
      </c>
      <c r="C238" s="29"/>
      <c r="D238" s="29"/>
      <c r="E238" s="29" t="b">
        <v>0</v>
      </c>
      <c r="F238" s="29"/>
      <c r="G238" s="21" t="str">
        <f>IFERROR(VLOOKUP(A238, 'Price Sheet'!$A$2:$B1010, 2, false), "")</f>
        <v/>
      </c>
      <c r="J238" s="21" t="str">
        <f t="shared" si="3"/>
        <v/>
      </c>
      <c r="K238" s="29"/>
      <c r="L238" s="29" t="b">
        <v>0</v>
      </c>
      <c r="M238" s="29"/>
      <c r="N238" s="21" t="str">
        <f>IFERROR(VLOOKUP(I238, 'Price Sheet'!$A$2:$B1010, 2, false), "")</f>
        <v/>
      </c>
    </row>
    <row r="239">
      <c r="B239" s="21" t="str">
        <f t="shared" si="4"/>
        <v/>
      </c>
      <c r="C239" s="29"/>
      <c r="D239" s="29"/>
      <c r="E239" s="29" t="b">
        <v>0</v>
      </c>
      <c r="F239" s="29"/>
      <c r="G239" s="21" t="str">
        <f>IFERROR(VLOOKUP(A239, 'Price Sheet'!$A$2:$B1010, 2, false), "")</f>
        <v/>
      </c>
      <c r="J239" s="21" t="str">
        <f t="shared" si="3"/>
        <v/>
      </c>
      <c r="K239" s="29"/>
      <c r="L239" s="29" t="b">
        <v>0</v>
      </c>
      <c r="M239" s="29"/>
      <c r="N239" s="21" t="str">
        <f>IFERROR(VLOOKUP(I239, 'Price Sheet'!$A$2:$B1010, 2, false), "")</f>
        <v/>
      </c>
    </row>
    <row r="240">
      <c r="B240" s="21" t="str">
        <f t="shared" si="4"/>
        <v/>
      </c>
      <c r="C240" s="29"/>
      <c r="D240" s="29"/>
      <c r="E240" s="29" t="b">
        <v>0</v>
      </c>
      <c r="F240" s="29"/>
      <c r="G240" s="21" t="str">
        <f>IFERROR(VLOOKUP(A240, 'Price Sheet'!$A$2:$B1010, 2, false), "")</f>
        <v/>
      </c>
      <c r="J240" s="21" t="str">
        <f t="shared" si="3"/>
        <v/>
      </c>
      <c r="K240" s="29"/>
      <c r="L240" s="29" t="b">
        <v>0</v>
      </c>
      <c r="M240" s="29"/>
      <c r="N240" s="21" t="str">
        <f>IFERROR(VLOOKUP(I240, 'Price Sheet'!$A$2:$B1010, 2, false), "")</f>
        <v/>
      </c>
    </row>
    <row r="241">
      <c r="B241" s="21" t="str">
        <f t="shared" si="4"/>
        <v/>
      </c>
      <c r="C241" s="29"/>
      <c r="D241" s="29"/>
      <c r="E241" s="29" t="b">
        <v>0</v>
      </c>
      <c r="F241" s="29"/>
      <c r="G241" s="21" t="str">
        <f>IFERROR(VLOOKUP(A241, 'Price Sheet'!$A$2:$B1010, 2, false), "")</f>
        <v/>
      </c>
      <c r="J241" s="21" t="str">
        <f t="shared" si="3"/>
        <v/>
      </c>
      <c r="K241" s="29"/>
      <c r="L241" s="29" t="b">
        <v>0</v>
      </c>
      <c r="M241" s="29"/>
      <c r="N241" s="21" t="str">
        <f>IFERROR(VLOOKUP(I241, 'Price Sheet'!$A$2:$B1010, 2, false), "")</f>
        <v/>
      </c>
    </row>
    <row r="242">
      <c r="B242" s="21" t="str">
        <f t="shared" si="4"/>
        <v/>
      </c>
      <c r="C242" s="29"/>
      <c r="D242" s="29"/>
      <c r="E242" s="29" t="b">
        <v>0</v>
      </c>
      <c r="F242" s="29"/>
      <c r="G242" s="21" t="str">
        <f>IFERROR(VLOOKUP(A242, 'Price Sheet'!$A$2:$B1010, 2, false), "")</f>
        <v/>
      </c>
      <c r="J242" s="21" t="str">
        <f t="shared" si="3"/>
        <v/>
      </c>
      <c r="K242" s="29"/>
      <c r="L242" s="29" t="b">
        <v>0</v>
      </c>
      <c r="M242" s="29"/>
      <c r="N242" s="21" t="str">
        <f>IFERROR(VLOOKUP(I242, 'Price Sheet'!$A$2:$B1010, 2, false), "")</f>
        <v/>
      </c>
    </row>
    <row r="243">
      <c r="B243" s="21" t="str">
        <f t="shared" si="4"/>
        <v/>
      </c>
      <c r="C243" s="29"/>
      <c r="D243" s="29"/>
      <c r="E243" s="29" t="b">
        <v>0</v>
      </c>
      <c r="F243" s="29"/>
      <c r="G243" s="21" t="str">
        <f>IFERROR(VLOOKUP(A243, 'Price Sheet'!$A$2:$B1010, 2, false), "")</f>
        <v/>
      </c>
      <c r="J243" s="21" t="str">
        <f t="shared" si="3"/>
        <v/>
      </c>
      <c r="K243" s="29"/>
      <c r="L243" s="29" t="b">
        <v>0</v>
      </c>
      <c r="M243" s="29"/>
      <c r="N243" s="21" t="str">
        <f>IFERROR(VLOOKUP(I243, 'Price Sheet'!$A$2:$B1010, 2, false), "")</f>
        <v/>
      </c>
    </row>
    <row r="244">
      <c r="B244" s="21" t="str">
        <f t="shared" si="4"/>
        <v/>
      </c>
      <c r="C244" s="29"/>
      <c r="D244" s="29"/>
      <c r="E244" s="29" t="b">
        <v>0</v>
      </c>
      <c r="F244" s="29"/>
      <c r="G244" s="21" t="str">
        <f>IFERROR(VLOOKUP(A244, 'Price Sheet'!$A$2:$B1010, 2, false), "")</f>
        <v/>
      </c>
      <c r="J244" s="21" t="str">
        <f t="shared" si="3"/>
        <v/>
      </c>
      <c r="K244" s="29"/>
      <c r="L244" s="29" t="b">
        <v>0</v>
      </c>
      <c r="M244" s="29"/>
      <c r="N244" s="21" t="str">
        <f>IFERROR(VLOOKUP(I244, 'Price Sheet'!$A$2:$B1010, 2, false), "")</f>
        <v/>
      </c>
    </row>
    <row r="245">
      <c r="B245" s="21" t="str">
        <f t="shared" si="4"/>
        <v/>
      </c>
      <c r="C245" s="29"/>
      <c r="D245" s="29"/>
      <c r="E245" s="29" t="b">
        <v>0</v>
      </c>
      <c r="F245" s="29"/>
      <c r="G245" s="21" t="str">
        <f>IFERROR(VLOOKUP(A245, 'Price Sheet'!$A$2:$B1010, 2, false), "")</f>
        <v/>
      </c>
      <c r="J245" s="21" t="str">
        <f t="shared" si="3"/>
        <v/>
      </c>
      <c r="K245" s="29"/>
      <c r="L245" s="29" t="b">
        <v>0</v>
      </c>
      <c r="M245" s="29"/>
      <c r="N245" s="21" t="str">
        <f>IFERROR(VLOOKUP(I245, 'Price Sheet'!$A$2:$B1010, 2, false), "")</f>
        <v/>
      </c>
    </row>
    <row r="246">
      <c r="B246" s="21" t="str">
        <f t="shared" si="4"/>
        <v/>
      </c>
      <c r="C246" s="29"/>
      <c r="D246" s="29"/>
      <c r="E246" s="29" t="b">
        <v>0</v>
      </c>
      <c r="F246" s="29"/>
      <c r="G246" s="21" t="str">
        <f>IFERROR(VLOOKUP(A246, 'Price Sheet'!$A$2:$B1010, 2, false), "")</f>
        <v/>
      </c>
      <c r="J246" s="21" t="str">
        <f t="shared" si="3"/>
        <v/>
      </c>
      <c r="K246" s="29"/>
      <c r="L246" s="29" t="b">
        <v>0</v>
      </c>
      <c r="M246" s="29"/>
      <c r="N246" s="21" t="str">
        <f>IFERROR(VLOOKUP(I246, 'Price Sheet'!$A$2:$B1010, 2, false), "")</f>
        <v/>
      </c>
    </row>
    <row r="247">
      <c r="B247" s="21" t="str">
        <f t="shared" si="4"/>
        <v/>
      </c>
      <c r="C247" s="29"/>
      <c r="D247" s="29"/>
      <c r="E247" s="29" t="b">
        <v>0</v>
      </c>
      <c r="F247" s="29"/>
      <c r="G247" s="21" t="str">
        <f>IFERROR(VLOOKUP(A247, 'Price Sheet'!$A$2:$B1010, 2, false), "")</f>
        <v/>
      </c>
      <c r="J247" s="21" t="str">
        <f t="shared" si="3"/>
        <v/>
      </c>
      <c r="K247" s="29"/>
      <c r="L247" s="29" t="b">
        <v>0</v>
      </c>
      <c r="M247" s="29"/>
      <c r="N247" s="21" t="str">
        <f>IFERROR(VLOOKUP(I247, 'Price Sheet'!$A$2:$B1010, 2, false), "")</f>
        <v/>
      </c>
    </row>
    <row r="248">
      <c r="B248" s="21" t="str">
        <f t="shared" si="4"/>
        <v/>
      </c>
      <c r="C248" s="29"/>
      <c r="D248" s="29"/>
      <c r="E248" s="29" t="b">
        <v>0</v>
      </c>
      <c r="F248" s="29"/>
      <c r="G248" s="21" t="str">
        <f>IFERROR(VLOOKUP(A248, 'Price Sheet'!$A$2:$B1010, 2, false), "")</f>
        <v/>
      </c>
      <c r="J248" s="21" t="str">
        <f t="shared" si="3"/>
        <v/>
      </c>
      <c r="K248" s="29"/>
      <c r="L248" s="29" t="b">
        <v>0</v>
      </c>
      <c r="M248" s="29"/>
      <c r="N248" s="21" t="str">
        <f>IFERROR(VLOOKUP(I248, 'Price Sheet'!$A$2:$B1010, 2, false), "")</f>
        <v/>
      </c>
    </row>
    <row r="249">
      <c r="B249" s="21" t="str">
        <f t="shared" si="4"/>
        <v/>
      </c>
      <c r="C249" s="29"/>
      <c r="D249" s="29"/>
      <c r="E249" s="29" t="b">
        <v>0</v>
      </c>
      <c r="F249" s="29"/>
      <c r="G249" s="21" t="str">
        <f>IFERROR(VLOOKUP(A249, 'Price Sheet'!$A$2:$B1010, 2, false), "")</f>
        <v/>
      </c>
      <c r="J249" s="21" t="str">
        <f t="shared" si="3"/>
        <v/>
      </c>
      <c r="K249" s="29"/>
      <c r="L249" s="29" t="b">
        <v>0</v>
      </c>
      <c r="M249" s="29"/>
      <c r="N249" s="21" t="str">
        <f>IFERROR(VLOOKUP(I249, 'Price Sheet'!$A$2:$B1010, 2, false), "")</f>
        <v/>
      </c>
    </row>
    <row r="250">
      <c r="B250" s="21" t="str">
        <f t="shared" si="4"/>
        <v/>
      </c>
      <c r="C250" s="29"/>
      <c r="D250" s="29"/>
      <c r="E250" s="29" t="b">
        <v>0</v>
      </c>
      <c r="F250" s="29"/>
      <c r="G250" s="21" t="str">
        <f>IFERROR(VLOOKUP(A250, 'Price Sheet'!$A$2:$B1010, 2, false), "")</f>
        <v/>
      </c>
      <c r="J250" s="21" t="str">
        <f t="shared" si="3"/>
        <v/>
      </c>
      <c r="K250" s="29"/>
      <c r="L250" s="29" t="b">
        <v>0</v>
      </c>
      <c r="M250" s="29"/>
      <c r="N250" s="21" t="str">
        <f>IFERROR(VLOOKUP(I250, 'Price Sheet'!$A$2:$B1010, 2, false), "")</f>
        <v/>
      </c>
    </row>
    <row r="251">
      <c r="B251" s="21" t="str">
        <f t="shared" si="4"/>
        <v/>
      </c>
      <c r="C251" s="29"/>
      <c r="D251" s="29"/>
      <c r="E251" s="29" t="b">
        <v>0</v>
      </c>
      <c r="F251" s="29"/>
      <c r="G251" s="21" t="str">
        <f>IFERROR(VLOOKUP(A251, 'Price Sheet'!$A$2:$B1010, 2, false), "")</f>
        <v/>
      </c>
      <c r="J251" s="21" t="str">
        <f t="shared" si="3"/>
        <v/>
      </c>
      <c r="K251" s="29"/>
      <c r="L251" s="29" t="b">
        <v>0</v>
      </c>
      <c r="M251" s="29"/>
      <c r="N251" s="21" t="str">
        <f>IFERROR(VLOOKUP(I251, 'Price Sheet'!$A$2:$B1010, 2, false), "")</f>
        <v/>
      </c>
    </row>
    <row r="252">
      <c r="B252" s="21" t="str">
        <f t="shared" si="4"/>
        <v/>
      </c>
      <c r="C252" s="29"/>
      <c r="D252" s="29"/>
      <c r="E252" s="29" t="b">
        <v>0</v>
      </c>
      <c r="F252" s="29"/>
      <c r="G252" s="21" t="str">
        <f>IFERROR(VLOOKUP(A252, 'Price Sheet'!$A$2:$B1010, 2, false), "")</f>
        <v/>
      </c>
      <c r="J252" s="21" t="str">
        <f t="shared" si="3"/>
        <v/>
      </c>
      <c r="K252" s="29"/>
      <c r="L252" s="29" t="b">
        <v>0</v>
      </c>
      <c r="M252" s="29"/>
      <c r="N252" s="21" t="str">
        <f>IFERROR(VLOOKUP(I252, 'Price Sheet'!$A$2:$B1010, 2, false), "")</f>
        <v/>
      </c>
    </row>
    <row r="253">
      <c r="B253" s="21" t="str">
        <f t="shared" si="4"/>
        <v/>
      </c>
      <c r="C253" s="29"/>
      <c r="D253" s="29"/>
      <c r="E253" s="29" t="b">
        <v>0</v>
      </c>
      <c r="F253" s="29"/>
      <c r="G253" s="21" t="str">
        <f>IFERROR(VLOOKUP(A253, 'Price Sheet'!$A$2:$B1010, 2, false), "")</f>
        <v/>
      </c>
      <c r="J253" s="21" t="str">
        <f t="shared" si="3"/>
        <v/>
      </c>
      <c r="K253" s="29"/>
      <c r="L253" s="29" t="b">
        <v>0</v>
      </c>
      <c r="M253" s="29"/>
      <c r="N253" s="21" t="str">
        <f>IFERROR(VLOOKUP(I253, 'Price Sheet'!$A$2:$B1010, 2, false), "")</f>
        <v/>
      </c>
    </row>
    <row r="254">
      <c r="B254" s="21" t="str">
        <f t="shared" si="4"/>
        <v/>
      </c>
      <c r="C254" s="29"/>
      <c r="D254" s="29"/>
      <c r="E254" s="29" t="b">
        <v>0</v>
      </c>
      <c r="F254" s="29"/>
      <c r="G254" s="21" t="str">
        <f>IFERROR(VLOOKUP(A254, 'Price Sheet'!$A$2:$B1010, 2, false), "")</f>
        <v/>
      </c>
      <c r="J254" s="21" t="str">
        <f t="shared" si="3"/>
        <v/>
      </c>
      <c r="K254" s="29"/>
      <c r="L254" s="29" t="b">
        <v>0</v>
      </c>
      <c r="M254" s="29"/>
      <c r="N254" s="21" t="str">
        <f>IFERROR(VLOOKUP(I254, 'Price Sheet'!$A$2:$B1010, 2, false), "")</f>
        <v/>
      </c>
    </row>
    <row r="255">
      <c r="B255" s="21" t="str">
        <f t="shared" si="4"/>
        <v/>
      </c>
      <c r="C255" s="29"/>
      <c r="D255" s="29"/>
      <c r="E255" s="29" t="b">
        <v>0</v>
      </c>
      <c r="F255" s="29"/>
      <c r="G255" s="21" t="str">
        <f>IFERROR(VLOOKUP(A255, 'Price Sheet'!$A$2:$B1010, 2, false), "")</f>
        <v/>
      </c>
      <c r="J255" s="21" t="str">
        <f t="shared" si="3"/>
        <v/>
      </c>
      <c r="K255" s="29"/>
      <c r="L255" s="29" t="b">
        <v>0</v>
      </c>
      <c r="M255" s="29"/>
      <c r="N255" s="21" t="str">
        <f>IFERROR(VLOOKUP(I255, 'Price Sheet'!$A$2:$B1010, 2, false), "")</f>
        <v/>
      </c>
    </row>
    <row r="256">
      <c r="B256" s="21" t="str">
        <f t="shared" si="4"/>
        <v/>
      </c>
      <c r="C256" s="29"/>
      <c r="D256" s="29"/>
      <c r="E256" s="29" t="b">
        <v>0</v>
      </c>
      <c r="F256" s="29"/>
      <c r="G256" s="21" t="str">
        <f>IFERROR(VLOOKUP(A256, 'Price Sheet'!$A$2:$B1010, 2, false), "")</f>
        <v/>
      </c>
      <c r="J256" s="21" t="str">
        <f t="shared" si="3"/>
        <v/>
      </c>
      <c r="K256" s="29"/>
      <c r="L256" s="29" t="b">
        <v>0</v>
      </c>
      <c r="M256" s="29"/>
      <c r="N256" s="21" t="str">
        <f>IFERROR(VLOOKUP(I256, 'Price Sheet'!$A$2:$B1010, 2, false), "")</f>
        <v/>
      </c>
    </row>
    <row r="257">
      <c r="B257" s="21" t="str">
        <f t="shared" si="4"/>
        <v/>
      </c>
      <c r="C257" s="29"/>
      <c r="D257" s="29"/>
      <c r="E257" s="29" t="b">
        <v>0</v>
      </c>
      <c r="F257" s="29"/>
      <c r="G257" s="21" t="str">
        <f>IFERROR(VLOOKUP(A257, 'Price Sheet'!$A$2:$B1010, 2, false), "")</f>
        <v/>
      </c>
      <c r="J257" s="21" t="str">
        <f t="shared" si="3"/>
        <v/>
      </c>
      <c r="K257" s="29"/>
      <c r="L257" s="29" t="b">
        <v>0</v>
      </c>
      <c r="M257" s="29"/>
      <c r="N257" s="21" t="str">
        <f>IFERROR(VLOOKUP(I257, 'Price Sheet'!$A$2:$B1010, 2, false), "")</f>
        <v/>
      </c>
    </row>
    <row r="258">
      <c r="B258" s="21" t="str">
        <f t="shared" si="4"/>
        <v/>
      </c>
      <c r="C258" s="29"/>
      <c r="D258" s="29"/>
      <c r="E258" s="29" t="b">
        <v>0</v>
      </c>
      <c r="F258" s="29"/>
      <c r="G258" s="21" t="str">
        <f>IFERROR(VLOOKUP(A258, 'Price Sheet'!$A$2:$B1010, 2, false), "")</f>
        <v/>
      </c>
      <c r="J258" s="21" t="str">
        <f t="shared" si="3"/>
        <v/>
      </c>
      <c r="K258" s="29"/>
      <c r="L258" s="29" t="b">
        <v>0</v>
      </c>
      <c r="M258" s="29"/>
      <c r="N258" s="21" t="str">
        <f>IFERROR(VLOOKUP(I258, 'Price Sheet'!$A$2:$B1010, 2, false), "")</f>
        <v/>
      </c>
    </row>
    <row r="259">
      <c r="B259" s="21" t="str">
        <f t="shared" si="4"/>
        <v/>
      </c>
      <c r="C259" s="29"/>
      <c r="D259" s="29"/>
      <c r="E259" s="29" t="b">
        <v>0</v>
      </c>
      <c r="F259" s="29"/>
      <c r="G259" s="21" t="str">
        <f>IFERROR(VLOOKUP(A259, 'Price Sheet'!$A$2:$B1010, 2, false), "")</f>
        <v/>
      </c>
      <c r="J259" s="21" t="str">
        <f t="shared" si="3"/>
        <v/>
      </c>
      <c r="K259" s="29"/>
      <c r="L259" s="29" t="b">
        <v>0</v>
      </c>
      <c r="M259" s="29"/>
      <c r="N259" s="21" t="str">
        <f>IFERROR(VLOOKUP(I259, 'Price Sheet'!$A$2:$B1010, 2, false), "")</f>
        <v/>
      </c>
    </row>
    <row r="260">
      <c r="B260" s="21" t="str">
        <f t="shared" si="4"/>
        <v/>
      </c>
      <c r="C260" s="29"/>
      <c r="D260" s="29"/>
      <c r="E260" s="29" t="b">
        <v>0</v>
      </c>
      <c r="F260" s="29"/>
      <c r="G260" s="21" t="str">
        <f>IFERROR(VLOOKUP(A260, 'Price Sheet'!$A$2:$B1010, 2, false), "")</f>
        <v/>
      </c>
      <c r="J260" s="21" t="str">
        <f t="shared" si="3"/>
        <v/>
      </c>
      <c r="K260" s="29"/>
      <c r="L260" s="29" t="b">
        <v>0</v>
      </c>
      <c r="M260" s="29"/>
      <c r="N260" s="21" t="str">
        <f>IFERROR(VLOOKUP(I260, 'Price Sheet'!$A$2:$B1010, 2, false), "")</f>
        <v/>
      </c>
    </row>
    <row r="261">
      <c r="B261" s="21" t="str">
        <f t="shared" si="4"/>
        <v/>
      </c>
      <c r="C261" s="29"/>
      <c r="D261" s="29"/>
      <c r="E261" s="29" t="b">
        <v>0</v>
      </c>
      <c r="F261" s="29"/>
      <c r="G261" s="21" t="str">
        <f>IFERROR(VLOOKUP(A261, 'Price Sheet'!$A$2:$B1010, 2, false), "")</f>
        <v/>
      </c>
      <c r="J261" s="21" t="str">
        <f t="shared" si="3"/>
        <v/>
      </c>
      <c r="K261" s="29"/>
      <c r="L261" s="29" t="b">
        <v>0</v>
      </c>
      <c r="M261" s="29"/>
      <c r="N261" s="21" t="str">
        <f>IFERROR(VLOOKUP(I261, 'Price Sheet'!$A$2:$B1010, 2, false), "")</f>
        <v/>
      </c>
    </row>
    <row r="262">
      <c r="B262" s="21" t="str">
        <f t="shared" si="4"/>
        <v/>
      </c>
      <c r="C262" s="29"/>
      <c r="D262" s="29"/>
      <c r="E262" s="29" t="b">
        <v>0</v>
      </c>
      <c r="F262" s="29"/>
      <c r="G262" s="21" t="str">
        <f>IFERROR(VLOOKUP(A262, 'Price Sheet'!$A$2:$B1010, 2, false), "")</f>
        <v/>
      </c>
      <c r="J262" s="21" t="str">
        <f t="shared" si="3"/>
        <v/>
      </c>
      <c r="K262" s="29"/>
      <c r="L262" s="29" t="b">
        <v>0</v>
      </c>
      <c r="M262" s="29"/>
      <c r="N262" s="21" t="str">
        <f>IFERROR(VLOOKUP(I262, 'Price Sheet'!$A$2:$B1010, 2, false), "")</f>
        <v/>
      </c>
    </row>
    <row r="263">
      <c r="B263" s="21" t="str">
        <f t="shared" si="4"/>
        <v/>
      </c>
      <c r="C263" s="29"/>
      <c r="D263" s="29"/>
      <c r="E263" s="29" t="b">
        <v>0</v>
      </c>
      <c r="F263" s="29"/>
      <c r="G263" s="21" t="str">
        <f>IFERROR(VLOOKUP(A263, 'Price Sheet'!$A$2:$B1010, 2, false), "")</f>
        <v/>
      </c>
      <c r="J263" s="21" t="str">
        <f t="shared" si="3"/>
        <v/>
      </c>
      <c r="K263" s="29"/>
      <c r="L263" s="29" t="b">
        <v>0</v>
      </c>
      <c r="M263" s="29"/>
      <c r="N263" s="21" t="str">
        <f>IFERROR(VLOOKUP(I263, 'Price Sheet'!$A$2:$B1010, 2, false), "")</f>
        <v/>
      </c>
    </row>
    <row r="264">
      <c r="B264" s="21" t="str">
        <f t="shared" si="4"/>
        <v/>
      </c>
      <c r="C264" s="29"/>
      <c r="D264" s="29"/>
      <c r="E264" s="29" t="b">
        <v>0</v>
      </c>
      <c r="F264" s="29"/>
      <c r="G264" s="21" t="str">
        <f>IFERROR(VLOOKUP(A264, 'Price Sheet'!$A$2:$B1010, 2, false), "")</f>
        <v/>
      </c>
      <c r="J264" s="21" t="str">
        <f t="shared" si="3"/>
        <v/>
      </c>
      <c r="K264" s="29"/>
      <c r="L264" s="29" t="b">
        <v>0</v>
      </c>
      <c r="M264" s="29"/>
      <c r="N264" s="21" t="str">
        <f>IFERROR(VLOOKUP(I264, 'Price Sheet'!$A$2:$B1010, 2, false), "")</f>
        <v/>
      </c>
    </row>
    <row r="265">
      <c r="B265" s="21" t="str">
        <f t="shared" si="4"/>
        <v/>
      </c>
      <c r="C265" s="29"/>
      <c r="D265" s="29"/>
      <c r="E265" s="29" t="b">
        <v>0</v>
      </c>
      <c r="F265" s="29"/>
      <c r="G265" s="21" t="str">
        <f>IFERROR(VLOOKUP(A265, 'Price Sheet'!$A$2:$B1010, 2, false), "")</f>
        <v/>
      </c>
      <c r="J265" s="21" t="str">
        <f t="shared" si="3"/>
        <v/>
      </c>
      <c r="K265" s="29"/>
      <c r="L265" s="29" t="b">
        <v>0</v>
      </c>
      <c r="M265" s="29"/>
      <c r="N265" s="21" t="str">
        <f>IFERROR(VLOOKUP(I265, 'Price Sheet'!$A$2:$B1010, 2, false), "")</f>
        <v/>
      </c>
    </row>
    <row r="266">
      <c r="B266" s="21" t="str">
        <f t="shared" si="4"/>
        <v/>
      </c>
      <c r="C266" s="29"/>
      <c r="D266" s="29"/>
      <c r="E266" s="29" t="b">
        <v>0</v>
      </c>
      <c r="F266" s="29"/>
      <c r="G266" s="21" t="str">
        <f>IFERROR(VLOOKUP(A266, 'Price Sheet'!$A$2:$B1010, 2, false), "")</f>
        <v/>
      </c>
      <c r="J266" s="21" t="str">
        <f t="shared" si="3"/>
        <v/>
      </c>
      <c r="K266" s="29"/>
      <c r="L266" s="29" t="b">
        <v>0</v>
      </c>
      <c r="M266" s="29"/>
      <c r="N266" s="21" t="str">
        <f>IFERROR(VLOOKUP(I266, 'Price Sheet'!$A$2:$B1010, 2, false), "")</f>
        <v/>
      </c>
    </row>
    <row r="267">
      <c r="B267" s="21" t="str">
        <f t="shared" si="4"/>
        <v/>
      </c>
      <c r="C267" s="29"/>
      <c r="D267" s="29"/>
      <c r="E267" s="29" t="b">
        <v>0</v>
      </c>
      <c r="F267" s="29"/>
      <c r="G267" s="21" t="str">
        <f>IFERROR(VLOOKUP(A267, 'Price Sheet'!$A$2:$B1010, 2, false), "")</f>
        <v/>
      </c>
      <c r="J267" s="21" t="str">
        <f t="shared" si="3"/>
        <v/>
      </c>
      <c r="K267" s="29"/>
      <c r="L267" s="29" t="b">
        <v>0</v>
      </c>
      <c r="M267" s="29"/>
      <c r="N267" s="21" t="str">
        <f>IFERROR(VLOOKUP(I267, 'Price Sheet'!$A$2:$B1010, 2, false), "")</f>
        <v/>
      </c>
    </row>
    <row r="268">
      <c r="B268" s="21" t="str">
        <f t="shared" si="4"/>
        <v/>
      </c>
      <c r="C268" s="29"/>
      <c r="D268" s="29"/>
      <c r="E268" s="29" t="b">
        <v>0</v>
      </c>
      <c r="F268" s="29"/>
      <c r="G268" s="21" t="str">
        <f>IFERROR(VLOOKUP(A268, 'Price Sheet'!$A$2:$B1010, 2, false), "")</f>
        <v/>
      </c>
      <c r="J268" s="21" t="str">
        <f t="shared" si="3"/>
        <v/>
      </c>
      <c r="K268" s="29"/>
      <c r="L268" s="29" t="b">
        <v>0</v>
      </c>
      <c r="M268" s="29"/>
      <c r="N268" s="21" t="str">
        <f>IFERROR(VLOOKUP(I268, 'Price Sheet'!$A$2:$B1010, 2, false), "")</f>
        <v/>
      </c>
    </row>
    <row r="269">
      <c r="B269" s="21" t="str">
        <f t="shared" si="4"/>
        <v/>
      </c>
      <c r="C269" s="29"/>
      <c r="D269" s="29"/>
      <c r="E269" s="29" t="b">
        <v>0</v>
      </c>
      <c r="F269" s="29"/>
      <c r="G269" s="21" t="str">
        <f>IFERROR(VLOOKUP(A269, 'Price Sheet'!$A$2:$B1010, 2, false), "")</f>
        <v/>
      </c>
      <c r="J269" s="21" t="str">
        <f t="shared" si="3"/>
        <v/>
      </c>
      <c r="K269" s="29"/>
      <c r="L269" s="29" t="b">
        <v>0</v>
      </c>
      <c r="M269" s="29"/>
      <c r="N269" s="21" t="str">
        <f>IFERROR(VLOOKUP(I269, 'Price Sheet'!$A$2:$B1010, 2, false), "")</f>
        <v/>
      </c>
    </row>
    <row r="270">
      <c r="B270" s="21" t="str">
        <f t="shared" si="4"/>
        <v/>
      </c>
      <c r="C270" s="29"/>
      <c r="D270" s="29"/>
      <c r="E270" s="29" t="b">
        <v>0</v>
      </c>
      <c r="F270" s="29"/>
      <c r="G270" s="21" t="str">
        <f>IFERROR(VLOOKUP(A270, 'Price Sheet'!$A$2:$B1010, 2, false), "")</f>
        <v/>
      </c>
      <c r="J270" s="21" t="str">
        <f t="shared" si="3"/>
        <v/>
      </c>
      <c r="K270" s="29"/>
      <c r="L270" s="29" t="b">
        <v>0</v>
      </c>
      <c r="M270" s="29"/>
      <c r="N270" s="21" t="str">
        <f>IFERROR(VLOOKUP(I270, 'Price Sheet'!$A$2:$B1010, 2, false), "")</f>
        <v/>
      </c>
    </row>
    <row r="271">
      <c r="B271" s="21" t="str">
        <f t="shared" si="4"/>
        <v/>
      </c>
      <c r="C271" s="29"/>
      <c r="D271" s="29"/>
      <c r="E271" s="29" t="b">
        <v>0</v>
      </c>
      <c r="F271" s="29"/>
      <c r="G271" s="21" t="str">
        <f>IFERROR(VLOOKUP(A271, 'Price Sheet'!$A$2:$B1010, 2, false), "")</f>
        <v/>
      </c>
      <c r="J271" s="21" t="str">
        <f t="shared" si="3"/>
        <v/>
      </c>
      <c r="K271" s="29"/>
      <c r="L271" s="29" t="b">
        <v>0</v>
      </c>
      <c r="M271" s="29"/>
      <c r="N271" s="21" t="str">
        <f>IFERROR(VLOOKUP(I271, 'Price Sheet'!$A$2:$B1010, 2, false), "")</f>
        <v/>
      </c>
    </row>
    <row r="272">
      <c r="B272" s="21" t="str">
        <f t="shared" si="4"/>
        <v/>
      </c>
      <c r="C272" s="29"/>
      <c r="D272" s="29"/>
      <c r="E272" s="29" t="b">
        <v>0</v>
      </c>
      <c r="F272" s="29"/>
      <c r="G272" s="21" t="str">
        <f>IFERROR(VLOOKUP(A272, 'Price Sheet'!$A$2:$B1010, 2, false), "")</f>
        <v/>
      </c>
      <c r="J272" s="21" t="str">
        <f t="shared" si="3"/>
        <v/>
      </c>
      <c r="K272" s="29"/>
      <c r="L272" s="29" t="b">
        <v>0</v>
      </c>
      <c r="M272" s="29"/>
      <c r="N272" s="21" t="str">
        <f>IFERROR(VLOOKUP(I272, 'Price Sheet'!$A$2:$B1010, 2, false), "")</f>
        <v/>
      </c>
    </row>
    <row r="273">
      <c r="B273" s="21" t="str">
        <f t="shared" si="4"/>
        <v/>
      </c>
      <c r="C273" s="29"/>
      <c r="D273" s="29"/>
      <c r="E273" s="29" t="b">
        <v>0</v>
      </c>
      <c r="F273" s="29"/>
      <c r="G273" s="21" t="str">
        <f>IFERROR(VLOOKUP(A273, 'Price Sheet'!$A$2:$B1010, 2, false), "")</f>
        <v/>
      </c>
      <c r="J273" s="21" t="str">
        <f t="shared" si="3"/>
        <v/>
      </c>
      <c r="K273" s="29"/>
      <c r="L273" s="29" t="b">
        <v>0</v>
      </c>
      <c r="M273" s="29"/>
      <c r="N273" s="21" t="str">
        <f>IFERROR(VLOOKUP(I273, 'Price Sheet'!$A$2:$B1010, 2, false), "")</f>
        <v/>
      </c>
    </row>
    <row r="274">
      <c r="B274" s="21" t="str">
        <f t="shared" si="4"/>
        <v/>
      </c>
      <c r="C274" s="29"/>
      <c r="D274" s="29"/>
      <c r="E274" s="29" t="b">
        <v>0</v>
      </c>
      <c r="F274" s="29"/>
      <c r="G274" s="21" t="str">
        <f>IFERROR(VLOOKUP(A274, 'Price Sheet'!$A$2:$B1010, 2, false), "")</f>
        <v/>
      </c>
      <c r="J274" s="21" t="str">
        <f t="shared" si="3"/>
        <v/>
      </c>
      <c r="K274" s="29"/>
      <c r="L274" s="29" t="b">
        <v>0</v>
      </c>
      <c r="M274" s="29"/>
      <c r="N274" s="21" t="str">
        <f>IFERROR(VLOOKUP(I274, 'Price Sheet'!$A$2:$B1010, 2, false), "")</f>
        <v/>
      </c>
    </row>
    <row r="275">
      <c r="B275" s="21" t="str">
        <f t="shared" si="4"/>
        <v/>
      </c>
      <c r="C275" s="29"/>
      <c r="D275" s="29"/>
      <c r="E275" s="29" t="b">
        <v>0</v>
      </c>
      <c r="F275" s="29"/>
      <c r="G275" s="21" t="str">
        <f>IFERROR(VLOOKUP(A275, 'Price Sheet'!$A$2:$B1010, 2, false), "")</f>
        <v/>
      </c>
      <c r="J275" s="21" t="str">
        <f t="shared" si="3"/>
        <v/>
      </c>
      <c r="K275" s="29"/>
      <c r="L275" s="29" t="b">
        <v>0</v>
      </c>
      <c r="M275" s="29"/>
      <c r="N275" s="21" t="str">
        <f>IFERROR(VLOOKUP(I275, 'Price Sheet'!$A$2:$B1010, 2, false), "")</f>
        <v/>
      </c>
    </row>
    <row r="276">
      <c r="B276" s="21" t="str">
        <f t="shared" si="4"/>
        <v/>
      </c>
      <c r="C276" s="29"/>
      <c r="D276" s="29"/>
      <c r="E276" s="29" t="b">
        <v>0</v>
      </c>
      <c r="F276" s="29"/>
      <c r="G276" s="21" t="str">
        <f>IFERROR(VLOOKUP(A276, 'Price Sheet'!$A$2:$B1010, 2, false), "")</f>
        <v/>
      </c>
      <c r="J276" s="21" t="str">
        <f t="shared" si="3"/>
        <v/>
      </c>
      <c r="K276" s="29"/>
      <c r="L276" s="29" t="b">
        <v>0</v>
      </c>
      <c r="M276" s="29"/>
      <c r="N276" s="21" t="str">
        <f>IFERROR(VLOOKUP(I276, 'Price Sheet'!$A$2:$B1010, 2, false), "")</f>
        <v/>
      </c>
    </row>
    <row r="277">
      <c r="B277" s="21" t="str">
        <f t="shared" si="4"/>
        <v/>
      </c>
      <c r="C277" s="29"/>
      <c r="D277" s="29"/>
      <c r="E277" s="29" t="b">
        <v>0</v>
      </c>
      <c r="F277" s="29"/>
      <c r="G277" s="21" t="str">
        <f>IFERROR(VLOOKUP(A277, 'Price Sheet'!$A$2:$B1010, 2, false), "")</f>
        <v/>
      </c>
      <c r="J277" s="21" t="str">
        <f t="shared" si="3"/>
        <v/>
      </c>
      <c r="K277" s="29"/>
      <c r="L277" s="29" t="b">
        <v>0</v>
      </c>
      <c r="M277" s="29"/>
      <c r="N277" s="21" t="str">
        <f>IFERROR(VLOOKUP(I277, 'Price Sheet'!$A$2:$B1010, 2, false), "")</f>
        <v/>
      </c>
    </row>
    <row r="278">
      <c r="B278" s="21" t="str">
        <f t="shared" si="4"/>
        <v/>
      </c>
      <c r="C278" s="29"/>
      <c r="D278" s="29"/>
      <c r="E278" s="29" t="b">
        <v>0</v>
      </c>
      <c r="F278" s="29"/>
      <c r="G278" s="21" t="str">
        <f>IFERROR(VLOOKUP(A278, 'Price Sheet'!$A$2:$B1010, 2, false), "")</f>
        <v/>
      </c>
      <c r="J278" s="21" t="str">
        <f t="shared" si="3"/>
        <v/>
      </c>
      <c r="K278" s="29"/>
      <c r="L278" s="29" t="b">
        <v>0</v>
      </c>
      <c r="M278" s="29"/>
      <c r="N278" s="21" t="str">
        <f>IFERROR(VLOOKUP(I278, 'Price Sheet'!$A$2:$B1010, 2, false), "")</f>
        <v/>
      </c>
    </row>
    <row r="279">
      <c r="B279" s="21" t="str">
        <f t="shared" si="4"/>
        <v/>
      </c>
      <c r="C279" s="29"/>
      <c r="D279" s="29"/>
      <c r="E279" s="29" t="b">
        <v>0</v>
      </c>
      <c r="F279" s="29"/>
      <c r="G279" s="21" t="str">
        <f>IFERROR(VLOOKUP(A279, 'Price Sheet'!$A$2:$B1010, 2, false), "")</f>
        <v/>
      </c>
      <c r="J279" s="21" t="str">
        <f t="shared" si="3"/>
        <v/>
      </c>
      <c r="K279" s="29"/>
      <c r="L279" s="29" t="b">
        <v>0</v>
      </c>
      <c r="M279" s="29"/>
      <c r="N279" s="21" t="str">
        <f>IFERROR(VLOOKUP(I279, 'Price Sheet'!$A$2:$B1010, 2, false), "")</f>
        <v/>
      </c>
    </row>
    <row r="280">
      <c r="B280" s="21" t="str">
        <f t="shared" si="4"/>
        <v/>
      </c>
      <c r="C280" s="29"/>
      <c r="D280" s="29"/>
      <c r="E280" s="29" t="b">
        <v>0</v>
      </c>
      <c r="F280" s="29"/>
      <c r="G280" s="21" t="str">
        <f>IFERROR(VLOOKUP(A280, 'Price Sheet'!$A$2:$B1010, 2, false), "")</f>
        <v/>
      </c>
      <c r="J280" s="21" t="str">
        <f t="shared" si="3"/>
        <v/>
      </c>
      <c r="K280" s="29"/>
      <c r="L280" s="29" t="b">
        <v>0</v>
      </c>
      <c r="M280" s="29"/>
      <c r="N280" s="21" t="str">
        <f>IFERROR(VLOOKUP(I280, 'Price Sheet'!$A$2:$B1010, 2, false), "")</f>
        <v/>
      </c>
    </row>
    <row r="281">
      <c r="B281" s="21" t="str">
        <f t="shared" si="4"/>
        <v/>
      </c>
      <c r="C281" s="29"/>
      <c r="D281" s="29"/>
      <c r="E281" s="29" t="b">
        <v>0</v>
      </c>
      <c r="F281" s="29"/>
      <c r="G281" s="21" t="str">
        <f>IFERROR(VLOOKUP(A281, 'Price Sheet'!$A$2:$B1010, 2, false), "")</f>
        <v/>
      </c>
      <c r="J281" s="21" t="str">
        <f t="shared" si="3"/>
        <v/>
      </c>
      <c r="K281" s="29"/>
      <c r="L281" s="29" t="b">
        <v>0</v>
      </c>
      <c r="M281" s="29"/>
      <c r="N281" s="21" t="str">
        <f>IFERROR(VLOOKUP(I281, 'Price Sheet'!$A$2:$B1010, 2, false), "")</f>
        <v/>
      </c>
    </row>
    <row r="282">
      <c r="B282" s="21" t="str">
        <f t="shared" si="4"/>
        <v/>
      </c>
      <c r="C282" s="29"/>
      <c r="D282" s="29"/>
      <c r="E282" s="29" t="b">
        <v>0</v>
      </c>
      <c r="F282" s="29"/>
      <c r="G282" s="21" t="str">
        <f>IFERROR(VLOOKUP(A282, 'Price Sheet'!$A$2:$B1010, 2, false), "")</f>
        <v/>
      </c>
      <c r="J282" s="21" t="str">
        <f t="shared" si="3"/>
        <v/>
      </c>
      <c r="K282" s="29"/>
      <c r="L282" s="29" t="b">
        <v>0</v>
      </c>
      <c r="M282" s="29"/>
      <c r="N282" s="21" t="str">
        <f>IFERROR(VLOOKUP(I282, 'Price Sheet'!$A$2:$B1010, 2, false), "")</f>
        <v/>
      </c>
    </row>
    <row r="283">
      <c r="B283" s="21" t="str">
        <f t="shared" si="4"/>
        <v/>
      </c>
      <c r="C283" s="29"/>
      <c r="D283" s="29"/>
      <c r="E283" s="29" t="b">
        <v>0</v>
      </c>
      <c r="F283" s="29"/>
      <c r="G283" s="21" t="str">
        <f>IFERROR(VLOOKUP(A283, 'Price Sheet'!$A$2:$B1010, 2, false), "")</f>
        <v/>
      </c>
      <c r="J283" s="21" t="str">
        <f t="shared" si="3"/>
        <v/>
      </c>
      <c r="K283" s="29"/>
      <c r="L283" s="29" t="b">
        <v>0</v>
      </c>
      <c r="M283" s="29"/>
      <c r="N283" s="21" t="str">
        <f>IFERROR(VLOOKUP(I283, 'Price Sheet'!$A$2:$B1010, 2, false), "")</f>
        <v/>
      </c>
    </row>
    <row r="284">
      <c r="B284" s="21" t="str">
        <f t="shared" si="4"/>
        <v/>
      </c>
      <c r="C284" s="29"/>
      <c r="D284" s="29"/>
      <c r="E284" s="29" t="b">
        <v>0</v>
      </c>
      <c r="F284" s="29"/>
      <c r="G284" s="21" t="str">
        <f>IFERROR(VLOOKUP(A284, 'Price Sheet'!$A$2:$B1010, 2, false), "")</f>
        <v/>
      </c>
      <c r="J284" s="21" t="str">
        <f t="shared" si="3"/>
        <v/>
      </c>
      <c r="K284" s="29"/>
      <c r="L284" s="29" t="b">
        <v>0</v>
      </c>
      <c r="M284" s="29"/>
      <c r="N284" s="21" t="str">
        <f>IFERROR(VLOOKUP(I284, 'Price Sheet'!$A$2:$B1010, 2, false), "")</f>
        <v/>
      </c>
    </row>
    <row r="285">
      <c r="B285" s="21" t="str">
        <f t="shared" si="4"/>
        <v/>
      </c>
      <c r="C285" s="29"/>
      <c r="D285" s="29"/>
      <c r="E285" s="29" t="b">
        <v>0</v>
      </c>
      <c r="F285" s="29"/>
      <c r="G285" s="21" t="str">
        <f>IFERROR(VLOOKUP(A285, 'Price Sheet'!$A$2:$B1010, 2, false), "")</f>
        <v/>
      </c>
      <c r="J285" s="21" t="str">
        <f t="shared" si="3"/>
        <v/>
      </c>
      <c r="K285" s="29"/>
      <c r="L285" s="29" t="b">
        <v>0</v>
      </c>
      <c r="M285" s="29"/>
      <c r="N285" s="21" t="str">
        <f>IFERROR(VLOOKUP(I285, 'Price Sheet'!$A$2:$B1010, 2, false), "")</f>
        <v/>
      </c>
    </row>
    <row r="286">
      <c r="B286" s="21" t="str">
        <f t="shared" si="4"/>
        <v/>
      </c>
      <c r="C286" s="29"/>
      <c r="D286" s="29"/>
      <c r="E286" s="29" t="b">
        <v>0</v>
      </c>
      <c r="F286" s="29"/>
      <c r="G286" s="21" t="str">
        <f>IFERROR(VLOOKUP(A286, 'Price Sheet'!$A$2:$B1010, 2, false), "")</f>
        <v/>
      </c>
      <c r="J286" s="21" t="str">
        <f t="shared" si="3"/>
        <v/>
      </c>
      <c r="K286" s="29"/>
      <c r="L286" s="29" t="b">
        <v>0</v>
      </c>
      <c r="M286" s="29"/>
      <c r="N286" s="21" t="str">
        <f>IFERROR(VLOOKUP(I286, 'Price Sheet'!$A$2:$B1010, 2, false), "")</f>
        <v/>
      </c>
    </row>
    <row r="287">
      <c r="B287" s="21" t="str">
        <f t="shared" si="4"/>
        <v/>
      </c>
      <c r="C287" s="29"/>
      <c r="D287" s="29"/>
      <c r="E287" s="29" t="b">
        <v>0</v>
      </c>
      <c r="F287" s="29"/>
      <c r="G287" s="21" t="str">
        <f>IFERROR(VLOOKUP(A287, 'Price Sheet'!$A$2:$B1010, 2, false), "")</f>
        <v/>
      </c>
      <c r="J287" s="21" t="str">
        <f t="shared" si="3"/>
        <v/>
      </c>
      <c r="K287" s="29"/>
      <c r="L287" s="29" t="b">
        <v>0</v>
      </c>
      <c r="M287" s="29"/>
      <c r="N287" s="21" t="str">
        <f>IFERROR(VLOOKUP(I287, 'Price Sheet'!$A$2:$B1010, 2, false), "")</f>
        <v/>
      </c>
    </row>
    <row r="288">
      <c r="B288" s="21" t="str">
        <f t="shared" si="4"/>
        <v/>
      </c>
      <c r="C288" s="29"/>
      <c r="D288" s="29"/>
      <c r="E288" s="29" t="b">
        <v>0</v>
      </c>
      <c r="F288" s="29"/>
      <c r="G288" s="21" t="str">
        <f>IFERROR(VLOOKUP(A288, 'Price Sheet'!$A$2:$B1010, 2, false), "")</f>
        <v/>
      </c>
      <c r="J288" s="21" t="str">
        <f t="shared" si="3"/>
        <v/>
      </c>
      <c r="K288" s="29"/>
      <c r="L288" s="29" t="b">
        <v>0</v>
      </c>
      <c r="M288" s="29"/>
      <c r="N288" s="21" t="str">
        <f>IFERROR(VLOOKUP(I288, 'Price Sheet'!$A$2:$B1010, 2, false), "")</f>
        <v/>
      </c>
    </row>
    <row r="289">
      <c r="B289" s="21" t="str">
        <f t="shared" si="4"/>
        <v/>
      </c>
      <c r="C289" s="29"/>
      <c r="D289" s="29"/>
      <c r="E289" s="29" t="b">
        <v>0</v>
      </c>
      <c r="F289" s="29"/>
      <c r="G289" s="21" t="str">
        <f>IFERROR(VLOOKUP(A289, 'Price Sheet'!$A$2:$B1010, 2, false), "")</f>
        <v/>
      </c>
      <c r="J289" s="21" t="str">
        <f t="shared" si="3"/>
        <v/>
      </c>
      <c r="K289" s="29"/>
      <c r="L289" s="29" t="b">
        <v>0</v>
      </c>
      <c r="M289" s="29"/>
      <c r="N289" s="21" t="str">
        <f>IFERROR(VLOOKUP(I289, 'Price Sheet'!$A$2:$B1010, 2, false), "")</f>
        <v/>
      </c>
    </row>
    <row r="290">
      <c r="B290" s="21" t="str">
        <f t="shared" si="4"/>
        <v/>
      </c>
      <c r="C290" s="29"/>
      <c r="D290" s="29"/>
      <c r="E290" s="29" t="b">
        <v>0</v>
      </c>
      <c r="F290" s="29"/>
      <c r="G290" s="21" t="str">
        <f>IFERROR(VLOOKUP(A290, 'Price Sheet'!$A$2:$B1010, 2, false), "")</f>
        <v/>
      </c>
      <c r="J290" s="21" t="str">
        <f t="shared" si="3"/>
        <v/>
      </c>
      <c r="K290" s="29"/>
      <c r="L290" s="29" t="b">
        <v>0</v>
      </c>
      <c r="M290" s="29"/>
      <c r="N290" s="21" t="str">
        <f>IFERROR(VLOOKUP(I290, 'Price Sheet'!$A$2:$B1010, 2, false), "")</f>
        <v/>
      </c>
    </row>
    <row r="291">
      <c r="B291" s="21" t="str">
        <f t="shared" si="4"/>
        <v/>
      </c>
      <c r="C291" s="29"/>
      <c r="D291" s="29"/>
      <c r="E291" s="29" t="b">
        <v>0</v>
      </c>
      <c r="F291" s="29"/>
      <c r="G291" s="21" t="str">
        <f>IFERROR(VLOOKUP(A291, 'Price Sheet'!$A$2:$B1010, 2, false), "")</f>
        <v/>
      </c>
      <c r="J291" s="21" t="str">
        <f t="shared" si="3"/>
        <v/>
      </c>
      <c r="K291" s="29"/>
      <c r="L291" s="29" t="b">
        <v>0</v>
      </c>
      <c r="M291" s="29"/>
      <c r="N291" s="21" t="str">
        <f>IFERROR(VLOOKUP(I291, 'Price Sheet'!$A$2:$B1010, 2, false), "")</f>
        <v/>
      </c>
    </row>
    <row r="292">
      <c r="B292" s="21" t="str">
        <f t="shared" si="4"/>
        <v/>
      </c>
      <c r="C292" s="29"/>
      <c r="D292" s="29"/>
      <c r="E292" s="29" t="b">
        <v>0</v>
      </c>
      <c r="F292" s="29"/>
      <c r="G292" s="21" t="str">
        <f>IFERROR(VLOOKUP(A292, 'Price Sheet'!$A$2:$B1010, 2, false), "")</f>
        <v/>
      </c>
      <c r="J292" s="21" t="str">
        <f t="shared" si="3"/>
        <v/>
      </c>
      <c r="K292" s="29"/>
      <c r="L292" s="29" t="b">
        <v>0</v>
      </c>
      <c r="M292" s="29"/>
      <c r="N292" s="21" t="str">
        <f>IFERROR(VLOOKUP(I292, 'Price Sheet'!$A$2:$B1010, 2, false), "")</f>
        <v/>
      </c>
    </row>
    <row r="293">
      <c r="B293" s="21" t="str">
        <f t="shared" si="4"/>
        <v/>
      </c>
      <c r="C293" s="29"/>
      <c r="D293" s="29"/>
      <c r="E293" s="29" t="b">
        <v>0</v>
      </c>
      <c r="F293" s="29"/>
      <c r="G293" s="21" t="str">
        <f>IFERROR(VLOOKUP(A293, 'Price Sheet'!$A$2:$B1010, 2, false), "")</f>
        <v/>
      </c>
      <c r="J293" s="21" t="str">
        <f t="shared" si="3"/>
        <v/>
      </c>
      <c r="K293" s="29"/>
      <c r="L293" s="29" t="b">
        <v>0</v>
      </c>
      <c r="M293" s="29"/>
      <c r="N293" s="21" t="str">
        <f>IFERROR(VLOOKUP(I293, 'Price Sheet'!$A$2:$B1010, 2, false), "")</f>
        <v/>
      </c>
    </row>
    <row r="294">
      <c r="B294" s="21" t="str">
        <f t="shared" si="4"/>
        <v/>
      </c>
      <c r="C294" s="29"/>
      <c r="D294" s="29"/>
      <c r="E294" s="29" t="b">
        <v>0</v>
      </c>
      <c r="F294" s="29"/>
      <c r="G294" s="21" t="str">
        <f>IFERROR(VLOOKUP(A294, 'Price Sheet'!$A$2:$B1010, 2, false), "")</f>
        <v/>
      </c>
      <c r="J294" s="21" t="str">
        <f t="shared" si="3"/>
        <v/>
      </c>
      <c r="K294" s="29"/>
      <c r="L294" s="29" t="b">
        <v>0</v>
      </c>
      <c r="M294" s="29"/>
      <c r="N294" s="21" t="str">
        <f>IFERROR(VLOOKUP(I294, 'Price Sheet'!$A$2:$B1010, 2, false), "")</f>
        <v/>
      </c>
    </row>
    <row r="295">
      <c r="B295" s="21" t="str">
        <f t="shared" si="4"/>
        <v/>
      </c>
      <c r="C295" s="29"/>
      <c r="D295" s="29"/>
      <c r="E295" s="29" t="b">
        <v>0</v>
      </c>
      <c r="F295" s="29"/>
      <c r="G295" s="21" t="str">
        <f>IFERROR(VLOOKUP(A295, 'Price Sheet'!$A$2:$B1010, 2, false), "")</f>
        <v/>
      </c>
      <c r="J295" s="21" t="str">
        <f t="shared" si="3"/>
        <v/>
      </c>
      <c r="K295" s="29"/>
      <c r="L295" s="29" t="b">
        <v>0</v>
      </c>
      <c r="M295" s="29"/>
      <c r="N295" s="21" t="str">
        <f>IFERROR(VLOOKUP(I295, 'Price Sheet'!$A$2:$B1010, 2, false), "")</f>
        <v/>
      </c>
    </row>
    <row r="296">
      <c r="B296" s="21" t="str">
        <f t="shared" si="4"/>
        <v/>
      </c>
      <c r="C296" s="29"/>
      <c r="D296" s="29"/>
      <c r="E296" s="29" t="b">
        <v>0</v>
      </c>
      <c r="F296" s="29"/>
      <c r="G296" s="21" t="str">
        <f>IFERROR(VLOOKUP(A296, 'Price Sheet'!$A$2:$B1010, 2, false), "")</f>
        <v/>
      </c>
      <c r="J296" s="21" t="str">
        <f t="shared" si="3"/>
        <v/>
      </c>
      <c r="K296" s="29"/>
      <c r="L296" s="29" t="b">
        <v>0</v>
      </c>
      <c r="M296" s="29"/>
      <c r="N296" s="21" t="str">
        <f>IFERROR(VLOOKUP(I296, 'Price Sheet'!$A$2:$B1010, 2, false), "")</f>
        <v/>
      </c>
    </row>
    <row r="297">
      <c r="B297" s="21" t="str">
        <f t="shared" si="4"/>
        <v/>
      </c>
      <c r="C297" s="29"/>
      <c r="D297" s="29"/>
      <c r="E297" s="29" t="b">
        <v>0</v>
      </c>
      <c r="F297" s="29"/>
      <c r="G297" s="21" t="str">
        <f>IFERROR(VLOOKUP(A297, 'Price Sheet'!$A$2:$B1010, 2, false), "")</f>
        <v/>
      </c>
      <c r="J297" s="21" t="str">
        <f t="shared" si="3"/>
        <v/>
      </c>
      <c r="K297" s="29"/>
      <c r="L297" s="29" t="b">
        <v>0</v>
      </c>
      <c r="M297" s="29"/>
      <c r="N297" s="21" t="str">
        <f>IFERROR(VLOOKUP(I297, 'Price Sheet'!$A$2:$B1010, 2, false), "")</f>
        <v/>
      </c>
    </row>
    <row r="298">
      <c r="B298" s="21" t="str">
        <f t="shared" si="4"/>
        <v/>
      </c>
      <c r="C298" s="29"/>
      <c r="D298" s="29"/>
      <c r="E298" s="29" t="b">
        <v>0</v>
      </c>
      <c r="F298" s="29"/>
      <c r="G298" s="21" t="str">
        <f>IFERROR(VLOOKUP(A298, 'Price Sheet'!$A$2:$B1010, 2, false), "")</f>
        <v/>
      </c>
      <c r="J298" s="21" t="str">
        <f t="shared" si="3"/>
        <v/>
      </c>
      <c r="K298" s="29"/>
      <c r="L298" s="29" t="b">
        <v>0</v>
      </c>
      <c r="M298" s="29"/>
      <c r="N298" s="21" t="str">
        <f>IFERROR(VLOOKUP(I298, 'Price Sheet'!$A$2:$B1010, 2, false), "")</f>
        <v/>
      </c>
    </row>
    <row r="299">
      <c r="B299" s="21" t="str">
        <f t="shared" si="4"/>
        <v/>
      </c>
      <c r="C299" s="29"/>
      <c r="D299" s="29"/>
      <c r="E299" s="29" t="b">
        <v>0</v>
      </c>
      <c r="F299" s="29"/>
      <c r="G299" s="21" t="str">
        <f>IFERROR(VLOOKUP(A299, 'Price Sheet'!$A$2:$B1010, 2, false), "")</f>
        <v/>
      </c>
      <c r="J299" s="21" t="str">
        <f t="shared" si="3"/>
        <v/>
      </c>
      <c r="K299" s="29"/>
      <c r="L299" s="29" t="b">
        <v>0</v>
      </c>
      <c r="M299" s="29"/>
      <c r="N299" s="21" t="str">
        <f>IFERROR(VLOOKUP(I299, 'Price Sheet'!$A$2:$B1010, 2, false), "")</f>
        <v/>
      </c>
    </row>
    <row r="300">
      <c r="B300" s="21" t="str">
        <f t="shared" si="4"/>
        <v/>
      </c>
      <c r="C300" s="29"/>
      <c r="D300" s="29"/>
      <c r="E300" s="29" t="b">
        <v>0</v>
      </c>
      <c r="F300" s="29"/>
      <c r="G300" s="21" t="str">
        <f>IFERROR(VLOOKUP(A300, 'Price Sheet'!$A$2:$B1010, 2, false), "")</f>
        <v/>
      </c>
      <c r="J300" s="21" t="str">
        <f t="shared" si="3"/>
        <v/>
      </c>
      <c r="K300" s="29"/>
      <c r="L300" s="29" t="b">
        <v>0</v>
      </c>
      <c r="M300" s="29"/>
      <c r="N300" s="21" t="str">
        <f>IFERROR(VLOOKUP(I300, 'Price Sheet'!$A$2:$B1010, 2, false), "")</f>
        <v/>
      </c>
    </row>
    <row r="301">
      <c r="B301" s="21" t="str">
        <f t="shared" si="4"/>
        <v/>
      </c>
      <c r="C301" s="29"/>
      <c r="D301" s="29"/>
      <c r="E301" s="29" t="b">
        <v>0</v>
      </c>
      <c r="F301" s="29"/>
      <c r="G301" s="21" t="str">
        <f>IFERROR(VLOOKUP(A301, 'Price Sheet'!$A$2:$B1010, 2, false), "")</f>
        <v/>
      </c>
      <c r="J301" s="21" t="str">
        <f t="shared" si="3"/>
        <v/>
      </c>
      <c r="K301" s="29"/>
      <c r="L301" s="29" t="b">
        <v>0</v>
      </c>
      <c r="M301" s="29"/>
      <c r="N301" s="21" t="str">
        <f>IFERROR(VLOOKUP(I301, 'Price Sheet'!$A$2:$B1010, 2, false), "")</f>
        <v/>
      </c>
    </row>
    <row r="302">
      <c r="B302" s="21" t="str">
        <f t="shared" si="4"/>
        <v/>
      </c>
      <c r="C302" s="29"/>
      <c r="D302" s="29"/>
      <c r="E302" s="29" t="b">
        <v>0</v>
      </c>
      <c r="F302" s="29"/>
      <c r="G302" s="21" t="str">
        <f>IFERROR(VLOOKUP(A302, 'Price Sheet'!$A$2:$B1010, 2, false), "")</f>
        <v/>
      </c>
      <c r="J302" s="21" t="str">
        <f t="shared" si="3"/>
        <v/>
      </c>
      <c r="K302" s="29"/>
      <c r="L302" s="29" t="b">
        <v>0</v>
      </c>
      <c r="M302" s="29"/>
      <c r="N302" s="21" t="str">
        <f>IFERROR(VLOOKUP(I302, 'Price Sheet'!$A$2:$B1010, 2, false), "")</f>
        <v/>
      </c>
    </row>
    <row r="303">
      <c r="B303" s="21" t="str">
        <f t="shared" si="4"/>
        <v/>
      </c>
      <c r="C303" s="29"/>
      <c r="D303" s="29"/>
      <c r="E303" s="29" t="b">
        <v>0</v>
      </c>
      <c r="F303" s="29"/>
      <c r="G303" s="21" t="str">
        <f>IFERROR(VLOOKUP(A303, 'Price Sheet'!$A$2:$B1010, 2, false), "")</f>
        <v/>
      </c>
      <c r="J303" s="21" t="str">
        <f t="shared" si="3"/>
        <v/>
      </c>
      <c r="K303" s="29"/>
      <c r="L303" s="29" t="b">
        <v>0</v>
      </c>
      <c r="M303" s="29"/>
      <c r="N303" s="21" t="str">
        <f>IFERROR(VLOOKUP(I303, 'Price Sheet'!$A$2:$B1010, 2, false), "")</f>
        <v/>
      </c>
    </row>
    <row r="304">
      <c r="B304" s="21" t="str">
        <f t="shared" si="4"/>
        <v/>
      </c>
      <c r="C304" s="29"/>
      <c r="D304" s="29"/>
      <c r="E304" s="29" t="b">
        <v>0</v>
      </c>
      <c r="F304" s="29"/>
      <c r="G304" s="21" t="str">
        <f>IFERROR(VLOOKUP(A304, 'Price Sheet'!$A$2:$B1010, 2, false), "")</f>
        <v/>
      </c>
      <c r="J304" s="21" t="str">
        <f t="shared" si="3"/>
        <v/>
      </c>
      <c r="K304" s="29"/>
      <c r="L304" s="29" t="b">
        <v>0</v>
      </c>
      <c r="M304" s="29"/>
      <c r="N304" s="21" t="str">
        <f>IFERROR(VLOOKUP(I304, 'Price Sheet'!$A$2:$B1010, 2, false), "")</f>
        <v/>
      </c>
    </row>
    <row r="305">
      <c r="B305" s="21" t="str">
        <f t="shared" si="4"/>
        <v/>
      </c>
      <c r="C305" s="29"/>
      <c r="D305" s="29"/>
      <c r="E305" s="29" t="b">
        <v>0</v>
      </c>
      <c r="F305" s="29"/>
      <c r="G305" s="21" t="str">
        <f>IFERROR(VLOOKUP(A305, 'Price Sheet'!$A$2:$B1010, 2, false), "")</f>
        <v/>
      </c>
      <c r="J305" s="21" t="str">
        <f t="shared" si="3"/>
        <v/>
      </c>
      <c r="K305" s="29"/>
      <c r="L305" s="29" t="b">
        <v>0</v>
      </c>
      <c r="M305" s="29"/>
      <c r="N305" s="21" t="str">
        <f>IFERROR(VLOOKUP(I305, 'Price Sheet'!$A$2:$B1010, 2, false), "")</f>
        <v/>
      </c>
    </row>
    <row r="306">
      <c r="B306" s="21" t="str">
        <f t="shared" si="4"/>
        <v/>
      </c>
      <c r="C306" s="29"/>
      <c r="D306" s="29"/>
      <c r="E306" s="29" t="b">
        <v>0</v>
      </c>
      <c r="F306" s="29"/>
      <c r="G306" s="21" t="str">
        <f>IFERROR(VLOOKUP(A306, 'Price Sheet'!$A$2:$B1010, 2, false), "")</f>
        <v/>
      </c>
      <c r="J306" s="21" t="str">
        <f t="shared" si="3"/>
        <v/>
      </c>
      <c r="K306" s="29"/>
      <c r="L306" s="29" t="b">
        <v>0</v>
      </c>
      <c r="M306" s="29"/>
      <c r="N306" s="21" t="str">
        <f>IFERROR(VLOOKUP(I306, 'Price Sheet'!$A$2:$B1010, 2, false), "")</f>
        <v/>
      </c>
    </row>
    <row r="307">
      <c r="B307" s="21" t="str">
        <f t="shared" si="4"/>
        <v/>
      </c>
      <c r="C307" s="29"/>
      <c r="D307" s="29"/>
      <c r="E307" s="29" t="b">
        <v>0</v>
      </c>
      <c r="F307" s="29"/>
      <c r="G307" s="21" t="str">
        <f>IFERROR(VLOOKUP(A307, 'Price Sheet'!$A$2:$B1010, 2, false), "")</f>
        <v/>
      </c>
      <c r="J307" s="21" t="str">
        <f t="shared" si="3"/>
        <v/>
      </c>
      <c r="K307" s="29"/>
      <c r="L307" s="29" t="b">
        <v>0</v>
      </c>
      <c r="M307" s="29"/>
      <c r="N307" s="21" t="str">
        <f>IFERROR(VLOOKUP(I307, 'Price Sheet'!$A$2:$B1010, 2, false), "")</f>
        <v/>
      </c>
    </row>
    <row r="308">
      <c r="B308" s="21" t="str">
        <f t="shared" si="4"/>
        <v/>
      </c>
      <c r="C308" s="29"/>
      <c r="D308" s="29"/>
      <c r="E308" s="29" t="b">
        <v>0</v>
      </c>
      <c r="F308" s="29"/>
      <c r="G308" s="21" t="str">
        <f>IFERROR(VLOOKUP(A308, 'Price Sheet'!$A$2:$B1010, 2, false), "")</f>
        <v/>
      </c>
      <c r="J308" s="21" t="str">
        <f t="shared" si="3"/>
        <v/>
      </c>
      <c r="K308" s="29"/>
      <c r="L308" s="29" t="b">
        <v>0</v>
      </c>
      <c r="M308" s="29"/>
      <c r="N308" s="21" t="str">
        <f>IFERROR(VLOOKUP(I308, 'Price Sheet'!$A$2:$B1010, 2, false), "")</f>
        <v/>
      </c>
    </row>
    <row r="309">
      <c r="B309" s="21" t="str">
        <f t="shared" si="4"/>
        <v/>
      </c>
      <c r="C309" s="29"/>
      <c r="D309" s="29"/>
      <c r="E309" s="29" t="b">
        <v>0</v>
      </c>
      <c r="F309" s="29"/>
      <c r="G309" s="21" t="str">
        <f>IFERROR(VLOOKUP(A309, 'Price Sheet'!$A$2:$B1010, 2, false), "")</f>
        <v/>
      </c>
      <c r="J309" s="21" t="str">
        <f t="shared" si="3"/>
        <v/>
      </c>
      <c r="K309" s="29"/>
      <c r="L309" s="29" t="b">
        <v>0</v>
      </c>
      <c r="M309" s="29"/>
      <c r="N309" s="21" t="str">
        <f>IFERROR(VLOOKUP(I309, 'Price Sheet'!$A$2:$B1010, 2, false), "")</f>
        <v/>
      </c>
    </row>
    <row r="310">
      <c r="B310" s="21" t="str">
        <f t="shared" si="4"/>
        <v/>
      </c>
      <c r="C310" s="29"/>
      <c r="D310" s="29"/>
      <c r="E310" s="29" t="b">
        <v>0</v>
      </c>
      <c r="F310" s="29"/>
      <c r="G310" s="21" t="str">
        <f>IFERROR(VLOOKUP(A310, 'Price Sheet'!$A$2:$B1010, 2, false), "")</f>
        <v/>
      </c>
      <c r="J310" s="21" t="str">
        <f t="shared" si="3"/>
        <v/>
      </c>
      <c r="K310" s="29"/>
      <c r="L310" s="29" t="b">
        <v>0</v>
      </c>
      <c r="M310" s="29"/>
      <c r="N310" s="21" t="str">
        <f>IFERROR(VLOOKUP(I310, 'Price Sheet'!$A$2:$B1010, 2, false), "")</f>
        <v/>
      </c>
    </row>
    <row r="311">
      <c r="B311" s="21" t="str">
        <f t="shared" si="4"/>
        <v/>
      </c>
      <c r="C311" s="29"/>
      <c r="D311" s="29"/>
      <c r="E311" s="29" t="b">
        <v>0</v>
      </c>
      <c r="F311" s="29"/>
      <c r="G311" s="21" t="str">
        <f>IFERROR(VLOOKUP(A311, 'Price Sheet'!$A$2:$B1010, 2, false), "")</f>
        <v/>
      </c>
      <c r="J311" s="21" t="str">
        <f t="shared" si="3"/>
        <v/>
      </c>
      <c r="K311" s="29"/>
      <c r="L311" s="29" t="b">
        <v>0</v>
      </c>
      <c r="M311" s="29"/>
      <c r="N311" s="21" t="str">
        <f>IFERROR(VLOOKUP(I311, 'Price Sheet'!$A$2:$B1010, 2, false), "")</f>
        <v/>
      </c>
    </row>
    <row r="312">
      <c r="B312" s="21" t="str">
        <f t="shared" si="4"/>
        <v/>
      </c>
      <c r="C312" s="29"/>
      <c r="D312" s="29"/>
      <c r="E312" s="29" t="b">
        <v>0</v>
      </c>
      <c r="F312" s="29"/>
      <c r="G312" s="21" t="str">
        <f>IFERROR(VLOOKUP(A312, 'Price Sheet'!$A$2:$B1010, 2, false), "")</f>
        <v/>
      </c>
      <c r="J312" s="21" t="str">
        <f t="shared" si="3"/>
        <v/>
      </c>
      <c r="K312" s="29"/>
      <c r="L312" s="29" t="b">
        <v>0</v>
      </c>
      <c r="M312" s="29"/>
      <c r="N312" s="21" t="str">
        <f>IFERROR(VLOOKUP(I312, 'Price Sheet'!$A$2:$B1010, 2, false), "")</f>
        <v/>
      </c>
    </row>
    <row r="313">
      <c r="B313" s="21" t="str">
        <f t="shared" si="4"/>
        <v/>
      </c>
      <c r="C313" s="29"/>
      <c r="D313" s="29"/>
      <c r="E313" s="29" t="b">
        <v>0</v>
      </c>
      <c r="F313" s="29"/>
      <c r="G313" s="21" t="str">
        <f>IFERROR(VLOOKUP(A313, 'Price Sheet'!$A$2:$B1010, 2, false), "")</f>
        <v/>
      </c>
      <c r="J313" s="21" t="str">
        <f t="shared" si="3"/>
        <v/>
      </c>
      <c r="K313" s="29"/>
      <c r="L313" s="29" t="b">
        <v>0</v>
      </c>
      <c r="M313" s="29"/>
      <c r="N313" s="21" t="str">
        <f>IFERROR(VLOOKUP(I313, 'Price Sheet'!$A$2:$B1010, 2, false), "")</f>
        <v/>
      </c>
    </row>
    <row r="314">
      <c r="B314" s="21" t="str">
        <f t="shared" si="4"/>
        <v/>
      </c>
      <c r="C314" s="29"/>
      <c r="D314" s="29"/>
      <c r="E314" s="29" t="b">
        <v>0</v>
      </c>
      <c r="F314" s="29"/>
      <c r="G314" s="21" t="str">
        <f>IFERROR(VLOOKUP(A314, 'Price Sheet'!$A$2:$B1010, 2, false), "")</f>
        <v/>
      </c>
      <c r="J314" s="21" t="str">
        <f t="shared" si="3"/>
        <v/>
      </c>
      <c r="K314" s="29"/>
      <c r="L314" s="29" t="b">
        <v>0</v>
      </c>
      <c r="M314" s="29"/>
      <c r="N314" s="21" t="str">
        <f>IFERROR(VLOOKUP(I314, 'Price Sheet'!$A$2:$B1010, 2, false), "")</f>
        <v/>
      </c>
    </row>
    <row r="315">
      <c r="B315" s="21" t="str">
        <f t="shared" si="4"/>
        <v/>
      </c>
      <c r="C315" s="29"/>
      <c r="D315" s="29"/>
      <c r="E315" s="29" t="b">
        <v>0</v>
      </c>
      <c r="F315" s="29"/>
      <c r="G315" s="21" t="str">
        <f>IFERROR(VLOOKUP(A315, 'Price Sheet'!$A$2:$B1010, 2, false), "")</f>
        <v/>
      </c>
      <c r="J315" s="21" t="str">
        <f t="shared" si="3"/>
        <v/>
      </c>
      <c r="K315" s="29"/>
      <c r="L315" s="29" t="b">
        <v>0</v>
      </c>
      <c r="M315" s="29"/>
      <c r="N315" s="21" t="str">
        <f>IFERROR(VLOOKUP(I315, 'Price Sheet'!$A$2:$B1010, 2, false), "")</f>
        <v/>
      </c>
    </row>
    <row r="316">
      <c r="B316" s="21" t="str">
        <f t="shared" si="4"/>
        <v/>
      </c>
      <c r="C316" s="29"/>
      <c r="D316" s="29"/>
      <c r="E316" s="29" t="b">
        <v>0</v>
      </c>
      <c r="F316" s="29"/>
      <c r="G316" s="21" t="str">
        <f>IFERROR(VLOOKUP(A316, 'Price Sheet'!$A$2:$B1010, 2, false), "")</f>
        <v/>
      </c>
      <c r="J316" s="21" t="str">
        <f t="shared" si="3"/>
        <v/>
      </c>
      <c r="K316" s="29"/>
      <c r="L316" s="29" t="b">
        <v>0</v>
      </c>
      <c r="M316" s="29"/>
      <c r="N316" s="21" t="str">
        <f>IFERROR(VLOOKUP(I316, 'Price Sheet'!$A$2:$B1010, 2, false), "")</f>
        <v/>
      </c>
    </row>
    <row r="317">
      <c r="B317" s="21" t="str">
        <f t="shared" si="4"/>
        <v/>
      </c>
      <c r="C317" s="29"/>
      <c r="D317" s="29"/>
      <c r="E317" s="29" t="b">
        <v>0</v>
      </c>
      <c r="F317" s="29"/>
      <c r="G317" s="21" t="str">
        <f>IFERROR(VLOOKUP(A317, 'Price Sheet'!$A$2:$B1010, 2, false), "")</f>
        <v/>
      </c>
      <c r="J317" s="21" t="str">
        <f t="shared" si="3"/>
        <v/>
      </c>
      <c r="K317" s="29"/>
      <c r="L317" s="29" t="b">
        <v>0</v>
      </c>
      <c r="M317" s="29"/>
      <c r="N317" s="21" t="str">
        <f>IFERROR(VLOOKUP(I317, 'Price Sheet'!$A$2:$B1010, 2, false), "")</f>
        <v/>
      </c>
    </row>
    <row r="318">
      <c r="B318" s="21" t="str">
        <f t="shared" si="4"/>
        <v/>
      </c>
      <c r="C318" s="29"/>
      <c r="D318" s="29"/>
      <c r="E318" s="29" t="b">
        <v>0</v>
      </c>
      <c r="F318" s="29"/>
      <c r="G318" s="21" t="str">
        <f>IFERROR(VLOOKUP(A318, 'Price Sheet'!$A$2:$B1010, 2, false), "")</f>
        <v/>
      </c>
      <c r="J318" s="21" t="str">
        <f t="shared" si="3"/>
        <v/>
      </c>
      <c r="K318" s="29"/>
      <c r="L318" s="29" t="b">
        <v>0</v>
      </c>
      <c r="M318" s="29"/>
      <c r="N318" s="21" t="str">
        <f>IFERROR(VLOOKUP(I318, 'Price Sheet'!$A$2:$B1010, 2, false), "")</f>
        <v/>
      </c>
    </row>
    <row r="319">
      <c r="B319" s="21" t="str">
        <f t="shared" si="4"/>
        <v/>
      </c>
      <c r="C319" s="29"/>
      <c r="D319" s="29"/>
      <c r="E319" s="29" t="b">
        <v>0</v>
      </c>
      <c r="F319" s="29"/>
      <c r="G319" s="21" t="str">
        <f>IFERROR(VLOOKUP(A319, 'Price Sheet'!$A$2:$B1010, 2, false), "")</f>
        <v/>
      </c>
      <c r="J319" s="21" t="str">
        <f t="shared" si="3"/>
        <v/>
      </c>
      <c r="K319" s="29"/>
      <c r="L319" s="29" t="b">
        <v>0</v>
      </c>
      <c r="M319" s="29"/>
      <c r="N319" s="21" t="str">
        <f>IFERROR(VLOOKUP(I319, 'Price Sheet'!$A$2:$B1010, 2, false), "")</f>
        <v/>
      </c>
    </row>
    <row r="320">
      <c r="B320" s="21" t="str">
        <f t="shared" si="4"/>
        <v/>
      </c>
      <c r="C320" s="29"/>
      <c r="D320" s="29"/>
      <c r="E320" s="29" t="b">
        <v>0</v>
      </c>
      <c r="F320" s="29"/>
      <c r="G320" s="21" t="str">
        <f>IFERROR(VLOOKUP(A320, 'Price Sheet'!$A$2:$B1010, 2, false), "")</f>
        <v/>
      </c>
      <c r="J320" s="21" t="str">
        <f t="shared" si="3"/>
        <v/>
      </c>
      <c r="K320" s="29"/>
      <c r="L320" s="29" t="b">
        <v>0</v>
      </c>
      <c r="M320" s="29"/>
      <c r="N320" s="21" t="str">
        <f>IFERROR(VLOOKUP(I320, 'Price Sheet'!$A$2:$B1010, 2, false), "")</f>
        <v/>
      </c>
    </row>
    <row r="321">
      <c r="B321" s="21" t="str">
        <f t="shared" si="4"/>
        <v/>
      </c>
      <c r="C321" s="29"/>
      <c r="D321" s="29"/>
      <c r="E321" s="29" t="b">
        <v>0</v>
      </c>
      <c r="F321" s="29"/>
      <c r="G321" s="21" t="str">
        <f>IFERROR(VLOOKUP(A321, 'Price Sheet'!$A$2:$B1010, 2, false), "")</f>
        <v/>
      </c>
      <c r="J321" s="21" t="str">
        <f t="shared" si="3"/>
        <v/>
      </c>
      <c r="K321" s="29"/>
      <c r="L321" s="29" t="b">
        <v>0</v>
      </c>
      <c r="M321" s="29"/>
      <c r="N321" s="21" t="str">
        <f>IFERROR(VLOOKUP(I321, 'Price Sheet'!$A$2:$B1010, 2, false), "")</f>
        <v/>
      </c>
    </row>
    <row r="322">
      <c r="B322" s="21" t="str">
        <f t="shared" si="4"/>
        <v/>
      </c>
      <c r="C322" s="29"/>
      <c r="D322" s="29"/>
      <c r="E322" s="29" t="b">
        <v>0</v>
      </c>
      <c r="F322" s="29"/>
      <c r="G322" s="21" t="str">
        <f>IFERROR(VLOOKUP(A322, 'Price Sheet'!$A$2:$B1010, 2, false), "")</f>
        <v/>
      </c>
      <c r="J322" s="21" t="str">
        <f t="shared" si="3"/>
        <v/>
      </c>
      <c r="K322" s="29"/>
      <c r="L322" s="29" t="b">
        <v>0</v>
      </c>
      <c r="M322" s="29"/>
      <c r="N322" s="21" t="str">
        <f>IFERROR(VLOOKUP(I322, 'Price Sheet'!$A$2:$B1010, 2, false), "")</f>
        <v/>
      </c>
    </row>
    <row r="323">
      <c r="B323" s="21" t="str">
        <f t="shared" si="4"/>
        <v/>
      </c>
      <c r="C323" s="29"/>
      <c r="D323" s="29"/>
      <c r="E323" s="29" t="b">
        <v>0</v>
      </c>
      <c r="F323" s="29"/>
      <c r="G323" s="21" t="str">
        <f>IFERROR(VLOOKUP(A323, 'Price Sheet'!$A$2:$B1010, 2, false), "")</f>
        <v/>
      </c>
      <c r="J323" s="21" t="str">
        <f t="shared" si="3"/>
        <v/>
      </c>
      <c r="K323" s="29"/>
      <c r="L323" s="29" t="b">
        <v>0</v>
      </c>
      <c r="M323" s="29"/>
      <c r="N323" s="21" t="str">
        <f>IFERROR(VLOOKUP(I323, 'Price Sheet'!$A$2:$B1010, 2, false), "")</f>
        <v/>
      </c>
    </row>
    <row r="324">
      <c r="B324" s="21" t="str">
        <f t="shared" si="4"/>
        <v/>
      </c>
      <c r="C324" s="29"/>
      <c r="D324" s="29"/>
      <c r="E324" s="29" t="b">
        <v>0</v>
      </c>
      <c r="F324" s="29"/>
      <c r="G324" s="21" t="str">
        <f>IFERROR(VLOOKUP(A324, 'Price Sheet'!$A$2:$B1010, 2, false), "")</f>
        <v/>
      </c>
      <c r="J324" s="21" t="str">
        <f t="shared" si="3"/>
        <v/>
      </c>
      <c r="K324" s="29"/>
      <c r="L324" s="29" t="b">
        <v>0</v>
      </c>
      <c r="M324" s="29"/>
      <c r="N324" s="21" t="str">
        <f>IFERROR(VLOOKUP(I324, 'Price Sheet'!$A$2:$B1010, 2, false), "")</f>
        <v/>
      </c>
    </row>
    <row r="325">
      <c r="B325" s="21" t="str">
        <f t="shared" si="4"/>
        <v/>
      </c>
      <c r="C325" s="29"/>
      <c r="D325" s="29"/>
      <c r="E325" s="29" t="b">
        <v>0</v>
      </c>
      <c r="F325" s="29"/>
      <c r="G325" s="21" t="str">
        <f>IFERROR(VLOOKUP(A325, 'Price Sheet'!$A$2:$B1010, 2, false), "")</f>
        <v/>
      </c>
      <c r="J325" s="21" t="str">
        <f t="shared" si="3"/>
        <v/>
      </c>
      <c r="K325" s="29"/>
      <c r="L325" s="29" t="b">
        <v>0</v>
      </c>
      <c r="M325" s="29"/>
      <c r="N325" s="21" t="str">
        <f>IFERROR(VLOOKUP(I325, 'Price Sheet'!$A$2:$B1010, 2, false), "")</f>
        <v/>
      </c>
    </row>
    <row r="326">
      <c r="B326" s="21" t="str">
        <f t="shared" si="4"/>
        <v/>
      </c>
      <c r="C326" s="29"/>
      <c r="D326" s="29"/>
      <c r="E326" s="29" t="b">
        <v>0</v>
      </c>
      <c r="F326" s="29"/>
      <c r="G326" s="21" t="str">
        <f>IFERROR(VLOOKUP(A326, 'Price Sheet'!$A$2:$B1010, 2, false), "")</f>
        <v/>
      </c>
      <c r="J326" s="21" t="str">
        <f t="shared" si="3"/>
        <v/>
      </c>
      <c r="K326" s="29"/>
      <c r="L326" s="29" t="b">
        <v>0</v>
      </c>
      <c r="M326" s="29"/>
      <c r="N326" s="21" t="str">
        <f>IFERROR(VLOOKUP(I326, 'Price Sheet'!$A$2:$B1010, 2, false), "")</f>
        <v/>
      </c>
    </row>
    <row r="327">
      <c r="B327" s="21" t="str">
        <f t="shared" si="4"/>
        <v/>
      </c>
      <c r="C327" s="29"/>
      <c r="D327" s="29"/>
      <c r="E327" s="29" t="b">
        <v>0</v>
      </c>
      <c r="F327" s="29"/>
      <c r="G327" s="21" t="str">
        <f>IFERROR(VLOOKUP(A327, 'Price Sheet'!$A$2:$B1010, 2, false), "")</f>
        <v/>
      </c>
      <c r="J327" s="21" t="str">
        <f t="shared" si="3"/>
        <v/>
      </c>
      <c r="K327" s="29"/>
      <c r="L327" s="29" t="b">
        <v>0</v>
      </c>
      <c r="M327" s="29"/>
      <c r="N327" s="21" t="str">
        <f>IFERROR(VLOOKUP(I327, 'Price Sheet'!$A$2:$B1010, 2, false), "")</f>
        <v/>
      </c>
    </row>
    <row r="328">
      <c r="B328" s="21" t="str">
        <f t="shared" si="4"/>
        <v/>
      </c>
      <c r="C328" s="29"/>
      <c r="D328" s="29"/>
      <c r="E328" s="29" t="b">
        <v>0</v>
      </c>
      <c r="F328" s="29"/>
      <c r="G328" s="21" t="str">
        <f>IFERROR(VLOOKUP(A328, 'Price Sheet'!$A$2:$B1010, 2, false), "")</f>
        <v/>
      </c>
      <c r="J328" s="21" t="str">
        <f t="shared" si="3"/>
        <v/>
      </c>
      <c r="K328" s="29"/>
      <c r="L328" s="29" t="b">
        <v>0</v>
      </c>
      <c r="M328" s="29"/>
      <c r="N328" s="21" t="str">
        <f>IFERROR(VLOOKUP(I328, 'Price Sheet'!$A$2:$B1010, 2, false), "")</f>
        <v/>
      </c>
    </row>
    <row r="329">
      <c r="B329" s="21" t="str">
        <f t="shared" si="4"/>
        <v/>
      </c>
      <c r="C329" s="29"/>
      <c r="D329" s="29"/>
      <c r="E329" s="29" t="b">
        <v>0</v>
      </c>
      <c r="F329" s="29"/>
      <c r="G329" s="21" t="str">
        <f>IFERROR(VLOOKUP(A329, 'Price Sheet'!$A$2:$B1010, 2, false), "")</f>
        <v/>
      </c>
      <c r="J329" s="21" t="str">
        <f t="shared" si="3"/>
        <v/>
      </c>
      <c r="K329" s="29"/>
      <c r="L329" s="29" t="b">
        <v>0</v>
      </c>
      <c r="M329" s="29"/>
      <c r="N329" s="21" t="str">
        <f>IFERROR(VLOOKUP(I329, 'Price Sheet'!$A$2:$B1010, 2, false), "")</f>
        <v/>
      </c>
    </row>
    <row r="330">
      <c r="B330" s="21" t="str">
        <f t="shared" si="4"/>
        <v/>
      </c>
      <c r="C330" s="29"/>
      <c r="D330" s="29"/>
      <c r="E330" s="29" t="b">
        <v>0</v>
      </c>
      <c r="F330" s="29"/>
      <c r="G330" s="21" t="str">
        <f>IFERROR(VLOOKUP(A330, 'Price Sheet'!$A$2:$B1010, 2, false), "")</f>
        <v/>
      </c>
      <c r="J330" s="21" t="str">
        <f t="shared" si="3"/>
        <v/>
      </c>
      <c r="K330" s="29"/>
      <c r="L330" s="29" t="b">
        <v>0</v>
      </c>
      <c r="M330" s="29"/>
      <c r="N330" s="21" t="str">
        <f>IFERROR(VLOOKUP(I330, 'Price Sheet'!$A$2:$B1010, 2, false), "")</f>
        <v/>
      </c>
    </row>
    <row r="331">
      <c r="B331" s="21" t="str">
        <f t="shared" si="4"/>
        <v/>
      </c>
      <c r="C331" s="29"/>
      <c r="D331" s="29"/>
      <c r="E331" s="29" t="b">
        <v>0</v>
      </c>
      <c r="F331" s="29"/>
      <c r="G331" s="21" t="str">
        <f>IFERROR(VLOOKUP(A331, 'Price Sheet'!$A$2:$B1010, 2, false), "")</f>
        <v/>
      </c>
      <c r="J331" s="21" t="str">
        <f t="shared" si="3"/>
        <v/>
      </c>
      <c r="K331" s="29"/>
      <c r="L331" s="29" t="b">
        <v>0</v>
      </c>
      <c r="M331" s="29"/>
      <c r="N331" s="21" t="str">
        <f>IFERROR(VLOOKUP(I331, 'Price Sheet'!$A$2:$B1010, 2, false), "")</f>
        <v/>
      </c>
    </row>
    <row r="332">
      <c r="B332" s="21" t="str">
        <f t="shared" si="4"/>
        <v/>
      </c>
      <c r="C332" s="29"/>
      <c r="D332" s="29"/>
      <c r="E332" s="29" t="b">
        <v>0</v>
      </c>
      <c r="F332" s="29"/>
      <c r="G332" s="21" t="str">
        <f>IFERROR(VLOOKUP(A332, 'Price Sheet'!$A$2:$B1010, 2, false), "")</f>
        <v/>
      </c>
      <c r="J332" s="21" t="str">
        <f t="shared" si="3"/>
        <v/>
      </c>
      <c r="K332" s="29"/>
      <c r="L332" s="29" t="b">
        <v>0</v>
      </c>
      <c r="M332" s="29"/>
      <c r="N332" s="21" t="str">
        <f>IFERROR(VLOOKUP(I332, 'Price Sheet'!$A$2:$B1010, 2, false), "")</f>
        <v/>
      </c>
    </row>
    <row r="333">
      <c r="B333" s="21" t="str">
        <f t="shared" si="4"/>
        <v/>
      </c>
      <c r="C333" s="29"/>
      <c r="D333" s="29"/>
      <c r="E333" s="29" t="b">
        <v>0</v>
      </c>
      <c r="F333" s="29"/>
      <c r="G333" s="21" t="str">
        <f>IFERROR(VLOOKUP(A333, 'Price Sheet'!$A$2:$B1010, 2, false), "")</f>
        <v/>
      </c>
      <c r="J333" s="21" t="str">
        <f t="shared" si="3"/>
        <v/>
      </c>
      <c r="K333" s="29"/>
      <c r="L333" s="29" t="b">
        <v>0</v>
      </c>
      <c r="M333" s="29"/>
      <c r="N333" s="21" t="str">
        <f>IFERROR(VLOOKUP(I333, 'Price Sheet'!$A$2:$B1010, 2, false), "")</f>
        <v/>
      </c>
    </row>
    <row r="334">
      <c r="B334" s="21" t="str">
        <f t="shared" si="4"/>
        <v/>
      </c>
      <c r="C334" s="29"/>
      <c r="D334" s="29"/>
      <c r="E334" s="29" t="b">
        <v>0</v>
      </c>
      <c r="F334" s="29"/>
      <c r="G334" s="21" t="str">
        <f>IFERROR(VLOOKUP(A334, 'Price Sheet'!$A$2:$B1010, 2, false), "")</f>
        <v/>
      </c>
      <c r="J334" s="21" t="str">
        <f t="shared" si="3"/>
        <v/>
      </c>
      <c r="K334" s="29"/>
      <c r="L334" s="29" t="b">
        <v>0</v>
      </c>
      <c r="M334" s="29"/>
      <c r="N334" s="21" t="str">
        <f>IFERROR(VLOOKUP(I334, 'Price Sheet'!$A$2:$B1010, 2, false), "")</f>
        <v/>
      </c>
    </row>
    <row r="335">
      <c r="B335" s="21" t="str">
        <f t="shared" si="4"/>
        <v/>
      </c>
      <c r="C335" s="29"/>
      <c r="D335" s="29"/>
      <c r="E335" s="29" t="b">
        <v>0</v>
      </c>
      <c r="F335" s="29"/>
      <c r="G335" s="21" t="str">
        <f>IFERROR(VLOOKUP(A335, 'Price Sheet'!$A$2:$B1010, 2, false), "")</f>
        <v/>
      </c>
      <c r="J335" s="21" t="str">
        <f t="shared" si="3"/>
        <v/>
      </c>
      <c r="K335" s="29"/>
      <c r="L335" s="29" t="b">
        <v>0</v>
      </c>
      <c r="M335" s="29"/>
      <c r="N335" s="21" t="str">
        <f>IFERROR(VLOOKUP(I335, 'Price Sheet'!$A$2:$B1010, 2, false), "")</f>
        <v/>
      </c>
    </row>
    <row r="336">
      <c r="B336" s="21" t="str">
        <f t="shared" si="4"/>
        <v/>
      </c>
      <c r="C336" s="29"/>
      <c r="D336" s="29"/>
      <c r="E336" s="29" t="b">
        <v>0</v>
      </c>
      <c r="F336" s="29"/>
      <c r="G336" s="21" t="str">
        <f>IFERROR(VLOOKUP(A336, 'Price Sheet'!$A$2:$B1010, 2, false), "")</f>
        <v/>
      </c>
      <c r="J336" s="21" t="str">
        <f t="shared" si="3"/>
        <v/>
      </c>
      <c r="K336" s="29"/>
      <c r="L336" s="29" t="b">
        <v>0</v>
      </c>
      <c r="M336" s="29"/>
      <c r="N336" s="21" t="str">
        <f>IFERROR(VLOOKUP(I336, 'Price Sheet'!$A$2:$B1010, 2, false), "")</f>
        <v/>
      </c>
    </row>
    <row r="337">
      <c r="B337" s="21" t="str">
        <f t="shared" si="4"/>
        <v/>
      </c>
      <c r="C337" s="29"/>
      <c r="D337" s="29"/>
      <c r="E337" s="29" t="b">
        <v>0</v>
      </c>
      <c r="F337" s="29"/>
      <c r="G337" s="21" t="str">
        <f>IFERROR(VLOOKUP(A337, 'Price Sheet'!$A$2:$B1010, 2, false), "")</f>
        <v/>
      </c>
      <c r="J337" s="21" t="str">
        <f t="shared" si="3"/>
        <v/>
      </c>
      <c r="K337" s="29"/>
      <c r="L337" s="29" t="b">
        <v>0</v>
      </c>
      <c r="M337" s="29"/>
      <c r="N337" s="21" t="str">
        <f>IFERROR(VLOOKUP(I337, 'Price Sheet'!$A$2:$B1010, 2, false), "")</f>
        <v/>
      </c>
    </row>
    <row r="338">
      <c r="B338" s="21" t="str">
        <f t="shared" si="4"/>
        <v/>
      </c>
      <c r="C338" s="29"/>
      <c r="D338" s="29"/>
      <c r="E338" s="29" t="b">
        <v>0</v>
      </c>
      <c r="F338" s="29"/>
      <c r="G338" s="21" t="str">
        <f>IFERROR(VLOOKUP(A338, 'Price Sheet'!$A$2:$B1010, 2, false), "")</f>
        <v/>
      </c>
      <c r="J338" s="21" t="str">
        <f t="shared" si="3"/>
        <v/>
      </c>
      <c r="K338" s="29"/>
      <c r="L338" s="29" t="b">
        <v>0</v>
      </c>
      <c r="M338" s="29"/>
      <c r="N338" s="21" t="str">
        <f>IFERROR(VLOOKUP(I338, 'Price Sheet'!$A$2:$B1010, 2, false), "")</f>
        <v/>
      </c>
    </row>
    <row r="339">
      <c r="B339" s="21" t="str">
        <f t="shared" si="4"/>
        <v/>
      </c>
      <c r="C339" s="29"/>
      <c r="D339" s="29"/>
      <c r="E339" s="29" t="b">
        <v>0</v>
      </c>
      <c r="F339" s="29"/>
      <c r="G339" s="21" t="str">
        <f>IFERROR(VLOOKUP(A339, 'Price Sheet'!$A$2:$B1010, 2, false), "")</f>
        <v/>
      </c>
      <c r="J339" s="21" t="str">
        <f t="shared" si="3"/>
        <v/>
      </c>
      <c r="K339" s="29"/>
      <c r="L339" s="29" t="b">
        <v>0</v>
      </c>
      <c r="M339" s="29"/>
      <c r="N339" s="21" t="str">
        <f>IFERROR(VLOOKUP(I339, 'Price Sheet'!$A$2:$B1010, 2, false), "")</f>
        <v/>
      </c>
    </row>
    <row r="340">
      <c r="B340" s="21" t="str">
        <f t="shared" si="4"/>
        <v/>
      </c>
      <c r="C340" s="29"/>
      <c r="D340" s="29"/>
      <c r="E340" s="29" t="b">
        <v>0</v>
      </c>
      <c r="F340" s="29"/>
      <c r="G340" s="21" t="str">
        <f>IFERROR(VLOOKUP(A340, 'Price Sheet'!$A$2:$B1010, 2, false), "")</f>
        <v/>
      </c>
      <c r="J340" s="21" t="str">
        <f t="shared" si="3"/>
        <v/>
      </c>
      <c r="K340" s="29"/>
      <c r="L340" s="29" t="b">
        <v>0</v>
      </c>
      <c r="M340" s="29"/>
      <c r="N340" s="21" t="str">
        <f>IFERROR(VLOOKUP(I340, 'Price Sheet'!$A$2:$B1010, 2, false), "")</f>
        <v/>
      </c>
    </row>
    <row r="341">
      <c r="B341" s="21" t="str">
        <f t="shared" si="4"/>
        <v/>
      </c>
      <c r="C341" s="29"/>
      <c r="D341" s="29"/>
      <c r="E341" s="29" t="b">
        <v>0</v>
      </c>
      <c r="F341" s="29"/>
      <c r="G341" s="21" t="str">
        <f>IFERROR(VLOOKUP(A341, 'Price Sheet'!$A$2:$B1010, 2, false), "")</f>
        <v/>
      </c>
      <c r="J341" s="21" t="str">
        <f t="shared" si="3"/>
        <v/>
      </c>
      <c r="K341" s="29"/>
      <c r="L341" s="29" t="b">
        <v>0</v>
      </c>
      <c r="M341" s="29"/>
      <c r="N341" s="21" t="str">
        <f>IFERROR(VLOOKUP(I341, 'Price Sheet'!$A$2:$B1010, 2, false), "")</f>
        <v/>
      </c>
    </row>
    <row r="342">
      <c r="B342" s="21" t="str">
        <f t="shared" si="4"/>
        <v/>
      </c>
      <c r="C342" s="29"/>
      <c r="D342" s="29"/>
      <c r="E342" s="29" t="b">
        <v>0</v>
      </c>
      <c r="F342" s="29"/>
      <c r="G342" s="21" t="str">
        <f>IFERROR(VLOOKUP(A342, 'Price Sheet'!$A$2:$B1010, 2, false), "")</f>
        <v/>
      </c>
      <c r="J342" s="21" t="str">
        <f t="shared" si="3"/>
        <v/>
      </c>
      <c r="K342" s="29"/>
      <c r="L342" s="29" t="b">
        <v>0</v>
      </c>
      <c r="M342" s="29"/>
      <c r="N342" s="21" t="str">
        <f>IFERROR(VLOOKUP(I342, 'Price Sheet'!$A$2:$B1010, 2, false), "")</f>
        <v/>
      </c>
    </row>
    <row r="343">
      <c r="B343" s="21" t="str">
        <f t="shared" si="4"/>
        <v/>
      </c>
      <c r="C343" s="29"/>
      <c r="D343" s="29"/>
      <c r="E343" s="29" t="b">
        <v>0</v>
      </c>
      <c r="F343" s="29"/>
      <c r="G343" s="21" t="str">
        <f>IFERROR(VLOOKUP(A343, 'Price Sheet'!$A$2:$B1010, 2, false), "")</f>
        <v/>
      </c>
      <c r="J343" s="21" t="str">
        <f t="shared" si="3"/>
        <v/>
      </c>
      <c r="K343" s="29"/>
      <c r="L343" s="29" t="b">
        <v>0</v>
      </c>
      <c r="M343" s="29"/>
      <c r="N343" s="21" t="str">
        <f>IFERROR(VLOOKUP(I343, 'Price Sheet'!$A$2:$B1010, 2, false), "")</f>
        <v/>
      </c>
    </row>
    <row r="344">
      <c r="B344" s="21" t="str">
        <f t="shared" si="4"/>
        <v/>
      </c>
      <c r="C344" s="29"/>
      <c r="D344" s="29"/>
      <c r="E344" s="29" t="b">
        <v>0</v>
      </c>
      <c r="F344" s="29"/>
      <c r="G344" s="21" t="str">
        <f>IFERROR(VLOOKUP(A344, 'Price Sheet'!$A$2:$B1010, 2, false), "")</f>
        <v/>
      </c>
      <c r="J344" s="21" t="str">
        <f t="shared" si="3"/>
        <v/>
      </c>
      <c r="K344" s="29"/>
      <c r="L344" s="29" t="b">
        <v>0</v>
      </c>
      <c r="M344" s="29"/>
      <c r="N344" s="21" t="str">
        <f>IFERROR(VLOOKUP(I344, 'Price Sheet'!$A$2:$B1010, 2, false), "")</f>
        <v/>
      </c>
    </row>
    <row r="345">
      <c r="B345" s="21" t="str">
        <f t="shared" si="4"/>
        <v/>
      </c>
      <c r="C345" s="29"/>
      <c r="D345" s="29"/>
      <c r="E345" s="29" t="b">
        <v>0</v>
      </c>
      <c r="F345" s="29"/>
      <c r="G345" s="21" t="str">
        <f>IFERROR(VLOOKUP(A345, 'Price Sheet'!$A$2:$B1010, 2, false), "")</f>
        <v/>
      </c>
      <c r="J345" s="21" t="str">
        <f t="shared" si="3"/>
        <v/>
      </c>
      <c r="K345" s="29"/>
      <c r="L345" s="29" t="b">
        <v>0</v>
      </c>
      <c r="M345" s="29"/>
      <c r="N345" s="21" t="str">
        <f>IFERROR(VLOOKUP(I345, 'Price Sheet'!$A$2:$B1010, 2, false), "")</f>
        <v/>
      </c>
    </row>
    <row r="346">
      <c r="B346" s="21" t="str">
        <f t="shared" si="4"/>
        <v/>
      </c>
      <c r="C346" s="29"/>
      <c r="D346" s="29"/>
      <c r="E346" s="29" t="b">
        <v>0</v>
      </c>
      <c r="F346" s="29"/>
      <c r="G346" s="21" t="str">
        <f>IFERROR(VLOOKUP(A346, 'Price Sheet'!$A$2:$B1010, 2, false), "")</f>
        <v/>
      </c>
      <c r="J346" s="21" t="str">
        <f t="shared" si="3"/>
        <v/>
      </c>
      <c r="K346" s="29"/>
      <c r="L346" s="29" t="b">
        <v>0</v>
      </c>
      <c r="M346" s="29"/>
      <c r="N346" s="21" t="str">
        <f>IFERROR(VLOOKUP(I346, 'Price Sheet'!$A$2:$B1010, 2, false), "")</f>
        <v/>
      </c>
    </row>
    <row r="347">
      <c r="B347" s="21" t="str">
        <f t="shared" si="4"/>
        <v/>
      </c>
      <c r="C347" s="29"/>
      <c r="D347" s="29"/>
      <c r="E347" s="29" t="b">
        <v>0</v>
      </c>
      <c r="F347" s="29"/>
      <c r="G347" s="21" t="str">
        <f>IFERROR(VLOOKUP(A347, 'Price Sheet'!$A$2:$B1010, 2, false), "")</f>
        <v/>
      </c>
      <c r="J347" s="21" t="str">
        <f t="shared" si="3"/>
        <v/>
      </c>
      <c r="K347" s="29"/>
      <c r="L347" s="29" t="b">
        <v>0</v>
      </c>
      <c r="M347" s="29"/>
      <c r="N347" s="21" t="str">
        <f>IFERROR(VLOOKUP(I347, 'Price Sheet'!$A$2:$B1010, 2, false), "")</f>
        <v/>
      </c>
    </row>
    <row r="348">
      <c r="B348" s="21" t="str">
        <f t="shared" si="4"/>
        <v/>
      </c>
      <c r="C348" s="29"/>
      <c r="D348" s="29"/>
      <c r="E348" s="29" t="b">
        <v>0</v>
      </c>
      <c r="F348" s="29"/>
      <c r="G348" s="21" t="str">
        <f>IFERROR(VLOOKUP(A348, 'Price Sheet'!$A$2:$B1010, 2, false), "")</f>
        <v/>
      </c>
      <c r="J348" s="21" t="str">
        <f t="shared" si="3"/>
        <v/>
      </c>
      <c r="K348" s="29"/>
      <c r="L348" s="29" t="b">
        <v>0</v>
      </c>
      <c r="M348" s="29"/>
      <c r="N348" s="21" t="str">
        <f>IFERROR(VLOOKUP(I348, 'Price Sheet'!$A$2:$B1010, 2, false), "")</f>
        <v/>
      </c>
    </row>
    <row r="349">
      <c r="B349" s="21" t="str">
        <f t="shared" si="4"/>
        <v/>
      </c>
      <c r="C349" s="29"/>
      <c r="D349" s="29"/>
      <c r="E349" s="29" t="b">
        <v>0</v>
      </c>
      <c r="F349" s="29"/>
      <c r="G349" s="21" t="str">
        <f>IFERROR(VLOOKUP(A349, 'Price Sheet'!$A$2:$B1010, 2, false), "")</f>
        <v/>
      </c>
      <c r="J349" s="21" t="str">
        <f t="shared" si="3"/>
        <v/>
      </c>
      <c r="K349" s="29"/>
      <c r="L349" s="29" t="b">
        <v>0</v>
      </c>
      <c r="M349" s="29"/>
      <c r="N349" s="21" t="str">
        <f>IFERROR(VLOOKUP(I349, 'Price Sheet'!$A$2:$B1010, 2, false), "")</f>
        <v/>
      </c>
    </row>
    <row r="350">
      <c r="B350" s="21" t="str">
        <f t="shared" si="4"/>
        <v/>
      </c>
      <c r="C350" s="29"/>
      <c r="D350" s="29"/>
      <c r="E350" s="29" t="b">
        <v>0</v>
      </c>
      <c r="F350" s="29"/>
      <c r="G350" s="21" t="str">
        <f>IFERROR(VLOOKUP(A350, 'Price Sheet'!$A$2:$B1010, 2, false), "")</f>
        <v/>
      </c>
      <c r="J350" s="21" t="str">
        <f t="shared" si="3"/>
        <v/>
      </c>
      <c r="K350" s="29"/>
      <c r="L350" s="29" t="b">
        <v>0</v>
      </c>
      <c r="M350" s="29"/>
      <c r="N350" s="21" t="str">
        <f>IFERROR(VLOOKUP(I350, 'Price Sheet'!$A$2:$B1010, 2, false), "")</f>
        <v/>
      </c>
    </row>
    <row r="351">
      <c r="B351" s="21" t="str">
        <f t="shared" si="4"/>
        <v/>
      </c>
      <c r="C351" s="29"/>
      <c r="D351" s="29"/>
      <c r="E351" s="29" t="b">
        <v>0</v>
      </c>
      <c r="F351" s="29"/>
      <c r="G351" s="21" t="str">
        <f>IFERROR(VLOOKUP(A351, 'Price Sheet'!$A$2:$B1010, 2, false), "")</f>
        <v/>
      </c>
      <c r="J351" s="21" t="str">
        <f t="shared" si="3"/>
        <v/>
      </c>
      <c r="K351" s="29"/>
      <c r="L351" s="29" t="b">
        <v>0</v>
      </c>
      <c r="M351" s="29"/>
      <c r="N351" s="21" t="str">
        <f>IFERROR(VLOOKUP(I351, 'Price Sheet'!$A$2:$B1010, 2, false), "")</f>
        <v/>
      </c>
    </row>
    <row r="352">
      <c r="B352" s="21" t="str">
        <f t="shared" si="4"/>
        <v/>
      </c>
      <c r="C352" s="29"/>
      <c r="D352" s="29"/>
      <c r="E352" s="29" t="b">
        <v>0</v>
      </c>
      <c r="F352" s="29"/>
      <c r="G352" s="21" t="str">
        <f>IFERROR(VLOOKUP(A352, 'Price Sheet'!$A$2:$B1010, 2, false), "")</f>
        <v/>
      </c>
      <c r="J352" s="21" t="str">
        <f t="shared" si="3"/>
        <v/>
      </c>
      <c r="K352" s="29"/>
      <c r="L352" s="29" t="b">
        <v>0</v>
      </c>
      <c r="M352" s="29"/>
      <c r="N352" s="21" t="str">
        <f>IFERROR(VLOOKUP(I352, 'Price Sheet'!$A$2:$B1010, 2, false), "")</f>
        <v/>
      </c>
    </row>
    <row r="353">
      <c r="B353" s="21" t="str">
        <f t="shared" si="4"/>
        <v/>
      </c>
      <c r="C353" s="29"/>
      <c r="D353" s="29"/>
      <c r="E353" s="29" t="b">
        <v>0</v>
      </c>
      <c r="F353" s="29"/>
      <c r="G353" s="21" t="str">
        <f>IFERROR(VLOOKUP(A353, 'Price Sheet'!$A$2:$B1010, 2, false), "")</f>
        <v/>
      </c>
      <c r="J353" s="21" t="str">
        <f t="shared" si="3"/>
        <v/>
      </c>
      <c r="K353" s="29"/>
      <c r="L353" s="29" t="b">
        <v>0</v>
      </c>
      <c r="M353" s="29"/>
      <c r="N353" s="21" t="str">
        <f>IFERROR(VLOOKUP(I353, 'Price Sheet'!$A$2:$B1010, 2, false), "")</f>
        <v/>
      </c>
    </row>
    <row r="354">
      <c r="B354" s="21" t="str">
        <f t="shared" si="4"/>
        <v/>
      </c>
      <c r="C354" s="29"/>
      <c r="D354" s="29"/>
      <c r="E354" s="29" t="b">
        <v>0</v>
      </c>
      <c r="F354" s="29"/>
      <c r="G354" s="21" t="str">
        <f>IFERROR(VLOOKUP(A354, 'Price Sheet'!$A$2:$B1010, 2, false), "")</f>
        <v/>
      </c>
      <c r="J354" s="21" t="str">
        <f t="shared" si="3"/>
        <v/>
      </c>
      <c r="K354" s="29"/>
      <c r="L354" s="29" t="b">
        <v>0</v>
      </c>
      <c r="M354" s="29"/>
      <c r="N354" s="21" t="str">
        <f>IFERROR(VLOOKUP(I354, 'Price Sheet'!$A$2:$B1010, 2, false), "")</f>
        <v/>
      </c>
    </row>
    <row r="355">
      <c r="B355" s="21" t="str">
        <f t="shared" si="4"/>
        <v/>
      </c>
      <c r="C355" s="29"/>
      <c r="D355" s="29"/>
      <c r="E355" s="29" t="b">
        <v>0</v>
      </c>
      <c r="F355" s="29"/>
      <c r="G355" s="21" t="str">
        <f>IFERROR(VLOOKUP(A355, 'Price Sheet'!$A$2:$B1010, 2, false), "")</f>
        <v/>
      </c>
      <c r="J355" s="21" t="str">
        <f t="shared" si="3"/>
        <v/>
      </c>
      <c r="K355" s="29"/>
      <c r="L355" s="29" t="b">
        <v>0</v>
      </c>
      <c r="M355" s="29"/>
      <c r="N355" s="21" t="str">
        <f>IFERROR(VLOOKUP(I355, 'Price Sheet'!$A$2:$B1010, 2, false), "")</f>
        <v/>
      </c>
    </row>
    <row r="356">
      <c r="B356" s="21" t="str">
        <f t="shared" si="4"/>
        <v/>
      </c>
      <c r="C356" s="29"/>
      <c r="D356" s="29"/>
      <c r="E356" s="29" t="b">
        <v>0</v>
      </c>
      <c r="F356" s="29"/>
      <c r="G356" s="21" t="str">
        <f>IFERROR(VLOOKUP(A356, 'Price Sheet'!$A$2:$B1010, 2, false), "")</f>
        <v/>
      </c>
      <c r="J356" s="21" t="str">
        <f t="shared" si="3"/>
        <v/>
      </c>
      <c r="K356" s="29"/>
      <c r="L356" s="29" t="b">
        <v>0</v>
      </c>
      <c r="M356" s="29"/>
      <c r="N356" s="21" t="str">
        <f>IFERROR(VLOOKUP(I356, 'Price Sheet'!$A$2:$B1010, 2, false), "")</f>
        <v/>
      </c>
    </row>
    <row r="357">
      <c r="B357" s="21" t="str">
        <f t="shared" si="4"/>
        <v/>
      </c>
      <c r="C357" s="29"/>
      <c r="D357" s="29"/>
      <c r="E357" s="29" t="b">
        <v>0</v>
      </c>
      <c r="F357" s="29"/>
      <c r="G357" s="21" t="str">
        <f>IFERROR(VLOOKUP(A357, 'Price Sheet'!$A$2:$B1010, 2, false), "")</f>
        <v/>
      </c>
      <c r="J357" s="21" t="str">
        <f t="shared" si="3"/>
        <v/>
      </c>
      <c r="K357" s="29"/>
      <c r="L357" s="29" t="b">
        <v>0</v>
      </c>
      <c r="M357" s="29"/>
      <c r="N357" s="21" t="str">
        <f>IFERROR(VLOOKUP(I357, 'Price Sheet'!$A$2:$B1010, 2, false), "")</f>
        <v/>
      </c>
    </row>
    <row r="358">
      <c r="B358" s="21" t="str">
        <f t="shared" si="4"/>
        <v/>
      </c>
      <c r="C358" s="29"/>
      <c r="D358" s="29"/>
      <c r="E358" s="29" t="b">
        <v>0</v>
      </c>
      <c r="F358" s="29"/>
      <c r="G358" s="21" t="str">
        <f>IFERROR(VLOOKUP(A358, 'Price Sheet'!$A$2:$B1010, 2, false), "")</f>
        <v/>
      </c>
      <c r="J358" s="21" t="str">
        <f t="shared" si="3"/>
        <v/>
      </c>
      <c r="K358" s="29"/>
      <c r="L358" s="29" t="b">
        <v>0</v>
      </c>
      <c r="M358" s="29"/>
      <c r="N358" s="21" t="str">
        <f>IFERROR(VLOOKUP(I358, 'Price Sheet'!$A$2:$B1010, 2, false), "")</f>
        <v/>
      </c>
    </row>
    <row r="359">
      <c r="B359" s="21" t="str">
        <f t="shared" si="4"/>
        <v/>
      </c>
      <c r="C359" s="29"/>
      <c r="D359" s="29"/>
      <c r="E359" s="29" t="b">
        <v>0</v>
      </c>
      <c r="F359" s="29"/>
      <c r="G359" s="21" t="str">
        <f>IFERROR(VLOOKUP(A359, 'Price Sheet'!$A$2:$B1010, 2, false), "")</f>
        <v/>
      </c>
      <c r="J359" s="21" t="str">
        <f t="shared" si="3"/>
        <v/>
      </c>
      <c r="K359" s="29"/>
      <c r="L359" s="29" t="b">
        <v>0</v>
      </c>
      <c r="M359" s="29"/>
      <c r="N359" s="21" t="str">
        <f>IFERROR(VLOOKUP(I359, 'Price Sheet'!$A$2:$B1010, 2, false), "")</f>
        <v/>
      </c>
    </row>
    <row r="360">
      <c r="B360" s="21" t="str">
        <f t="shared" si="4"/>
        <v/>
      </c>
      <c r="C360" s="29"/>
      <c r="D360" s="29"/>
      <c r="E360" s="29" t="b">
        <v>0</v>
      </c>
      <c r="F360" s="29"/>
      <c r="G360" s="21" t="str">
        <f>IFERROR(VLOOKUP(A360, 'Price Sheet'!$A$2:$B1010, 2, false), "")</f>
        <v/>
      </c>
      <c r="J360" s="21" t="str">
        <f t="shared" si="3"/>
        <v/>
      </c>
      <c r="K360" s="29"/>
      <c r="L360" s="29" t="b">
        <v>0</v>
      </c>
      <c r="M360" s="29"/>
      <c r="N360" s="21" t="str">
        <f>IFERROR(VLOOKUP(I360, 'Price Sheet'!$A$2:$B1010, 2, false), "")</f>
        <v/>
      </c>
    </row>
    <row r="361">
      <c r="B361" s="21" t="str">
        <f t="shared" si="4"/>
        <v/>
      </c>
      <c r="C361" s="29"/>
      <c r="D361" s="29"/>
      <c r="E361" s="29" t="b">
        <v>0</v>
      </c>
      <c r="F361" s="29"/>
      <c r="G361" s="21" t="str">
        <f>IFERROR(VLOOKUP(A361, 'Price Sheet'!$A$2:$B1010, 2, false), "")</f>
        <v/>
      </c>
      <c r="J361" s="21" t="str">
        <f t="shared" si="3"/>
        <v/>
      </c>
      <c r="K361" s="29"/>
      <c r="L361" s="29" t="b">
        <v>0</v>
      </c>
      <c r="M361" s="29"/>
      <c r="N361" s="21" t="str">
        <f>IFERROR(VLOOKUP(I361, 'Price Sheet'!$A$2:$B1010, 2, false), "")</f>
        <v/>
      </c>
    </row>
    <row r="362">
      <c r="B362" s="21" t="str">
        <f t="shared" si="4"/>
        <v/>
      </c>
      <c r="C362" s="29"/>
      <c r="D362" s="29"/>
      <c r="E362" s="29" t="b">
        <v>0</v>
      </c>
      <c r="F362" s="29"/>
      <c r="G362" s="21" t="str">
        <f>IFERROR(VLOOKUP(A362, 'Price Sheet'!$A$2:$B1010, 2, false), "")</f>
        <v/>
      </c>
      <c r="J362" s="21" t="str">
        <f t="shared" si="3"/>
        <v/>
      </c>
      <c r="K362" s="29"/>
      <c r="L362" s="29" t="b">
        <v>0</v>
      </c>
      <c r="M362" s="29"/>
      <c r="N362" s="21" t="str">
        <f>IFERROR(VLOOKUP(I362, 'Price Sheet'!$A$2:$B1010, 2, false), "")</f>
        <v/>
      </c>
    </row>
    <row r="363">
      <c r="B363" s="21" t="str">
        <f t="shared" si="4"/>
        <v/>
      </c>
      <c r="C363" s="29"/>
      <c r="D363" s="29"/>
      <c r="E363" s="29" t="b">
        <v>0</v>
      </c>
      <c r="F363" s="29"/>
      <c r="G363" s="21" t="str">
        <f>IFERROR(VLOOKUP(A363, 'Price Sheet'!$A$2:$B1010, 2, false), "")</f>
        <v/>
      </c>
      <c r="J363" s="21" t="str">
        <f t="shared" si="3"/>
        <v/>
      </c>
      <c r="K363" s="29"/>
      <c r="L363" s="29" t="b">
        <v>0</v>
      </c>
      <c r="M363" s="29"/>
      <c r="N363" s="21" t="str">
        <f>IFERROR(VLOOKUP(I363, 'Price Sheet'!$A$2:$B1010, 2, false), "")</f>
        <v/>
      </c>
    </row>
    <row r="364">
      <c r="B364" s="21" t="str">
        <f t="shared" si="4"/>
        <v/>
      </c>
      <c r="C364" s="29"/>
      <c r="D364" s="29"/>
      <c r="E364" s="29" t="b">
        <v>0</v>
      </c>
      <c r="F364" s="29"/>
      <c r="G364" s="21" t="str">
        <f>IFERROR(VLOOKUP(A364, 'Price Sheet'!$A$2:$B1010, 2, false), "")</f>
        <v/>
      </c>
      <c r="J364" s="21" t="str">
        <f t="shared" si="3"/>
        <v/>
      </c>
      <c r="K364" s="29"/>
      <c r="L364" s="29" t="b">
        <v>0</v>
      </c>
      <c r="M364" s="29"/>
      <c r="N364" s="21" t="str">
        <f>IFERROR(VLOOKUP(I364, 'Price Sheet'!$A$2:$B1010, 2, false), "")</f>
        <v/>
      </c>
    </row>
    <row r="365">
      <c r="B365" s="21" t="str">
        <f t="shared" si="4"/>
        <v/>
      </c>
      <c r="C365" s="29"/>
      <c r="D365" s="29"/>
      <c r="E365" s="29" t="b">
        <v>0</v>
      </c>
      <c r="F365" s="29"/>
      <c r="G365" s="21" t="str">
        <f>IFERROR(VLOOKUP(A365, 'Price Sheet'!$A$2:$B1010, 2, false), "")</f>
        <v/>
      </c>
      <c r="J365" s="21" t="str">
        <f t="shared" si="3"/>
        <v/>
      </c>
      <c r="K365" s="29"/>
      <c r="L365" s="29" t="b">
        <v>0</v>
      </c>
      <c r="M365" s="29"/>
      <c r="N365" s="21" t="str">
        <f>IFERROR(VLOOKUP(I365, 'Price Sheet'!$A$2:$B1010, 2, false), "")</f>
        <v/>
      </c>
    </row>
    <row r="366">
      <c r="B366" s="21" t="str">
        <f t="shared" si="4"/>
        <v/>
      </c>
      <c r="C366" s="29"/>
      <c r="D366" s="29"/>
      <c r="E366" s="29" t="b">
        <v>0</v>
      </c>
      <c r="F366" s="29"/>
      <c r="G366" s="21" t="str">
        <f>IFERROR(VLOOKUP(A366, 'Price Sheet'!$A$2:$B1010, 2, false), "")</f>
        <v/>
      </c>
      <c r="J366" s="21" t="str">
        <f t="shared" si="3"/>
        <v/>
      </c>
      <c r="K366" s="29"/>
      <c r="L366" s="29" t="b">
        <v>0</v>
      </c>
      <c r="M366" s="29"/>
      <c r="N366" s="21" t="str">
        <f>IFERROR(VLOOKUP(I366, 'Price Sheet'!$A$2:$B1010, 2, false), "")</f>
        <v/>
      </c>
    </row>
    <row r="367">
      <c r="B367" s="21" t="str">
        <f t="shared" si="4"/>
        <v/>
      </c>
      <c r="C367" s="29"/>
      <c r="D367" s="29"/>
      <c r="E367" s="29" t="b">
        <v>0</v>
      </c>
      <c r="F367" s="29"/>
      <c r="G367" s="21" t="str">
        <f>IFERROR(VLOOKUP(A367, 'Price Sheet'!$A$2:$B1010, 2, false), "")</f>
        <v/>
      </c>
      <c r="J367" s="21" t="str">
        <f t="shared" si="3"/>
        <v/>
      </c>
      <c r="K367" s="29"/>
      <c r="L367" s="29" t="b">
        <v>0</v>
      </c>
      <c r="M367" s="29"/>
      <c r="N367" s="21" t="str">
        <f>IFERROR(VLOOKUP(I367, 'Price Sheet'!$A$2:$B1010, 2, false), "")</f>
        <v/>
      </c>
    </row>
    <row r="368">
      <c r="B368" s="21" t="str">
        <f t="shared" si="4"/>
        <v/>
      </c>
      <c r="C368" s="29"/>
      <c r="D368" s="29"/>
      <c r="E368" s="29" t="b">
        <v>0</v>
      </c>
      <c r="F368" s="29"/>
      <c r="G368" s="21" t="str">
        <f>IFERROR(VLOOKUP(A368, 'Price Sheet'!$A$2:$B1010, 2, false), "")</f>
        <v/>
      </c>
      <c r="J368" s="21" t="str">
        <f t="shared" si="3"/>
        <v/>
      </c>
      <c r="K368" s="29"/>
      <c r="L368" s="29" t="b">
        <v>0</v>
      </c>
      <c r="M368" s="29"/>
      <c r="N368" s="21" t="str">
        <f>IFERROR(VLOOKUP(I368, 'Price Sheet'!$A$2:$B1010, 2, false), "")</f>
        <v/>
      </c>
    </row>
    <row r="369">
      <c r="B369" s="21" t="str">
        <f t="shared" si="4"/>
        <v/>
      </c>
      <c r="C369" s="29"/>
      <c r="D369" s="29"/>
      <c r="E369" s="29" t="b">
        <v>0</v>
      </c>
      <c r="F369" s="29"/>
      <c r="G369" s="21" t="str">
        <f>IFERROR(VLOOKUP(A369, 'Price Sheet'!$A$2:$B1010, 2, false), "")</f>
        <v/>
      </c>
      <c r="J369" s="21" t="str">
        <f t="shared" si="3"/>
        <v/>
      </c>
      <c r="K369" s="29"/>
      <c r="L369" s="29" t="b">
        <v>0</v>
      </c>
      <c r="M369" s="29"/>
      <c r="N369" s="21" t="str">
        <f>IFERROR(VLOOKUP(I369, 'Price Sheet'!$A$2:$B1010, 2, false), "")</f>
        <v/>
      </c>
    </row>
    <row r="370">
      <c r="B370" s="21" t="str">
        <f t="shared" si="4"/>
        <v/>
      </c>
      <c r="C370" s="29"/>
      <c r="D370" s="29"/>
      <c r="E370" s="29" t="b">
        <v>0</v>
      </c>
      <c r="F370" s="29"/>
      <c r="G370" s="21" t="str">
        <f>IFERROR(VLOOKUP(A370, 'Price Sheet'!$A$2:$B1010, 2, false), "")</f>
        <v/>
      </c>
      <c r="J370" s="21" t="str">
        <f t="shared" si="3"/>
        <v/>
      </c>
      <c r="K370" s="29"/>
      <c r="L370" s="29" t="b">
        <v>0</v>
      </c>
      <c r="M370" s="29"/>
      <c r="N370" s="21" t="str">
        <f>IFERROR(VLOOKUP(I370, 'Price Sheet'!$A$2:$B1010, 2, false), "")</f>
        <v/>
      </c>
    </row>
    <row r="371">
      <c r="B371" s="21" t="str">
        <f t="shared" si="4"/>
        <v/>
      </c>
      <c r="C371" s="29"/>
      <c r="D371" s="29"/>
      <c r="E371" s="29" t="b">
        <v>0</v>
      </c>
      <c r="F371" s="29"/>
      <c r="G371" s="21" t="str">
        <f>IFERROR(VLOOKUP(A371, 'Price Sheet'!$A$2:$B1010, 2, false), "")</f>
        <v/>
      </c>
      <c r="J371" s="21" t="str">
        <f t="shared" si="3"/>
        <v/>
      </c>
      <c r="K371" s="29"/>
      <c r="L371" s="29" t="b">
        <v>0</v>
      </c>
      <c r="M371" s="29"/>
      <c r="N371" s="21" t="str">
        <f>IFERROR(VLOOKUP(I371, 'Price Sheet'!$A$2:$B1010, 2, false), "")</f>
        <v/>
      </c>
    </row>
    <row r="372">
      <c r="B372" s="21" t="str">
        <f t="shared" si="4"/>
        <v/>
      </c>
      <c r="C372" s="29"/>
      <c r="D372" s="29"/>
      <c r="E372" s="29" t="b">
        <v>0</v>
      </c>
      <c r="F372" s="29"/>
      <c r="G372" s="21" t="str">
        <f>IFERROR(VLOOKUP(A372, 'Price Sheet'!$A$2:$B1010, 2, false), "")</f>
        <v/>
      </c>
      <c r="J372" s="21" t="str">
        <f t="shared" si="3"/>
        <v/>
      </c>
      <c r="K372" s="29"/>
      <c r="L372" s="29" t="b">
        <v>0</v>
      </c>
      <c r="M372" s="29"/>
      <c r="N372" s="21" t="str">
        <f>IFERROR(VLOOKUP(I372, 'Price Sheet'!$A$2:$B1010, 2, false), "")</f>
        <v/>
      </c>
    </row>
    <row r="373">
      <c r="B373" s="21" t="str">
        <f t="shared" si="4"/>
        <v/>
      </c>
      <c r="C373" s="29"/>
      <c r="D373" s="29"/>
      <c r="E373" s="29" t="b">
        <v>0</v>
      </c>
      <c r="F373" s="29"/>
      <c r="G373" s="21" t="str">
        <f>IFERROR(VLOOKUP(A373, 'Price Sheet'!$A$2:$B1010, 2, false), "")</f>
        <v/>
      </c>
      <c r="J373" s="21" t="str">
        <f t="shared" si="3"/>
        <v/>
      </c>
      <c r="K373" s="29"/>
      <c r="L373" s="29" t="b">
        <v>0</v>
      </c>
      <c r="M373" s="29"/>
      <c r="N373" s="21" t="str">
        <f>IFERROR(VLOOKUP(I373, 'Price Sheet'!$A$2:$B1010, 2, false), "")</f>
        <v/>
      </c>
    </row>
    <row r="374">
      <c r="B374" s="21" t="str">
        <f t="shared" si="4"/>
        <v/>
      </c>
      <c r="C374" s="29"/>
      <c r="D374" s="29"/>
      <c r="E374" s="29" t="b">
        <v>0</v>
      </c>
      <c r="F374" s="29"/>
      <c r="G374" s="21" t="str">
        <f>IFERROR(VLOOKUP(A374, 'Price Sheet'!$A$2:$B1010, 2, false), "")</f>
        <v/>
      </c>
      <c r="J374" s="21" t="str">
        <f t="shared" si="3"/>
        <v/>
      </c>
      <c r="K374" s="29"/>
      <c r="L374" s="29" t="b">
        <v>0</v>
      </c>
      <c r="M374" s="29"/>
      <c r="N374" s="21" t="str">
        <f>IFERROR(VLOOKUP(I374, 'Price Sheet'!$A$2:$B1010, 2, false), "")</f>
        <v/>
      </c>
    </row>
    <row r="375">
      <c r="B375" s="21" t="str">
        <f t="shared" si="4"/>
        <v/>
      </c>
      <c r="C375" s="29"/>
      <c r="D375" s="29"/>
      <c r="E375" s="29" t="b">
        <v>0</v>
      </c>
      <c r="F375" s="29"/>
      <c r="G375" s="21" t="str">
        <f>IFERROR(VLOOKUP(A375, 'Price Sheet'!$A$2:$B1010, 2, false), "")</f>
        <v/>
      </c>
      <c r="J375" s="21" t="str">
        <f t="shared" si="3"/>
        <v/>
      </c>
      <c r="K375" s="29"/>
      <c r="L375" s="29" t="b">
        <v>0</v>
      </c>
      <c r="M375" s="29"/>
      <c r="N375" s="21" t="str">
        <f>IFERROR(VLOOKUP(I375, 'Price Sheet'!$A$2:$B1010, 2, false), "")</f>
        <v/>
      </c>
    </row>
    <row r="376">
      <c r="B376" s="21" t="str">
        <f t="shared" si="4"/>
        <v/>
      </c>
      <c r="C376" s="29"/>
      <c r="D376" s="29"/>
      <c r="E376" s="29" t="b">
        <v>0</v>
      </c>
      <c r="F376" s="29"/>
      <c r="G376" s="21" t="str">
        <f>IFERROR(VLOOKUP(A376, 'Price Sheet'!$A$2:$B1010, 2, false), "")</f>
        <v/>
      </c>
      <c r="J376" s="21" t="str">
        <f t="shared" si="3"/>
        <v/>
      </c>
      <c r="K376" s="29"/>
      <c r="L376" s="29" t="b">
        <v>0</v>
      </c>
      <c r="M376" s="29"/>
      <c r="N376" s="21" t="str">
        <f>IFERROR(VLOOKUP(I376, 'Price Sheet'!$A$2:$B1010, 2, false), "")</f>
        <v/>
      </c>
    </row>
    <row r="377">
      <c r="B377" s="21" t="str">
        <f t="shared" si="4"/>
        <v/>
      </c>
      <c r="C377" s="29"/>
      <c r="D377" s="29"/>
      <c r="E377" s="29" t="b">
        <v>0</v>
      </c>
      <c r="F377" s="29"/>
      <c r="G377" s="21" t="str">
        <f>IFERROR(VLOOKUP(A377, 'Price Sheet'!$A$2:$B1010, 2, false), "")</f>
        <v/>
      </c>
      <c r="J377" s="21" t="str">
        <f t="shared" si="3"/>
        <v/>
      </c>
      <c r="K377" s="29"/>
      <c r="L377" s="29" t="b">
        <v>0</v>
      </c>
      <c r="M377" s="29"/>
      <c r="N377" s="21" t="str">
        <f>IFERROR(VLOOKUP(I377, 'Price Sheet'!$A$2:$B1010, 2, false), "")</f>
        <v/>
      </c>
    </row>
    <row r="378">
      <c r="B378" s="21" t="str">
        <f t="shared" si="4"/>
        <v/>
      </c>
      <c r="C378" s="29"/>
      <c r="D378" s="29"/>
      <c r="E378" s="29" t="b">
        <v>0</v>
      </c>
      <c r="F378" s="29"/>
      <c r="G378" s="21" t="str">
        <f>IFERROR(VLOOKUP(A378, 'Price Sheet'!$A$2:$B1010, 2, false), "")</f>
        <v/>
      </c>
      <c r="J378" s="21" t="str">
        <f t="shared" si="3"/>
        <v/>
      </c>
      <c r="K378" s="29"/>
      <c r="L378" s="29" t="b">
        <v>0</v>
      </c>
      <c r="M378" s="29"/>
      <c r="N378" s="21" t="str">
        <f>IFERROR(VLOOKUP(I378, 'Price Sheet'!$A$2:$B1010, 2, false), "")</f>
        <v/>
      </c>
    </row>
    <row r="379">
      <c r="B379" s="21" t="str">
        <f t="shared" si="4"/>
        <v/>
      </c>
      <c r="C379" s="29"/>
      <c r="D379" s="29"/>
      <c r="E379" s="29" t="b">
        <v>0</v>
      </c>
      <c r="F379" s="29"/>
      <c r="G379" s="21" t="str">
        <f>IFERROR(VLOOKUP(A379, 'Price Sheet'!$A$2:$B1010, 2, false), "")</f>
        <v/>
      </c>
      <c r="J379" s="21" t="str">
        <f t="shared" si="3"/>
        <v/>
      </c>
      <c r="K379" s="29"/>
      <c r="L379" s="29" t="b">
        <v>0</v>
      </c>
      <c r="M379" s="29"/>
      <c r="N379" s="21" t="str">
        <f>IFERROR(VLOOKUP(I379, 'Price Sheet'!$A$2:$B1010, 2, false), "")</f>
        <v/>
      </c>
    </row>
    <row r="380">
      <c r="B380" s="21" t="str">
        <f t="shared" si="4"/>
        <v/>
      </c>
      <c r="C380" s="29"/>
      <c r="D380" s="29"/>
      <c r="E380" s="29" t="b">
        <v>0</v>
      </c>
      <c r="F380" s="29"/>
      <c r="G380" s="21" t="str">
        <f>IFERROR(VLOOKUP(A380, 'Price Sheet'!$A$2:$B1010, 2, false), "")</f>
        <v/>
      </c>
      <c r="J380" s="21" t="str">
        <f t="shared" si="3"/>
        <v/>
      </c>
      <c r="K380" s="29"/>
      <c r="L380" s="29" t="b">
        <v>0</v>
      </c>
      <c r="M380" s="29"/>
      <c r="N380" s="21" t="str">
        <f>IFERROR(VLOOKUP(I380, 'Price Sheet'!$A$2:$B1010, 2, false), "")</f>
        <v/>
      </c>
    </row>
    <row r="381">
      <c r="B381" s="21" t="str">
        <f t="shared" si="4"/>
        <v/>
      </c>
      <c r="C381" s="29"/>
      <c r="D381" s="29"/>
      <c r="E381" s="29" t="b">
        <v>0</v>
      </c>
      <c r="F381" s="29"/>
      <c r="G381" s="21" t="str">
        <f>IFERROR(VLOOKUP(A381, 'Price Sheet'!$A$2:$B1010, 2, false), "")</f>
        <v/>
      </c>
      <c r="J381" s="21" t="str">
        <f t="shared" si="3"/>
        <v/>
      </c>
      <c r="K381" s="29"/>
      <c r="L381" s="29" t="b">
        <v>0</v>
      </c>
      <c r="M381" s="29"/>
      <c r="N381" s="21" t="str">
        <f>IFERROR(VLOOKUP(I381, 'Price Sheet'!$A$2:$B1010, 2, false), "")</f>
        <v/>
      </c>
    </row>
    <row r="382">
      <c r="B382" s="21" t="str">
        <f t="shared" si="4"/>
        <v/>
      </c>
      <c r="C382" s="29"/>
      <c r="D382" s="29"/>
      <c r="E382" s="29" t="b">
        <v>0</v>
      </c>
      <c r="F382" s="29"/>
      <c r="G382" s="21" t="str">
        <f>IFERROR(VLOOKUP(A382, 'Price Sheet'!$A$2:$B1010, 2, false), "")</f>
        <v/>
      </c>
      <c r="J382" s="21" t="str">
        <f t="shared" si="3"/>
        <v/>
      </c>
      <c r="K382" s="29"/>
      <c r="L382" s="29" t="b">
        <v>0</v>
      </c>
      <c r="M382" s="29"/>
      <c r="N382" s="21" t="str">
        <f>IFERROR(VLOOKUP(I382, 'Price Sheet'!$A$2:$B1010, 2, false), "")</f>
        <v/>
      </c>
    </row>
    <row r="383">
      <c r="B383" s="21" t="str">
        <f t="shared" si="4"/>
        <v/>
      </c>
      <c r="C383" s="29"/>
      <c r="D383" s="29"/>
      <c r="E383" s="29" t="b">
        <v>0</v>
      </c>
      <c r="F383" s="29"/>
      <c r="G383" s="21" t="str">
        <f>IFERROR(VLOOKUP(A383, 'Price Sheet'!$A$2:$B1010, 2, false), "")</f>
        <v/>
      </c>
      <c r="J383" s="21" t="str">
        <f t="shared" si="3"/>
        <v/>
      </c>
      <c r="K383" s="29"/>
      <c r="L383" s="29" t="b">
        <v>0</v>
      </c>
      <c r="M383" s="29"/>
      <c r="N383" s="21" t="str">
        <f>IFERROR(VLOOKUP(I383, 'Price Sheet'!$A$2:$B1010, 2, false), "")</f>
        <v/>
      </c>
    </row>
    <row r="384">
      <c r="B384" s="21" t="str">
        <f t="shared" si="4"/>
        <v/>
      </c>
      <c r="C384" s="29"/>
      <c r="D384" s="29"/>
      <c r="E384" s="29" t="b">
        <v>0</v>
      </c>
      <c r="F384" s="29"/>
      <c r="G384" s="21" t="str">
        <f>IFERROR(VLOOKUP(A384, 'Price Sheet'!$A$2:$B1010, 2, false), "")</f>
        <v/>
      </c>
      <c r="J384" s="21" t="str">
        <f t="shared" si="3"/>
        <v/>
      </c>
      <c r="K384" s="29"/>
      <c r="L384" s="29" t="b">
        <v>0</v>
      </c>
      <c r="M384" s="29"/>
      <c r="N384" s="21" t="str">
        <f>IFERROR(VLOOKUP(I384, 'Price Sheet'!$A$2:$B1010, 2, false), "")</f>
        <v/>
      </c>
    </row>
    <row r="385">
      <c r="B385" s="21" t="str">
        <f t="shared" si="4"/>
        <v/>
      </c>
      <c r="C385" s="29"/>
      <c r="D385" s="29"/>
      <c r="E385" s="29" t="b">
        <v>0</v>
      </c>
      <c r="F385" s="29"/>
      <c r="G385" s="21" t="str">
        <f>IFERROR(VLOOKUP(A385, 'Price Sheet'!$A$2:$B1010, 2, false), "")</f>
        <v/>
      </c>
      <c r="J385" s="21" t="str">
        <f t="shared" si="3"/>
        <v/>
      </c>
      <c r="K385" s="29"/>
      <c r="L385" s="29" t="b">
        <v>0</v>
      </c>
      <c r="M385" s="29"/>
      <c r="N385" s="21" t="str">
        <f>IFERROR(VLOOKUP(I385, 'Price Sheet'!$A$2:$B1010, 2, false), "")</f>
        <v/>
      </c>
    </row>
    <row r="386">
      <c r="B386" s="21" t="str">
        <f t="shared" si="4"/>
        <v/>
      </c>
      <c r="C386" s="29"/>
      <c r="D386" s="29"/>
      <c r="E386" s="29" t="b">
        <v>0</v>
      </c>
      <c r="F386" s="29"/>
      <c r="G386" s="21" t="str">
        <f>IFERROR(VLOOKUP(A386, 'Price Sheet'!$A$2:$B1010, 2, false), "")</f>
        <v/>
      </c>
      <c r="J386" s="21" t="str">
        <f t="shared" si="3"/>
        <v/>
      </c>
      <c r="K386" s="29"/>
      <c r="L386" s="29" t="b">
        <v>0</v>
      </c>
      <c r="M386" s="29"/>
      <c r="N386" s="21" t="str">
        <f>IFERROR(VLOOKUP(I386, 'Price Sheet'!$A$2:$B1010, 2, false), "")</f>
        <v/>
      </c>
    </row>
    <row r="387">
      <c r="B387" s="21" t="str">
        <f t="shared" si="4"/>
        <v/>
      </c>
      <c r="C387" s="29"/>
      <c r="D387" s="29"/>
      <c r="E387" s="29" t="b">
        <v>0</v>
      </c>
      <c r="F387" s="29"/>
      <c r="G387" s="21" t="str">
        <f>IFERROR(VLOOKUP(A387, 'Price Sheet'!$A$2:$B1010, 2, false), "")</f>
        <v/>
      </c>
      <c r="J387" s="21" t="str">
        <f t="shared" si="3"/>
        <v/>
      </c>
      <c r="K387" s="29"/>
      <c r="L387" s="29" t="b">
        <v>0</v>
      </c>
      <c r="M387" s="29"/>
      <c r="N387" s="21" t="str">
        <f>IFERROR(VLOOKUP(I387, 'Price Sheet'!$A$2:$B1010, 2, false), "")</f>
        <v/>
      </c>
    </row>
    <row r="388">
      <c r="B388" s="21" t="str">
        <f t="shared" si="4"/>
        <v/>
      </c>
      <c r="C388" s="29"/>
      <c r="D388" s="29"/>
      <c r="E388" s="29" t="b">
        <v>0</v>
      </c>
      <c r="F388" s="29"/>
      <c r="G388" s="21" t="str">
        <f>IFERROR(VLOOKUP(A388, 'Price Sheet'!$A$2:$B1010, 2, false), "")</f>
        <v/>
      </c>
      <c r="J388" s="21" t="str">
        <f t="shared" si="3"/>
        <v/>
      </c>
      <c r="K388" s="29"/>
      <c r="L388" s="29" t="b">
        <v>0</v>
      </c>
      <c r="M388" s="29"/>
      <c r="N388" s="21" t="str">
        <f>IFERROR(VLOOKUP(I388, 'Price Sheet'!$A$2:$B1010, 2, false), "")</f>
        <v/>
      </c>
    </row>
    <row r="389">
      <c r="B389" s="21" t="str">
        <f t="shared" si="4"/>
        <v/>
      </c>
      <c r="C389" s="29"/>
      <c r="D389" s="29"/>
      <c r="E389" s="29" t="b">
        <v>0</v>
      </c>
      <c r="F389" s="29"/>
      <c r="G389" s="21" t="str">
        <f>IFERROR(VLOOKUP(A389, 'Price Sheet'!$A$2:$B1010, 2, false), "")</f>
        <v/>
      </c>
      <c r="J389" s="21" t="str">
        <f t="shared" si="3"/>
        <v/>
      </c>
      <c r="K389" s="29"/>
      <c r="L389" s="29" t="b">
        <v>0</v>
      </c>
      <c r="M389" s="29"/>
      <c r="N389" s="21" t="str">
        <f>IFERROR(VLOOKUP(I389, 'Price Sheet'!$A$2:$B1010, 2, false), "")</f>
        <v/>
      </c>
    </row>
    <row r="390">
      <c r="B390" s="21" t="str">
        <f t="shared" si="4"/>
        <v/>
      </c>
      <c r="C390" s="29"/>
      <c r="D390" s="29"/>
      <c r="E390" s="29" t="b">
        <v>0</v>
      </c>
      <c r="F390" s="29"/>
      <c r="G390" s="21" t="str">
        <f>IFERROR(VLOOKUP(A390, 'Price Sheet'!$A$2:$B1010, 2, false), "")</f>
        <v/>
      </c>
      <c r="J390" s="21" t="str">
        <f t="shared" si="3"/>
        <v/>
      </c>
      <c r="K390" s="29"/>
      <c r="L390" s="29" t="b">
        <v>0</v>
      </c>
      <c r="M390" s="29"/>
      <c r="N390" s="21" t="str">
        <f>IFERROR(VLOOKUP(I390, 'Price Sheet'!$A$2:$B1010, 2, false), "")</f>
        <v/>
      </c>
    </row>
    <row r="391">
      <c r="B391" s="21" t="str">
        <f t="shared" si="4"/>
        <v/>
      </c>
      <c r="C391" s="29"/>
      <c r="D391" s="29"/>
      <c r="E391" s="29" t="b">
        <v>0</v>
      </c>
      <c r="F391" s="29"/>
      <c r="G391" s="21" t="str">
        <f>IFERROR(VLOOKUP(A391, 'Price Sheet'!$A$2:$B1010, 2, false), "")</f>
        <v/>
      </c>
      <c r="J391" s="21" t="str">
        <f t="shared" si="3"/>
        <v/>
      </c>
      <c r="K391" s="29"/>
      <c r="L391" s="29" t="b">
        <v>0</v>
      </c>
      <c r="M391" s="29"/>
      <c r="N391" s="21" t="str">
        <f>IFERROR(VLOOKUP(I391, 'Price Sheet'!$A$2:$B1010, 2, false), "")</f>
        <v/>
      </c>
    </row>
    <row r="392">
      <c r="B392" s="21" t="str">
        <f t="shared" si="4"/>
        <v/>
      </c>
      <c r="C392" s="29"/>
      <c r="D392" s="29"/>
      <c r="E392" s="29" t="b">
        <v>0</v>
      </c>
      <c r="F392" s="29"/>
      <c r="G392" s="21" t="str">
        <f>IFERROR(VLOOKUP(A392, 'Price Sheet'!$A$2:$B1010, 2, false), "")</f>
        <v/>
      </c>
      <c r="J392" s="21" t="str">
        <f t="shared" si="3"/>
        <v/>
      </c>
      <c r="K392" s="29"/>
      <c r="L392" s="29" t="b">
        <v>0</v>
      </c>
      <c r="M392" s="29"/>
      <c r="N392" s="21" t="str">
        <f>IFERROR(VLOOKUP(I392, 'Price Sheet'!$A$2:$B1010, 2, false), "")</f>
        <v/>
      </c>
    </row>
    <row r="393">
      <c r="B393" s="21" t="str">
        <f t="shared" si="4"/>
        <v/>
      </c>
      <c r="C393" s="29"/>
      <c r="D393" s="29"/>
      <c r="E393" s="29" t="b">
        <v>0</v>
      </c>
      <c r="F393" s="29"/>
      <c r="G393" s="21" t="str">
        <f>IFERROR(VLOOKUP(A393, 'Price Sheet'!$A$2:$B1010, 2, false), "")</f>
        <v/>
      </c>
      <c r="J393" s="21" t="str">
        <f t="shared" si="3"/>
        <v/>
      </c>
      <c r="K393" s="29"/>
      <c r="L393" s="29" t="b">
        <v>0</v>
      </c>
      <c r="M393" s="29"/>
      <c r="N393" s="21" t="str">
        <f>IFERROR(VLOOKUP(I393, 'Price Sheet'!$A$2:$B1010, 2, false), "")</f>
        <v/>
      </c>
    </row>
    <row r="394">
      <c r="B394" s="21" t="str">
        <f t="shared" si="4"/>
        <v/>
      </c>
      <c r="C394" s="29"/>
      <c r="D394" s="29"/>
      <c r="E394" s="29" t="b">
        <v>0</v>
      </c>
      <c r="F394" s="29"/>
      <c r="G394" s="21" t="str">
        <f>IFERROR(VLOOKUP(A394, 'Price Sheet'!$A$2:$B1010, 2, false), "")</f>
        <v/>
      </c>
      <c r="J394" s="21" t="str">
        <f t="shared" si="3"/>
        <v/>
      </c>
      <c r="K394" s="29"/>
      <c r="L394" s="29" t="b">
        <v>0</v>
      </c>
      <c r="M394" s="29"/>
      <c r="N394" s="21" t="str">
        <f>IFERROR(VLOOKUP(I394, 'Price Sheet'!$A$2:$B1010, 2, false), "")</f>
        <v/>
      </c>
    </row>
    <row r="395">
      <c r="B395" s="21" t="str">
        <f t="shared" si="4"/>
        <v/>
      </c>
      <c r="C395" s="29"/>
      <c r="D395" s="29"/>
      <c r="E395" s="29" t="b">
        <v>0</v>
      </c>
      <c r="F395" s="29"/>
      <c r="G395" s="21" t="str">
        <f>IFERROR(VLOOKUP(A395, 'Price Sheet'!$A$2:$B1010, 2, false), "")</f>
        <v/>
      </c>
      <c r="J395" s="21" t="str">
        <f t="shared" si="3"/>
        <v/>
      </c>
      <c r="K395" s="29"/>
      <c r="L395" s="29" t="b">
        <v>0</v>
      </c>
      <c r="M395" s="29"/>
      <c r="N395" s="21" t="str">
        <f>IFERROR(VLOOKUP(I395, 'Price Sheet'!$A$2:$B1010, 2, false), "")</f>
        <v/>
      </c>
    </row>
    <row r="396">
      <c r="B396" s="21" t="str">
        <f t="shared" si="4"/>
        <v/>
      </c>
      <c r="C396" s="29"/>
      <c r="D396" s="29"/>
      <c r="E396" s="29" t="b">
        <v>0</v>
      </c>
      <c r="F396" s="29"/>
      <c r="G396" s="21" t="str">
        <f>IFERROR(VLOOKUP(A396, 'Price Sheet'!$A$2:$B1010, 2, false), "")</f>
        <v/>
      </c>
      <c r="J396" s="21" t="str">
        <f t="shared" si="3"/>
        <v/>
      </c>
      <c r="K396" s="29"/>
      <c r="L396" s="29" t="b">
        <v>0</v>
      </c>
      <c r="M396" s="29"/>
      <c r="N396" s="21" t="str">
        <f>IFERROR(VLOOKUP(I396, 'Price Sheet'!$A$2:$B1010, 2, false), "")</f>
        <v/>
      </c>
    </row>
    <row r="397">
      <c r="B397" s="21" t="str">
        <f t="shared" si="4"/>
        <v/>
      </c>
      <c r="C397" s="29"/>
      <c r="D397" s="29"/>
      <c r="E397" s="29" t="b">
        <v>0</v>
      </c>
      <c r="F397" s="29"/>
      <c r="G397" s="21" t="str">
        <f>IFERROR(VLOOKUP(A397, 'Price Sheet'!$A$2:$B1010, 2, false), "")</f>
        <v/>
      </c>
      <c r="J397" s="21" t="str">
        <f t="shared" si="3"/>
        <v/>
      </c>
      <c r="K397" s="29"/>
      <c r="L397" s="29" t="b">
        <v>0</v>
      </c>
      <c r="M397" s="29"/>
      <c r="N397" s="21" t="str">
        <f>IFERROR(VLOOKUP(I397, 'Price Sheet'!$A$2:$B1010, 2, false), "")</f>
        <v/>
      </c>
    </row>
    <row r="398">
      <c r="B398" s="21" t="str">
        <f t="shared" si="4"/>
        <v/>
      </c>
      <c r="C398" s="29"/>
      <c r="D398" s="29"/>
      <c r="E398" s="29" t="b">
        <v>0</v>
      </c>
      <c r="F398" s="29"/>
      <c r="G398" s="21" t="str">
        <f>IFERROR(VLOOKUP(A398, 'Price Sheet'!$A$2:$B1010, 2, false), "")</f>
        <v/>
      </c>
      <c r="J398" s="21" t="str">
        <f t="shared" si="3"/>
        <v/>
      </c>
      <c r="K398" s="29"/>
      <c r="L398" s="29" t="b">
        <v>0</v>
      </c>
      <c r="M398" s="29"/>
      <c r="N398" s="21" t="str">
        <f>IFERROR(VLOOKUP(I398, 'Price Sheet'!$A$2:$B1010, 2, false), "")</f>
        <v/>
      </c>
    </row>
    <row r="399">
      <c r="B399" s="21" t="str">
        <f t="shared" si="4"/>
        <v/>
      </c>
      <c r="C399" s="29"/>
      <c r="D399" s="29"/>
      <c r="E399" s="29" t="b">
        <v>0</v>
      </c>
      <c r="F399" s="29"/>
      <c r="G399" s="21" t="str">
        <f>IFERROR(VLOOKUP(A399, 'Price Sheet'!$A$2:$B1010, 2, false), "")</f>
        <v/>
      </c>
      <c r="J399" s="21" t="str">
        <f t="shared" si="3"/>
        <v/>
      </c>
      <c r="K399" s="29"/>
      <c r="L399" s="29" t="b">
        <v>0</v>
      </c>
      <c r="M399" s="29"/>
      <c r="N399" s="21" t="str">
        <f>IFERROR(VLOOKUP(I399, 'Price Sheet'!$A$2:$B1010, 2, false), "")</f>
        <v/>
      </c>
    </row>
    <row r="400">
      <c r="B400" s="21" t="str">
        <f t="shared" si="4"/>
        <v/>
      </c>
      <c r="C400" s="29"/>
      <c r="D400" s="29"/>
      <c r="E400" s="29" t="b">
        <v>0</v>
      </c>
      <c r="F400" s="29"/>
      <c r="G400" s="21" t="str">
        <f>IFERROR(VLOOKUP(A400, 'Price Sheet'!$A$2:$B1010, 2, false), "")</f>
        <v/>
      </c>
      <c r="J400" s="21" t="str">
        <f t="shared" si="3"/>
        <v/>
      </c>
      <c r="K400" s="29"/>
      <c r="L400" s="29" t="b">
        <v>0</v>
      </c>
      <c r="M400" s="29"/>
      <c r="N400" s="21" t="str">
        <f>IFERROR(VLOOKUP(I400, 'Price Sheet'!$A$2:$B1010, 2, false), "")</f>
        <v/>
      </c>
    </row>
    <row r="401">
      <c r="B401" s="21" t="str">
        <f t="shared" si="4"/>
        <v/>
      </c>
      <c r="C401" s="29"/>
      <c r="D401" s="29"/>
      <c r="E401" s="29" t="b">
        <v>0</v>
      </c>
      <c r="F401" s="29"/>
      <c r="G401" s="21" t="str">
        <f>IFERROR(VLOOKUP(A401, 'Price Sheet'!$A$2:$B1010, 2, false), "")</f>
        <v/>
      </c>
      <c r="J401" s="21" t="str">
        <f t="shared" si="3"/>
        <v/>
      </c>
      <c r="K401" s="29"/>
      <c r="L401" s="29" t="b">
        <v>0</v>
      </c>
      <c r="M401" s="29"/>
      <c r="N401" s="21" t="str">
        <f>IFERROR(VLOOKUP(I401, 'Price Sheet'!$A$2:$B1010, 2, false), "")</f>
        <v/>
      </c>
    </row>
    <row r="402">
      <c r="B402" s="21" t="str">
        <f t="shared" si="4"/>
        <v/>
      </c>
      <c r="C402" s="29"/>
      <c r="D402" s="29"/>
      <c r="E402" s="29" t="b">
        <v>0</v>
      </c>
      <c r="F402" s="29"/>
      <c r="G402" s="21" t="str">
        <f>IFERROR(VLOOKUP(A402, 'Price Sheet'!$A$2:$B1010, 2, false), "")</f>
        <v/>
      </c>
      <c r="J402" s="21" t="str">
        <f t="shared" si="3"/>
        <v/>
      </c>
      <c r="K402" s="29"/>
      <c r="L402" s="29" t="b">
        <v>0</v>
      </c>
      <c r="M402" s="29"/>
      <c r="N402" s="21" t="str">
        <f>IFERROR(VLOOKUP(I402, 'Price Sheet'!$A$2:$B1010, 2, false), "")</f>
        <v/>
      </c>
    </row>
    <row r="403">
      <c r="B403" s="21" t="str">
        <f t="shared" si="4"/>
        <v/>
      </c>
      <c r="C403" s="29"/>
      <c r="D403" s="29"/>
      <c r="E403" s="29" t="b">
        <v>0</v>
      </c>
      <c r="F403" s="29"/>
      <c r="G403" s="21" t="str">
        <f>IFERROR(VLOOKUP(A403, 'Price Sheet'!$A$2:$B1010, 2, false), "")</f>
        <v/>
      </c>
      <c r="J403" s="21" t="str">
        <f t="shared" si="3"/>
        <v/>
      </c>
      <c r="K403" s="29"/>
      <c r="L403" s="29" t="b">
        <v>0</v>
      </c>
      <c r="M403" s="29"/>
      <c r="N403" s="21" t="str">
        <f>IFERROR(VLOOKUP(I403, 'Price Sheet'!$A$2:$B1010, 2, false), "")</f>
        <v/>
      </c>
    </row>
    <row r="404">
      <c r="B404" s="21" t="str">
        <f t="shared" si="4"/>
        <v/>
      </c>
      <c r="C404" s="29"/>
      <c r="D404" s="29"/>
      <c r="E404" s="29" t="b">
        <v>0</v>
      </c>
      <c r="F404" s="29"/>
      <c r="G404" s="21" t="str">
        <f>IFERROR(VLOOKUP(A404, 'Price Sheet'!$A$2:$B1010, 2, false), "")</f>
        <v/>
      </c>
      <c r="J404" s="21" t="str">
        <f t="shared" si="3"/>
        <v/>
      </c>
      <c r="K404" s="29"/>
      <c r="L404" s="29" t="b">
        <v>0</v>
      </c>
      <c r="M404" s="29"/>
      <c r="N404" s="21" t="str">
        <f>IFERROR(VLOOKUP(I404, 'Price Sheet'!$A$2:$B1010, 2, false), "")</f>
        <v/>
      </c>
    </row>
    <row r="405">
      <c r="B405" s="21" t="str">
        <f t="shared" si="4"/>
        <v/>
      </c>
      <c r="C405" s="29"/>
      <c r="D405" s="29"/>
      <c r="E405" s="29" t="b">
        <v>0</v>
      </c>
      <c r="F405" s="29"/>
      <c r="G405" s="21" t="str">
        <f>IFERROR(VLOOKUP(A405, 'Price Sheet'!$A$2:$B1010, 2, false), "")</f>
        <v/>
      </c>
      <c r="J405" s="21" t="str">
        <f t="shared" si="3"/>
        <v/>
      </c>
      <c r="K405" s="29"/>
      <c r="L405" s="29" t="b">
        <v>0</v>
      </c>
      <c r="M405" s="29"/>
      <c r="N405" s="21" t="str">
        <f>IFERROR(VLOOKUP(I405, 'Price Sheet'!$A$2:$B1010, 2, false), "")</f>
        <v/>
      </c>
    </row>
    <row r="406">
      <c r="B406" s="21" t="str">
        <f t="shared" si="4"/>
        <v/>
      </c>
      <c r="C406" s="29"/>
      <c r="D406" s="29"/>
      <c r="E406" s="29" t="b">
        <v>0</v>
      </c>
      <c r="F406" s="29"/>
      <c r="G406" s="21" t="str">
        <f>IFERROR(VLOOKUP(A406, 'Price Sheet'!$A$2:$B1010, 2, false), "")</f>
        <v/>
      </c>
      <c r="J406" s="21" t="str">
        <f t="shared" si="3"/>
        <v/>
      </c>
      <c r="K406" s="29"/>
      <c r="L406" s="29" t="b">
        <v>0</v>
      </c>
      <c r="M406" s="29"/>
      <c r="N406" s="21" t="str">
        <f>IFERROR(VLOOKUP(I406, 'Price Sheet'!$A$2:$B1010, 2, false), "")</f>
        <v/>
      </c>
    </row>
    <row r="407">
      <c r="B407" s="21" t="str">
        <f t="shared" si="4"/>
        <v/>
      </c>
      <c r="C407" s="29"/>
      <c r="D407" s="29"/>
      <c r="E407" s="29" t="b">
        <v>0</v>
      </c>
      <c r="F407" s="29"/>
      <c r="G407" s="21" t="str">
        <f>IFERROR(VLOOKUP(A407, 'Price Sheet'!$A$2:$B1010, 2, false), "")</f>
        <v/>
      </c>
      <c r="J407" s="21" t="str">
        <f t="shared" si="3"/>
        <v/>
      </c>
      <c r="K407" s="29"/>
      <c r="L407" s="29" t="b">
        <v>0</v>
      </c>
      <c r="M407" s="29"/>
      <c r="N407" s="21" t="str">
        <f>IFERROR(VLOOKUP(I407, 'Price Sheet'!$A$2:$B1010, 2, false), "")</f>
        <v/>
      </c>
    </row>
    <row r="408">
      <c r="B408" s="21" t="str">
        <f t="shared" si="4"/>
        <v/>
      </c>
      <c r="C408" s="29"/>
      <c r="D408" s="29"/>
      <c r="E408" s="29" t="b">
        <v>0</v>
      </c>
      <c r="F408" s="29"/>
      <c r="G408" s="21" t="str">
        <f>IFERROR(VLOOKUP(A408, 'Price Sheet'!$A$2:$B1010, 2, false), "")</f>
        <v/>
      </c>
      <c r="J408" s="21" t="str">
        <f t="shared" si="3"/>
        <v/>
      </c>
      <c r="K408" s="29"/>
      <c r="L408" s="29" t="b">
        <v>0</v>
      </c>
      <c r="M408" s="29"/>
      <c r="N408" s="21" t="str">
        <f>IFERROR(VLOOKUP(I408, 'Price Sheet'!$A$2:$B1010, 2, false), "")</f>
        <v/>
      </c>
    </row>
    <row r="409">
      <c r="B409" s="21" t="str">
        <f t="shared" si="4"/>
        <v/>
      </c>
      <c r="C409" s="29"/>
      <c r="D409" s="29"/>
      <c r="E409" s="29" t="b">
        <v>0</v>
      </c>
      <c r="F409" s="29"/>
      <c r="G409" s="21" t="str">
        <f>IFERROR(VLOOKUP(A409, 'Price Sheet'!$A$2:$B1010, 2, false), "")</f>
        <v/>
      </c>
      <c r="J409" s="21" t="str">
        <f t="shared" si="3"/>
        <v/>
      </c>
      <c r="K409" s="29"/>
      <c r="L409" s="29" t="b">
        <v>0</v>
      </c>
      <c r="M409" s="29"/>
      <c r="N409" s="21" t="str">
        <f>IFERROR(VLOOKUP(I409, 'Price Sheet'!$A$2:$B1010, 2, false), "")</f>
        <v/>
      </c>
    </row>
    <row r="410">
      <c r="B410" s="21" t="str">
        <f t="shared" si="4"/>
        <v/>
      </c>
      <c r="C410" s="29"/>
      <c r="D410" s="29"/>
      <c r="E410" s="29" t="b">
        <v>0</v>
      </c>
      <c r="F410" s="29"/>
      <c r="G410" s="21" t="str">
        <f>IFERROR(VLOOKUP(A410, 'Price Sheet'!$A$2:$B1010, 2, false), "")</f>
        <v/>
      </c>
      <c r="J410" s="21" t="str">
        <f t="shared" si="3"/>
        <v/>
      </c>
      <c r="K410" s="29"/>
      <c r="L410" s="29" t="b">
        <v>0</v>
      </c>
      <c r="M410" s="29"/>
      <c r="N410" s="21" t="str">
        <f>IFERROR(VLOOKUP(I410, 'Price Sheet'!$A$2:$B1010, 2, false), "")</f>
        <v/>
      </c>
    </row>
    <row r="411">
      <c r="B411" s="21" t="str">
        <f t="shared" si="4"/>
        <v/>
      </c>
      <c r="C411" s="29"/>
      <c r="D411" s="29"/>
      <c r="E411" s="29" t="b">
        <v>0</v>
      </c>
      <c r="F411" s="29"/>
      <c r="G411" s="21" t="str">
        <f>IFERROR(VLOOKUP(A411, 'Price Sheet'!$A$2:$B1010, 2, false), "")</f>
        <v/>
      </c>
      <c r="J411" s="21" t="str">
        <f t="shared" si="3"/>
        <v/>
      </c>
      <c r="K411" s="29"/>
      <c r="L411" s="29" t="b">
        <v>0</v>
      </c>
      <c r="M411" s="29"/>
      <c r="N411" s="21" t="str">
        <f>IFERROR(VLOOKUP(I411, 'Price Sheet'!$A$2:$B1010, 2, false), "")</f>
        <v/>
      </c>
    </row>
    <row r="412">
      <c r="B412" s="21" t="str">
        <f t="shared" si="4"/>
        <v/>
      </c>
      <c r="C412" s="29"/>
      <c r="D412" s="29"/>
      <c r="E412" s="29" t="b">
        <v>0</v>
      </c>
      <c r="F412" s="29"/>
      <c r="G412" s="21" t="str">
        <f>IFERROR(VLOOKUP(A412, 'Price Sheet'!$A$2:$B1010, 2, false), "")</f>
        <v/>
      </c>
      <c r="J412" s="21" t="str">
        <f t="shared" si="3"/>
        <v/>
      </c>
      <c r="K412" s="29"/>
      <c r="L412" s="29" t="b">
        <v>0</v>
      </c>
      <c r="M412" s="29"/>
      <c r="N412" s="21" t="str">
        <f>IFERROR(VLOOKUP(I412, 'Price Sheet'!$A$2:$B1010, 2, false), "")</f>
        <v/>
      </c>
    </row>
    <row r="413">
      <c r="B413" s="21" t="str">
        <f t="shared" si="4"/>
        <v/>
      </c>
      <c r="C413" s="29"/>
      <c r="D413" s="29"/>
      <c r="E413" s="29" t="b">
        <v>0</v>
      </c>
      <c r="F413" s="29"/>
      <c r="G413" s="21" t="str">
        <f>IFERROR(VLOOKUP(A413, 'Price Sheet'!$A$2:$B1010, 2, false), "")</f>
        <v/>
      </c>
      <c r="J413" s="21" t="str">
        <f t="shared" si="3"/>
        <v/>
      </c>
      <c r="K413" s="29"/>
      <c r="L413" s="29" t="b">
        <v>0</v>
      </c>
      <c r="M413" s="29"/>
      <c r="N413" s="21" t="str">
        <f>IFERROR(VLOOKUP(I413, 'Price Sheet'!$A$2:$B1010, 2, false), "")</f>
        <v/>
      </c>
    </row>
    <row r="414">
      <c r="B414" s="21" t="str">
        <f t="shared" si="4"/>
        <v/>
      </c>
      <c r="C414" s="29"/>
      <c r="D414" s="29"/>
      <c r="E414" s="29" t="b">
        <v>0</v>
      </c>
      <c r="F414" s="29"/>
      <c r="G414" s="21" t="str">
        <f>IFERROR(VLOOKUP(A414, 'Price Sheet'!$A$2:$B1010, 2, false), "")</f>
        <v/>
      </c>
      <c r="J414" s="21" t="str">
        <f t="shared" si="3"/>
        <v/>
      </c>
      <c r="K414" s="29"/>
      <c r="L414" s="29" t="b">
        <v>0</v>
      </c>
      <c r="M414" s="29"/>
      <c r="N414" s="21" t="str">
        <f>IFERROR(VLOOKUP(I414, 'Price Sheet'!$A$2:$B1010, 2, false), "")</f>
        <v/>
      </c>
    </row>
    <row r="415">
      <c r="B415" s="21" t="str">
        <f t="shared" si="4"/>
        <v/>
      </c>
      <c r="C415" s="29"/>
      <c r="D415" s="29"/>
      <c r="E415" s="29" t="b">
        <v>0</v>
      </c>
      <c r="F415" s="29"/>
      <c r="G415" s="21" t="str">
        <f>IFERROR(VLOOKUP(A415, 'Price Sheet'!$A$2:$B1010, 2, false), "")</f>
        <v/>
      </c>
      <c r="J415" s="21" t="str">
        <f t="shared" si="3"/>
        <v/>
      </c>
      <c r="K415" s="29"/>
      <c r="L415" s="29" t="b">
        <v>0</v>
      </c>
      <c r="M415" s="29"/>
      <c r="N415" s="21" t="str">
        <f>IFERROR(VLOOKUP(I415, 'Price Sheet'!$A$2:$B1010, 2, false), "")</f>
        <v/>
      </c>
    </row>
    <row r="416">
      <c r="B416" s="21" t="str">
        <f t="shared" si="4"/>
        <v/>
      </c>
      <c r="C416" s="29"/>
      <c r="D416" s="29"/>
      <c r="E416" s="29" t="b">
        <v>0</v>
      </c>
      <c r="F416" s="29"/>
      <c r="G416" s="21" t="str">
        <f>IFERROR(VLOOKUP(A416, 'Price Sheet'!$A$2:$B1010, 2, false), "")</f>
        <v/>
      </c>
      <c r="J416" s="21" t="str">
        <f t="shared" si="3"/>
        <v/>
      </c>
      <c r="K416" s="29"/>
      <c r="L416" s="29" t="b">
        <v>0</v>
      </c>
      <c r="M416" s="29"/>
      <c r="N416" s="21" t="str">
        <f>IFERROR(VLOOKUP(I416, 'Price Sheet'!$A$2:$B1010, 2, false), "")</f>
        <v/>
      </c>
    </row>
    <row r="417">
      <c r="B417" s="21" t="str">
        <f t="shared" si="4"/>
        <v/>
      </c>
      <c r="C417" s="29"/>
      <c r="D417" s="29"/>
      <c r="E417" s="29" t="b">
        <v>0</v>
      </c>
      <c r="F417" s="29"/>
      <c r="G417" s="21" t="str">
        <f>IFERROR(VLOOKUP(A417, 'Price Sheet'!$A$2:$B1010, 2, false), "")</f>
        <v/>
      </c>
      <c r="J417" s="21" t="str">
        <f t="shared" si="3"/>
        <v/>
      </c>
      <c r="K417" s="29"/>
      <c r="L417" s="29" t="b">
        <v>0</v>
      </c>
      <c r="M417" s="29"/>
      <c r="N417" s="21" t="str">
        <f>IFERROR(VLOOKUP(I417, 'Price Sheet'!$A$2:$B1010, 2, false), "")</f>
        <v/>
      </c>
    </row>
    <row r="418">
      <c r="B418" s="21" t="str">
        <f t="shared" si="4"/>
        <v/>
      </c>
      <c r="C418" s="29"/>
      <c r="D418" s="29"/>
      <c r="E418" s="29" t="b">
        <v>0</v>
      </c>
      <c r="F418" s="29"/>
      <c r="G418" s="21" t="str">
        <f>IFERROR(VLOOKUP(A418, 'Price Sheet'!$A$2:$B1010, 2, false), "")</f>
        <v/>
      </c>
      <c r="J418" s="21" t="str">
        <f t="shared" si="3"/>
        <v/>
      </c>
      <c r="K418" s="29"/>
      <c r="L418" s="29" t="b">
        <v>0</v>
      </c>
      <c r="M418" s="29"/>
      <c r="N418" s="21" t="str">
        <f>IFERROR(VLOOKUP(I418, 'Price Sheet'!$A$2:$B1010, 2, false), "")</f>
        <v/>
      </c>
    </row>
    <row r="419">
      <c r="B419" s="21" t="str">
        <f t="shared" si="4"/>
        <v/>
      </c>
      <c r="C419" s="29"/>
      <c r="D419" s="29"/>
      <c r="E419" s="29" t="b">
        <v>0</v>
      </c>
      <c r="F419" s="29"/>
      <c r="G419" s="21" t="str">
        <f>IFERROR(VLOOKUP(A419, 'Price Sheet'!$A$2:$B1010, 2, false), "")</f>
        <v/>
      </c>
      <c r="J419" s="21" t="str">
        <f t="shared" si="3"/>
        <v/>
      </c>
      <c r="K419" s="29"/>
      <c r="L419" s="29" t="b">
        <v>0</v>
      </c>
      <c r="M419" s="29"/>
      <c r="N419" s="21" t="str">
        <f>IFERROR(VLOOKUP(I419, 'Price Sheet'!$A$2:$B1010, 2, false), "")</f>
        <v/>
      </c>
    </row>
    <row r="420">
      <c r="B420" s="21" t="str">
        <f t="shared" si="4"/>
        <v/>
      </c>
      <c r="C420" s="29"/>
      <c r="D420" s="29"/>
      <c r="E420" s="29" t="b">
        <v>0</v>
      </c>
      <c r="F420" s="29"/>
      <c r="G420" s="21" t="str">
        <f>IFERROR(VLOOKUP(A420, 'Price Sheet'!$A$2:$B1010, 2, false), "")</f>
        <v/>
      </c>
      <c r="J420" s="21" t="str">
        <f t="shared" si="3"/>
        <v/>
      </c>
      <c r="K420" s="29"/>
      <c r="L420" s="29" t="b">
        <v>0</v>
      </c>
      <c r="M420" s="29"/>
      <c r="N420" s="21" t="str">
        <f>IFERROR(VLOOKUP(I420, 'Price Sheet'!$A$2:$B1010, 2, false), "")</f>
        <v/>
      </c>
    </row>
    <row r="421">
      <c r="B421" s="21" t="str">
        <f t="shared" si="4"/>
        <v/>
      </c>
      <c r="C421" s="29"/>
      <c r="D421" s="29"/>
      <c r="E421" s="29" t="b">
        <v>0</v>
      </c>
      <c r="F421" s="29"/>
      <c r="G421" s="21" t="str">
        <f>IFERROR(VLOOKUP(A421, 'Price Sheet'!$A$2:$B1010, 2, false), "")</f>
        <v/>
      </c>
      <c r="J421" s="21" t="str">
        <f t="shared" si="3"/>
        <v/>
      </c>
      <c r="K421" s="29"/>
      <c r="L421" s="29" t="b">
        <v>0</v>
      </c>
      <c r="M421" s="29"/>
      <c r="N421" s="21" t="str">
        <f>IFERROR(VLOOKUP(I421, 'Price Sheet'!$A$2:$B1010, 2, false), "")</f>
        <v/>
      </c>
    </row>
    <row r="422">
      <c r="B422" s="21" t="str">
        <f t="shared" si="4"/>
        <v/>
      </c>
      <c r="C422" s="29"/>
      <c r="D422" s="29"/>
      <c r="E422" s="29" t="b">
        <v>0</v>
      </c>
      <c r="F422" s="29"/>
      <c r="G422" s="21" t="str">
        <f>IFERROR(VLOOKUP(A422, 'Price Sheet'!$A$2:$B1010, 2, false), "")</f>
        <v/>
      </c>
      <c r="J422" s="21" t="str">
        <f t="shared" si="3"/>
        <v/>
      </c>
      <c r="K422" s="29"/>
      <c r="L422" s="29" t="b">
        <v>0</v>
      </c>
      <c r="M422" s="29"/>
      <c r="N422" s="21" t="str">
        <f>IFERROR(VLOOKUP(I422, 'Price Sheet'!$A$2:$B1010, 2, false), "")</f>
        <v/>
      </c>
    </row>
    <row r="423">
      <c r="B423" s="21" t="str">
        <f t="shared" si="4"/>
        <v/>
      </c>
      <c r="C423" s="29"/>
      <c r="D423" s="29"/>
      <c r="E423" s="29" t="b">
        <v>0</v>
      </c>
      <c r="F423" s="29"/>
      <c r="G423" s="21" t="str">
        <f>IFERROR(VLOOKUP(A423, 'Price Sheet'!$A$2:$B1010, 2, false), "")</f>
        <v/>
      </c>
      <c r="J423" s="21" t="str">
        <f t="shared" si="3"/>
        <v/>
      </c>
      <c r="K423" s="29"/>
      <c r="L423" s="29" t="b">
        <v>0</v>
      </c>
      <c r="M423" s="29"/>
      <c r="N423" s="21" t="str">
        <f>IFERROR(VLOOKUP(I423, 'Price Sheet'!$A$2:$B1010, 2, false), "")</f>
        <v/>
      </c>
    </row>
    <row r="424">
      <c r="B424" s="21" t="str">
        <f t="shared" si="4"/>
        <v/>
      </c>
      <c r="C424" s="29"/>
      <c r="D424" s="29"/>
      <c r="E424" s="29" t="b">
        <v>0</v>
      </c>
      <c r="F424" s="29"/>
      <c r="G424" s="21" t="str">
        <f>IFERROR(VLOOKUP(A424, 'Price Sheet'!$A$2:$B1010, 2, false), "")</f>
        <v/>
      </c>
      <c r="J424" s="21" t="str">
        <f t="shared" si="3"/>
        <v/>
      </c>
      <c r="K424" s="29"/>
      <c r="L424" s="29" t="b">
        <v>0</v>
      </c>
      <c r="M424" s="29"/>
      <c r="N424" s="21" t="str">
        <f>IFERROR(VLOOKUP(I424, 'Price Sheet'!$A$2:$B1010, 2, false), "")</f>
        <v/>
      </c>
    </row>
    <row r="425">
      <c r="B425" s="21" t="str">
        <f t="shared" si="4"/>
        <v/>
      </c>
      <c r="C425" s="29"/>
      <c r="D425" s="29"/>
      <c r="E425" s="29" t="b">
        <v>0</v>
      </c>
      <c r="F425" s="29"/>
      <c r="G425" s="21" t="str">
        <f>IFERROR(VLOOKUP(A425, 'Price Sheet'!$A$2:$B1010, 2, false), "")</f>
        <v/>
      </c>
      <c r="J425" s="21" t="str">
        <f t="shared" si="3"/>
        <v/>
      </c>
      <c r="K425" s="29"/>
      <c r="L425" s="29" t="b">
        <v>0</v>
      </c>
      <c r="M425" s="29"/>
      <c r="N425" s="21" t="str">
        <f>IFERROR(VLOOKUP(I425, 'Price Sheet'!$A$2:$B1010, 2, false), "")</f>
        <v/>
      </c>
    </row>
    <row r="426">
      <c r="B426" s="21" t="str">
        <f t="shared" si="4"/>
        <v/>
      </c>
      <c r="C426" s="29"/>
      <c r="D426" s="29"/>
      <c r="E426" s="29" t="b">
        <v>0</v>
      </c>
      <c r="F426" s="29"/>
      <c r="G426" s="21" t="str">
        <f>IFERROR(VLOOKUP(A426, 'Price Sheet'!$A$2:$B1010, 2, false), "")</f>
        <v/>
      </c>
      <c r="J426" s="21" t="str">
        <f t="shared" si="3"/>
        <v/>
      </c>
      <c r="K426" s="29"/>
      <c r="L426" s="29" t="b">
        <v>0</v>
      </c>
      <c r="M426" s="29"/>
      <c r="N426" s="21" t="str">
        <f>IFERROR(VLOOKUP(I426, 'Price Sheet'!$A$2:$B1010, 2, false), "")</f>
        <v/>
      </c>
    </row>
    <row r="427">
      <c r="B427" s="21" t="str">
        <f t="shared" si="4"/>
        <v/>
      </c>
      <c r="C427" s="29"/>
      <c r="D427" s="29"/>
      <c r="E427" s="29" t="b">
        <v>0</v>
      </c>
      <c r="F427" s="29"/>
      <c r="G427" s="21" t="str">
        <f>IFERROR(VLOOKUP(A427, 'Price Sheet'!$A$2:$B1010, 2, false), "")</f>
        <v/>
      </c>
      <c r="J427" s="21" t="str">
        <f t="shared" si="3"/>
        <v/>
      </c>
      <c r="K427" s="29"/>
      <c r="L427" s="29" t="b">
        <v>0</v>
      </c>
      <c r="M427" s="29"/>
      <c r="N427" s="21" t="str">
        <f>IFERROR(VLOOKUP(I427, 'Price Sheet'!$A$2:$B1010, 2, false), "")</f>
        <v/>
      </c>
    </row>
    <row r="428">
      <c r="B428" s="21" t="str">
        <f t="shared" si="4"/>
        <v/>
      </c>
      <c r="C428" s="29"/>
      <c r="D428" s="29"/>
      <c r="E428" s="29" t="b">
        <v>0</v>
      </c>
      <c r="F428" s="29"/>
      <c r="G428" s="21" t="str">
        <f>IFERROR(VLOOKUP(A428, 'Price Sheet'!$A$2:$B1010, 2, false), "")</f>
        <v/>
      </c>
      <c r="J428" s="21" t="str">
        <f t="shared" si="3"/>
        <v/>
      </c>
      <c r="K428" s="29"/>
      <c r="L428" s="29" t="b">
        <v>0</v>
      </c>
      <c r="M428" s="29"/>
      <c r="N428" s="21" t="str">
        <f>IFERROR(VLOOKUP(I428, 'Price Sheet'!$A$2:$B1010, 2, false), "")</f>
        <v/>
      </c>
    </row>
    <row r="429">
      <c r="B429" s="21" t="str">
        <f t="shared" si="4"/>
        <v/>
      </c>
      <c r="C429" s="29"/>
      <c r="D429" s="29"/>
      <c r="E429" s="29" t="b">
        <v>0</v>
      </c>
      <c r="F429" s="29"/>
      <c r="G429" s="21" t="str">
        <f>IFERROR(VLOOKUP(A429, 'Price Sheet'!$A$2:$B1010, 2, false), "")</f>
        <v/>
      </c>
      <c r="J429" s="21" t="str">
        <f t="shared" si="3"/>
        <v/>
      </c>
      <c r="K429" s="29"/>
      <c r="L429" s="29" t="b">
        <v>0</v>
      </c>
      <c r="M429" s="29"/>
      <c r="N429" s="21" t="str">
        <f>IFERROR(VLOOKUP(I429, 'Price Sheet'!$A$2:$B1010, 2, false), "")</f>
        <v/>
      </c>
    </row>
    <row r="430">
      <c r="B430" s="21" t="str">
        <f t="shared" si="4"/>
        <v/>
      </c>
      <c r="C430" s="29"/>
      <c r="D430" s="29"/>
      <c r="E430" s="29" t="b">
        <v>0</v>
      </c>
      <c r="F430" s="29"/>
      <c r="G430" s="21" t="str">
        <f>IFERROR(VLOOKUP(A430, 'Price Sheet'!$A$2:$B1010, 2, false), "")</f>
        <v/>
      </c>
      <c r="J430" s="21" t="str">
        <f t="shared" si="3"/>
        <v/>
      </c>
      <c r="K430" s="29"/>
      <c r="L430" s="29" t="b">
        <v>0</v>
      </c>
      <c r="M430" s="29"/>
      <c r="N430" s="21" t="str">
        <f>IFERROR(VLOOKUP(I430, 'Price Sheet'!$A$2:$B1010, 2, false), "")</f>
        <v/>
      </c>
    </row>
    <row r="431">
      <c r="B431" s="21" t="str">
        <f t="shared" si="4"/>
        <v/>
      </c>
      <c r="C431" s="29"/>
      <c r="D431" s="29"/>
      <c r="E431" s="29" t="b">
        <v>0</v>
      </c>
      <c r="F431" s="29"/>
      <c r="G431" s="21" t="str">
        <f>IFERROR(VLOOKUP(A431, 'Price Sheet'!$A$2:$B1010, 2, false), "")</f>
        <v/>
      </c>
      <c r="J431" s="21" t="str">
        <f t="shared" si="3"/>
        <v/>
      </c>
      <c r="K431" s="29"/>
      <c r="L431" s="29" t="b">
        <v>0</v>
      </c>
      <c r="M431" s="29"/>
      <c r="N431" s="21" t="str">
        <f>IFERROR(VLOOKUP(I431, 'Price Sheet'!$A$2:$B1010, 2, false), "")</f>
        <v/>
      </c>
    </row>
    <row r="432">
      <c r="B432" s="21" t="str">
        <f t="shared" si="4"/>
        <v/>
      </c>
      <c r="C432" s="29"/>
      <c r="D432" s="29"/>
      <c r="E432" s="29" t="b">
        <v>0</v>
      </c>
      <c r="F432" s="29"/>
      <c r="G432" s="21" t="str">
        <f>IFERROR(VLOOKUP(A432, 'Price Sheet'!$A$2:$B1010, 2, false), "")</f>
        <v/>
      </c>
      <c r="J432" s="21" t="str">
        <f t="shared" si="3"/>
        <v/>
      </c>
      <c r="K432" s="29"/>
      <c r="L432" s="29" t="b">
        <v>0</v>
      </c>
      <c r="M432" s="29"/>
      <c r="N432" s="21" t="str">
        <f>IFERROR(VLOOKUP(I432, 'Price Sheet'!$A$2:$B1010, 2, false), "")</f>
        <v/>
      </c>
    </row>
    <row r="433">
      <c r="B433" s="21" t="str">
        <f t="shared" si="4"/>
        <v/>
      </c>
      <c r="C433" s="29"/>
      <c r="D433" s="29"/>
      <c r="E433" s="29" t="b">
        <v>0</v>
      </c>
      <c r="F433" s="29"/>
      <c r="G433" s="21" t="str">
        <f>IFERROR(VLOOKUP(A433, 'Price Sheet'!$A$2:$B1010, 2, false), "")</f>
        <v/>
      </c>
      <c r="J433" s="21" t="str">
        <f t="shared" si="3"/>
        <v/>
      </c>
      <c r="K433" s="29"/>
      <c r="L433" s="29" t="b">
        <v>0</v>
      </c>
      <c r="M433" s="29"/>
      <c r="N433" s="21" t="str">
        <f>IFERROR(VLOOKUP(I433, 'Price Sheet'!$A$2:$B1010, 2, false), "")</f>
        <v/>
      </c>
    </row>
    <row r="434">
      <c r="B434" s="21" t="str">
        <f t="shared" si="4"/>
        <v/>
      </c>
      <c r="C434" s="29"/>
      <c r="D434" s="29"/>
      <c r="E434" s="29" t="b">
        <v>0</v>
      </c>
      <c r="F434" s="29"/>
      <c r="G434" s="21" t="str">
        <f>IFERROR(VLOOKUP(A434, 'Price Sheet'!$A$2:$B1010, 2, false), "")</f>
        <v/>
      </c>
      <c r="J434" s="21" t="str">
        <f t="shared" si="3"/>
        <v/>
      </c>
      <c r="K434" s="29"/>
      <c r="L434" s="29" t="b">
        <v>0</v>
      </c>
      <c r="M434" s="29"/>
      <c r="N434" s="21" t="str">
        <f>IFERROR(VLOOKUP(I434, 'Price Sheet'!$A$2:$B1010, 2, false), "")</f>
        <v/>
      </c>
    </row>
    <row r="435">
      <c r="B435" s="21" t="str">
        <f t="shared" si="4"/>
        <v/>
      </c>
      <c r="C435" s="29"/>
      <c r="D435" s="29"/>
      <c r="E435" s="29" t="b">
        <v>0</v>
      </c>
      <c r="F435" s="29"/>
      <c r="G435" s="21" t="str">
        <f>IFERROR(VLOOKUP(A435, 'Price Sheet'!$A$2:$B1010, 2, false), "")</f>
        <v/>
      </c>
      <c r="J435" s="21" t="str">
        <f t="shared" si="3"/>
        <v/>
      </c>
      <c r="K435" s="29"/>
      <c r="L435" s="29" t="b">
        <v>0</v>
      </c>
      <c r="M435" s="29"/>
      <c r="N435" s="21" t="str">
        <f>IFERROR(VLOOKUP(I435, 'Price Sheet'!$A$2:$B1010, 2, false), "")</f>
        <v/>
      </c>
    </row>
    <row r="436">
      <c r="B436" s="21" t="str">
        <f t="shared" si="4"/>
        <v/>
      </c>
      <c r="C436" s="29"/>
      <c r="D436" s="29"/>
      <c r="E436" s="29" t="b">
        <v>0</v>
      </c>
      <c r="F436" s="29"/>
      <c r="G436" s="21" t="str">
        <f>IFERROR(VLOOKUP(A436, 'Price Sheet'!$A$2:$B1010, 2, false), "")</f>
        <v/>
      </c>
      <c r="J436" s="21" t="str">
        <f t="shared" si="3"/>
        <v/>
      </c>
      <c r="K436" s="29"/>
      <c r="L436" s="29" t="b">
        <v>0</v>
      </c>
      <c r="M436" s="29"/>
      <c r="N436" s="21" t="str">
        <f>IFERROR(VLOOKUP(I436, 'Price Sheet'!$A$2:$B1010, 2, false), "")</f>
        <v/>
      </c>
    </row>
    <row r="437">
      <c r="B437" s="21" t="str">
        <f t="shared" si="4"/>
        <v/>
      </c>
      <c r="C437" s="29"/>
      <c r="D437" s="29"/>
      <c r="E437" s="29" t="b">
        <v>0</v>
      </c>
      <c r="F437" s="29"/>
      <c r="G437" s="21" t="str">
        <f>IFERROR(VLOOKUP(A437, 'Price Sheet'!$A$2:$B1010, 2, false), "")</f>
        <v/>
      </c>
      <c r="J437" s="21" t="str">
        <f t="shared" si="3"/>
        <v/>
      </c>
      <c r="K437" s="29"/>
      <c r="L437" s="29" t="b">
        <v>0</v>
      </c>
      <c r="M437" s="29"/>
      <c r="N437" s="21" t="str">
        <f>IFERROR(VLOOKUP(I437, 'Price Sheet'!$A$2:$B1010, 2, false), "")</f>
        <v/>
      </c>
    </row>
    <row r="438">
      <c r="B438" s="21" t="str">
        <f t="shared" si="4"/>
        <v/>
      </c>
      <c r="C438" s="29"/>
      <c r="D438" s="29"/>
      <c r="E438" s="29" t="b">
        <v>0</v>
      </c>
      <c r="F438" s="29"/>
      <c r="G438" s="21" t="str">
        <f>IFERROR(VLOOKUP(A438, 'Price Sheet'!$A$2:$B1010, 2, false), "")</f>
        <v/>
      </c>
      <c r="J438" s="21" t="str">
        <f t="shared" si="3"/>
        <v/>
      </c>
      <c r="K438" s="29"/>
      <c r="L438" s="29" t="b">
        <v>0</v>
      </c>
      <c r="M438" s="29"/>
      <c r="N438" s="21" t="str">
        <f>IFERROR(VLOOKUP(I438, 'Price Sheet'!$A$2:$B1010, 2, false), "")</f>
        <v/>
      </c>
    </row>
    <row r="439">
      <c r="B439" s="21" t="str">
        <f t="shared" si="4"/>
        <v/>
      </c>
      <c r="C439" s="29"/>
      <c r="D439" s="29"/>
      <c r="E439" s="29" t="b">
        <v>0</v>
      </c>
      <c r="F439" s="29"/>
      <c r="G439" s="21" t="str">
        <f>IFERROR(VLOOKUP(A439, 'Price Sheet'!$A$2:$B1010, 2, false), "")</f>
        <v/>
      </c>
      <c r="J439" s="21" t="str">
        <f t="shared" si="3"/>
        <v/>
      </c>
      <c r="K439" s="29"/>
      <c r="L439" s="29" t="b">
        <v>0</v>
      </c>
      <c r="M439" s="29"/>
      <c r="N439" s="21" t="str">
        <f>IFERROR(VLOOKUP(I439, 'Price Sheet'!$A$2:$B1010, 2, false), "")</f>
        <v/>
      </c>
    </row>
    <row r="440">
      <c r="B440" s="21" t="str">
        <f t="shared" si="4"/>
        <v/>
      </c>
      <c r="C440" s="29"/>
      <c r="D440" s="29"/>
      <c r="E440" s="29" t="b">
        <v>0</v>
      </c>
      <c r="F440" s="29"/>
      <c r="G440" s="21" t="str">
        <f>IFERROR(VLOOKUP(A440, 'Price Sheet'!$A$2:$B1010, 2, false), "")</f>
        <v/>
      </c>
      <c r="J440" s="21" t="str">
        <f t="shared" si="3"/>
        <v/>
      </c>
      <c r="K440" s="29"/>
      <c r="L440" s="29" t="b">
        <v>0</v>
      </c>
      <c r="M440" s="29"/>
      <c r="N440" s="21" t="str">
        <f>IFERROR(VLOOKUP(I440, 'Price Sheet'!$A$2:$B1010, 2, false), "")</f>
        <v/>
      </c>
    </row>
    <row r="441">
      <c r="B441" s="21" t="str">
        <f t="shared" si="4"/>
        <v/>
      </c>
      <c r="C441" s="29"/>
      <c r="D441" s="29"/>
      <c r="E441" s="29" t="b">
        <v>0</v>
      </c>
      <c r="F441" s="29"/>
      <c r="G441" s="21" t="str">
        <f>IFERROR(VLOOKUP(A441, 'Price Sheet'!$A$2:$B1010, 2, false), "")</f>
        <v/>
      </c>
      <c r="J441" s="21" t="str">
        <f t="shared" si="3"/>
        <v/>
      </c>
      <c r="K441" s="29"/>
      <c r="L441" s="29" t="b">
        <v>0</v>
      </c>
      <c r="M441" s="29"/>
      <c r="N441" s="21" t="str">
        <f>IFERROR(VLOOKUP(I441, 'Price Sheet'!$A$2:$B1010, 2, false), "")</f>
        <v/>
      </c>
    </row>
    <row r="442">
      <c r="B442" s="21" t="str">
        <f t="shared" si="4"/>
        <v/>
      </c>
      <c r="C442" s="29"/>
      <c r="D442" s="29"/>
      <c r="E442" s="29" t="b">
        <v>0</v>
      </c>
      <c r="F442" s="29"/>
      <c r="G442" s="21" t="str">
        <f>IFERROR(VLOOKUP(A442, 'Price Sheet'!$A$2:$B1010, 2, false), "")</f>
        <v/>
      </c>
      <c r="J442" s="21" t="str">
        <f t="shared" si="3"/>
        <v/>
      </c>
      <c r="K442" s="29"/>
      <c r="L442" s="29" t="b">
        <v>0</v>
      </c>
      <c r="M442" s="29"/>
      <c r="N442" s="21" t="str">
        <f>IFERROR(VLOOKUP(I442, 'Price Sheet'!$A$2:$B1010, 2, false), "")</f>
        <v/>
      </c>
    </row>
    <row r="443">
      <c r="B443" s="21" t="str">
        <f t="shared" si="4"/>
        <v/>
      </c>
      <c r="C443" s="29"/>
      <c r="D443" s="29"/>
      <c r="E443" s="29" t="b">
        <v>0</v>
      </c>
      <c r="F443" s="29"/>
      <c r="G443" s="21" t="str">
        <f>IFERROR(VLOOKUP(A443, 'Price Sheet'!$A$2:$B1010, 2, false), "")</f>
        <v/>
      </c>
      <c r="J443" s="21" t="str">
        <f t="shared" si="3"/>
        <v/>
      </c>
      <c r="K443" s="29"/>
      <c r="L443" s="29" t="b">
        <v>0</v>
      </c>
      <c r="M443" s="29"/>
      <c r="N443" s="21" t="str">
        <f>IFERROR(VLOOKUP(I443, 'Price Sheet'!$A$2:$B1010, 2, false), "")</f>
        <v/>
      </c>
    </row>
    <row r="444">
      <c r="B444" s="21" t="str">
        <f t="shared" si="4"/>
        <v/>
      </c>
      <c r="C444" s="29"/>
      <c r="D444" s="29"/>
      <c r="E444" s="29" t="b">
        <v>0</v>
      </c>
      <c r="F444" s="29"/>
      <c r="G444" s="21" t="str">
        <f>IFERROR(VLOOKUP(A444, 'Price Sheet'!$A$2:$B1010, 2, false), "")</f>
        <v/>
      </c>
      <c r="J444" s="21" t="str">
        <f t="shared" si="3"/>
        <v/>
      </c>
      <c r="K444" s="29"/>
      <c r="L444" s="29" t="b">
        <v>0</v>
      </c>
      <c r="M444" s="29"/>
      <c r="N444" s="21" t="str">
        <f>IFERROR(VLOOKUP(I444, 'Price Sheet'!$A$2:$B1010, 2, false), "")</f>
        <v/>
      </c>
    </row>
    <row r="445">
      <c r="B445" s="21" t="str">
        <f t="shared" si="4"/>
        <v/>
      </c>
      <c r="C445" s="29"/>
      <c r="D445" s="29"/>
      <c r="E445" s="29" t="b">
        <v>0</v>
      </c>
      <c r="F445" s="29"/>
      <c r="G445" s="21" t="str">
        <f>IFERROR(VLOOKUP(A445, 'Price Sheet'!$A$2:$B1010, 2, false), "")</f>
        <v/>
      </c>
      <c r="J445" s="21" t="str">
        <f t="shared" si="3"/>
        <v/>
      </c>
      <c r="K445" s="29"/>
      <c r="L445" s="29" t="b">
        <v>0</v>
      </c>
      <c r="M445" s="29"/>
      <c r="N445" s="21" t="str">
        <f>IFERROR(VLOOKUP(I445, 'Price Sheet'!$A$2:$B1010, 2, false), "")</f>
        <v/>
      </c>
    </row>
    <row r="446">
      <c r="B446" s="21" t="str">
        <f t="shared" si="4"/>
        <v/>
      </c>
      <c r="C446" s="29"/>
      <c r="D446" s="29"/>
      <c r="E446" s="29" t="b">
        <v>0</v>
      </c>
      <c r="F446" s="29"/>
      <c r="G446" s="21" t="str">
        <f>IFERROR(VLOOKUP(A446, 'Price Sheet'!$A$2:$B1010, 2, false), "")</f>
        <v/>
      </c>
      <c r="J446" s="21" t="str">
        <f t="shared" si="3"/>
        <v/>
      </c>
      <c r="K446" s="29"/>
      <c r="L446" s="29" t="b">
        <v>0</v>
      </c>
      <c r="M446" s="29"/>
      <c r="N446" s="21" t="str">
        <f>IFERROR(VLOOKUP(I446, 'Price Sheet'!$A$2:$B1010, 2, false), "")</f>
        <v/>
      </c>
    </row>
    <row r="447">
      <c r="B447" s="21" t="str">
        <f t="shared" si="4"/>
        <v/>
      </c>
      <c r="C447" s="29"/>
      <c r="D447" s="29"/>
      <c r="E447" s="29" t="b">
        <v>0</v>
      </c>
      <c r="F447" s="29"/>
      <c r="G447" s="21" t="str">
        <f>IFERROR(VLOOKUP(A447, 'Price Sheet'!$A$2:$B1010, 2, false), "")</f>
        <v/>
      </c>
      <c r="J447" s="21" t="str">
        <f t="shared" si="3"/>
        <v/>
      </c>
      <c r="K447" s="29"/>
      <c r="L447" s="29" t="b">
        <v>0</v>
      </c>
      <c r="M447" s="29"/>
      <c r="N447" s="21" t="str">
        <f>IFERROR(VLOOKUP(I447, 'Price Sheet'!$A$2:$B1010, 2, false), "")</f>
        <v/>
      </c>
    </row>
    <row r="448">
      <c r="B448" s="21" t="str">
        <f t="shared" si="4"/>
        <v/>
      </c>
      <c r="C448" s="29"/>
      <c r="D448" s="29"/>
      <c r="E448" s="29" t="b">
        <v>0</v>
      </c>
      <c r="F448" s="29"/>
      <c r="G448" s="21" t="str">
        <f>IFERROR(VLOOKUP(A448, 'Price Sheet'!$A$2:$B1010, 2, false), "")</f>
        <v/>
      </c>
      <c r="J448" s="21" t="str">
        <f t="shared" si="3"/>
        <v/>
      </c>
      <c r="K448" s="29"/>
      <c r="L448" s="29" t="b">
        <v>0</v>
      </c>
      <c r="M448" s="29"/>
      <c r="N448" s="21" t="str">
        <f>IFERROR(VLOOKUP(I448, 'Price Sheet'!$A$2:$B1010, 2, false), "")</f>
        <v/>
      </c>
    </row>
    <row r="449">
      <c r="B449" s="21" t="str">
        <f t="shared" si="4"/>
        <v/>
      </c>
      <c r="C449" s="29"/>
      <c r="D449" s="29"/>
      <c r="E449" s="29" t="b">
        <v>0</v>
      </c>
      <c r="F449" s="29"/>
      <c r="G449" s="21" t="str">
        <f>IFERROR(VLOOKUP(A449, 'Price Sheet'!$A$2:$B1010, 2, false), "")</f>
        <v/>
      </c>
      <c r="J449" s="21" t="str">
        <f t="shared" si="3"/>
        <v/>
      </c>
      <c r="K449" s="29"/>
      <c r="L449" s="29" t="b">
        <v>0</v>
      </c>
      <c r="M449" s="29"/>
      <c r="N449" s="21" t="str">
        <f>IFERROR(VLOOKUP(I449, 'Price Sheet'!$A$2:$B1010, 2, false), "")</f>
        <v/>
      </c>
    </row>
    <row r="450">
      <c r="B450" s="21" t="str">
        <f t="shared" si="4"/>
        <v/>
      </c>
      <c r="C450" s="29"/>
      <c r="D450" s="29"/>
      <c r="E450" s="29" t="b">
        <v>0</v>
      </c>
      <c r="F450" s="29"/>
      <c r="G450" s="21" t="str">
        <f>IFERROR(VLOOKUP(A450, 'Price Sheet'!$A$2:$B1010, 2, false), "")</f>
        <v/>
      </c>
      <c r="J450" s="21" t="str">
        <f t="shared" si="3"/>
        <v/>
      </c>
      <c r="K450" s="29"/>
      <c r="L450" s="29" t="b">
        <v>0</v>
      </c>
      <c r="M450" s="29"/>
      <c r="N450" s="21" t="str">
        <f>IFERROR(VLOOKUP(I450, 'Price Sheet'!$A$2:$B1010, 2, false), "")</f>
        <v/>
      </c>
    </row>
    <row r="451">
      <c r="B451" s="21" t="str">
        <f t="shared" si="4"/>
        <v/>
      </c>
      <c r="C451" s="29"/>
      <c r="D451" s="29"/>
      <c r="E451" s="29" t="b">
        <v>0</v>
      </c>
      <c r="F451" s="29"/>
      <c r="G451" s="21" t="str">
        <f>IFERROR(VLOOKUP(A451, 'Price Sheet'!$A$2:$B1010, 2, false), "")</f>
        <v/>
      </c>
      <c r="J451" s="21" t="str">
        <f t="shared" si="3"/>
        <v/>
      </c>
      <c r="K451" s="29"/>
      <c r="L451" s="29" t="b">
        <v>0</v>
      </c>
      <c r="M451" s="29"/>
      <c r="N451" s="21" t="str">
        <f>IFERROR(VLOOKUP(I451, 'Price Sheet'!$A$2:$B1010, 2, false), "")</f>
        <v/>
      </c>
    </row>
    <row r="452">
      <c r="B452" s="21" t="str">
        <f t="shared" si="4"/>
        <v/>
      </c>
      <c r="C452" s="29"/>
      <c r="D452" s="29"/>
      <c r="E452" s="29" t="b">
        <v>0</v>
      </c>
      <c r="F452" s="29"/>
      <c r="G452" s="21" t="str">
        <f>IFERROR(VLOOKUP(A452, 'Price Sheet'!$A$2:$B1010, 2, false), "")</f>
        <v/>
      </c>
      <c r="J452" s="21" t="str">
        <f t="shared" si="3"/>
        <v/>
      </c>
      <c r="K452" s="29"/>
      <c r="L452" s="29" t="b">
        <v>0</v>
      </c>
      <c r="M452" s="29"/>
      <c r="N452" s="21" t="str">
        <f>IFERROR(VLOOKUP(I452, 'Price Sheet'!$A$2:$B1010, 2, false), "")</f>
        <v/>
      </c>
    </row>
    <row r="453">
      <c r="B453" s="21" t="str">
        <f t="shared" si="4"/>
        <v/>
      </c>
      <c r="C453" s="29"/>
      <c r="D453" s="29"/>
      <c r="E453" s="29" t="b">
        <v>0</v>
      </c>
      <c r="F453" s="29"/>
      <c r="G453" s="21" t="str">
        <f>IFERROR(VLOOKUP(A453, 'Price Sheet'!$A$2:$B1010, 2, false), "")</f>
        <v/>
      </c>
      <c r="J453" s="21" t="str">
        <f t="shared" si="3"/>
        <v/>
      </c>
      <c r="K453" s="29"/>
      <c r="L453" s="29" t="b">
        <v>0</v>
      </c>
      <c r="M453" s="29"/>
      <c r="N453" s="21" t="str">
        <f>IFERROR(VLOOKUP(I453, 'Price Sheet'!$A$2:$B1010, 2, false), "")</f>
        <v/>
      </c>
    </row>
    <row r="454">
      <c r="B454" s="21" t="str">
        <f t="shared" si="4"/>
        <v/>
      </c>
      <c r="C454" s="29"/>
      <c r="D454" s="29"/>
      <c r="E454" s="29" t="b">
        <v>0</v>
      </c>
      <c r="F454" s="29"/>
      <c r="G454" s="21" t="str">
        <f>IFERROR(VLOOKUP(A454, 'Price Sheet'!$A$2:$B1010, 2, false), "")</f>
        <v/>
      </c>
      <c r="J454" s="21" t="str">
        <f t="shared" si="3"/>
        <v/>
      </c>
      <c r="K454" s="29"/>
      <c r="L454" s="29" t="b">
        <v>0</v>
      </c>
      <c r="M454" s="29"/>
      <c r="N454" s="21" t="str">
        <f>IFERROR(VLOOKUP(I454, 'Price Sheet'!$A$2:$B1010, 2, false), "")</f>
        <v/>
      </c>
    </row>
    <row r="455">
      <c r="B455" s="21" t="str">
        <f t="shared" si="4"/>
        <v/>
      </c>
      <c r="C455" s="29"/>
      <c r="D455" s="29"/>
      <c r="E455" s="29" t="b">
        <v>0</v>
      </c>
      <c r="F455" s="29"/>
      <c r="G455" s="21" t="str">
        <f>IFERROR(VLOOKUP(A455, 'Price Sheet'!$A$2:$B1010, 2, false), "")</f>
        <v/>
      </c>
      <c r="J455" s="21" t="str">
        <f t="shared" si="3"/>
        <v/>
      </c>
      <c r="K455" s="29"/>
      <c r="L455" s="29" t="b">
        <v>0</v>
      </c>
      <c r="M455" s="29"/>
      <c r="N455" s="21" t="str">
        <f>IFERROR(VLOOKUP(I455, 'Price Sheet'!$A$2:$B1010, 2, false), "")</f>
        <v/>
      </c>
    </row>
    <row r="456">
      <c r="B456" s="21" t="str">
        <f t="shared" si="4"/>
        <v/>
      </c>
      <c r="C456" s="29"/>
      <c r="D456" s="29"/>
      <c r="E456" s="29" t="b">
        <v>0</v>
      </c>
      <c r="F456" s="29"/>
      <c r="G456" s="21" t="str">
        <f>IFERROR(VLOOKUP(A456, 'Price Sheet'!$A$2:$B1010, 2, false), "")</f>
        <v/>
      </c>
      <c r="J456" s="21" t="str">
        <f t="shared" si="3"/>
        <v/>
      </c>
      <c r="K456" s="29"/>
      <c r="L456" s="29" t="b">
        <v>0</v>
      </c>
      <c r="M456" s="29"/>
      <c r="N456" s="21" t="str">
        <f>IFERROR(VLOOKUP(I456, 'Price Sheet'!$A$2:$B1010, 2, false), "")</f>
        <v/>
      </c>
    </row>
    <row r="457">
      <c r="B457" s="21" t="str">
        <f t="shared" si="4"/>
        <v/>
      </c>
      <c r="C457" s="29"/>
      <c r="D457" s="29"/>
      <c r="E457" s="29" t="b">
        <v>0</v>
      </c>
      <c r="F457" s="29"/>
      <c r="G457" s="21" t="str">
        <f>IFERROR(VLOOKUP(A457, 'Price Sheet'!$A$2:$B1010, 2, false), "")</f>
        <v/>
      </c>
      <c r="J457" s="21" t="str">
        <f t="shared" si="3"/>
        <v/>
      </c>
      <c r="K457" s="29"/>
      <c r="L457" s="29" t="b">
        <v>0</v>
      </c>
      <c r="M457" s="29"/>
      <c r="N457" s="21" t="str">
        <f>IFERROR(VLOOKUP(I457, 'Price Sheet'!$A$2:$B1010, 2, false), "")</f>
        <v/>
      </c>
    </row>
    <row r="458">
      <c r="B458" s="21" t="str">
        <f t="shared" si="4"/>
        <v/>
      </c>
      <c r="C458" s="29"/>
      <c r="D458" s="29"/>
      <c r="E458" s="29" t="b">
        <v>0</v>
      </c>
      <c r="F458" s="29"/>
      <c r="G458" s="21" t="str">
        <f>IFERROR(VLOOKUP(A458, 'Price Sheet'!$A$2:$B1010, 2, false), "")</f>
        <v/>
      </c>
      <c r="J458" s="21" t="str">
        <f t="shared" si="3"/>
        <v/>
      </c>
      <c r="K458" s="29"/>
      <c r="L458" s="29" t="b">
        <v>0</v>
      </c>
      <c r="M458" s="29"/>
      <c r="N458" s="21" t="str">
        <f>IFERROR(VLOOKUP(I458, 'Price Sheet'!$A$2:$B1010, 2, false), "")</f>
        <v/>
      </c>
    </row>
    <row r="459">
      <c r="B459" s="21" t="str">
        <f t="shared" si="4"/>
        <v/>
      </c>
      <c r="C459" s="29"/>
      <c r="D459" s="29"/>
      <c r="E459" s="29" t="b">
        <v>0</v>
      </c>
      <c r="F459" s="29"/>
      <c r="G459" s="21" t="str">
        <f>IFERROR(VLOOKUP(A459, 'Price Sheet'!$A$2:$B1010, 2, false), "")</f>
        <v/>
      </c>
      <c r="J459" s="21" t="str">
        <f t="shared" si="3"/>
        <v/>
      </c>
      <c r="K459" s="29"/>
      <c r="L459" s="29" t="b">
        <v>0</v>
      </c>
      <c r="M459" s="29"/>
      <c r="N459" s="21" t="str">
        <f>IFERROR(VLOOKUP(I459, 'Price Sheet'!$A$2:$B1010, 2, false), "")</f>
        <v/>
      </c>
    </row>
    <row r="460">
      <c r="B460" s="21" t="str">
        <f t="shared" si="4"/>
        <v/>
      </c>
      <c r="C460" s="29"/>
      <c r="D460" s="29"/>
      <c r="E460" s="29" t="b">
        <v>0</v>
      </c>
      <c r="F460" s="29"/>
      <c r="G460" s="21" t="str">
        <f>IFERROR(VLOOKUP(A460, 'Price Sheet'!$A$2:$B1010, 2, false), "")</f>
        <v/>
      </c>
      <c r="J460" s="21" t="str">
        <f t="shared" si="3"/>
        <v/>
      </c>
      <c r="K460" s="29"/>
      <c r="L460" s="29" t="b">
        <v>0</v>
      </c>
      <c r="M460" s="29"/>
      <c r="N460" s="21" t="str">
        <f>IFERROR(VLOOKUP(I460, 'Price Sheet'!$A$2:$B1010, 2, false), "")</f>
        <v/>
      </c>
    </row>
    <row r="461">
      <c r="B461" s="21" t="str">
        <f t="shared" si="4"/>
        <v/>
      </c>
      <c r="C461" s="29"/>
      <c r="D461" s="29"/>
      <c r="E461" s="29" t="b">
        <v>0</v>
      </c>
      <c r="F461" s="29"/>
      <c r="G461" s="21" t="str">
        <f>IFERROR(VLOOKUP(A461, 'Price Sheet'!$A$2:$B1010, 2, false), "")</f>
        <v/>
      </c>
      <c r="J461" s="21" t="str">
        <f t="shared" si="3"/>
        <v/>
      </c>
      <c r="K461" s="29"/>
      <c r="L461" s="29" t="b">
        <v>0</v>
      </c>
      <c r="M461" s="29"/>
      <c r="N461" s="21" t="str">
        <f>IFERROR(VLOOKUP(I461, 'Price Sheet'!$A$2:$B1010, 2, false), "")</f>
        <v/>
      </c>
    </row>
    <row r="462">
      <c r="B462" s="21" t="str">
        <f t="shared" si="4"/>
        <v/>
      </c>
      <c r="C462" s="29"/>
      <c r="D462" s="29"/>
      <c r="E462" s="29" t="b">
        <v>0</v>
      </c>
      <c r="F462" s="29"/>
      <c r="G462" s="21" t="str">
        <f>IFERROR(VLOOKUP(A462, 'Price Sheet'!$A$2:$B1010, 2, false), "")</f>
        <v/>
      </c>
      <c r="J462" s="21" t="str">
        <f t="shared" si="3"/>
        <v/>
      </c>
      <c r="K462" s="29"/>
      <c r="L462" s="29" t="b">
        <v>0</v>
      </c>
      <c r="M462" s="29"/>
      <c r="N462" s="21" t="str">
        <f>IFERROR(VLOOKUP(I462, 'Price Sheet'!$A$2:$B1010, 2, false), "")</f>
        <v/>
      </c>
    </row>
    <row r="463">
      <c r="B463" s="21" t="str">
        <f t="shared" si="4"/>
        <v/>
      </c>
      <c r="C463" s="29"/>
      <c r="D463" s="29"/>
      <c r="E463" s="29" t="b">
        <v>0</v>
      </c>
      <c r="F463" s="29"/>
      <c r="G463" s="21" t="str">
        <f>IFERROR(VLOOKUP(A463, 'Price Sheet'!$A$2:$B1010, 2, false), "")</f>
        <v/>
      </c>
      <c r="J463" s="21" t="str">
        <f t="shared" si="3"/>
        <v/>
      </c>
      <c r="K463" s="29"/>
      <c r="L463" s="29" t="b">
        <v>0</v>
      </c>
      <c r="M463" s="29"/>
      <c r="N463" s="21" t="str">
        <f>IFERROR(VLOOKUP(I463, 'Price Sheet'!$A$2:$B1010, 2, false), "")</f>
        <v/>
      </c>
    </row>
    <row r="464">
      <c r="B464" s="21" t="str">
        <f t="shared" si="4"/>
        <v/>
      </c>
      <c r="C464" s="29"/>
      <c r="D464" s="29"/>
      <c r="E464" s="29" t="b">
        <v>0</v>
      </c>
      <c r="F464" s="29"/>
      <c r="G464" s="21" t="str">
        <f>IFERROR(VLOOKUP(A464, 'Price Sheet'!$A$2:$B1010, 2, false), "")</f>
        <v/>
      </c>
      <c r="J464" s="21" t="str">
        <f t="shared" si="3"/>
        <v/>
      </c>
      <c r="K464" s="29"/>
      <c r="L464" s="29" t="b">
        <v>0</v>
      </c>
      <c r="M464" s="29"/>
      <c r="N464" s="21" t="str">
        <f>IFERROR(VLOOKUP(I464, 'Price Sheet'!$A$2:$B1010, 2, false), "")</f>
        <v/>
      </c>
    </row>
    <row r="465">
      <c r="B465" s="21" t="str">
        <f t="shared" si="4"/>
        <v/>
      </c>
      <c r="C465" s="29"/>
      <c r="D465" s="29"/>
      <c r="E465" s="29" t="b">
        <v>0</v>
      </c>
      <c r="F465" s="29"/>
      <c r="G465" s="21" t="str">
        <f>IFERROR(VLOOKUP(A465, 'Price Sheet'!$A$2:$B1010, 2, false), "")</f>
        <v/>
      </c>
      <c r="J465" s="21" t="str">
        <f t="shared" si="3"/>
        <v/>
      </c>
      <c r="K465" s="29"/>
      <c r="L465" s="29" t="b">
        <v>0</v>
      </c>
      <c r="M465" s="29"/>
      <c r="N465" s="21" t="str">
        <f>IFERROR(VLOOKUP(I465, 'Price Sheet'!$A$2:$B1010, 2, false), "")</f>
        <v/>
      </c>
    </row>
    <row r="466">
      <c r="B466" s="21" t="str">
        <f t="shared" si="4"/>
        <v/>
      </c>
      <c r="C466" s="29"/>
      <c r="D466" s="29"/>
      <c r="E466" s="29" t="b">
        <v>0</v>
      </c>
      <c r="F466" s="29"/>
      <c r="G466" s="21" t="str">
        <f>IFERROR(VLOOKUP(A466, 'Price Sheet'!$A$2:$B1010, 2, false), "")</f>
        <v/>
      </c>
      <c r="J466" s="21" t="str">
        <f t="shared" si="3"/>
        <v/>
      </c>
      <c r="K466" s="29"/>
      <c r="L466" s="29" t="b">
        <v>0</v>
      </c>
      <c r="M466" s="29"/>
      <c r="N466" s="21" t="str">
        <f>IFERROR(VLOOKUP(I466, 'Price Sheet'!$A$2:$B1010, 2, false), "")</f>
        <v/>
      </c>
    </row>
    <row r="467">
      <c r="B467" s="21" t="str">
        <f t="shared" si="4"/>
        <v/>
      </c>
      <c r="C467" s="29"/>
      <c r="D467" s="29"/>
      <c r="E467" s="29" t="b">
        <v>0</v>
      </c>
      <c r="F467" s="29"/>
      <c r="G467" s="21" t="str">
        <f>IFERROR(VLOOKUP(A467, 'Price Sheet'!$A$2:$B1010, 2, false), "")</f>
        <v/>
      </c>
      <c r="J467" s="21" t="str">
        <f t="shared" si="3"/>
        <v/>
      </c>
      <c r="K467" s="29"/>
      <c r="L467" s="29" t="b">
        <v>0</v>
      </c>
      <c r="M467" s="29"/>
      <c r="N467" s="21" t="str">
        <f>IFERROR(VLOOKUP(I467, 'Price Sheet'!$A$2:$B1010, 2, false), "")</f>
        <v/>
      </c>
    </row>
    <row r="468">
      <c r="B468" s="21" t="str">
        <f t="shared" si="4"/>
        <v/>
      </c>
      <c r="C468" s="29"/>
      <c r="D468" s="29"/>
      <c r="E468" s="29" t="b">
        <v>0</v>
      </c>
      <c r="F468" s="29"/>
      <c r="G468" s="21" t="str">
        <f>IFERROR(VLOOKUP(A468, 'Price Sheet'!$A$2:$B1010, 2, false), "")</f>
        <v/>
      </c>
      <c r="J468" s="21" t="str">
        <f t="shared" si="3"/>
        <v/>
      </c>
      <c r="K468" s="29"/>
      <c r="L468" s="29" t="b">
        <v>0</v>
      </c>
      <c r="M468" s="29"/>
      <c r="N468" s="21" t="str">
        <f>IFERROR(VLOOKUP(I468, 'Price Sheet'!$A$2:$B1010, 2, false), "")</f>
        <v/>
      </c>
    </row>
    <row r="469">
      <c r="B469" s="21" t="str">
        <f t="shared" si="4"/>
        <v/>
      </c>
      <c r="C469" s="29"/>
      <c r="D469" s="29"/>
      <c r="E469" s="29" t="b">
        <v>0</v>
      </c>
      <c r="F469" s="29"/>
      <c r="G469" s="21" t="str">
        <f>IFERROR(VLOOKUP(A469, 'Price Sheet'!$A$2:$B1010, 2, false), "")</f>
        <v/>
      </c>
      <c r="J469" s="21" t="str">
        <f t="shared" si="3"/>
        <v/>
      </c>
      <c r="K469" s="29"/>
      <c r="L469" s="29" t="b">
        <v>0</v>
      </c>
      <c r="M469" s="29"/>
      <c r="N469" s="21" t="str">
        <f>IFERROR(VLOOKUP(I469, 'Price Sheet'!$A$2:$B1010, 2, false), "")</f>
        <v/>
      </c>
    </row>
    <row r="470">
      <c r="B470" s="21" t="str">
        <f t="shared" si="4"/>
        <v/>
      </c>
      <c r="C470" s="29"/>
      <c r="D470" s="29"/>
      <c r="E470" s="29" t="b">
        <v>0</v>
      </c>
      <c r="F470" s="29"/>
      <c r="G470" s="21" t="str">
        <f>IFERROR(VLOOKUP(A470, 'Price Sheet'!$A$2:$B1010, 2, false), "")</f>
        <v/>
      </c>
      <c r="J470" s="21" t="str">
        <f t="shared" si="3"/>
        <v/>
      </c>
      <c r="K470" s="29"/>
      <c r="L470" s="29" t="b">
        <v>0</v>
      </c>
      <c r="M470" s="29"/>
      <c r="N470" s="21" t="str">
        <f>IFERROR(VLOOKUP(I470, 'Price Sheet'!$A$2:$B1010, 2, false), "")</f>
        <v/>
      </c>
    </row>
    <row r="471">
      <c r="B471" s="21" t="str">
        <f t="shared" si="4"/>
        <v/>
      </c>
      <c r="C471" s="29"/>
      <c r="D471" s="29"/>
      <c r="E471" s="29" t="b">
        <v>0</v>
      </c>
      <c r="F471" s="29"/>
      <c r="G471" s="21" t="str">
        <f>IFERROR(VLOOKUP(A471, 'Price Sheet'!$A$2:$B1010, 2, false), "")</f>
        <v/>
      </c>
      <c r="J471" s="21" t="str">
        <f t="shared" si="3"/>
        <v/>
      </c>
      <c r="K471" s="29"/>
      <c r="L471" s="29" t="b">
        <v>0</v>
      </c>
      <c r="M471" s="29"/>
      <c r="N471" s="21" t="str">
        <f>IFERROR(VLOOKUP(I471, 'Price Sheet'!$A$2:$B1010, 2, false), "")</f>
        <v/>
      </c>
    </row>
    <row r="472">
      <c r="B472" s="21" t="str">
        <f t="shared" si="4"/>
        <v/>
      </c>
      <c r="C472" s="29"/>
      <c r="D472" s="29"/>
      <c r="E472" s="29" t="b">
        <v>0</v>
      </c>
      <c r="F472" s="29"/>
      <c r="G472" s="21" t="str">
        <f>IFERROR(VLOOKUP(A472, 'Price Sheet'!$A$2:$B1010, 2, false), "")</f>
        <v/>
      </c>
      <c r="J472" s="21" t="str">
        <f t="shared" si="3"/>
        <v/>
      </c>
      <c r="K472" s="29"/>
      <c r="L472" s="29" t="b">
        <v>0</v>
      </c>
      <c r="M472" s="29"/>
      <c r="N472" s="21" t="str">
        <f>IFERROR(VLOOKUP(I472, 'Price Sheet'!$A$2:$B1010, 2, false), "")</f>
        <v/>
      </c>
    </row>
    <row r="473">
      <c r="B473" s="21" t="str">
        <f t="shared" si="4"/>
        <v/>
      </c>
      <c r="C473" s="29"/>
      <c r="D473" s="29"/>
      <c r="E473" s="29" t="b">
        <v>0</v>
      </c>
      <c r="F473" s="29"/>
      <c r="G473" s="21" t="str">
        <f>IFERROR(VLOOKUP(A473, 'Price Sheet'!$A$2:$B1010, 2, false), "")</f>
        <v/>
      </c>
      <c r="J473" s="21" t="str">
        <f t="shared" si="3"/>
        <v/>
      </c>
      <c r="K473" s="29"/>
      <c r="L473" s="29" t="b">
        <v>0</v>
      </c>
      <c r="M473" s="29"/>
      <c r="N473" s="21" t="str">
        <f>IFERROR(VLOOKUP(I473, 'Price Sheet'!$A$2:$B1010, 2, false), "")</f>
        <v/>
      </c>
    </row>
    <row r="474">
      <c r="B474" s="21" t="str">
        <f t="shared" si="4"/>
        <v/>
      </c>
      <c r="C474" s="29"/>
      <c r="D474" s="29"/>
      <c r="E474" s="29" t="b">
        <v>0</v>
      </c>
      <c r="F474" s="29"/>
      <c r="G474" s="21" t="str">
        <f>IFERROR(VLOOKUP(A474, 'Price Sheet'!$A$2:$B1010, 2, false), "")</f>
        <v/>
      </c>
      <c r="J474" s="21" t="str">
        <f t="shared" si="3"/>
        <v/>
      </c>
      <c r="K474" s="29"/>
      <c r="L474" s="29" t="b">
        <v>0</v>
      </c>
      <c r="M474" s="29"/>
      <c r="N474" s="21" t="str">
        <f>IFERROR(VLOOKUP(I474, 'Price Sheet'!$A$2:$B1010, 2, false), "")</f>
        <v/>
      </c>
    </row>
    <row r="475">
      <c r="B475" s="21" t="str">
        <f t="shared" si="4"/>
        <v/>
      </c>
      <c r="C475" s="29"/>
      <c r="D475" s="29"/>
      <c r="E475" s="29" t="b">
        <v>0</v>
      </c>
      <c r="F475" s="29"/>
      <c r="G475" s="21" t="str">
        <f>IFERROR(VLOOKUP(A475, 'Price Sheet'!$A$2:$B1010, 2, false), "")</f>
        <v/>
      </c>
      <c r="J475" s="21" t="str">
        <f t="shared" si="3"/>
        <v/>
      </c>
      <c r="K475" s="29"/>
      <c r="L475" s="29" t="b">
        <v>0</v>
      </c>
      <c r="M475" s="29"/>
      <c r="N475" s="21" t="str">
        <f>IFERROR(VLOOKUP(I475, 'Price Sheet'!$A$2:$B1010, 2, false), "")</f>
        <v/>
      </c>
    </row>
    <row r="476">
      <c r="B476" s="21" t="str">
        <f t="shared" si="4"/>
        <v/>
      </c>
      <c r="C476" s="29"/>
      <c r="D476" s="29"/>
      <c r="E476" s="29" t="b">
        <v>0</v>
      </c>
      <c r="F476" s="29"/>
      <c r="G476" s="21" t="str">
        <f>IFERROR(VLOOKUP(A476, 'Price Sheet'!$A$2:$B1010, 2, false), "")</f>
        <v/>
      </c>
      <c r="J476" s="21" t="str">
        <f t="shared" si="3"/>
        <v/>
      </c>
      <c r="K476" s="29"/>
      <c r="L476" s="29" t="b">
        <v>0</v>
      </c>
      <c r="M476" s="29"/>
      <c r="N476" s="21" t="str">
        <f>IFERROR(VLOOKUP(I476, 'Price Sheet'!$A$2:$B1010, 2, false), "")</f>
        <v/>
      </c>
    </row>
    <row r="477">
      <c r="B477" s="21" t="str">
        <f t="shared" si="4"/>
        <v/>
      </c>
      <c r="C477" s="29"/>
      <c r="D477" s="29"/>
      <c r="E477" s="29" t="b">
        <v>0</v>
      </c>
      <c r="F477" s="29"/>
      <c r="G477" s="21" t="str">
        <f>IFERROR(VLOOKUP(A477, 'Price Sheet'!$A$2:$B1010, 2, false), "")</f>
        <v/>
      </c>
      <c r="J477" s="21" t="str">
        <f t="shared" si="3"/>
        <v/>
      </c>
      <c r="K477" s="29"/>
      <c r="L477" s="29" t="b">
        <v>0</v>
      </c>
      <c r="M477" s="29"/>
      <c r="N477" s="21" t="str">
        <f>IFERROR(VLOOKUP(I477, 'Price Sheet'!$A$2:$B1010, 2, false), "")</f>
        <v/>
      </c>
    </row>
    <row r="478">
      <c r="B478" s="21" t="str">
        <f t="shared" si="4"/>
        <v/>
      </c>
      <c r="C478" s="29"/>
      <c r="D478" s="29"/>
      <c r="E478" s="29" t="b">
        <v>0</v>
      </c>
      <c r="F478" s="29"/>
      <c r="G478" s="21" t="str">
        <f>IFERROR(VLOOKUP(A478, 'Price Sheet'!$A$2:$B1010, 2, false), "")</f>
        <v/>
      </c>
      <c r="J478" s="21" t="str">
        <f t="shared" si="3"/>
        <v/>
      </c>
      <c r="K478" s="29"/>
      <c r="L478" s="29" t="b">
        <v>0</v>
      </c>
      <c r="M478" s="29"/>
      <c r="N478" s="21" t="str">
        <f>IFERROR(VLOOKUP(I478, 'Price Sheet'!$A$2:$B1010, 2, false), "")</f>
        <v/>
      </c>
    </row>
    <row r="479">
      <c r="B479" s="21" t="str">
        <f t="shared" si="4"/>
        <v/>
      </c>
      <c r="C479" s="29"/>
      <c r="D479" s="29"/>
      <c r="E479" s="29" t="b">
        <v>0</v>
      </c>
      <c r="F479" s="29"/>
      <c r="G479" s="21" t="str">
        <f>IFERROR(VLOOKUP(A479, 'Price Sheet'!$A$2:$B1010, 2, false), "")</f>
        <v/>
      </c>
      <c r="J479" s="21" t="str">
        <f t="shared" si="3"/>
        <v/>
      </c>
      <c r="K479" s="29"/>
      <c r="L479" s="29" t="b">
        <v>0</v>
      </c>
      <c r="M479" s="29"/>
      <c r="N479" s="21" t="str">
        <f>IFERROR(VLOOKUP(I479, 'Price Sheet'!$A$2:$B1010, 2, false), "")</f>
        <v/>
      </c>
    </row>
    <row r="480">
      <c r="B480" s="21" t="str">
        <f t="shared" si="4"/>
        <v/>
      </c>
      <c r="C480" s="29"/>
      <c r="D480" s="29"/>
      <c r="E480" s="29" t="b">
        <v>0</v>
      </c>
      <c r="F480" s="29"/>
      <c r="G480" s="21" t="str">
        <f>IFERROR(VLOOKUP(A480, 'Price Sheet'!$A$2:$B1010, 2, false), "")</f>
        <v/>
      </c>
      <c r="J480" s="21" t="str">
        <f t="shared" si="3"/>
        <v/>
      </c>
      <c r="K480" s="29"/>
      <c r="L480" s="29" t="b">
        <v>0</v>
      </c>
      <c r="M480" s="29"/>
      <c r="N480" s="21" t="str">
        <f>IFERROR(VLOOKUP(I480, 'Price Sheet'!$A$2:$B1010, 2, false), "")</f>
        <v/>
      </c>
    </row>
    <row r="481">
      <c r="B481" s="21" t="str">
        <f t="shared" si="4"/>
        <v/>
      </c>
      <c r="C481" s="29"/>
      <c r="D481" s="29"/>
      <c r="E481" s="29" t="b">
        <v>0</v>
      </c>
      <c r="F481" s="29"/>
      <c r="G481" s="21" t="str">
        <f>IFERROR(VLOOKUP(A481, 'Price Sheet'!$A$2:$B1010, 2, false), "")</f>
        <v/>
      </c>
      <c r="J481" s="21" t="str">
        <f t="shared" si="3"/>
        <v/>
      </c>
      <c r="K481" s="29"/>
      <c r="L481" s="29" t="b">
        <v>0</v>
      </c>
      <c r="M481" s="29"/>
      <c r="N481" s="21" t="str">
        <f>IFERROR(VLOOKUP(I481, 'Price Sheet'!$A$2:$B1010, 2, false), "")</f>
        <v/>
      </c>
    </row>
    <row r="482">
      <c r="B482" s="21" t="str">
        <f t="shared" si="4"/>
        <v/>
      </c>
      <c r="C482" s="29"/>
      <c r="D482" s="29"/>
      <c r="E482" s="29" t="b">
        <v>0</v>
      </c>
      <c r="F482" s="29"/>
      <c r="G482" s="21" t="str">
        <f>IFERROR(VLOOKUP(A482, 'Price Sheet'!$A$2:$B1010, 2, false), "")</f>
        <v/>
      </c>
      <c r="J482" s="21" t="str">
        <f t="shared" si="3"/>
        <v/>
      </c>
      <c r="K482" s="29"/>
      <c r="L482" s="29" t="b">
        <v>0</v>
      </c>
      <c r="M482" s="29"/>
      <c r="N482" s="21" t="str">
        <f>IFERROR(VLOOKUP(I482, 'Price Sheet'!$A$2:$B1010, 2, false), "")</f>
        <v/>
      </c>
    </row>
    <row r="483">
      <c r="B483" s="21" t="str">
        <f t="shared" si="4"/>
        <v/>
      </c>
      <c r="C483" s="29"/>
      <c r="D483" s="29"/>
      <c r="E483" s="29" t="b">
        <v>0</v>
      </c>
      <c r="F483" s="29"/>
      <c r="G483" s="21" t="str">
        <f>IFERROR(VLOOKUP(A483, 'Price Sheet'!$A$2:$B1010, 2, false), "")</f>
        <v/>
      </c>
      <c r="J483" s="21" t="str">
        <f t="shared" si="3"/>
        <v/>
      </c>
      <c r="K483" s="29"/>
      <c r="L483" s="29" t="b">
        <v>0</v>
      </c>
      <c r="M483" s="29"/>
      <c r="N483" s="21" t="str">
        <f>IFERROR(VLOOKUP(I483, 'Price Sheet'!$A$2:$B1010, 2, false), "")</f>
        <v/>
      </c>
    </row>
    <row r="484">
      <c r="B484" s="21" t="str">
        <f t="shared" si="4"/>
        <v/>
      </c>
      <c r="C484" s="29"/>
      <c r="D484" s="29"/>
      <c r="E484" s="29" t="b">
        <v>0</v>
      </c>
      <c r="F484" s="29"/>
      <c r="G484" s="21" t="str">
        <f>IFERROR(VLOOKUP(A484, 'Price Sheet'!$A$2:$B1010, 2, false), "")</f>
        <v/>
      </c>
      <c r="J484" s="21" t="str">
        <f t="shared" si="3"/>
        <v/>
      </c>
      <c r="K484" s="29"/>
      <c r="L484" s="29" t="b">
        <v>0</v>
      </c>
      <c r="M484" s="29"/>
      <c r="N484" s="21" t="str">
        <f>IFERROR(VLOOKUP(I484, 'Price Sheet'!$A$2:$B1010, 2, false), "")</f>
        <v/>
      </c>
    </row>
    <row r="485">
      <c r="B485" s="21" t="str">
        <f t="shared" si="4"/>
        <v/>
      </c>
      <c r="C485" s="29"/>
      <c r="D485" s="29"/>
      <c r="E485" s="29" t="b">
        <v>0</v>
      </c>
      <c r="F485" s="29"/>
      <c r="G485" s="21" t="str">
        <f>IFERROR(VLOOKUP(A485, 'Price Sheet'!$A$2:$B1010, 2, false), "")</f>
        <v/>
      </c>
      <c r="J485" s="21" t="str">
        <f t="shared" si="3"/>
        <v/>
      </c>
      <c r="K485" s="29"/>
      <c r="L485" s="29" t="b">
        <v>0</v>
      </c>
      <c r="M485" s="29"/>
      <c r="N485" s="21" t="str">
        <f>IFERROR(VLOOKUP(I485, 'Price Sheet'!$A$2:$B1010, 2, false), "")</f>
        <v/>
      </c>
    </row>
    <row r="486">
      <c r="B486" s="21" t="str">
        <f t="shared" si="4"/>
        <v/>
      </c>
      <c r="C486" s="29"/>
      <c r="D486" s="29"/>
      <c r="E486" s="29" t="b">
        <v>0</v>
      </c>
      <c r="F486" s="29"/>
      <c r="G486" s="21" t="str">
        <f>IFERROR(VLOOKUP(A486, 'Price Sheet'!$A$2:$B1010, 2, false), "")</f>
        <v/>
      </c>
      <c r="J486" s="21" t="str">
        <f t="shared" si="3"/>
        <v/>
      </c>
      <c r="K486" s="29"/>
      <c r="L486" s="29" t="b">
        <v>0</v>
      </c>
      <c r="M486" s="29"/>
      <c r="N486" s="21" t="str">
        <f>IFERROR(VLOOKUP(I486, 'Price Sheet'!$A$2:$B1010, 2, false), "")</f>
        <v/>
      </c>
    </row>
    <row r="487">
      <c r="B487" s="21" t="str">
        <f t="shared" si="4"/>
        <v/>
      </c>
      <c r="C487" s="29"/>
      <c r="D487" s="29"/>
      <c r="E487" s="29" t="b">
        <v>0</v>
      </c>
      <c r="F487" s="29"/>
      <c r="G487" s="21" t="str">
        <f>IFERROR(VLOOKUP(A487, 'Price Sheet'!$A$2:$B1010, 2, false), "")</f>
        <v/>
      </c>
      <c r="J487" s="21" t="str">
        <f t="shared" si="3"/>
        <v/>
      </c>
      <c r="K487" s="29"/>
      <c r="L487" s="29" t="b">
        <v>0</v>
      </c>
      <c r="M487" s="29"/>
      <c r="N487" s="21" t="str">
        <f>IFERROR(VLOOKUP(I487, 'Price Sheet'!$A$2:$B1010, 2, false), "")</f>
        <v/>
      </c>
    </row>
    <row r="488">
      <c r="B488" s="21" t="str">
        <f t="shared" si="4"/>
        <v/>
      </c>
      <c r="C488" s="29"/>
      <c r="D488" s="29"/>
      <c r="E488" s="29" t="b">
        <v>0</v>
      </c>
      <c r="F488" s="29"/>
      <c r="G488" s="21" t="str">
        <f>IFERROR(VLOOKUP(A488, 'Price Sheet'!$A$2:$B1010, 2, false), "")</f>
        <v/>
      </c>
      <c r="J488" s="21" t="str">
        <f t="shared" si="3"/>
        <v/>
      </c>
      <c r="K488" s="29"/>
      <c r="L488" s="29" t="b">
        <v>0</v>
      </c>
      <c r="M488" s="29"/>
      <c r="N488" s="21" t="str">
        <f>IFERROR(VLOOKUP(I488, 'Price Sheet'!$A$2:$B1010, 2, false), "")</f>
        <v/>
      </c>
    </row>
    <row r="489">
      <c r="B489" s="21" t="str">
        <f t="shared" si="4"/>
        <v/>
      </c>
      <c r="C489" s="29"/>
      <c r="D489" s="29"/>
      <c r="E489" s="29" t="b">
        <v>0</v>
      </c>
      <c r="F489" s="29"/>
      <c r="G489" s="21" t="str">
        <f>IFERROR(VLOOKUP(A489, 'Price Sheet'!$A$2:$B1010, 2, false), "")</f>
        <v/>
      </c>
      <c r="J489" s="21" t="str">
        <f t="shared" si="3"/>
        <v/>
      </c>
      <c r="K489" s="29"/>
      <c r="L489" s="29" t="b">
        <v>0</v>
      </c>
      <c r="M489" s="29"/>
      <c r="N489" s="21" t="str">
        <f>IFERROR(VLOOKUP(I489, 'Price Sheet'!$A$2:$B1010, 2, false), "")</f>
        <v/>
      </c>
    </row>
    <row r="490">
      <c r="B490" s="21" t="str">
        <f t="shared" si="4"/>
        <v/>
      </c>
      <c r="C490" s="29"/>
      <c r="D490" s="29"/>
      <c r="E490" s="29" t="b">
        <v>0</v>
      </c>
      <c r="F490" s="29"/>
      <c r="G490" s="21" t="str">
        <f>IFERROR(VLOOKUP(A490, 'Price Sheet'!$A$2:$B1010, 2, false), "")</f>
        <v/>
      </c>
      <c r="J490" s="21" t="str">
        <f t="shared" si="3"/>
        <v/>
      </c>
      <c r="K490" s="29"/>
      <c r="L490" s="29" t="b">
        <v>0</v>
      </c>
      <c r="M490" s="29"/>
      <c r="N490" s="21" t="str">
        <f>IFERROR(VLOOKUP(I490, 'Price Sheet'!$A$2:$B1010, 2, false), "")</f>
        <v/>
      </c>
    </row>
    <row r="491">
      <c r="B491" s="21" t="str">
        <f t="shared" si="4"/>
        <v/>
      </c>
      <c r="C491" s="29"/>
      <c r="D491" s="29"/>
      <c r="E491" s="29" t="b">
        <v>0</v>
      </c>
      <c r="F491" s="29"/>
      <c r="G491" s="21" t="str">
        <f>IFERROR(VLOOKUP(A491, 'Price Sheet'!$A$2:$B1010, 2, false), "")</f>
        <v/>
      </c>
      <c r="J491" s="21" t="str">
        <f t="shared" si="3"/>
        <v/>
      </c>
      <c r="K491" s="29"/>
      <c r="L491" s="29" t="b">
        <v>0</v>
      </c>
      <c r="M491" s="29"/>
      <c r="N491" s="21" t="str">
        <f>IFERROR(VLOOKUP(I491, 'Price Sheet'!$A$2:$B1010, 2, false), "")</f>
        <v/>
      </c>
    </row>
    <row r="492">
      <c r="B492" s="21" t="str">
        <f t="shared" si="4"/>
        <v/>
      </c>
      <c r="C492" s="29"/>
      <c r="D492" s="29"/>
      <c r="E492" s="29" t="b">
        <v>0</v>
      </c>
      <c r="F492" s="29"/>
      <c r="G492" s="21" t="str">
        <f>IFERROR(VLOOKUP(A492, 'Price Sheet'!$A$2:$B1010, 2, false), "")</f>
        <v/>
      </c>
      <c r="J492" s="21" t="str">
        <f t="shared" si="3"/>
        <v/>
      </c>
      <c r="K492" s="29"/>
      <c r="L492" s="29" t="b">
        <v>0</v>
      </c>
      <c r="M492" s="29"/>
      <c r="N492" s="21" t="str">
        <f>IFERROR(VLOOKUP(I492, 'Price Sheet'!$A$2:$B1010, 2, false), "")</f>
        <v/>
      </c>
    </row>
    <row r="493">
      <c r="B493" s="21" t="str">
        <f t="shared" si="4"/>
        <v/>
      </c>
      <c r="C493" s="29"/>
      <c r="D493" s="29"/>
      <c r="E493" s="29" t="b">
        <v>0</v>
      </c>
      <c r="F493" s="29"/>
      <c r="G493" s="21" t="str">
        <f>IFERROR(VLOOKUP(A493, 'Price Sheet'!$A$2:$B1010, 2, false), "")</f>
        <v/>
      </c>
      <c r="J493" s="21" t="str">
        <f t="shared" si="3"/>
        <v/>
      </c>
      <c r="K493" s="29"/>
      <c r="L493" s="29" t="b">
        <v>0</v>
      </c>
      <c r="M493" s="29"/>
      <c r="N493" s="21" t="str">
        <f>IFERROR(VLOOKUP(I493, 'Price Sheet'!$A$2:$B1010, 2, false), "")</f>
        <v/>
      </c>
    </row>
    <row r="494">
      <c r="B494" s="21" t="str">
        <f t="shared" si="4"/>
        <v/>
      </c>
      <c r="C494" s="29"/>
      <c r="D494" s="29"/>
      <c r="E494" s="29" t="b">
        <v>0</v>
      </c>
      <c r="F494" s="29"/>
      <c r="G494" s="21" t="str">
        <f>IFERROR(VLOOKUP(A494, 'Price Sheet'!$A$2:$B1010, 2, false), "")</f>
        <v/>
      </c>
      <c r="J494" s="21" t="str">
        <f t="shared" si="3"/>
        <v/>
      </c>
      <c r="K494" s="29"/>
      <c r="L494" s="29" t="b">
        <v>0</v>
      </c>
      <c r="M494" s="29"/>
      <c r="N494" s="21" t="str">
        <f>IFERROR(VLOOKUP(I494, 'Price Sheet'!$A$2:$B1010, 2, false), "")</f>
        <v/>
      </c>
    </row>
    <row r="495">
      <c r="B495" s="21" t="str">
        <f t="shared" si="4"/>
        <v/>
      </c>
      <c r="C495" s="29"/>
      <c r="D495" s="29"/>
      <c r="E495" s="29" t="b">
        <v>0</v>
      </c>
      <c r="F495" s="29"/>
      <c r="G495" s="21" t="str">
        <f>IFERROR(VLOOKUP(A495, 'Price Sheet'!$A$2:$B1010, 2, false), "")</f>
        <v/>
      </c>
      <c r="J495" s="21" t="str">
        <f t="shared" si="3"/>
        <v/>
      </c>
      <c r="K495" s="29"/>
      <c r="L495" s="29" t="b">
        <v>0</v>
      </c>
      <c r="M495" s="29"/>
      <c r="N495" s="21" t="str">
        <f>IFERROR(VLOOKUP(I495, 'Price Sheet'!$A$2:$B1010, 2, false), "")</f>
        <v/>
      </c>
    </row>
    <row r="496">
      <c r="B496" s="21" t="str">
        <f t="shared" si="4"/>
        <v/>
      </c>
      <c r="C496" s="29"/>
      <c r="D496" s="29"/>
      <c r="E496" s="29" t="b">
        <v>0</v>
      </c>
      <c r="F496" s="29"/>
      <c r="G496" s="21" t="str">
        <f>IFERROR(VLOOKUP(A496, 'Price Sheet'!$A$2:$B1010, 2, false), "")</f>
        <v/>
      </c>
      <c r="J496" s="21" t="str">
        <f t="shared" si="3"/>
        <v/>
      </c>
      <c r="K496" s="29"/>
      <c r="L496" s="29" t="b">
        <v>0</v>
      </c>
      <c r="M496" s="29"/>
      <c r="N496" s="21" t="str">
        <f>IFERROR(VLOOKUP(I496, 'Price Sheet'!$A$2:$B1010, 2, false), "")</f>
        <v/>
      </c>
    </row>
    <row r="497">
      <c r="B497" s="21" t="str">
        <f t="shared" si="4"/>
        <v/>
      </c>
      <c r="C497" s="29"/>
      <c r="D497" s="29"/>
      <c r="E497" s="29" t="b">
        <v>0</v>
      </c>
      <c r="F497" s="29"/>
      <c r="G497" s="21" t="str">
        <f>IFERROR(VLOOKUP(A497, 'Price Sheet'!$A$2:$B1010, 2, false), "")</f>
        <v/>
      </c>
      <c r="J497" s="21" t="str">
        <f t="shared" si="3"/>
        <v/>
      </c>
      <c r="K497" s="29"/>
      <c r="L497" s="29" t="b">
        <v>0</v>
      </c>
      <c r="M497" s="29"/>
      <c r="N497" s="21" t="str">
        <f>IFERROR(VLOOKUP(I497, 'Price Sheet'!$A$2:$B1010, 2, false), "")</f>
        <v/>
      </c>
    </row>
    <row r="498">
      <c r="B498" s="21" t="str">
        <f t="shared" si="4"/>
        <v/>
      </c>
      <c r="C498" s="29"/>
      <c r="D498" s="29"/>
      <c r="E498" s="29" t="b">
        <v>0</v>
      </c>
      <c r="F498" s="29"/>
      <c r="G498" s="21" t="str">
        <f>IFERROR(VLOOKUP(A498, 'Price Sheet'!$A$2:$B1010, 2, false), "")</f>
        <v/>
      </c>
      <c r="J498" s="21" t="str">
        <f t="shared" si="3"/>
        <v/>
      </c>
      <c r="K498" s="29"/>
      <c r="L498" s="29" t="b">
        <v>0</v>
      </c>
      <c r="M498" s="29"/>
      <c r="N498" s="21" t="str">
        <f>IFERROR(VLOOKUP(I498, 'Price Sheet'!$A$2:$B1010, 2, false), "")</f>
        <v/>
      </c>
    </row>
    <row r="499">
      <c r="B499" s="21" t="str">
        <f t="shared" si="4"/>
        <v/>
      </c>
      <c r="C499" s="29"/>
      <c r="D499" s="29"/>
      <c r="E499" s="29" t="b">
        <v>0</v>
      </c>
      <c r="F499" s="29"/>
      <c r="G499" s="21" t="str">
        <f>IFERROR(VLOOKUP(A499, 'Price Sheet'!$A$2:$B1010, 2, false), "")</f>
        <v/>
      </c>
      <c r="J499" s="21" t="str">
        <f t="shared" si="3"/>
        <v/>
      </c>
      <c r="K499" s="29"/>
      <c r="L499" s="29" t="b">
        <v>0</v>
      </c>
      <c r="M499" s="29"/>
      <c r="N499" s="21" t="str">
        <f>IFERROR(VLOOKUP(I499, 'Price Sheet'!$A$2:$B1010, 2, false), "")</f>
        <v/>
      </c>
    </row>
    <row r="500">
      <c r="B500" s="21" t="str">
        <f t="shared" si="4"/>
        <v/>
      </c>
      <c r="C500" s="29"/>
      <c r="D500" s="29"/>
      <c r="E500" s="29" t="b">
        <v>0</v>
      </c>
      <c r="F500" s="29"/>
      <c r="G500" s="21" t="str">
        <f>IFERROR(VLOOKUP(A500, 'Price Sheet'!$A$2:$B1010, 2, false), "")</f>
        <v/>
      </c>
      <c r="J500" s="21" t="str">
        <f t="shared" si="3"/>
        <v/>
      </c>
      <c r="K500" s="29"/>
      <c r="L500" s="29" t="b">
        <v>0</v>
      </c>
      <c r="M500" s="29"/>
      <c r="N500" s="21" t="str">
        <f>IFERROR(VLOOKUP(I500, 'Price Sheet'!$A$2:$B1010, 2, false), "")</f>
        <v/>
      </c>
    </row>
    <row r="501">
      <c r="B501" s="21" t="str">
        <f t="shared" si="4"/>
        <v/>
      </c>
      <c r="C501" s="29"/>
      <c r="D501" s="29"/>
      <c r="E501" s="29" t="b">
        <v>0</v>
      </c>
      <c r="F501" s="29"/>
      <c r="G501" s="21" t="str">
        <f>IFERROR(VLOOKUP(A501, 'Price Sheet'!$A$2:$B1010, 2, false), "")</f>
        <v/>
      </c>
      <c r="J501" s="21" t="str">
        <f t="shared" si="3"/>
        <v/>
      </c>
      <c r="K501" s="29"/>
      <c r="L501" s="29" t="b">
        <v>0</v>
      </c>
      <c r="M501" s="29"/>
      <c r="N501" s="21" t="str">
        <f>IFERROR(VLOOKUP(I501, 'Price Sheet'!$A$2:$B1010, 2, false), "")</f>
        <v/>
      </c>
    </row>
    <row r="502">
      <c r="B502" s="21" t="str">
        <f t="shared" si="4"/>
        <v/>
      </c>
      <c r="C502" s="29"/>
      <c r="D502" s="29"/>
      <c r="E502" s="29" t="b">
        <v>0</v>
      </c>
      <c r="F502" s="29"/>
      <c r="G502" s="21" t="str">
        <f>IFERROR(VLOOKUP(A502, 'Price Sheet'!$A$2:$B1010, 2, false), "")</f>
        <v/>
      </c>
      <c r="J502" s="21" t="str">
        <f t="shared" si="3"/>
        <v/>
      </c>
      <c r="K502" s="29"/>
      <c r="L502" s="29" t="b">
        <v>0</v>
      </c>
      <c r="M502" s="29"/>
      <c r="N502" s="21" t="str">
        <f>IFERROR(VLOOKUP(I502, 'Price Sheet'!$A$2:$B1010, 2, false), "")</f>
        <v/>
      </c>
    </row>
    <row r="503">
      <c r="B503" s="21" t="str">
        <f t="shared" si="4"/>
        <v/>
      </c>
      <c r="C503" s="29"/>
      <c r="D503" s="29"/>
      <c r="E503" s="29" t="b">
        <v>0</v>
      </c>
      <c r="F503" s="29"/>
      <c r="G503" s="21" t="str">
        <f>IFERROR(VLOOKUP(A503, 'Price Sheet'!$A$2:$B1010, 2, false), "")</f>
        <v/>
      </c>
      <c r="J503" s="21" t="str">
        <f t="shared" si="3"/>
        <v/>
      </c>
      <c r="K503" s="29"/>
      <c r="L503" s="29" t="b">
        <v>0</v>
      </c>
      <c r="M503" s="29"/>
      <c r="N503" s="21" t="str">
        <f>IFERROR(VLOOKUP(I503, 'Price Sheet'!$A$2:$B1010, 2, false), "")</f>
        <v/>
      </c>
    </row>
    <row r="504">
      <c r="B504" s="21" t="str">
        <f t="shared" si="4"/>
        <v/>
      </c>
      <c r="C504" s="29"/>
      <c r="D504" s="29"/>
      <c r="E504" s="29" t="b">
        <v>0</v>
      </c>
      <c r="F504" s="29"/>
      <c r="G504" s="21" t="str">
        <f>IFERROR(VLOOKUP(A504, 'Price Sheet'!$A$2:$B1010, 2, false), "")</f>
        <v/>
      </c>
      <c r="J504" s="21" t="str">
        <f t="shared" si="3"/>
        <v/>
      </c>
      <c r="K504" s="29"/>
      <c r="L504" s="29" t="b">
        <v>0</v>
      </c>
      <c r="M504" s="29"/>
      <c r="N504" s="21" t="str">
        <f>IFERROR(VLOOKUP(I504, 'Price Sheet'!$A$2:$B1010, 2, false), "")</f>
        <v/>
      </c>
    </row>
    <row r="505">
      <c r="B505" s="21" t="str">
        <f t="shared" si="4"/>
        <v/>
      </c>
      <c r="C505" s="29"/>
      <c r="D505" s="29"/>
      <c r="E505" s="29" t="b">
        <v>0</v>
      </c>
      <c r="F505" s="29"/>
      <c r="G505" s="21" t="str">
        <f>IFERROR(VLOOKUP(A505, 'Price Sheet'!$A$2:$B1010, 2, false), "")</f>
        <v/>
      </c>
      <c r="J505" s="21" t="str">
        <f t="shared" si="3"/>
        <v/>
      </c>
      <c r="K505" s="29"/>
      <c r="L505" s="29" t="b">
        <v>0</v>
      </c>
      <c r="M505" s="29"/>
      <c r="N505" s="21" t="str">
        <f>IFERROR(VLOOKUP(I505, 'Price Sheet'!$A$2:$B1010, 2, false), "")</f>
        <v/>
      </c>
    </row>
    <row r="506">
      <c r="B506" s="21" t="str">
        <f t="shared" si="4"/>
        <v/>
      </c>
      <c r="C506" s="29"/>
      <c r="D506" s="29"/>
      <c r="E506" s="29" t="b">
        <v>0</v>
      </c>
      <c r="F506" s="29"/>
      <c r="G506" s="21" t="str">
        <f>IFERROR(VLOOKUP(A506, 'Price Sheet'!$A$2:$B1010, 2, false), "")</f>
        <v/>
      </c>
      <c r="J506" s="21" t="str">
        <f t="shared" si="3"/>
        <v/>
      </c>
      <c r="K506" s="29"/>
      <c r="L506" s="29" t="b">
        <v>0</v>
      </c>
      <c r="M506" s="29"/>
      <c r="N506" s="21" t="str">
        <f>IFERROR(VLOOKUP(I506, 'Price Sheet'!$A$2:$B1010, 2, false), "")</f>
        <v/>
      </c>
    </row>
    <row r="507">
      <c r="B507" s="21" t="str">
        <f t="shared" si="4"/>
        <v/>
      </c>
      <c r="C507" s="29"/>
      <c r="D507" s="29"/>
      <c r="E507" s="29" t="b">
        <v>0</v>
      </c>
      <c r="F507" s="29"/>
      <c r="G507" s="21" t="str">
        <f>IFERROR(VLOOKUP(A507, 'Price Sheet'!$A$2:$B1010, 2, false), "")</f>
        <v/>
      </c>
      <c r="J507" s="21" t="str">
        <f t="shared" si="3"/>
        <v/>
      </c>
      <c r="K507" s="29"/>
      <c r="L507" s="29" t="b">
        <v>0</v>
      </c>
      <c r="M507" s="29"/>
      <c r="N507" s="21" t="str">
        <f>IFERROR(VLOOKUP(I507, 'Price Sheet'!$A$2:$B1010, 2, false), "")</f>
        <v/>
      </c>
    </row>
    <row r="508">
      <c r="B508" s="21" t="str">
        <f t="shared" si="4"/>
        <v/>
      </c>
      <c r="C508" s="29"/>
      <c r="D508" s="29"/>
      <c r="E508" s="29" t="b">
        <v>0</v>
      </c>
      <c r="F508" s="29"/>
      <c r="G508" s="21" t="str">
        <f>IFERROR(VLOOKUP(A508, 'Price Sheet'!$A$2:$B1010, 2, false), "")</f>
        <v/>
      </c>
      <c r="J508" s="21" t="str">
        <f t="shared" si="3"/>
        <v/>
      </c>
      <c r="K508" s="29"/>
      <c r="L508" s="29" t="b">
        <v>0</v>
      </c>
      <c r="M508" s="29"/>
      <c r="N508" s="21" t="str">
        <f>IFERROR(VLOOKUP(I508, 'Price Sheet'!$A$2:$B1010, 2, false), "")</f>
        <v/>
      </c>
    </row>
    <row r="509">
      <c r="B509" s="21" t="str">
        <f t="shared" si="4"/>
        <v/>
      </c>
      <c r="C509" s="29"/>
      <c r="D509" s="29"/>
      <c r="E509" s="29" t="b">
        <v>0</v>
      </c>
      <c r="F509" s="29"/>
      <c r="G509" s="21" t="str">
        <f>IFERROR(VLOOKUP(A509, 'Price Sheet'!$A$2:$B1010, 2, false), "")</f>
        <v/>
      </c>
      <c r="J509" s="21" t="str">
        <f t="shared" si="3"/>
        <v/>
      </c>
      <c r="K509" s="29"/>
      <c r="L509" s="29" t="b">
        <v>0</v>
      </c>
      <c r="M509" s="29"/>
      <c r="N509" s="21" t="str">
        <f>IFERROR(VLOOKUP(I509, 'Price Sheet'!$A$2:$B1010, 2, false), "")</f>
        <v/>
      </c>
    </row>
    <row r="510">
      <c r="B510" s="21" t="str">
        <f t="shared" si="4"/>
        <v/>
      </c>
      <c r="C510" s="29"/>
      <c r="D510" s="29"/>
      <c r="E510" s="29" t="b">
        <v>0</v>
      </c>
      <c r="F510" s="29"/>
      <c r="G510" s="21" t="str">
        <f>IFERROR(VLOOKUP(A510, 'Price Sheet'!$A$2:$B1010, 2, false), "")</f>
        <v/>
      </c>
      <c r="J510" s="21" t="str">
        <f t="shared" si="3"/>
        <v/>
      </c>
      <c r="K510" s="29"/>
      <c r="L510" s="29" t="b">
        <v>0</v>
      </c>
      <c r="M510" s="29"/>
      <c r="N510" s="21" t="str">
        <f>IFERROR(VLOOKUP(I510, 'Price Sheet'!$A$2:$B1010, 2, false), "")</f>
        <v/>
      </c>
    </row>
    <row r="511">
      <c r="B511" s="21" t="str">
        <f t="shared" si="4"/>
        <v/>
      </c>
      <c r="C511" s="29"/>
      <c r="D511" s="29"/>
      <c r="E511" s="29" t="b">
        <v>0</v>
      </c>
      <c r="F511" s="29"/>
      <c r="G511" s="21" t="str">
        <f>IFERROR(VLOOKUP(A511, 'Price Sheet'!$A$2:$B1010, 2, false), "")</f>
        <v/>
      </c>
      <c r="J511" s="21" t="str">
        <f t="shared" si="3"/>
        <v/>
      </c>
      <c r="K511" s="29"/>
      <c r="L511" s="29" t="b">
        <v>0</v>
      </c>
      <c r="M511" s="29"/>
      <c r="N511" s="21" t="str">
        <f>IFERROR(VLOOKUP(I511, 'Price Sheet'!$A$2:$B1010, 2, false), "")</f>
        <v/>
      </c>
    </row>
    <row r="512">
      <c r="B512" s="21" t="str">
        <f t="shared" si="4"/>
        <v/>
      </c>
      <c r="C512" s="29"/>
      <c r="D512" s="29"/>
      <c r="E512" s="29" t="b">
        <v>0</v>
      </c>
      <c r="F512" s="29"/>
      <c r="G512" s="21" t="str">
        <f>IFERROR(VLOOKUP(A512, 'Price Sheet'!$A$2:$B1010, 2, false), "")</f>
        <v/>
      </c>
      <c r="J512" s="21" t="str">
        <f t="shared" si="3"/>
        <v/>
      </c>
      <c r="K512" s="29"/>
      <c r="L512" s="29" t="b">
        <v>0</v>
      </c>
      <c r="M512" s="29"/>
      <c r="N512" s="21" t="str">
        <f>IFERROR(VLOOKUP(I512, 'Price Sheet'!$A$2:$B1010, 2, false), "")</f>
        <v/>
      </c>
    </row>
    <row r="513">
      <c r="B513" s="21" t="str">
        <f t="shared" si="4"/>
        <v/>
      </c>
      <c r="C513" s="29"/>
      <c r="D513" s="29"/>
      <c r="E513" s="29" t="b">
        <v>0</v>
      </c>
      <c r="F513" s="29"/>
      <c r="G513" s="21" t="str">
        <f>IFERROR(VLOOKUP(A513, 'Price Sheet'!$A$2:$B1010, 2, false), "")</f>
        <v/>
      </c>
      <c r="J513" s="21" t="str">
        <f t="shared" si="3"/>
        <v/>
      </c>
      <c r="K513" s="29"/>
      <c r="L513" s="29" t="b">
        <v>0</v>
      </c>
      <c r="M513" s="29"/>
      <c r="N513" s="21" t="str">
        <f>IFERROR(VLOOKUP(I513, 'Price Sheet'!$A$2:$B1010, 2, false), "")</f>
        <v/>
      </c>
    </row>
    <row r="514">
      <c r="B514" s="21" t="str">
        <f t="shared" si="4"/>
        <v/>
      </c>
      <c r="C514" s="29"/>
      <c r="D514" s="29"/>
      <c r="E514" s="29" t="b">
        <v>0</v>
      </c>
      <c r="F514" s="29"/>
      <c r="G514" s="21" t="str">
        <f>IFERROR(VLOOKUP(A514, 'Price Sheet'!$A$2:$B1010, 2, false), "")</f>
        <v/>
      </c>
      <c r="J514" s="21" t="str">
        <f t="shared" si="3"/>
        <v/>
      </c>
      <c r="K514" s="29"/>
      <c r="L514" s="29" t="b">
        <v>0</v>
      </c>
      <c r="M514" s="29"/>
      <c r="N514" s="21" t="str">
        <f>IFERROR(VLOOKUP(I514, 'Price Sheet'!$A$2:$B1010, 2, false), "")</f>
        <v/>
      </c>
    </row>
    <row r="515">
      <c r="B515" s="21" t="str">
        <f t="shared" si="4"/>
        <v/>
      </c>
      <c r="C515" s="29"/>
      <c r="D515" s="29"/>
      <c r="E515" s="29" t="b">
        <v>0</v>
      </c>
      <c r="F515" s="29"/>
      <c r="G515" s="21" t="str">
        <f>IFERROR(VLOOKUP(A515, 'Price Sheet'!$A$2:$B1010, 2, false), "")</f>
        <v/>
      </c>
      <c r="J515" s="21" t="str">
        <f t="shared" si="3"/>
        <v/>
      </c>
      <c r="K515" s="29"/>
      <c r="L515" s="29" t="b">
        <v>0</v>
      </c>
      <c r="M515" s="29"/>
      <c r="N515" s="21" t="str">
        <f>IFERROR(VLOOKUP(I515, 'Price Sheet'!$A$2:$B1010, 2, false), "")</f>
        <v/>
      </c>
    </row>
    <row r="516">
      <c r="B516" s="21" t="str">
        <f t="shared" si="4"/>
        <v/>
      </c>
      <c r="C516" s="29"/>
      <c r="D516" s="29"/>
      <c r="E516" s="29" t="b">
        <v>0</v>
      </c>
      <c r="F516" s="29"/>
      <c r="G516" s="21" t="str">
        <f>IFERROR(VLOOKUP(A516, 'Price Sheet'!$A$2:$B1010, 2, false), "")</f>
        <v/>
      </c>
      <c r="J516" s="21" t="str">
        <f t="shared" si="3"/>
        <v/>
      </c>
      <c r="K516" s="29"/>
      <c r="L516" s="29" t="b">
        <v>0</v>
      </c>
      <c r="M516" s="29"/>
      <c r="N516" s="21" t="str">
        <f>IFERROR(VLOOKUP(I516, 'Price Sheet'!$A$2:$B1010, 2, false), "")</f>
        <v/>
      </c>
    </row>
    <row r="517">
      <c r="B517" s="21" t="str">
        <f t="shared" si="4"/>
        <v/>
      </c>
      <c r="C517" s="29"/>
      <c r="D517" s="29"/>
      <c r="E517" s="29" t="b">
        <v>0</v>
      </c>
      <c r="F517" s="29"/>
      <c r="G517" s="21" t="str">
        <f>IFERROR(VLOOKUP(A517, 'Price Sheet'!$A$2:$B1010, 2, false), "")</f>
        <v/>
      </c>
      <c r="J517" s="21" t="str">
        <f t="shared" si="3"/>
        <v/>
      </c>
      <c r="K517" s="29"/>
      <c r="L517" s="29" t="b">
        <v>0</v>
      </c>
      <c r="M517" s="29"/>
      <c r="N517" s="21" t="str">
        <f>IFERROR(VLOOKUP(I517, 'Price Sheet'!$A$2:$B1010, 2, false), "")</f>
        <v/>
      </c>
    </row>
    <row r="518">
      <c r="B518" s="21" t="str">
        <f t="shared" si="4"/>
        <v/>
      </c>
      <c r="C518" s="29"/>
      <c r="D518" s="29"/>
      <c r="E518" s="29" t="b">
        <v>0</v>
      </c>
      <c r="F518" s="29"/>
      <c r="G518" s="21" t="str">
        <f>IFERROR(VLOOKUP(A518, 'Price Sheet'!$A$2:$B1010, 2, false), "")</f>
        <v/>
      </c>
      <c r="J518" s="21" t="str">
        <f t="shared" si="3"/>
        <v/>
      </c>
      <c r="K518" s="29"/>
      <c r="L518" s="29" t="b">
        <v>0</v>
      </c>
      <c r="M518" s="29"/>
      <c r="N518" s="21" t="str">
        <f>IFERROR(VLOOKUP(I518, 'Price Sheet'!$A$2:$B1010, 2, false), "")</f>
        <v/>
      </c>
    </row>
    <row r="519">
      <c r="B519" s="21" t="str">
        <f t="shared" si="4"/>
        <v/>
      </c>
      <c r="C519" s="29"/>
      <c r="D519" s="29"/>
      <c r="E519" s="29" t="b">
        <v>0</v>
      </c>
      <c r="F519" s="29"/>
      <c r="G519" s="21" t="str">
        <f>IFERROR(VLOOKUP(A519, 'Price Sheet'!$A$2:$B1010, 2, false), "")</f>
        <v/>
      </c>
      <c r="J519" s="21" t="str">
        <f t="shared" si="3"/>
        <v/>
      </c>
      <c r="K519" s="29"/>
      <c r="L519" s="29" t="b">
        <v>0</v>
      </c>
      <c r="M519" s="29"/>
      <c r="N519" s="21" t="str">
        <f>IFERROR(VLOOKUP(I519, 'Price Sheet'!$A$2:$B1010, 2, false), "")</f>
        <v/>
      </c>
    </row>
    <row r="520">
      <c r="B520" s="21" t="str">
        <f t="shared" si="4"/>
        <v/>
      </c>
      <c r="C520" s="29"/>
      <c r="D520" s="29"/>
      <c r="E520" s="29" t="b">
        <v>0</v>
      </c>
      <c r="F520" s="29"/>
      <c r="G520" s="21" t="str">
        <f>IFERROR(VLOOKUP(A520, 'Price Sheet'!$A$2:$B1010, 2, false), "")</f>
        <v/>
      </c>
      <c r="J520" s="21" t="str">
        <f t="shared" si="3"/>
        <v/>
      </c>
      <c r="K520" s="29"/>
      <c r="L520" s="29" t="b">
        <v>0</v>
      </c>
      <c r="M520" s="29"/>
      <c r="N520" s="21" t="str">
        <f>IFERROR(VLOOKUP(I520, 'Price Sheet'!$A$2:$B1010, 2, false), "")</f>
        <v/>
      </c>
    </row>
    <row r="521">
      <c r="B521" s="21" t="str">
        <f t="shared" si="4"/>
        <v/>
      </c>
      <c r="C521" s="29"/>
      <c r="D521" s="29"/>
      <c r="E521" s="29" t="b">
        <v>0</v>
      </c>
      <c r="F521" s="29"/>
      <c r="G521" s="21" t="str">
        <f>IFERROR(VLOOKUP(A521, 'Price Sheet'!$A$2:$B1010, 2, false), "")</f>
        <v/>
      </c>
      <c r="J521" s="21" t="str">
        <f t="shared" si="3"/>
        <v/>
      </c>
      <c r="K521" s="29"/>
      <c r="L521" s="29" t="b">
        <v>0</v>
      </c>
      <c r="M521" s="29"/>
      <c r="N521" s="21" t="str">
        <f>IFERROR(VLOOKUP(I521, 'Price Sheet'!$A$2:$B1010, 2, false), "")</f>
        <v/>
      </c>
    </row>
    <row r="522">
      <c r="B522" s="21" t="str">
        <f t="shared" si="4"/>
        <v/>
      </c>
      <c r="C522" s="29"/>
      <c r="D522" s="29"/>
      <c r="E522" s="29" t="b">
        <v>0</v>
      </c>
      <c r="F522" s="29"/>
      <c r="G522" s="21" t="str">
        <f>IFERROR(VLOOKUP(A522, 'Price Sheet'!$A$2:$B1010, 2, false), "")</f>
        <v/>
      </c>
      <c r="J522" s="21" t="str">
        <f t="shared" si="3"/>
        <v/>
      </c>
      <c r="K522" s="29"/>
      <c r="L522" s="29" t="b">
        <v>0</v>
      </c>
      <c r="M522" s="29"/>
      <c r="N522" s="21" t="str">
        <f>IFERROR(VLOOKUP(I522, 'Price Sheet'!$A$2:$B1010, 2, false), "")</f>
        <v/>
      </c>
    </row>
    <row r="523">
      <c r="B523" s="21" t="str">
        <f t="shared" si="4"/>
        <v/>
      </c>
      <c r="C523" s="29"/>
      <c r="D523" s="29"/>
      <c r="E523" s="29" t="b">
        <v>0</v>
      </c>
      <c r="F523" s="29"/>
      <c r="G523" s="21" t="str">
        <f>IFERROR(VLOOKUP(A523, 'Price Sheet'!$A$2:$B1010, 2, false), "")</f>
        <v/>
      </c>
      <c r="J523" s="21" t="str">
        <f t="shared" si="3"/>
        <v/>
      </c>
      <c r="K523" s="29"/>
      <c r="L523" s="29" t="b">
        <v>0</v>
      </c>
      <c r="M523" s="29"/>
      <c r="N523" s="21" t="str">
        <f>IFERROR(VLOOKUP(I523, 'Price Sheet'!$A$2:$B1010, 2, false), "")</f>
        <v/>
      </c>
    </row>
    <row r="524">
      <c r="B524" s="21" t="str">
        <f t="shared" si="4"/>
        <v/>
      </c>
      <c r="C524" s="29"/>
      <c r="D524" s="29"/>
      <c r="E524" s="29" t="b">
        <v>0</v>
      </c>
      <c r="F524" s="29"/>
      <c r="G524" s="21" t="str">
        <f>IFERROR(VLOOKUP(A524, 'Price Sheet'!$A$2:$B1010, 2, false), "")</f>
        <v/>
      </c>
      <c r="J524" s="21" t="str">
        <f t="shared" si="3"/>
        <v/>
      </c>
      <c r="K524" s="29"/>
      <c r="L524" s="29" t="b">
        <v>0</v>
      </c>
      <c r="M524" s="29"/>
      <c r="N524" s="21" t="str">
        <f>IFERROR(VLOOKUP(I524, 'Price Sheet'!$A$2:$B1010, 2, false), "")</f>
        <v/>
      </c>
    </row>
    <row r="525">
      <c r="B525" s="21" t="str">
        <f t="shared" si="4"/>
        <v/>
      </c>
      <c r="C525" s="29"/>
      <c r="D525" s="29"/>
      <c r="E525" s="29" t="b">
        <v>0</v>
      </c>
      <c r="F525" s="29"/>
      <c r="G525" s="21" t="str">
        <f>IFERROR(VLOOKUP(A525, 'Price Sheet'!$A$2:$B1010, 2, false), "")</f>
        <v/>
      </c>
      <c r="J525" s="21" t="str">
        <f t="shared" si="3"/>
        <v/>
      </c>
      <c r="K525" s="29"/>
      <c r="L525" s="29" t="b">
        <v>0</v>
      </c>
      <c r="M525" s="29"/>
      <c r="N525" s="21" t="str">
        <f>IFERROR(VLOOKUP(I525, 'Price Sheet'!$A$2:$B1010, 2, false), "")</f>
        <v/>
      </c>
    </row>
    <row r="526">
      <c r="B526" s="21" t="str">
        <f t="shared" si="4"/>
        <v/>
      </c>
      <c r="C526" s="29"/>
      <c r="D526" s="29"/>
      <c r="E526" s="29" t="b">
        <v>0</v>
      </c>
      <c r="F526" s="29"/>
      <c r="G526" s="21" t="str">
        <f>IFERROR(VLOOKUP(A526, 'Price Sheet'!$A$2:$B1010, 2, false), "")</f>
        <v/>
      </c>
      <c r="J526" s="21" t="str">
        <f t="shared" si="3"/>
        <v/>
      </c>
      <c r="K526" s="29"/>
      <c r="L526" s="29" t="b">
        <v>0</v>
      </c>
      <c r="M526" s="29"/>
      <c r="N526" s="21" t="str">
        <f>IFERROR(VLOOKUP(I526, 'Price Sheet'!$A$2:$B1010, 2, false), "")</f>
        <v/>
      </c>
    </row>
    <row r="527">
      <c r="B527" s="21" t="str">
        <f t="shared" si="4"/>
        <v/>
      </c>
      <c r="C527" s="29"/>
      <c r="D527" s="29"/>
      <c r="E527" s="29" t="b">
        <v>0</v>
      </c>
      <c r="F527" s="29"/>
      <c r="G527" s="21" t="str">
        <f>IFERROR(VLOOKUP(A527, 'Price Sheet'!$A$2:$B1010, 2, false), "")</f>
        <v/>
      </c>
      <c r="J527" s="21" t="str">
        <f t="shared" si="3"/>
        <v/>
      </c>
      <c r="K527" s="29"/>
      <c r="L527" s="29" t="b">
        <v>0</v>
      </c>
      <c r="M527" s="29"/>
      <c r="N527" s="21" t="str">
        <f>IFERROR(VLOOKUP(I527, 'Price Sheet'!$A$2:$B1010, 2, false), "")</f>
        <v/>
      </c>
    </row>
    <row r="528">
      <c r="B528" s="21" t="str">
        <f t="shared" si="4"/>
        <v/>
      </c>
      <c r="C528" s="29"/>
      <c r="D528" s="29"/>
      <c r="E528" s="29" t="b">
        <v>0</v>
      </c>
      <c r="F528" s="29"/>
      <c r="G528" s="21" t="str">
        <f>IFERROR(VLOOKUP(A528, 'Price Sheet'!$A$2:$B1010, 2, false), "")</f>
        <v/>
      </c>
      <c r="J528" s="21" t="str">
        <f t="shared" si="3"/>
        <v/>
      </c>
      <c r="K528" s="29"/>
      <c r="L528" s="29" t="b">
        <v>0</v>
      </c>
      <c r="M528" s="29"/>
      <c r="N528" s="21" t="str">
        <f>IFERROR(VLOOKUP(I528, 'Price Sheet'!$A$2:$B1010, 2, false), "")</f>
        <v/>
      </c>
    </row>
    <row r="529">
      <c r="B529" s="21" t="str">
        <f t="shared" si="4"/>
        <v/>
      </c>
      <c r="C529" s="29"/>
      <c r="D529" s="29"/>
      <c r="E529" s="29" t="b">
        <v>0</v>
      </c>
      <c r="F529" s="29"/>
      <c r="G529" s="21" t="str">
        <f>IFERROR(VLOOKUP(A529, 'Price Sheet'!$A$2:$B1010, 2, false), "")</f>
        <v/>
      </c>
      <c r="J529" s="21" t="str">
        <f t="shared" si="3"/>
        <v/>
      </c>
      <c r="K529" s="29"/>
      <c r="L529" s="29" t="b">
        <v>0</v>
      </c>
      <c r="M529" s="29"/>
      <c r="N529" s="21" t="str">
        <f>IFERROR(VLOOKUP(I529, 'Price Sheet'!$A$2:$B1010, 2, false), "")</f>
        <v/>
      </c>
    </row>
    <row r="530">
      <c r="B530" s="21" t="str">
        <f t="shared" si="4"/>
        <v/>
      </c>
      <c r="C530" s="29"/>
      <c r="D530" s="29"/>
      <c r="E530" s="29" t="b">
        <v>0</v>
      </c>
      <c r="F530" s="29"/>
      <c r="G530" s="21" t="str">
        <f>IFERROR(VLOOKUP(A530, 'Price Sheet'!$A$2:$B1010, 2, false), "")</f>
        <v/>
      </c>
      <c r="J530" s="21" t="str">
        <f t="shared" si="3"/>
        <v/>
      </c>
      <c r="K530" s="29"/>
      <c r="L530" s="29" t="b">
        <v>0</v>
      </c>
      <c r="M530" s="29"/>
      <c r="N530" s="21" t="str">
        <f>IFERROR(VLOOKUP(I530, 'Price Sheet'!$A$2:$B1010, 2, false), "")</f>
        <v/>
      </c>
    </row>
    <row r="531">
      <c r="B531" s="21" t="str">
        <f t="shared" si="4"/>
        <v/>
      </c>
      <c r="C531" s="29"/>
      <c r="D531" s="29"/>
      <c r="E531" s="29" t="b">
        <v>0</v>
      </c>
      <c r="F531" s="29"/>
      <c r="G531" s="21" t="str">
        <f>IFERROR(VLOOKUP(A531, 'Price Sheet'!$A$2:$B1010, 2, false), "")</f>
        <v/>
      </c>
      <c r="J531" s="21" t="str">
        <f t="shared" si="3"/>
        <v/>
      </c>
      <c r="K531" s="29"/>
      <c r="L531" s="29" t="b">
        <v>0</v>
      </c>
      <c r="M531" s="29"/>
      <c r="N531" s="21" t="str">
        <f>IFERROR(VLOOKUP(I531, 'Price Sheet'!$A$2:$B1010, 2, false), "")</f>
        <v/>
      </c>
    </row>
    <row r="532">
      <c r="B532" s="21" t="str">
        <f t="shared" si="4"/>
        <v/>
      </c>
      <c r="C532" s="29"/>
      <c r="D532" s="29"/>
      <c r="E532" s="29" t="b">
        <v>0</v>
      </c>
      <c r="F532" s="29"/>
      <c r="G532" s="21" t="str">
        <f>IFERROR(VLOOKUP(A532, 'Price Sheet'!$A$2:$B1010, 2, false), "")</f>
        <v/>
      </c>
      <c r="J532" s="21" t="str">
        <f t="shared" si="3"/>
        <v/>
      </c>
      <c r="K532" s="29"/>
      <c r="L532" s="29" t="b">
        <v>0</v>
      </c>
      <c r="M532" s="29"/>
      <c r="N532" s="21" t="str">
        <f>IFERROR(VLOOKUP(I532, 'Price Sheet'!$A$2:$B1010, 2, false), "")</f>
        <v/>
      </c>
    </row>
    <row r="533">
      <c r="B533" s="21" t="str">
        <f t="shared" si="4"/>
        <v/>
      </c>
      <c r="C533" s="29"/>
      <c r="D533" s="29"/>
      <c r="E533" s="29" t="b">
        <v>0</v>
      </c>
      <c r="F533" s="29"/>
      <c r="G533" s="21" t="str">
        <f>IFERROR(VLOOKUP(A533, 'Price Sheet'!$A$2:$B1010, 2, false), "")</f>
        <v/>
      </c>
      <c r="J533" s="21" t="str">
        <f t="shared" si="3"/>
        <v/>
      </c>
      <c r="K533" s="29"/>
      <c r="L533" s="29" t="b">
        <v>0</v>
      </c>
      <c r="M533" s="29"/>
      <c r="N533" s="21" t="str">
        <f>IFERROR(VLOOKUP(I533, 'Price Sheet'!$A$2:$B1010, 2, false), "")</f>
        <v/>
      </c>
    </row>
    <row r="534">
      <c r="B534" s="21" t="str">
        <f t="shared" si="4"/>
        <v/>
      </c>
      <c r="C534" s="29"/>
      <c r="D534" s="29"/>
      <c r="E534" s="29" t="b">
        <v>0</v>
      </c>
      <c r="F534" s="29"/>
      <c r="G534" s="21" t="str">
        <f>IFERROR(VLOOKUP(A534, 'Price Sheet'!$A$2:$B1010, 2, false), "")</f>
        <v/>
      </c>
      <c r="J534" s="21" t="str">
        <f t="shared" si="3"/>
        <v/>
      </c>
      <c r="K534" s="29"/>
      <c r="L534" s="29" t="b">
        <v>0</v>
      </c>
      <c r="M534" s="29"/>
      <c r="N534" s="21" t="str">
        <f>IFERROR(VLOOKUP(I534, 'Price Sheet'!$A$2:$B1010, 2, false), "")</f>
        <v/>
      </c>
    </row>
    <row r="535">
      <c r="B535" s="21" t="str">
        <f t="shared" si="4"/>
        <v/>
      </c>
      <c r="C535" s="29"/>
      <c r="D535" s="29"/>
      <c r="E535" s="29" t="b">
        <v>0</v>
      </c>
      <c r="F535" s="29"/>
      <c r="G535" s="21" t="str">
        <f>IFERROR(VLOOKUP(A535, 'Price Sheet'!$A$2:$B1010, 2, false), "")</f>
        <v/>
      </c>
      <c r="J535" s="21" t="str">
        <f t="shared" si="3"/>
        <v/>
      </c>
      <c r="K535" s="29"/>
      <c r="L535" s="29" t="b">
        <v>0</v>
      </c>
      <c r="M535" s="29"/>
      <c r="N535" s="21" t="str">
        <f>IFERROR(VLOOKUP(I535, 'Price Sheet'!$A$2:$B1010, 2, false), "")</f>
        <v/>
      </c>
    </row>
    <row r="536">
      <c r="B536" s="21" t="str">
        <f t="shared" si="4"/>
        <v/>
      </c>
      <c r="C536" s="29"/>
      <c r="D536" s="29"/>
      <c r="E536" s="29" t="b">
        <v>0</v>
      </c>
      <c r="F536" s="29"/>
      <c r="G536" s="21" t="str">
        <f>IFERROR(VLOOKUP(A536, 'Price Sheet'!$A$2:$B1010, 2, false), "")</f>
        <v/>
      </c>
      <c r="J536" s="21" t="str">
        <f t="shared" si="3"/>
        <v/>
      </c>
      <c r="K536" s="29"/>
      <c r="L536" s="29" t="b">
        <v>0</v>
      </c>
      <c r="M536" s="29"/>
      <c r="N536" s="21" t="str">
        <f>IFERROR(VLOOKUP(I536, 'Price Sheet'!$A$2:$B1010, 2, false), "")</f>
        <v/>
      </c>
    </row>
    <row r="537">
      <c r="B537" s="21" t="str">
        <f t="shared" si="4"/>
        <v/>
      </c>
      <c r="C537" s="29"/>
      <c r="D537" s="29"/>
      <c r="E537" s="29" t="b">
        <v>0</v>
      </c>
      <c r="F537" s="29"/>
      <c r="G537" s="21" t="str">
        <f>IFERROR(VLOOKUP(A537, 'Price Sheet'!$A$2:$B1010, 2, false), "")</f>
        <v/>
      </c>
      <c r="J537" s="21" t="str">
        <f t="shared" si="3"/>
        <v/>
      </c>
      <c r="K537" s="29"/>
      <c r="L537" s="29" t="b">
        <v>0</v>
      </c>
      <c r="M537" s="29"/>
      <c r="N537" s="21" t="str">
        <f>IFERROR(VLOOKUP(I537, 'Price Sheet'!$A$2:$B1010, 2, false), "")</f>
        <v/>
      </c>
    </row>
    <row r="538">
      <c r="B538" s="21" t="str">
        <f t="shared" si="4"/>
        <v/>
      </c>
      <c r="C538" s="29"/>
      <c r="D538" s="29"/>
      <c r="E538" s="29" t="b">
        <v>0</v>
      </c>
      <c r="F538" s="29"/>
      <c r="G538" s="21" t="str">
        <f>IFERROR(VLOOKUP(A538, 'Price Sheet'!$A$2:$B1010, 2, false), "")</f>
        <v/>
      </c>
      <c r="J538" s="21" t="str">
        <f t="shared" si="3"/>
        <v/>
      </c>
      <c r="K538" s="29"/>
      <c r="L538" s="29" t="b">
        <v>0</v>
      </c>
      <c r="M538" s="29"/>
      <c r="N538" s="21" t="str">
        <f>IFERROR(VLOOKUP(I538, 'Price Sheet'!$A$2:$B1010, 2, false), "")</f>
        <v/>
      </c>
    </row>
    <row r="539">
      <c r="B539" s="21" t="str">
        <f t="shared" si="4"/>
        <v/>
      </c>
      <c r="C539" s="29"/>
      <c r="D539" s="29"/>
      <c r="E539" s="29" t="b">
        <v>0</v>
      </c>
      <c r="F539" s="29"/>
      <c r="G539" s="21" t="str">
        <f>IFERROR(VLOOKUP(A539, 'Price Sheet'!$A$2:$B1010, 2, false), "")</f>
        <v/>
      </c>
      <c r="J539" s="21" t="str">
        <f t="shared" si="3"/>
        <v/>
      </c>
      <c r="K539" s="29"/>
      <c r="L539" s="29" t="b">
        <v>0</v>
      </c>
      <c r="M539" s="29"/>
      <c r="N539" s="21" t="str">
        <f>IFERROR(VLOOKUP(I539, 'Price Sheet'!$A$2:$B1010, 2, false), "")</f>
        <v/>
      </c>
    </row>
    <row r="540">
      <c r="B540" s="21" t="str">
        <f t="shared" si="4"/>
        <v/>
      </c>
      <c r="C540" s="29"/>
      <c r="D540" s="29"/>
      <c r="E540" s="29" t="b">
        <v>0</v>
      </c>
      <c r="F540" s="29"/>
      <c r="G540" s="21" t="str">
        <f>IFERROR(VLOOKUP(A540, 'Price Sheet'!$A$2:$B1010, 2, false), "")</f>
        <v/>
      </c>
      <c r="J540" s="21" t="str">
        <f t="shared" si="3"/>
        <v/>
      </c>
      <c r="K540" s="29"/>
      <c r="L540" s="29" t="b">
        <v>0</v>
      </c>
      <c r="M540" s="29"/>
      <c r="N540" s="21" t="str">
        <f>IFERROR(VLOOKUP(I540, 'Price Sheet'!$A$2:$B1010, 2, false), "")</f>
        <v/>
      </c>
    </row>
    <row r="541">
      <c r="B541" s="21" t="str">
        <f t="shared" si="4"/>
        <v/>
      </c>
      <c r="C541" s="29"/>
      <c r="D541" s="29"/>
      <c r="E541" s="29" t="b">
        <v>0</v>
      </c>
      <c r="F541" s="29"/>
      <c r="G541" s="21" t="str">
        <f>IFERROR(VLOOKUP(A541, 'Price Sheet'!$A$2:$B1010, 2, false), "")</f>
        <v/>
      </c>
      <c r="J541" s="21" t="str">
        <f t="shared" si="3"/>
        <v/>
      </c>
      <c r="K541" s="29"/>
      <c r="L541" s="29" t="b">
        <v>0</v>
      </c>
      <c r="M541" s="29"/>
      <c r="N541" s="21" t="str">
        <f>IFERROR(VLOOKUP(I541, 'Price Sheet'!$A$2:$B1010, 2, false), "")</f>
        <v/>
      </c>
    </row>
    <row r="542">
      <c r="B542" s="21" t="str">
        <f t="shared" si="4"/>
        <v/>
      </c>
      <c r="C542" s="29"/>
      <c r="D542" s="29"/>
      <c r="E542" s="29" t="b">
        <v>0</v>
      </c>
      <c r="F542" s="29"/>
      <c r="G542" s="21" t="str">
        <f>IFERROR(VLOOKUP(A542, 'Price Sheet'!$A$2:$B1010, 2, false), "")</f>
        <v/>
      </c>
      <c r="J542" s="21" t="str">
        <f t="shared" si="3"/>
        <v/>
      </c>
      <c r="K542" s="29"/>
      <c r="L542" s="29" t="b">
        <v>0</v>
      </c>
      <c r="M542" s="29"/>
      <c r="N542" s="21" t="str">
        <f>IFERROR(VLOOKUP(I542, 'Price Sheet'!$A$2:$B1010, 2, false), "")</f>
        <v/>
      </c>
    </row>
    <row r="543">
      <c r="B543" s="21" t="str">
        <f t="shared" si="4"/>
        <v/>
      </c>
      <c r="C543" s="29"/>
      <c r="D543" s="29"/>
      <c r="E543" s="29" t="b">
        <v>0</v>
      </c>
      <c r="F543" s="29"/>
      <c r="G543" s="21" t="str">
        <f>IFERROR(VLOOKUP(A543, 'Price Sheet'!$A$2:$B1010, 2, false), "")</f>
        <v/>
      </c>
      <c r="J543" s="21" t="str">
        <f t="shared" si="3"/>
        <v/>
      </c>
      <c r="K543" s="29"/>
      <c r="L543" s="29" t="b">
        <v>0</v>
      </c>
      <c r="M543" s="29"/>
      <c r="N543" s="21" t="str">
        <f>IFERROR(VLOOKUP(I543, 'Price Sheet'!$A$2:$B1010, 2, false), "")</f>
        <v/>
      </c>
    </row>
    <row r="544">
      <c r="B544" s="21" t="str">
        <f t="shared" si="4"/>
        <v/>
      </c>
      <c r="C544" s="29"/>
      <c r="D544" s="29"/>
      <c r="E544" s="29" t="b">
        <v>0</v>
      </c>
      <c r="F544" s="29"/>
      <c r="G544" s="21" t="str">
        <f>IFERROR(VLOOKUP(A544, 'Price Sheet'!$A$2:$B1010, 2, false), "")</f>
        <v/>
      </c>
      <c r="J544" s="21" t="str">
        <f t="shared" si="3"/>
        <v/>
      </c>
      <c r="K544" s="29"/>
      <c r="L544" s="29" t="b">
        <v>0</v>
      </c>
      <c r="M544" s="29"/>
      <c r="N544" s="21" t="str">
        <f>IFERROR(VLOOKUP(I544, 'Price Sheet'!$A$2:$B1010, 2, false), "")</f>
        <v/>
      </c>
    </row>
    <row r="545">
      <c r="B545" s="21" t="str">
        <f t="shared" si="4"/>
        <v/>
      </c>
      <c r="C545" s="29"/>
      <c r="D545" s="29"/>
      <c r="E545" s="29" t="b">
        <v>0</v>
      </c>
      <c r="F545" s="29"/>
      <c r="G545" s="21" t="str">
        <f>IFERROR(VLOOKUP(A545, 'Price Sheet'!$A$2:$B1010, 2, false), "")</f>
        <v/>
      </c>
      <c r="J545" s="21" t="str">
        <f t="shared" si="3"/>
        <v/>
      </c>
      <c r="K545" s="29"/>
      <c r="L545" s="29" t="b">
        <v>0</v>
      </c>
      <c r="M545" s="29"/>
      <c r="N545" s="21" t="str">
        <f>IFERROR(VLOOKUP(I545, 'Price Sheet'!$A$2:$B1010, 2, false), "")</f>
        <v/>
      </c>
    </row>
    <row r="546">
      <c r="B546" s="21" t="str">
        <f t="shared" si="4"/>
        <v/>
      </c>
      <c r="C546" s="29"/>
      <c r="D546" s="29"/>
      <c r="E546" s="29" t="b">
        <v>0</v>
      </c>
      <c r="F546" s="29"/>
      <c r="G546" s="21" t="str">
        <f>IFERROR(VLOOKUP(A546, 'Price Sheet'!$A$2:$B1010, 2, false), "")</f>
        <v/>
      </c>
      <c r="J546" s="21" t="str">
        <f t="shared" si="3"/>
        <v/>
      </c>
      <c r="K546" s="29"/>
      <c r="L546" s="29" t="b">
        <v>0</v>
      </c>
      <c r="M546" s="29"/>
      <c r="N546" s="21" t="str">
        <f>IFERROR(VLOOKUP(I546, 'Price Sheet'!$A$2:$B1010, 2, false), "")</f>
        <v/>
      </c>
    </row>
    <row r="547">
      <c r="B547" s="21" t="str">
        <f t="shared" si="4"/>
        <v/>
      </c>
      <c r="C547" s="29"/>
      <c r="D547" s="29"/>
      <c r="E547" s="29" t="b">
        <v>0</v>
      </c>
      <c r="F547" s="29"/>
      <c r="G547" s="21" t="str">
        <f>IFERROR(VLOOKUP(A547, 'Price Sheet'!$A$2:$B1010, 2, false), "")</f>
        <v/>
      </c>
      <c r="J547" s="21" t="str">
        <f t="shared" si="3"/>
        <v/>
      </c>
      <c r="K547" s="29"/>
      <c r="L547" s="29" t="b">
        <v>0</v>
      </c>
      <c r="M547" s="29"/>
      <c r="N547" s="21" t="str">
        <f>IFERROR(VLOOKUP(I547, 'Price Sheet'!$A$2:$B1010, 2, false), "")</f>
        <v/>
      </c>
    </row>
    <row r="548">
      <c r="B548" s="21" t="str">
        <f t="shared" si="4"/>
        <v/>
      </c>
      <c r="C548" s="29"/>
      <c r="D548" s="29"/>
      <c r="E548" s="29" t="b">
        <v>0</v>
      </c>
      <c r="F548" s="29"/>
      <c r="G548" s="21" t="str">
        <f>IFERROR(VLOOKUP(A548, 'Price Sheet'!$A$2:$B1010, 2, false), "")</f>
        <v/>
      </c>
      <c r="J548" s="21" t="str">
        <f t="shared" si="3"/>
        <v/>
      </c>
      <c r="K548" s="29"/>
      <c r="L548" s="29" t="b">
        <v>0</v>
      </c>
      <c r="M548" s="29"/>
      <c r="N548" s="21" t="str">
        <f>IFERROR(VLOOKUP(I548, 'Price Sheet'!$A$2:$B1010, 2, false), "")</f>
        <v/>
      </c>
    </row>
    <row r="549">
      <c r="B549" s="21" t="str">
        <f t="shared" si="4"/>
        <v/>
      </c>
      <c r="C549" s="29"/>
      <c r="D549" s="29"/>
      <c r="E549" s="29" t="b">
        <v>0</v>
      </c>
      <c r="F549" s="29"/>
      <c r="G549" s="21" t="str">
        <f>IFERROR(VLOOKUP(A549, 'Price Sheet'!$A$2:$B1010, 2, false), "")</f>
        <v/>
      </c>
      <c r="J549" s="21" t="str">
        <f t="shared" si="3"/>
        <v/>
      </c>
      <c r="K549" s="29"/>
      <c r="L549" s="29" t="b">
        <v>0</v>
      </c>
      <c r="M549" s="29"/>
      <c r="N549" s="21" t="str">
        <f>IFERROR(VLOOKUP(I549, 'Price Sheet'!$A$2:$B1010, 2, false), "")</f>
        <v/>
      </c>
    </row>
    <row r="550">
      <c r="B550" s="21" t="str">
        <f t="shared" si="4"/>
        <v/>
      </c>
      <c r="C550" s="29"/>
      <c r="D550" s="29"/>
      <c r="E550" s="29" t="b">
        <v>0</v>
      </c>
      <c r="F550" s="29"/>
      <c r="G550" s="21" t="str">
        <f>IFERROR(VLOOKUP(A550, 'Price Sheet'!$A$2:$B1010, 2, false), "")</f>
        <v/>
      </c>
      <c r="J550" s="21" t="str">
        <f t="shared" si="3"/>
        <v/>
      </c>
      <c r="K550" s="29"/>
      <c r="L550" s="29" t="b">
        <v>0</v>
      </c>
      <c r="M550" s="29"/>
      <c r="N550" s="21" t="str">
        <f>IFERROR(VLOOKUP(I550, 'Price Sheet'!$A$2:$B1010, 2, false), "")</f>
        <v/>
      </c>
    </row>
    <row r="551">
      <c r="B551" s="21" t="str">
        <f t="shared" si="4"/>
        <v/>
      </c>
      <c r="C551" s="29"/>
      <c r="D551" s="29"/>
      <c r="E551" s="29" t="b">
        <v>0</v>
      </c>
      <c r="F551" s="29"/>
      <c r="G551" s="21" t="str">
        <f>IFERROR(VLOOKUP(A551, 'Price Sheet'!$A$2:$B1010, 2, false), "")</f>
        <v/>
      </c>
      <c r="J551" s="21" t="str">
        <f t="shared" si="3"/>
        <v/>
      </c>
      <c r="K551" s="29"/>
      <c r="L551" s="29" t="b">
        <v>0</v>
      </c>
      <c r="M551" s="29"/>
      <c r="N551" s="21" t="str">
        <f>IFERROR(VLOOKUP(I551, 'Price Sheet'!$A$2:$B1010, 2, false), "")</f>
        <v/>
      </c>
    </row>
    <row r="552">
      <c r="B552" s="21" t="str">
        <f t="shared" si="4"/>
        <v/>
      </c>
      <c r="C552" s="29"/>
      <c r="D552" s="29"/>
      <c r="E552" s="29" t="b">
        <v>0</v>
      </c>
      <c r="F552" s="29"/>
      <c r="G552" s="21" t="str">
        <f>IFERROR(VLOOKUP(A552, 'Price Sheet'!$A$2:$B1010, 2, false), "")</f>
        <v/>
      </c>
      <c r="J552" s="21" t="str">
        <f t="shared" si="3"/>
        <v/>
      </c>
      <c r="K552" s="29"/>
      <c r="L552" s="29" t="b">
        <v>0</v>
      </c>
      <c r="M552" s="29"/>
      <c r="N552" s="21" t="str">
        <f>IFERROR(VLOOKUP(I552, 'Price Sheet'!$A$2:$B1010, 2, false), "")</f>
        <v/>
      </c>
    </row>
    <row r="553">
      <c r="B553" s="21" t="str">
        <f t="shared" si="4"/>
        <v/>
      </c>
      <c r="C553" s="29"/>
      <c r="D553" s="29"/>
      <c r="E553" s="29" t="b">
        <v>0</v>
      </c>
      <c r="F553" s="29"/>
      <c r="G553" s="21" t="str">
        <f>IFERROR(VLOOKUP(A553, 'Price Sheet'!$A$2:$B1010, 2, false), "")</f>
        <v/>
      </c>
      <c r="J553" s="21" t="str">
        <f t="shared" si="3"/>
        <v/>
      </c>
      <c r="K553" s="29"/>
      <c r="L553" s="29" t="b">
        <v>0</v>
      </c>
      <c r="M553" s="29"/>
      <c r="N553" s="21" t="str">
        <f>IFERROR(VLOOKUP(I553, 'Price Sheet'!$A$2:$B1010, 2, false), "")</f>
        <v/>
      </c>
    </row>
    <row r="554">
      <c r="B554" s="21" t="str">
        <f t="shared" si="4"/>
        <v/>
      </c>
      <c r="C554" s="29"/>
      <c r="D554" s="29"/>
      <c r="E554" s="29" t="b">
        <v>0</v>
      </c>
      <c r="F554" s="29"/>
      <c r="G554" s="21" t="str">
        <f>IFERROR(VLOOKUP(A554, 'Price Sheet'!$A$2:$B1010, 2, false), "")</f>
        <v/>
      </c>
      <c r="J554" s="21" t="str">
        <f t="shared" si="3"/>
        <v/>
      </c>
      <c r="K554" s="29"/>
      <c r="L554" s="29" t="b">
        <v>0</v>
      </c>
      <c r="M554" s="29"/>
      <c r="N554" s="21" t="str">
        <f>IFERROR(VLOOKUP(I554, 'Price Sheet'!$A$2:$B1010, 2, false), "")</f>
        <v/>
      </c>
    </row>
    <row r="555">
      <c r="B555" s="21" t="str">
        <f t="shared" si="4"/>
        <v/>
      </c>
      <c r="C555" s="29"/>
      <c r="D555" s="29"/>
      <c r="E555" s="29" t="b">
        <v>0</v>
      </c>
      <c r="F555" s="29"/>
      <c r="G555" s="21" t="str">
        <f>IFERROR(VLOOKUP(A555, 'Price Sheet'!$A$2:$B1010, 2, false), "")</f>
        <v/>
      </c>
      <c r="J555" s="21" t="str">
        <f t="shared" si="3"/>
        <v/>
      </c>
      <c r="K555" s="29"/>
      <c r="L555" s="29" t="b">
        <v>0</v>
      </c>
      <c r="M555" s="29"/>
      <c r="N555" s="21" t="str">
        <f>IFERROR(VLOOKUP(I555, 'Price Sheet'!$A$2:$B1010, 2, false), "")</f>
        <v/>
      </c>
    </row>
    <row r="556">
      <c r="B556" s="21" t="str">
        <f t="shared" si="4"/>
        <v/>
      </c>
      <c r="C556" s="29"/>
      <c r="D556" s="29"/>
      <c r="E556" s="29" t="b">
        <v>0</v>
      </c>
      <c r="F556" s="29"/>
      <c r="G556" s="21" t="str">
        <f>IFERROR(VLOOKUP(A556, 'Price Sheet'!$A$2:$B1010, 2, false), "")</f>
        <v/>
      </c>
      <c r="J556" s="21" t="str">
        <f t="shared" si="3"/>
        <v/>
      </c>
      <c r="K556" s="29"/>
      <c r="L556" s="29" t="b">
        <v>0</v>
      </c>
      <c r="M556" s="29"/>
      <c r="N556" s="21" t="str">
        <f>IFERROR(VLOOKUP(I556, 'Price Sheet'!$A$2:$B1010, 2, false), "")</f>
        <v/>
      </c>
    </row>
    <row r="557">
      <c r="B557" s="21" t="str">
        <f t="shared" si="4"/>
        <v/>
      </c>
      <c r="C557" s="29"/>
      <c r="D557" s="29"/>
      <c r="E557" s="29" t="b">
        <v>0</v>
      </c>
      <c r="F557" s="29"/>
      <c r="G557" s="21" t="str">
        <f>IFERROR(VLOOKUP(A557, 'Price Sheet'!$A$2:$B1010, 2, false), "")</f>
        <v/>
      </c>
      <c r="J557" s="21" t="str">
        <f t="shared" si="3"/>
        <v/>
      </c>
      <c r="K557" s="29"/>
      <c r="L557" s="29" t="b">
        <v>0</v>
      </c>
      <c r="M557" s="29"/>
      <c r="N557" s="21" t="str">
        <f>IFERROR(VLOOKUP(I557, 'Price Sheet'!$A$2:$B1010, 2, false), "")</f>
        <v/>
      </c>
    </row>
    <row r="558">
      <c r="B558" s="21" t="str">
        <f t="shared" si="4"/>
        <v/>
      </c>
      <c r="C558" s="29"/>
      <c r="D558" s="29"/>
      <c r="E558" s="29" t="b">
        <v>0</v>
      </c>
      <c r="F558" s="29"/>
      <c r="G558" s="21" t="str">
        <f>IFERROR(VLOOKUP(A558, 'Price Sheet'!$A$2:$B1010, 2, false), "")</f>
        <v/>
      </c>
      <c r="J558" s="21" t="str">
        <f t="shared" si="3"/>
        <v/>
      </c>
      <c r="K558" s="29"/>
      <c r="L558" s="29" t="b">
        <v>0</v>
      </c>
      <c r="M558" s="29"/>
      <c r="N558" s="21" t="str">
        <f>IFERROR(VLOOKUP(I558, 'Price Sheet'!$A$2:$B1010, 2, false), "")</f>
        <v/>
      </c>
    </row>
    <row r="559">
      <c r="B559" s="21" t="str">
        <f t="shared" si="4"/>
        <v/>
      </c>
      <c r="C559" s="29"/>
      <c r="D559" s="29"/>
      <c r="E559" s="29" t="b">
        <v>0</v>
      </c>
      <c r="F559" s="29"/>
      <c r="G559" s="21" t="str">
        <f>IFERROR(VLOOKUP(A559, 'Price Sheet'!$A$2:$B1010, 2, false), "")</f>
        <v/>
      </c>
      <c r="J559" s="21" t="str">
        <f t="shared" si="3"/>
        <v/>
      </c>
      <c r="K559" s="29"/>
      <c r="L559" s="29" t="b">
        <v>0</v>
      </c>
      <c r="M559" s="29"/>
      <c r="N559" s="21" t="str">
        <f>IFERROR(VLOOKUP(I559, 'Price Sheet'!$A$2:$B1010, 2, false), "")</f>
        <v/>
      </c>
    </row>
    <row r="560">
      <c r="B560" s="21" t="str">
        <f t="shared" si="4"/>
        <v/>
      </c>
      <c r="C560" s="29"/>
      <c r="D560" s="29"/>
      <c r="E560" s="29" t="b">
        <v>0</v>
      </c>
      <c r="F560" s="29"/>
      <c r="G560" s="21" t="str">
        <f>IFERROR(VLOOKUP(A560, 'Price Sheet'!$A$2:$B1010, 2, false), "")</f>
        <v/>
      </c>
      <c r="J560" s="21" t="str">
        <f t="shared" si="3"/>
        <v/>
      </c>
      <c r="K560" s="29"/>
      <c r="L560" s="29" t="b">
        <v>0</v>
      </c>
      <c r="M560" s="29"/>
      <c r="N560" s="21" t="str">
        <f>IFERROR(VLOOKUP(I560, 'Price Sheet'!$A$2:$B1010, 2, false), "")</f>
        <v/>
      </c>
    </row>
    <row r="561">
      <c r="B561" s="21" t="str">
        <f t="shared" si="4"/>
        <v/>
      </c>
      <c r="C561" s="29"/>
      <c r="D561" s="29"/>
      <c r="E561" s="29" t="b">
        <v>0</v>
      </c>
      <c r="F561" s="29"/>
      <c r="G561" s="21" t="str">
        <f>IFERROR(VLOOKUP(A561, 'Price Sheet'!$A$2:$B1010, 2, false), "")</f>
        <v/>
      </c>
      <c r="J561" s="21" t="str">
        <f t="shared" si="3"/>
        <v/>
      </c>
      <c r="K561" s="29"/>
      <c r="L561" s="29" t="b">
        <v>0</v>
      </c>
      <c r="M561" s="29"/>
      <c r="N561" s="21" t="str">
        <f>IFERROR(VLOOKUP(I561, 'Price Sheet'!$A$2:$B1010, 2, false), "")</f>
        <v/>
      </c>
    </row>
    <row r="562">
      <c r="B562" s="21" t="str">
        <f t="shared" si="4"/>
        <v/>
      </c>
      <c r="C562" s="29"/>
      <c r="D562" s="29"/>
      <c r="E562" s="29" t="b">
        <v>0</v>
      </c>
      <c r="F562" s="29"/>
      <c r="G562" s="21" t="str">
        <f>IFERROR(VLOOKUP(A562, 'Price Sheet'!$A$2:$B1010, 2, false), "")</f>
        <v/>
      </c>
      <c r="J562" s="21" t="str">
        <f t="shared" si="3"/>
        <v/>
      </c>
      <c r="K562" s="29"/>
      <c r="L562" s="29" t="b">
        <v>0</v>
      </c>
      <c r="M562" s="29"/>
      <c r="N562" s="21" t="str">
        <f>IFERROR(VLOOKUP(I562, 'Price Sheet'!$A$2:$B1010, 2, false), "")</f>
        <v/>
      </c>
    </row>
    <row r="563">
      <c r="B563" s="21" t="str">
        <f t="shared" si="4"/>
        <v/>
      </c>
      <c r="C563" s="29"/>
      <c r="D563" s="29"/>
      <c r="E563" s="29" t="b">
        <v>0</v>
      </c>
      <c r="F563" s="29"/>
      <c r="G563" s="21" t="str">
        <f>IFERROR(VLOOKUP(A563, 'Price Sheet'!$A$2:$B1010, 2, false), "")</f>
        <v/>
      </c>
      <c r="J563" s="21" t="str">
        <f t="shared" si="3"/>
        <v/>
      </c>
      <c r="K563" s="29"/>
      <c r="L563" s="29" t="b">
        <v>0</v>
      </c>
      <c r="M563" s="29"/>
      <c r="N563" s="21" t="str">
        <f>IFERROR(VLOOKUP(I563, 'Price Sheet'!$A$2:$B1010, 2, false), "")</f>
        <v/>
      </c>
    </row>
    <row r="564">
      <c r="B564" s="21" t="str">
        <f t="shared" si="4"/>
        <v/>
      </c>
      <c r="C564" s="29"/>
      <c r="D564" s="29"/>
      <c r="E564" s="29" t="b">
        <v>0</v>
      </c>
      <c r="F564" s="29"/>
      <c r="G564" s="21" t="str">
        <f>IFERROR(VLOOKUP(A564, 'Price Sheet'!$A$2:$B1010, 2, false), "")</f>
        <v/>
      </c>
      <c r="J564" s="21" t="str">
        <f t="shared" si="3"/>
        <v/>
      </c>
      <c r="K564" s="29"/>
      <c r="L564" s="29" t="b">
        <v>0</v>
      </c>
      <c r="M564" s="29"/>
      <c r="N564" s="21" t="str">
        <f>IFERROR(VLOOKUP(I564, 'Price Sheet'!$A$2:$B1010, 2, false), "")</f>
        <v/>
      </c>
    </row>
    <row r="565">
      <c r="B565" s="21" t="str">
        <f t="shared" si="4"/>
        <v/>
      </c>
      <c r="C565" s="29"/>
      <c r="D565" s="29"/>
      <c r="E565" s="29" t="b">
        <v>0</v>
      </c>
      <c r="F565" s="29"/>
      <c r="G565" s="21" t="str">
        <f>IFERROR(VLOOKUP(A565, 'Price Sheet'!$A$2:$B1010, 2, false), "")</f>
        <v/>
      </c>
      <c r="J565" s="21" t="str">
        <f t="shared" si="3"/>
        <v/>
      </c>
      <c r="K565" s="29"/>
      <c r="L565" s="29" t="b">
        <v>0</v>
      </c>
      <c r="M565" s="29"/>
      <c r="N565" s="21" t="str">
        <f>IFERROR(VLOOKUP(I565, 'Price Sheet'!$A$2:$B1010, 2, false), "")</f>
        <v/>
      </c>
    </row>
    <row r="566">
      <c r="B566" s="21" t="str">
        <f t="shared" si="4"/>
        <v/>
      </c>
      <c r="C566" s="29"/>
      <c r="D566" s="29"/>
      <c r="E566" s="29" t="b">
        <v>0</v>
      </c>
      <c r="F566" s="29"/>
      <c r="G566" s="21" t="str">
        <f>IFERROR(VLOOKUP(A566, 'Price Sheet'!$A$2:$B1010, 2, false), "")</f>
        <v/>
      </c>
      <c r="J566" s="21" t="str">
        <f t="shared" si="3"/>
        <v/>
      </c>
      <c r="K566" s="29"/>
      <c r="L566" s="29" t="b">
        <v>0</v>
      </c>
      <c r="M566" s="29"/>
      <c r="N566" s="21" t="str">
        <f>IFERROR(VLOOKUP(I566, 'Price Sheet'!$A$2:$B1010, 2, false), "")</f>
        <v/>
      </c>
    </row>
    <row r="567">
      <c r="B567" s="21" t="str">
        <f t="shared" si="4"/>
        <v/>
      </c>
      <c r="C567" s="29"/>
      <c r="D567" s="29"/>
      <c r="E567" s="29" t="b">
        <v>0</v>
      </c>
      <c r="F567" s="29"/>
      <c r="G567" s="21" t="str">
        <f>IFERROR(VLOOKUP(A567, 'Price Sheet'!$A$2:$B1010, 2, false), "")</f>
        <v/>
      </c>
      <c r="J567" s="21" t="str">
        <f t="shared" si="3"/>
        <v/>
      </c>
      <c r="K567" s="29"/>
      <c r="L567" s="29" t="b">
        <v>0</v>
      </c>
      <c r="M567" s="29"/>
      <c r="N567" s="21" t="str">
        <f>IFERROR(VLOOKUP(I567, 'Price Sheet'!$A$2:$B1010, 2, false), "")</f>
        <v/>
      </c>
    </row>
    <row r="568">
      <c r="B568" s="21" t="str">
        <f t="shared" si="4"/>
        <v/>
      </c>
      <c r="C568" s="29"/>
      <c r="D568" s="29"/>
      <c r="E568" s="29" t="b">
        <v>0</v>
      </c>
      <c r="F568" s="29"/>
      <c r="G568" s="21" t="str">
        <f>IFERROR(VLOOKUP(A568, 'Price Sheet'!$A$2:$B1010, 2, false), "")</f>
        <v/>
      </c>
      <c r="J568" s="21" t="str">
        <f t="shared" si="3"/>
        <v/>
      </c>
      <c r="K568" s="29"/>
      <c r="L568" s="29" t="b">
        <v>0</v>
      </c>
      <c r="M568" s="29"/>
      <c r="N568" s="21" t="str">
        <f>IFERROR(VLOOKUP(I568, 'Price Sheet'!$A$2:$B1010, 2, false), "")</f>
        <v/>
      </c>
    </row>
    <row r="569">
      <c r="B569" s="21" t="str">
        <f t="shared" si="4"/>
        <v/>
      </c>
      <c r="C569" s="29"/>
      <c r="D569" s="29"/>
      <c r="E569" s="29" t="b">
        <v>0</v>
      </c>
      <c r="F569" s="29"/>
      <c r="G569" s="21" t="str">
        <f>IFERROR(VLOOKUP(A569, 'Price Sheet'!$A$2:$B1010, 2, false), "")</f>
        <v/>
      </c>
      <c r="J569" s="21" t="str">
        <f t="shared" si="3"/>
        <v/>
      </c>
      <c r="K569" s="29"/>
      <c r="L569" s="29" t="b">
        <v>0</v>
      </c>
      <c r="M569" s="29"/>
      <c r="N569" s="21" t="str">
        <f>IFERROR(VLOOKUP(I569, 'Price Sheet'!$A$2:$B1010, 2, false), "")</f>
        <v/>
      </c>
    </row>
    <row r="570">
      <c r="B570" s="21" t="str">
        <f t="shared" si="4"/>
        <v/>
      </c>
      <c r="C570" s="29"/>
      <c r="D570" s="29"/>
      <c r="E570" s="29" t="b">
        <v>0</v>
      </c>
      <c r="F570" s="29"/>
      <c r="G570" s="21" t="str">
        <f>IFERROR(VLOOKUP(A570, 'Price Sheet'!$A$2:$B1010, 2, false), "")</f>
        <v/>
      </c>
      <c r="J570" s="21" t="str">
        <f t="shared" si="3"/>
        <v/>
      </c>
      <c r="K570" s="29"/>
      <c r="L570" s="29" t="b">
        <v>0</v>
      </c>
      <c r="M570" s="29"/>
      <c r="N570" s="21" t="str">
        <f>IFERROR(VLOOKUP(I570, 'Price Sheet'!$A$2:$B1010, 2, false), "")</f>
        <v/>
      </c>
    </row>
    <row r="571">
      <c r="B571" s="21" t="str">
        <f t="shared" si="4"/>
        <v/>
      </c>
      <c r="C571" s="29"/>
      <c r="D571" s="29"/>
      <c r="E571" s="29" t="b">
        <v>0</v>
      </c>
      <c r="F571" s="29"/>
      <c r="G571" s="21" t="str">
        <f>IFERROR(VLOOKUP(A571, 'Price Sheet'!$A$2:$B1010, 2, false), "")</f>
        <v/>
      </c>
      <c r="J571" s="21" t="str">
        <f t="shared" si="3"/>
        <v/>
      </c>
      <c r="K571" s="29"/>
      <c r="L571" s="29" t="b">
        <v>0</v>
      </c>
      <c r="M571" s="29"/>
      <c r="N571" s="21" t="str">
        <f>IFERROR(VLOOKUP(I571, 'Price Sheet'!$A$2:$B1010, 2, false), "")</f>
        <v/>
      </c>
    </row>
    <row r="572">
      <c r="B572" s="21" t="str">
        <f t="shared" si="4"/>
        <v/>
      </c>
      <c r="C572" s="29"/>
      <c r="D572" s="29"/>
      <c r="E572" s="29" t="b">
        <v>0</v>
      </c>
      <c r="F572" s="29"/>
      <c r="G572" s="21" t="str">
        <f>IFERROR(VLOOKUP(A572, 'Price Sheet'!$A$2:$B1010, 2, false), "")</f>
        <v/>
      </c>
      <c r="J572" s="21" t="str">
        <f t="shared" si="3"/>
        <v/>
      </c>
      <c r="K572" s="29"/>
      <c r="L572" s="29" t="b">
        <v>0</v>
      </c>
      <c r="M572" s="29"/>
      <c r="N572" s="21" t="str">
        <f>IFERROR(VLOOKUP(I572, 'Price Sheet'!$A$2:$B1010, 2, false), "")</f>
        <v/>
      </c>
    </row>
    <row r="573">
      <c r="B573" s="21" t="str">
        <f t="shared" si="4"/>
        <v/>
      </c>
      <c r="C573" s="29"/>
      <c r="D573" s="29"/>
      <c r="E573" s="29" t="b">
        <v>0</v>
      </c>
      <c r="F573" s="29"/>
      <c r="G573" s="21" t="str">
        <f>IFERROR(VLOOKUP(A573, 'Price Sheet'!$A$2:$B1010, 2, false), "")</f>
        <v/>
      </c>
      <c r="J573" s="21" t="str">
        <f t="shared" si="3"/>
        <v/>
      </c>
      <c r="K573" s="29"/>
      <c r="L573" s="29" t="b">
        <v>0</v>
      </c>
      <c r="M573" s="29"/>
      <c r="N573" s="21" t="str">
        <f>IFERROR(VLOOKUP(I573, 'Price Sheet'!$A$2:$B1010, 2, false), "")</f>
        <v/>
      </c>
    </row>
    <row r="574">
      <c r="B574" s="21" t="str">
        <f t="shared" si="4"/>
        <v/>
      </c>
      <c r="C574" s="29"/>
      <c r="D574" s="29"/>
      <c r="E574" s="29" t="b">
        <v>0</v>
      </c>
      <c r="F574" s="29"/>
      <c r="G574" s="21" t="str">
        <f>IFERROR(VLOOKUP(A574, 'Price Sheet'!$A$2:$B1010, 2, false), "")</f>
        <v/>
      </c>
      <c r="J574" s="21" t="str">
        <f t="shared" si="3"/>
        <v/>
      </c>
      <c r="K574" s="29"/>
      <c r="L574" s="29" t="b">
        <v>0</v>
      </c>
      <c r="M574" s="29"/>
      <c r="N574" s="21" t="str">
        <f>IFERROR(VLOOKUP(I574, 'Price Sheet'!$A$2:$B1010, 2, false), "")</f>
        <v/>
      </c>
    </row>
    <row r="575">
      <c r="B575" s="21" t="str">
        <f t="shared" si="4"/>
        <v/>
      </c>
      <c r="C575" s="29"/>
      <c r="D575" s="29"/>
      <c r="E575" s="29" t="b">
        <v>0</v>
      </c>
      <c r="F575" s="29"/>
      <c r="G575" s="21" t="str">
        <f>IFERROR(VLOOKUP(A575, 'Price Sheet'!$A$2:$B1010, 2, false), "")</f>
        <v/>
      </c>
      <c r="J575" s="21" t="str">
        <f t="shared" si="3"/>
        <v/>
      </c>
      <c r="K575" s="29"/>
      <c r="L575" s="29" t="b">
        <v>0</v>
      </c>
      <c r="M575" s="29"/>
      <c r="N575" s="21" t="str">
        <f>IFERROR(VLOOKUP(I575, 'Price Sheet'!$A$2:$B1010, 2, false), "")</f>
        <v/>
      </c>
    </row>
    <row r="576">
      <c r="B576" s="21" t="str">
        <f t="shared" si="4"/>
        <v/>
      </c>
      <c r="C576" s="29"/>
      <c r="D576" s="29"/>
      <c r="E576" s="29" t="b">
        <v>0</v>
      </c>
      <c r="F576" s="29"/>
      <c r="G576" s="21" t="str">
        <f>IFERROR(VLOOKUP(A576, 'Price Sheet'!$A$2:$B1010, 2, false), "")</f>
        <v/>
      </c>
      <c r="J576" s="21" t="str">
        <f t="shared" si="3"/>
        <v/>
      </c>
      <c r="K576" s="29"/>
      <c r="L576" s="29" t="b">
        <v>0</v>
      </c>
      <c r="M576" s="29"/>
      <c r="N576" s="21" t="str">
        <f>IFERROR(VLOOKUP(I576, 'Price Sheet'!$A$2:$B1010, 2, false), "")</f>
        <v/>
      </c>
    </row>
    <row r="577">
      <c r="B577" s="21" t="str">
        <f t="shared" si="4"/>
        <v/>
      </c>
      <c r="C577" s="29"/>
      <c r="D577" s="29"/>
      <c r="E577" s="29" t="b">
        <v>0</v>
      </c>
      <c r="F577" s="29"/>
      <c r="G577" s="21" t="str">
        <f>IFERROR(VLOOKUP(A577, 'Price Sheet'!$A$2:$B1010, 2, false), "")</f>
        <v/>
      </c>
      <c r="J577" s="21" t="str">
        <f t="shared" si="3"/>
        <v/>
      </c>
      <c r="K577" s="29"/>
      <c r="L577" s="29" t="b">
        <v>0</v>
      </c>
      <c r="M577" s="29"/>
      <c r="N577" s="21" t="str">
        <f>IFERROR(VLOOKUP(I577, 'Price Sheet'!$A$2:$B1010, 2, false), "")</f>
        <v/>
      </c>
    </row>
    <row r="578">
      <c r="B578" s="21" t="str">
        <f t="shared" si="4"/>
        <v/>
      </c>
      <c r="C578" s="29"/>
      <c r="D578" s="29"/>
      <c r="E578" s="29" t="b">
        <v>0</v>
      </c>
      <c r="F578" s="29"/>
      <c r="G578" s="21" t="str">
        <f>IFERROR(VLOOKUP(A578, 'Price Sheet'!$A$2:$B1010, 2, false), "")</f>
        <v/>
      </c>
      <c r="J578" s="21" t="str">
        <f t="shared" si="3"/>
        <v/>
      </c>
      <c r="K578" s="29"/>
      <c r="L578" s="29" t="b">
        <v>0</v>
      </c>
      <c r="M578" s="29"/>
      <c r="N578" s="21" t="str">
        <f>IFERROR(VLOOKUP(I578, 'Price Sheet'!$A$2:$B1010, 2, false), "")</f>
        <v/>
      </c>
    </row>
    <row r="579">
      <c r="B579" s="21" t="str">
        <f t="shared" si="4"/>
        <v/>
      </c>
      <c r="C579" s="29"/>
      <c r="D579" s="29"/>
      <c r="E579" s="29" t="b">
        <v>0</v>
      </c>
      <c r="F579" s="29"/>
      <c r="G579" s="21" t="str">
        <f>IFERROR(VLOOKUP(A579, 'Price Sheet'!$A$2:$B1010, 2, false), "")</f>
        <v/>
      </c>
      <c r="J579" s="21" t="str">
        <f t="shared" si="3"/>
        <v/>
      </c>
      <c r="K579" s="29"/>
      <c r="L579" s="29" t="b">
        <v>0</v>
      </c>
      <c r="M579" s="29"/>
      <c r="N579" s="21" t="str">
        <f>IFERROR(VLOOKUP(I579, 'Price Sheet'!$A$2:$B1010, 2, false), "")</f>
        <v/>
      </c>
    </row>
    <row r="580">
      <c r="B580" s="21" t="str">
        <f t="shared" si="4"/>
        <v/>
      </c>
      <c r="C580" s="29"/>
      <c r="D580" s="29"/>
      <c r="E580" s="29" t="b">
        <v>0</v>
      </c>
      <c r="F580" s="29"/>
      <c r="G580" s="21" t="str">
        <f>IFERROR(VLOOKUP(A580, 'Price Sheet'!$A$2:$B1010, 2, false), "")</f>
        <v/>
      </c>
      <c r="J580" s="21" t="str">
        <f t="shared" si="3"/>
        <v/>
      </c>
      <c r="K580" s="29"/>
      <c r="L580" s="29" t="b">
        <v>0</v>
      </c>
      <c r="M580" s="29"/>
      <c r="N580" s="21" t="str">
        <f>IFERROR(VLOOKUP(I580, 'Price Sheet'!$A$2:$B1010, 2, false), "")</f>
        <v/>
      </c>
    </row>
    <row r="581">
      <c r="B581" s="21" t="str">
        <f t="shared" si="4"/>
        <v/>
      </c>
      <c r="C581" s="29"/>
      <c r="D581" s="29"/>
      <c r="E581" s="29" t="b">
        <v>0</v>
      </c>
      <c r="F581" s="29"/>
      <c r="G581" s="21" t="str">
        <f>IFERROR(VLOOKUP(A581, 'Price Sheet'!$A$2:$B1010, 2, false), "")</f>
        <v/>
      </c>
      <c r="J581" s="21" t="str">
        <f t="shared" si="3"/>
        <v/>
      </c>
      <c r="K581" s="29"/>
      <c r="L581" s="29" t="b">
        <v>0</v>
      </c>
      <c r="M581" s="29"/>
      <c r="N581" s="21" t="str">
        <f>IFERROR(VLOOKUP(I581, 'Price Sheet'!$A$2:$B1010, 2, false), "")</f>
        <v/>
      </c>
    </row>
    <row r="582">
      <c r="B582" s="21" t="str">
        <f t="shared" si="4"/>
        <v/>
      </c>
      <c r="C582" s="29"/>
      <c r="D582" s="29"/>
      <c r="E582" s="29" t="b">
        <v>0</v>
      </c>
      <c r="F582" s="29"/>
      <c r="G582" s="21" t="str">
        <f>IFERROR(VLOOKUP(A582, 'Price Sheet'!$A$2:$B1010, 2, false), "")</f>
        <v/>
      </c>
      <c r="J582" s="21" t="str">
        <f t="shared" si="3"/>
        <v/>
      </c>
      <c r="K582" s="29"/>
      <c r="L582" s="29" t="b">
        <v>0</v>
      </c>
      <c r="M582" s="29"/>
      <c r="N582" s="21" t="str">
        <f>IFERROR(VLOOKUP(I582, 'Price Sheet'!$A$2:$B1010, 2, false), "")</f>
        <v/>
      </c>
    </row>
    <row r="583">
      <c r="B583" s="21" t="str">
        <f t="shared" si="4"/>
        <v/>
      </c>
      <c r="C583" s="29"/>
      <c r="D583" s="29"/>
      <c r="E583" s="29" t="b">
        <v>0</v>
      </c>
      <c r="F583" s="29"/>
      <c r="G583" s="21" t="str">
        <f>IFERROR(VLOOKUP(A583, 'Price Sheet'!$A$2:$B1010, 2, false), "")</f>
        <v/>
      </c>
      <c r="J583" s="21" t="str">
        <f t="shared" si="3"/>
        <v/>
      </c>
      <c r="K583" s="29"/>
      <c r="L583" s="29" t="b">
        <v>0</v>
      </c>
      <c r="M583" s="29"/>
      <c r="N583" s="21" t="str">
        <f>IFERROR(VLOOKUP(I583, 'Price Sheet'!$A$2:$B1010, 2, false), "")</f>
        <v/>
      </c>
    </row>
    <row r="584">
      <c r="B584" s="21" t="str">
        <f t="shared" si="4"/>
        <v/>
      </c>
      <c r="C584" s="29"/>
      <c r="D584" s="29"/>
      <c r="E584" s="29" t="b">
        <v>0</v>
      </c>
      <c r="F584" s="29"/>
      <c r="G584" s="21" t="str">
        <f>IFERROR(VLOOKUP(A584, 'Price Sheet'!$A$2:$B1010, 2, false), "")</f>
        <v/>
      </c>
      <c r="J584" s="21" t="str">
        <f t="shared" si="3"/>
        <v/>
      </c>
      <c r="K584" s="29"/>
      <c r="L584" s="29" t="b">
        <v>0</v>
      </c>
      <c r="M584" s="29"/>
      <c r="N584" s="21" t="str">
        <f>IFERROR(VLOOKUP(I584, 'Price Sheet'!$A$2:$B1010, 2, false), "")</f>
        <v/>
      </c>
    </row>
    <row r="585">
      <c r="B585" s="21" t="str">
        <f t="shared" si="4"/>
        <v/>
      </c>
      <c r="C585" s="29"/>
      <c r="D585" s="29"/>
      <c r="E585" s="29" t="b">
        <v>0</v>
      </c>
      <c r="F585" s="29"/>
      <c r="G585" s="21" t="str">
        <f>IFERROR(VLOOKUP(A585, 'Price Sheet'!$A$2:$B1010, 2, false), "")</f>
        <v/>
      </c>
      <c r="J585" s="21" t="str">
        <f t="shared" si="3"/>
        <v/>
      </c>
      <c r="K585" s="29"/>
      <c r="L585" s="29" t="b">
        <v>0</v>
      </c>
      <c r="M585" s="29"/>
      <c r="N585" s="21" t="str">
        <f>IFERROR(VLOOKUP(I585, 'Price Sheet'!$A$2:$B1010, 2, false), "")</f>
        <v/>
      </c>
    </row>
    <row r="586">
      <c r="B586" s="21" t="str">
        <f t="shared" si="4"/>
        <v/>
      </c>
      <c r="C586" s="29"/>
      <c r="D586" s="29"/>
      <c r="E586" s="29" t="b">
        <v>0</v>
      </c>
      <c r="F586" s="29"/>
      <c r="G586" s="21" t="str">
        <f>IFERROR(VLOOKUP(A586, 'Price Sheet'!$A$2:$B1010, 2, false), "")</f>
        <v/>
      </c>
      <c r="J586" s="21" t="str">
        <f t="shared" si="3"/>
        <v/>
      </c>
      <c r="K586" s="29"/>
      <c r="L586" s="29" t="b">
        <v>0</v>
      </c>
      <c r="M586" s="29"/>
      <c r="N586" s="21" t="str">
        <f>IFERROR(VLOOKUP(I586, 'Price Sheet'!$A$2:$B1010, 2, false), "")</f>
        <v/>
      </c>
    </row>
    <row r="587">
      <c r="B587" s="21" t="str">
        <f t="shared" si="4"/>
        <v/>
      </c>
      <c r="C587" s="29"/>
      <c r="D587" s="29"/>
      <c r="E587" s="29" t="b">
        <v>0</v>
      </c>
      <c r="F587" s="29"/>
      <c r="G587" s="21" t="str">
        <f>IFERROR(VLOOKUP(A587, 'Price Sheet'!$A$2:$B1010, 2, false), "")</f>
        <v/>
      </c>
      <c r="J587" s="21" t="str">
        <f t="shared" si="3"/>
        <v/>
      </c>
      <c r="K587" s="29"/>
      <c r="L587" s="29" t="b">
        <v>0</v>
      </c>
      <c r="M587" s="29"/>
      <c r="N587" s="21" t="str">
        <f>IFERROR(VLOOKUP(I587, 'Price Sheet'!$A$2:$B1010, 2, false), "")</f>
        <v/>
      </c>
    </row>
    <row r="588">
      <c r="B588" s="21" t="str">
        <f t="shared" si="4"/>
        <v/>
      </c>
      <c r="C588" s="29"/>
      <c r="D588" s="29"/>
      <c r="E588" s="29" t="b">
        <v>0</v>
      </c>
      <c r="F588" s="29"/>
      <c r="G588" s="21" t="str">
        <f>IFERROR(VLOOKUP(A588, 'Price Sheet'!$A$2:$B1010, 2, false), "")</f>
        <v/>
      </c>
      <c r="J588" s="21" t="str">
        <f t="shared" si="3"/>
        <v/>
      </c>
      <c r="K588" s="29"/>
      <c r="L588" s="29" t="b">
        <v>0</v>
      </c>
      <c r="M588" s="29"/>
      <c r="N588" s="21" t="str">
        <f>IFERROR(VLOOKUP(I588, 'Price Sheet'!$A$2:$B1010, 2, false), "")</f>
        <v/>
      </c>
    </row>
    <row r="589">
      <c r="B589" s="21" t="str">
        <f t="shared" si="4"/>
        <v/>
      </c>
      <c r="C589" s="29"/>
      <c r="D589" s="29"/>
      <c r="E589" s="29" t="b">
        <v>0</v>
      </c>
      <c r="F589" s="29"/>
      <c r="G589" s="21" t="str">
        <f>IFERROR(VLOOKUP(A589, 'Price Sheet'!$A$2:$B1010, 2, false), "")</f>
        <v/>
      </c>
      <c r="J589" s="21" t="str">
        <f t="shared" si="3"/>
        <v/>
      </c>
      <c r="K589" s="29"/>
      <c r="L589" s="29" t="b">
        <v>0</v>
      </c>
      <c r="M589" s="29"/>
      <c r="N589" s="21" t="str">
        <f>IFERROR(VLOOKUP(I589, 'Price Sheet'!$A$2:$B1010, 2, false), "")</f>
        <v/>
      </c>
    </row>
    <row r="590">
      <c r="B590" s="21" t="str">
        <f t="shared" si="4"/>
        <v/>
      </c>
      <c r="C590" s="29"/>
      <c r="D590" s="29"/>
      <c r="E590" s="29" t="b">
        <v>0</v>
      </c>
      <c r="F590" s="29"/>
      <c r="G590" s="21" t="str">
        <f>IFERROR(VLOOKUP(A590, 'Price Sheet'!$A$2:$B1010, 2, false), "")</f>
        <v/>
      </c>
      <c r="J590" s="21" t="str">
        <f t="shared" si="3"/>
        <v/>
      </c>
      <c r="K590" s="29"/>
      <c r="L590" s="29" t="b">
        <v>0</v>
      </c>
      <c r="M590" s="29"/>
      <c r="N590" s="21" t="str">
        <f>IFERROR(VLOOKUP(I590, 'Price Sheet'!$A$2:$B1010, 2, false), "")</f>
        <v/>
      </c>
    </row>
    <row r="591">
      <c r="B591" s="21" t="str">
        <f t="shared" si="4"/>
        <v/>
      </c>
      <c r="C591" s="29"/>
      <c r="D591" s="29"/>
      <c r="E591" s="29" t="b">
        <v>0</v>
      </c>
      <c r="F591" s="29"/>
      <c r="G591" s="21" t="str">
        <f>IFERROR(VLOOKUP(A591, 'Price Sheet'!$A$2:$B1010, 2, false), "")</f>
        <v/>
      </c>
      <c r="J591" s="21" t="str">
        <f t="shared" si="3"/>
        <v/>
      </c>
      <c r="K591" s="29"/>
      <c r="L591" s="29" t="b">
        <v>0</v>
      </c>
      <c r="M591" s="29"/>
      <c r="N591" s="21" t="str">
        <f>IFERROR(VLOOKUP(I591, 'Price Sheet'!$A$2:$B1010, 2, false), "")</f>
        <v/>
      </c>
    </row>
    <row r="592">
      <c r="B592" s="21" t="str">
        <f t="shared" si="4"/>
        <v/>
      </c>
      <c r="C592" s="29"/>
      <c r="D592" s="29"/>
      <c r="E592" s="29" t="b">
        <v>0</v>
      </c>
      <c r="F592" s="29"/>
      <c r="G592" s="21" t="str">
        <f>IFERROR(VLOOKUP(A592, 'Price Sheet'!$A$2:$B1010, 2, false), "")</f>
        <v/>
      </c>
      <c r="J592" s="21" t="str">
        <f t="shared" si="3"/>
        <v/>
      </c>
      <c r="K592" s="29"/>
      <c r="L592" s="29" t="b">
        <v>0</v>
      </c>
      <c r="M592" s="29"/>
      <c r="N592" s="21" t="str">
        <f>IFERROR(VLOOKUP(I592, 'Price Sheet'!$A$2:$B1010, 2, false), "")</f>
        <v/>
      </c>
    </row>
    <row r="593">
      <c r="B593" s="21" t="str">
        <f t="shared" si="4"/>
        <v/>
      </c>
      <c r="C593" s="29"/>
      <c r="D593" s="29"/>
      <c r="E593" s="29" t="b">
        <v>0</v>
      </c>
      <c r="F593" s="29"/>
      <c r="G593" s="21" t="str">
        <f>IFERROR(VLOOKUP(A593, 'Price Sheet'!$A$2:$B1010, 2, false), "")</f>
        <v/>
      </c>
      <c r="J593" s="21" t="str">
        <f t="shared" si="3"/>
        <v/>
      </c>
      <c r="K593" s="29"/>
      <c r="L593" s="29" t="b">
        <v>0</v>
      </c>
      <c r="M593" s="29"/>
      <c r="N593" s="21" t="str">
        <f>IFERROR(VLOOKUP(I593, 'Price Sheet'!$A$2:$B1010, 2, false), "")</f>
        <v/>
      </c>
    </row>
    <row r="594">
      <c r="B594" s="21" t="str">
        <f t="shared" si="4"/>
        <v/>
      </c>
      <c r="C594" s="29"/>
      <c r="D594" s="29"/>
      <c r="E594" s="29" t="b">
        <v>0</v>
      </c>
      <c r="F594" s="29"/>
      <c r="G594" s="21" t="str">
        <f>IFERROR(VLOOKUP(A594, 'Price Sheet'!$A$2:$B1010, 2, false), "")</f>
        <v/>
      </c>
      <c r="J594" s="21" t="str">
        <f t="shared" si="3"/>
        <v/>
      </c>
      <c r="K594" s="29"/>
      <c r="L594" s="29" t="b">
        <v>0</v>
      </c>
      <c r="M594" s="29"/>
      <c r="N594" s="21" t="str">
        <f>IFERROR(VLOOKUP(I594, 'Price Sheet'!$A$2:$B1010, 2, false), "")</f>
        <v/>
      </c>
    </row>
    <row r="595">
      <c r="B595" s="21" t="str">
        <f t="shared" si="4"/>
        <v/>
      </c>
      <c r="C595" s="29"/>
      <c r="D595" s="29"/>
      <c r="E595" s="29" t="b">
        <v>0</v>
      </c>
      <c r="F595" s="29"/>
      <c r="G595" s="21" t="str">
        <f>IFERROR(VLOOKUP(A595, 'Price Sheet'!$A$2:$B1010, 2, false), "")</f>
        <v/>
      </c>
      <c r="J595" s="21" t="str">
        <f t="shared" si="3"/>
        <v/>
      </c>
      <c r="K595" s="29"/>
      <c r="L595" s="29" t="b">
        <v>0</v>
      </c>
      <c r="M595" s="29"/>
      <c r="N595" s="21" t="str">
        <f>IFERROR(VLOOKUP(I595, 'Price Sheet'!$A$2:$B1010, 2, false), "")</f>
        <v/>
      </c>
    </row>
    <row r="596">
      <c r="B596" s="21" t="str">
        <f t="shared" si="4"/>
        <v/>
      </c>
      <c r="C596" s="29"/>
      <c r="D596" s="29"/>
      <c r="E596" s="29" t="b">
        <v>0</v>
      </c>
      <c r="F596" s="29"/>
      <c r="G596" s="21" t="str">
        <f>IFERROR(VLOOKUP(A596, 'Price Sheet'!$A$2:$B1010, 2, false), "")</f>
        <v/>
      </c>
      <c r="J596" s="21" t="str">
        <f t="shared" si="3"/>
        <v/>
      </c>
      <c r="K596" s="29"/>
      <c r="L596" s="29" t="b">
        <v>0</v>
      </c>
      <c r="M596" s="29"/>
      <c r="N596" s="21" t="str">
        <f>IFERROR(VLOOKUP(I596, 'Price Sheet'!$A$2:$B1010, 2, false), "")</f>
        <v/>
      </c>
    </row>
    <row r="597">
      <c r="B597" s="21" t="str">
        <f t="shared" si="4"/>
        <v/>
      </c>
      <c r="C597" s="29"/>
      <c r="D597" s="29"/>
      <c r="E597" s="29" t="b">
        <v>0</v>
      </c>
      <c r="F597" s="29"/>
      <c r="G597" s="21" t="str">
        <f>IFERROR(VLOOKUP(A597, 'Price Sheet'!$A$2:$B1010, 2, false), "")</f>
        <v/>
      </c>
      <c r="J597" s="21" t="str">
        <f t="shared" si="3"/>
        <v/>
      </c>
      <c r="K597" s="29"/>
      <c r="L597" s="29" t="b">
        <v>0</v>
      </c>
      <c r="M597" s="29"/>
      <c r="N597" s="21" t="str">
        <f>IFERROR(VLOOKUP(I597, 'Price Sheet'!$A$2:$B1010, 2, false), "")</f>
        <v/>
      </c>
    </row>
    <row r="598">
      <c r="B598" s="21" t="str">
        <f t="shared" si="4"/>
        <v/>
      </c>
      <c r="C598" s="29"/>
      <c r="D598" s="29"/>
      <c r="E598" s="29" t="b">
        <v>0</v>
      </c>
      <c r="F598" s="29"/>
      <c r="G598" s="21" t="str">
        <f>IFERROR(VLOOKUP(A598, 'Price Sheet'!$A$2:$B1010, 2, false), "")</f>
        <v/>
      </c>
      <c r="J598" s="21" t="str">
        <f t="shared" si="3"/>
        <v/>
      </c>
      <c r="K598" s="29"/>
      <c r="L598" s="29" t="b">
        <v>0</v>
      </c>
      <c r="M598" s="29"/>
      <c r="N598" s="21" t="str">
        <f>IFERROR(VLOOKUP(I598, 'Price Sheet'!$A$2:$B1010, 2, false), "")</f>
        <v/>
      </c>
    </row>
    <row r="599">
      <c r="B599" s="21" t="str">
        <f t="shared" si="4"/>
        <v/>
      </c>
      <c r="C599" s="29"/>
      <c r="D599" s="29"/>
      <c r="E599" s="29" t="b">
        <v>0</v>
      </c>
      <c r="F599" s="29"/>
      <c r="G599" s="21" t="str">
        <f>IFERROR(VLOOKUP(A599, 'Price Sheet'!$A$2:$B1010, 2, false), "")</f>
        <v/>
      </c>
      <c r="J599" s="21" t="str">
        <f t="shared" si="3"/>
        <v/>
      </c>
      <c r="K599" s="29"/>
      <c r="L599" s="29" t="b">
        <v>0</v>
      </c>
      <c r="M599" s="29"/>
      <c r="N599" s="21" t="str">
        <f>IFERROR(VLOOKUP(I599, 'Price Sheet'!$A$2:$B1010, 2, false), "")</f>
        <v/>
      </c>
    </row>
    <row r="600">
      <c r="B600" s="21" t="str">
        <f t="shared" si="4"/>
        <v/>
      </c>
      <c r="C600" s="29"/>
      <c r="D600" s="29"/>
      <c r="E600" s="29" t="b">
        <v>0</v>
      </c>
      <c r="F600" s="29"/>
      <c r="G600" s="21" t="str">
        <f>IFERROR(VLOOKUP(A600, 'Price Sheet'!$A$2:$B1010, 2, false), "")</f>
        <v/>
      </c>
      <c r="J600" s="21" t="str">
        <f t="shared" si="3"/>
        <v/>
      </c>
      <c r="K600" s="29"/>
      <c r="L600" s="29" t="b">
        <v>0</v>
      </c>
      <c r="M600" s="29"/>
      <c r="N600" s="21" t="str">
        <f>IFERROR(VLOOKUP(I600, 'Price Sheet'!$A$2:$B1010, 2, false), "")</f>
        <v/>
      </c>
    </row>
    <row r="601">
      <c r="B601" s="21" t="str">
        <f t="shared" si="4"/>
        <v/>
      </c>
      <c r="C601" s="29"/>
      <c r="D601" s="29"/>
      <c r="E601" s="29" t="b">
        <v>0</v>
      </c>
      <c r="F601" s="29"/>
      <c r="G601" s="21" t="str">
        <f>IFERROR(VLOOKUP(A601, 'Price Sheet'!$A$2:$B1010, 2, false), "")</f>
        <v/>
      </c>
      <c r="J601" s="21" t="str">
        <f t="shared" si="3"/>
        <v/>
      </c>
      <c r="K601" s="29"/>
      <c r="L601" s="29" t="b">
        <v>0</v>
      </c>
      <c r="M601" s="29"/>
      <c r="N601" s="21" t="str">
        <f>IFERROR(VLOOKUP(I601, 'Price Sheet'!$A$2:$B1010, 2, false), "")</f>
        <v/>
      </c>
    </row>
    <row r="602">
      <c r="B602" s="21" t="str">
        <f t="shared" si="4"/>
        <v/>
      </c>
      <c r="C602" s="29"/>
      <c r="D602" s="29"/>
      <c r="E602" s="29" t="b">
        <v>0</v>
      </c>
      <c r="F602" s="29"/>
      <c r="G602" s="21" t="str">
        <f>IFERROR(VLOOKUP(A602, 'Price Sheet'!$A$2:$B1010, 2, false), "")</f>
        <v/>
      </c>
      <c r="J602" s="21" t="str">
        <f t="shared" si="3"/>
        <v/>
      </c>
      <c r="K602" s="29"/>
      <c r="L602" s="29" t="b">
        <v>0</v>
      </c>
      <c r="M602" s="29"/>
      <c r="N602" s="21" t="str">
        <f>IFERROR(VLOOKUP(I602, 'Price Sheet'!$A$2:$B1010, 2, false), "")</f>
        <v/>
      </c>
    </row>
    <row r="603">
      <c r="B603" s="21" t="str">
        <f t="shared" si="4"/>
        <v/>
      </c>
      <c r="C603" s="29"/>
      <c r="D603" s="29"/>
      <c r="E603" s="29" t="b">
        <v>0</v>
      </c>
      <c r="F603" s="29"/>
      <c r="G603" s="21" t="str">
        <f>IFERROR(VLOOKUP(A603, 'Price Sheet'!$A$2:$B1010, 2, false), "")</f>
        <v/>
      </c>
      <c r="J603" s="21" t="str">
        <f t="shared" si="3"/>
        <v/>
      </c>
      <c r="K603" s="29"/>
      <c r="L603" s="29" t="b">
        <v>0</v>
      </c>
      <c r="M603" s="29"/>
      <c r="N603" s="21" t="str">
        <f>IFERROR(VLOOKUP(I603, 'Price Sheet'!$A$2:$B1010, 2, false), "")</f>
        <v/>
      </c>
    </row>
    <row r="604">
      <c r="B604" s="21" t="str">
        <f t="shared" si="4"/>
        <v/>
      </c>
      <c r="C604" s="29"/>
      <c r="D604" s="29"/>
      <c r="E604" s="29" t="b">
        <v>0</v>
      </c>
      <c r="F604" s="29"/>
      <c r="G604" s="21" t="str">
        <f>IFERROR(VLOOKUP(A604, 'Price Sheet'!$A$2:$B1010, 2, false), "")</f>
        <v/>
      </c>
      <c r="J604" s="21" t="str">
        <f t="shared" si="3"/>
        <v/>
      </c>
      <c r="K604" s="29"/>
      <c r="L604" s="29" t="b">
        <v>0</v>
      </c>
      <c r="M604" s="29"/>
      <c r="N604" s="21" t="str">
        <f>IFERROR(VLOOKUP(I604, 'Price Sheet'!$A$2:$B1010, 2, false), "")</f>
        <v/>
      </c>
    </row>
    <row r="605">
      <c r="B605" s="21" t="str">
        <f t="shared" si="4"/>
        <v/>
      </c>
      <c r="C605" s="29"/>
      <c r="D605" s="29"/>
      <c r="E605" s="29" t="b">
        <v>0</v>
      </c>
      <c r="F605" s="29"/>
      <c r="G605" s="21" t="str">
        <f>IFERROR(VLOOKUP(A605, 'Price Sheet'!$A$2:$B1010, 2, false), "")</f>
        <v/>
      </c>
      <c r="J605" s="21" t="str">
        <f t="shared" si="3"/>
        <v/>
      </c>
      <c r="K605" s="29"/>
      <c r="L605" s="29" t="b">
        <v>0</v>
      </c>
      <c r="M605" s="29"/>
      <c r="N605" s="21" t="str">
        <f>IFERROR(VLOOKUP(I605, 'Price Sheet'!$A$2:$B1010, 2, false), "")</f>
        <v/>
      </c>
    </row>
    <row r="606">
      <c r="B606" s="21" t="str">
        <f t="shared" si="4"/>
        <v/>
      </c>
      <c r="C606" s="29"/>
      <c r="D606" s="29"/>
      <c r="E606" s="29" t="b">
        <v>0</v>
      </c>
      <c r="F606" s="29"/>
      <c r="G606" s="21" t="str">
        <f>IFERROR(VLOOKUP(A606, 'Price Sheet'!$A$2:$B1010, 2, false), "")</f>
        <v/>
      </c>
      <c r="J606" s="21" t="str">
        <f t="shared" si="3"/>
        <v/>
      </c>
      <c r="K606" s="29"/>
      <c r="L606" s="29" t="b">
        <v>0</v>
      </c>
      <c r="M606" s="29"/>
      <c r="N606" s="21" t="str">
        <f>IFERROR(VLOOKUP(I606, 'Price Sheet'!$A$2:$B1010, 2, false), "")</f>
        <v/>
      </c>
    </row>
    <row r="607">
      <c r="B607" s="21" t="str">
        <f t="shared" si="4"/>
        <v/>
      </c>
      <c r="C607" s="29"/>
      <c r="D607" s="29"/>
      <c r="E607" s="29" t="b">
        <v>0</v>
      </c>
      <c r="F607" s="29"/>
      <c r="G607" s="21" t="str">
        <f>IFERROR(VLOOKUP(A607, 'Price Sheet'!$A$2:$B1010, 2, false), "")</f>
        <v/>
      </c>
      <c r="J607" s="21" t="str">
        <f t="shared" si="3"/>
        <v/>
      </c>
      <c r="K607" s="29"/>
      <c r="L607" s="29" t="b">
        <v>0</v>
      </c>
      <c r="M607" s="29"/>
      <c r="N607" s="21" t="str">
        <f>IFERROR(VLOOKUP(I607, 'Price Sheet'!$A$2:$B1010, 2, false), "")</f>
        <v/>
      </c>
    </row>
    <row r="608">
      <c r="B608" s="21" t="str">
        <f t="shared" si="4"/>
        <v/>
      </c>
      <c r="C608" s="29"/>
      <c r="D608" s="29"/>
      <c r="E608" s="29" t="b">
        <v>0</v>
      </c>
      <c r="F608" s="29"/>
      <c r="G608" s="21" t="str">
        <f>IFERROR(VLOOKUP(A608, 'Price Sheet'!$A$2:$B1010, 2, false), "")</f>
        <v/>
      </c>
      <c r="J608" s="21" t="str">
        <f t="shared" si="3"/>
        <v/>
      </c>
      <c r="K608" s="29"/>
      <c r="L608" s="29" t="b">
        <v>0</v>
      </c>
      <c r="M608" s="29"/>
      <c r="N608" s="21" t="str">
        <f>IFERROR(VLOOKUP(I608, 'Price Sheet'!$A$2:$B1010, 2, false), "")</f>
        <v/>
      </c>
    </row>
    <row r="609">
      <c r="B609" s="21" t="str">
        <f t="shared" si="4"/>
        <v/>
      </c>
      <c r="C609" s="29"/>
      <c r="D609" s="29"/>
      <c r="E609" s="29" t="b">
        <v>0</v>
      </c>
      <c r="F609" s="29"/>
      <c r="G609" s="21" t="str">
        <f>IFERROR(VLOOKUP(A609, 'Price Sheet'!$A$2:$B1010, 2, false), "")</f>
        <v/>
      </c>
      <c r="J609" s="21" t="str">
        <f t="shared" si="3"/>
        <v/>
      </c>
      <c r="K609" s="29"/>
      <c r="L609" s="29" t="b">
        <v>0</v>
      </c>
      <c r="M609" s="29"/>
      <c r="N609" s="21" t="str">
        <f>IFERROR(VLOOKUP(I609, 'Price Sheet'!$A$2:$B1010, 2, false), "")</f>
        <v/>
      </c>
    </row>
    <row r="610">
      <c r="B610" s="21" t="str">
        <f t="shared" si="4"/>
        <v/>
      </c>
      <c r="C610" s="29"/>
      <c r="D610" s="29"/>
      <c r="E610" s="29" t="b">
        <v>0</v>
      </c>
      <c r="F610" s="29"/>
      <c r="G610" s="21" t="str">
        <f>IFERROR(VLOOKUP(A610, 'Price Sheet'!$A$2:$B1010, 2, false), "")</f>
        <v/>
      </c>
      <c r="J610" s="21" t="str">
        <f t="shared" si="3"/>
        <v/>
      </c>
      <c r="K610" s="29"/>
      <c r="L610" s="29" t="b">
        <v>0</v>
      </c>
      <c r="M610" s="29"/>
      <c r="N610" s="21" t="str">
        <f>IFERROR(VLOOKUP(I610, 'Price Sheet'!$A$2:$B1010, 2, false), "")</f>
        <v/>
      </c>
    </row>
    <row r="611">
      <c r="B611" s="21" t="str">
        <f t="shared" si="4"/>
        <v/>
      </c>
      <c r="C611" s="29"/>
      <c r="D611" s="29"/>
      <c r="E611" s="29" t="b">
        <v>0</v>
      </c>
      <c r="F611" s="29"/>
      <c r="G611" s="21" t="str">
        <f>IFERROR(VLOOKUP(A611, 'Price Sheet'!$A$2:$B1010, 2, false), "")</f>
        <v/>
      </c>
      <c r="J611" s="21" t="str">
        <f t="shared" si="3"/>
        <v/>
      </c>
      <c r="K611" s="29"/>
      <c r="L611" s="29" t="b">
        <v>0</v>
      </c>
      <c r="M611" s="29"/>
      <c r="N611" s="21" t="str">
        <f>IFERROR(VLOOKUP(I611, 'Price Sheet'!$A$2:$B1010, 2, false), "")</f>
        <v/>
      </c>
    </row>
    <row r="612">
      <c r="B612" s="21" t="str">
        <f t="shared" si="4"/>
        <v/>
      </c>
      <c r="C612" s="29"/>
      <c r="D612" s="29"/>
      <c r="E612" s="29" t="b">
        <v>0</v>
      </c>
      <c r="F612" s="29"/>
      <c r="G612" s="21" t="str">
        <f>IFERROR(VLOOKUP(A612, 'Price Sheet'!$A$2:$B1010, 2, false), "")</f>
        <v/>
      </c>
      <c r="J612" s="21" t="str">
        <f t="shared" si="3"/>
        <v/>
      </c>
      <c r="K612" s="29"/>
      <c r="L612" s="29" t="b">
        <v>0</v>
      </c>
      <c r="M612" s="29"/>
      <c r="N612" s="21" t="str">
        <f>IFERROR(VLOOKUP(I612, 'Price Sheet'!$A$2:$B1010, 2, false), "")</f>
        <v/>
      </c>
    </row>
    <row r="613">
      <c r="B613" s="21" t="str">
        <f t="shared" si="4"/>
        <v/>
      </c>
      <c r="C613" s="29"/>
      <c r="D613" s="29"/>
      <c r="E613" s="29" t="b">
        <v>0</v>
      </c>
      <c r="F613" s="29"/>
      <c r="G613" s="21" t="str">
        <f>IFERROR(VLOOKUP(A613, 'Price Sheet'!$A$2:$B1010, 2, false), "")</f>
        <v/>
      </c>
      <c r="J613" s="21" t="str">
        <f t="shared" si="3"/>
        <v/>
      </c>
      <c r="K613" s="29"/>
      <c r="L613" s="29" t="b">
        <v>0</v>
      </c>
      <c r="M613" s="29"/>
      <c r="N613" s="21" t="str">
        <f>IFERROR(VLOOKUP(I613, 'Price Sheet'!$A$2:$B1010, 2, false), "")</f>
        <v/>
      </c>
    </row>
    <row r="614">
      <c r="B614" s="21" t="str">
        <f t="shared" si="4"/>
        <v/>
      </c>
      <c r="C614" s="29"/>
      <c r="D614" s="29"/>
      <c r="E614" s="29" t="b">
        <v>0</v>
      </c>
      <c r="F614" s="29"/>
      <c r="G614" s="21" t="str">
        <f>IFERROR(VLOOKUP(A614, 'Price Sheet'!$A$2:$B1010, 2, false), "")</f>
        <v/>
      </c>
      <c r="J614" s="21" t="str">
        <f t="shared" si="3"/>
        <v/>
      </c>
      <c r="K614" s="29"/>
      <c r="L614" s="29" t="b">
        <v>0</v>
      </c>
      <c r="M614" s="29"/>
      <c r="N614" s="21" t="str">
        <f>IFERROR(VLOOKUP(I614, 'Price Sheet'!$A$2:$B1010, 2, false), "")</f>
        <v/>
      </c>
    </row>
    <row r="615">
      <c r="B615" s="21" t="str">
        <f t="shared" si="4"/>
        <v/>
      </c>
      <c r="C615" s="29"/>
      <c r="D615" s="29"/>
      <c r="E615" s="29" t="b">
        <v>0</v>
      </c>
      <c r="F615" s="29"/>
      <c r="G615" s="21" t="str">
        <f>IFERROR(VLOOKUP(A615, 'Price Sheet'!$A$2:$B1010, 2, false), "")</f>
        <v/>
      </c>
      <c r="J615" s="21" t="str">
        <f t="shared" si="3"/>
        <v/>
      </c>
      <c r="K615" s="29"/>
      <c r="L615" s="29" t="b">
        <v>0</v>
      </c>
      <c r="M615" s="29"/>
      <c r="N615" s="21" t="str">
        <f>IFERROR(VLOOKUP(I615, 'Price Sheet'!$A$2:$B1010, 2, false), "")</f>
        <v/>
      </c>
    </row>
    <row r="616">
      <c r="B616" s="21" t="str">
        <f t="shared" si="4"/>
        <v/>
      </c>
      <c r="C616" s="29"/>
      <c r="D616" s="29"/>
      <c r="E616" s="29" t="b">
        <v>0</v>
      </c>
      <c r="F616" s="29"/>
      <c r="G616" s="21" t="str">
        <f>IFERROR(VLOOKUP(A616, 'Price Sheet'!$A$2:$B1010, 2, false), "")</f>
        <v/>
      </c>
      <c r="J616" s="21" t="str">
        <f t="shared" si="3"/>
        <v/>
      </c>
      <c r="K616" s="29"/>
      <c r="L616" s="29" t="b">
        <v>0</v>
      </c>
      <c r="M616" s="29"/>
      <c r="N616" s="21" t="str">
        <f>IFERROR(VLOOKUP(I616, 'Price Sheet'!$A$2:$B1010, 2, false), "")</f>
        <v/>
      </c>
    </row>
    <row r="617">
      <c r="B617" s="21" t="str">
        <f t="shared" si="4"/>
        <v/>
      </c>
      <c r="C617" s="29"/>
      <c r="D617" s="29"/>
      <c r="E617" s="29" t="b">
        <v>0</v>
      </c>
      <c r="F617" s="29"/>
      <c r="G617" s="21" t="str">
        <f>IFERROR(VLOOKUP(A617, 'Price Sheet'!$A$2:$B1010, 2, false), "")</f>
        <v/>
      </c>
      <c r="J617" s="21" t="str">
        <f t="shared" si="3"/>
        <v/>
      </c>
      <c r="K617" s="29"/>
      <c r="L617" s="29" t="b">
        <v>0</v>
      </c>
      <c r="M617" s="29"/>
      <c r="N617" s="21" t="str">
        <f>IFERROR(VLOOKUP(I617, 'Price Sheet'!$A$2:$B1010, 2, false), "")</f>
        <v/>
      </c>
    </row>
    <row r="618">
      <c r="B618" s="21" t="str">
        <f t="shared" si="4"/>
        <v/>
      </c>
      <c r="C618" s="29"/>
      <c r="D618" s="29"/>
      <c r="E618" s="29" t="b">
        <v>0</v>
      </c>
      <c r="F618" s="29"/>
      <c r="G618" s="21" t="str">
        <f>IFERROR(VLOOKUP(A618, 'Price Sheet'!$A$2:$B1010, 2, false), "")</f>
        <v/>
      </c>
      <c r="J618" s="21" t="str">
        <f t="shared" si="3"/>
        <v/>
      </c>
      <c r="K618" s="29"/>
      <c r="L618" s="29" t="b">
        <v>0</v>
      </c>
      <c r="M618" s="29"/>
      <c r="N618" s="21" t="str">
        <f>IFERROR(VLOOKUP(I618, 'Price Sheet'!$A$2:$B1010, 2, false), "")</f>
        <v/>
      </c>
    </row>
    <row r="619">
      <c r="B619" s="21" t="str">
        <f t="shared" si="4"/>
        <v/>
      </c>
      <c r="C619" s="29"/>
      <c r="D619" s="29"/>
      <c r="E619" s="29" t="b">
        <v>0</v>
      </c>
      <c r="F619" s="29"/>
      <c r="G619" s="21" t="str">
        <f>IFERROR(VLOOKUP(A619, 'Price Sheet'!$A$2:$B1010, 2, false), "")</f>
        <v/>
      </c>
      <c r="J619" s="21" t="str">
        <f t="shared" si="3"/>
        <v/>
      </c>
      <c r="K619" s="29"/>
      <c r="L619" s="29" t="b">
        <v>0</v>
      </c>
      <c r="M619" s="29"/>
      <c r="N619" s="21" t="str">
        <f>IFERROR(VLOOKUP(I619, 'Price Sheet'!$A$2:$B1010, 2, false), "")</f>
        <v/>
      </c>
    </row>
    <row r="620">
      <c r="B620" s="21" t="str">
        <f t="shared" si="4"/>
        <v/>
      </c>
      <c r="C620" s="29"/>
      <c r="D620" s="29"/>
      <c r="E620" s="29" t="b">
        <v>0</v>
      </c>
      <c r="F620" s="29"/>
      <c r="G620" s="21" t="str">
        <f>IFERROR(VLOOKUP(A620, 'Price Sheet'!$A$2:$B1010, 2, false), "")</f>
        <v/>
      </c>
      <c r="J620" s="21" t="str">
        <f t="shared" si="3"/>
        <v/>
      </c>
      <c r="K620" s="29"/>
      <c r="L620" s="29" t="b">
        <v>0</v>
      </c>
      <c r="M620" s="29"/>
      <c r="N620" s="21" t="str">
        <f>IFERROR(VLOOKUP(I620, 'Price Sheet'!$A$2:$B1010, 2, false), "")</f>
        <v/>
      </c>
    </row>
    <row r="621">
      <c r="B621" s="21" t="str">
        <f t="shared" si="4"/>
        <v/>
      </c>
      <c r="C621" s="29"/>
      <c r="D621" s="29"/>
      <c r="E621" s="29" t="b">
        <v>0</v>
      </c>
      <c r="F621" s="29"/>
      <c r="G621" s="21" t="str">
        <f>IFERROR(VLOOKUP(A621, 'Price Sheet'!$A$2:$B1010, 2, false), "")</f>
        <v/>
      </c>
      <c r="J621" s="21" t="str">
        <f t="shared" si="3"/>
        <v/>
      </c>
      <c r="K621" s="29"/>
      <c r="L621" s="29" t="b">
        <v>0</v>
      </c>
      <c r="M621" s="29"/>
      <c r="N621" s="21" t="str">
        <f>IFERROR(VLOOKUP(I621, 'Price Sheet'!$A$2:$B1010, 2, false), "")</f>
        <v/>
      </c>
    </row>
    <row r="622">
      <c r="B622" s="21" t="str">
        <f t="shared" si="4"/>
        <v/>
      </c>
      <c r="C622" s="29"/>
      <c r="D622" s="29"/>
      <c r="E622" s="29" t="b">
        <v>0</v>
      </c>
      <c r="F622" s="29"/>
      <c r="G622" s="21" t="str">
        <f>IFERROR(VLOOKUP(A622, 'Price Sheet'!$A$2:$B1010, 2, false), "")</f>
        <v/>
      </c>
      <c r="J622" s="21" t="str">
        <f t="shared" si="3"/>
        <v/>
      </c>
      <c r="K622" s="29"/>
      <c r="L622" s="29" t="b">
        <v>0</v>
      </c>
      <c r="M622" s="29"/>
      <c r="N622" s="21" t="str">
        <f>IFERROR(VLOOKUP(I622, 'Price Sheet'!$A$2:$B1010, 2, false), "")</f>
        <v/>
      </c>
    </row>
    <row r="623">
      <c r="B623" s="21" t="str">
        <f t="shared" si="4"/>
        <v/>
      </c>
      <c r="C623" s="29"/>
      <c r="D623" s="29"/>
      <c r="E623" s="29" t="b">
        <v>0</v>
      </c>
      <c r="F623" s="29"/>
      <c r="G623" s="21" t="str">
        <f>IFERROR(VLOOKUP(A623, 'Price Sheet'!$A$2:$B1010, 2, false), "")</f>
        <v/>
      </c>
      <c r="J623" s="21" t="str">
        <f t="shared" si="3"/>
        <v/>
      </c>
      <c r="K623" s="29"/>
      <c r="L623" s="29" t="b">
        <v>0</v>
      </c>
      <c r="M623" s="29"/>
      <c r="N623" s="21" t="str">
        <f>IFERROR(VLOOKUP(I623, 'Price Sheet'!$A$2:$B1010, 2, false), "")</f>
        <v/>
      </c>
    </row>
    <row r="624">
      <c r="B624" s="21" t="str">
        <f t="shared" si="4"/>
        <v/>
      </c>
      <c r="C624" s="29"/>
      <c r="D624" s="29"/>
      <c r="E624" s="29" t="b">
        <v>0</v>
      </c>
      <c r="F624" s="29"/>
      <c r="G624" s="21" t="str">
        <f>IFERROR(VLOOKUP(A624, 'Price Sheet'!$A$2:$B1010, 2, false), "")</f>
        <v/>
      </c>
      <c r="J624" s="21" t="str">
        <f t="shared" si="3"/>
        <v/>
      </c>
      <c r="K624" s="29"/>
      <c r="L624" s="29" t="b">
        <v>0</v>
      </c>
      <c r="M624" s="29"/>
      <c r="N624" s="21" t="str">
        <f>IFERROR(VLOOKUP(I624, 'Price Sheet'!$A$2:$B1010, 2, false), "")</f>
        <v/>
      </c>
    </row>
    <row r="625">
      <c r="B625" s="21" t="str">
        <f t="shared" si="4"/>
        <v/>
      </c>
      <c r="C625" s="29"/>
      <c r="D625" s="29"/>
      <c r="E625" s="29" t="b">
        <v>0</v>
      </c>
      <c r="F625" s="29"/>
      <c r="G625" s="21" t="str">
        <f>IFERROR(VLOOKUP(A625, 'Price Sheet'!$A$2:$B1010, 2, false), "")</f>
        <v/>
      </c>
      <c r="J625" s="21" t="str">
        <f t="shared" si="3"/>
        <v/>
      </c>
      <c r="K625" s="29"/>
      <c r="L625" s="29" t="b">
        <v>0</v>
      </c>
      <c r="M625" s="29"/>
      <c r="N625" s="21" t="str">
        <f>IFERROR(VLOOKUP(I625, 'Price Sheet'!$A$2:$B1010, 2, false), "")</f>
        <v/>
      </c>
    </row>
    <row r="626">
      <c r="B626" s="21" t="str">
        <f t="shared" si="4"/>
        <v/>
      </c>
      <c r="C626" s="29"/>
      <c r="D626" s="29"/>
      <c r="E626" s="29" t="b">
        <v>0</v>
      </c>
      <c r="F626" s="29"/>
      <c r="G626" s="21" t="str">
        <f>IFERROR(VLOOKUP(A626, 'Price Sheet'!$A$2:$B1010, 2, false), "")</f>
        <v/>
      </c>
      <c r="J626" s="21" t="str">
        <f t="shared" si="3"/>
        <v/>
      </c>
      <c r="K626" s="29"/>
      <c r="L626" s="29" t="b">
        <v>0</v>
      </c>
      <c r="M626" s="29"/>
      <c r="N626" s="21" t="str">
        <f>IFERROR(VLOOKUP(I626, 'Price Sheet'!$A$2:$B1010, 2, false), "")</f>
        <v/>
      </c>
    </row>
    <row r="627">
      <c r="B627" s="21" t="str">
        <f t="shared" si="4"/>
        <v/>
      </c>
      <c r="C627" s="29"/>
      <c r="D627" s="29"/>
      <c r="E627" s="29" t="b">
        <v>0</v>
      </c>
      <c r="F627" s="29"/>
      <c r="G627" s="21" t="str">
        <f>IFERROR(VLOOKUP(A627, 'Price Sheet'!$A$2:$B1010, 2, false), "")</f>
        <v/>
      </c>
      <c r="J627" s="21" t="str">
        <f t="shared" si="3"/>
        <v/>
      </c>
      <c r="K627" s="29"/>
      <c r="L627" s="29" t="b">
        <v>0</v>
      </c>
      <c r="M627" s="29"/>
      <c r="N627" s="21" t="str">
        <f>IFERROR(VLOOKUP(I627, 'Price Sheet'!$A$2:$B1010, 2, false), "")</f>
        <v/>
      </c>
    </row>
    <row r="628">
      <c r="B628" s="21" t="str">
        <f t="shared" si="4"/>
        <v/>
      </c>
      <c r="C628" s="29"/>
      <c r="D628" s="29"/>
      <c r="E628" s="29" t="b">
        <v>0</v>
      </c>
      <c r="F628" s="29"/>
      <c r="G628" s="21" t="str">
        <f>IFERROR(VLOOKUP(A628, 'Price Sheet'!$A$2:$B1010, 2, false), "")</f>
        <v/>
      </c>
      <c r="J628" s="21" t="str">
        <f t="shared" si="3"/>
        <v/>
      </c>
      <c r="K628" s="29"/>
      <c r="L628" s="29" t="b">
        <v>0</v>
      </c>
      <c r="M628" s="29"/>
      <c r="N628" s="21" t="str">
        <f>IFERROR(VLOOKUP(I628, 'Price Sheet'!$A$2:$B1010, 2, false), "")</f>
        <v/>
      </c>
    </row>
    <row r="629">
      <c r="B629" s="21" t="str">
        <f t="shared" si="4"/>
        <v/>
      </c>
      <c r="C629" s="29"/>
      <c r="D629" s="29"/>
      <c r="E629" s="29" t="b">
        <v>0</v>
      </c>
      <c r="F629" s="29"/>
      <c r="G629" s="21" t="str">
        <f>IFERROR(VLOOKUP(A629, 'Price Sheet'!$A$2:$B1010, 2, false), "")</f>
        <v/>
      </c>
      <c r="J629" s="21" t="str">
        <f t="shared" si="3"/>
        <v/>
      </c>
      <c r="K629" s="29"/>
      <c r="L629" s="29" t="b">
        <v>0</v>
      </c>
      <c r="M629" s="29"/>
      <c r="N629" s="21" t="str">
        <f>IFERROR(VLOOKUP(I629, 'Price Sheet'!$A$2:$B1010, 2, false), "")</f>
        <v/>
      </c>
    </row>
    <row r="630">
      <c r="B630" s="21" t="str">
        <f t="shared" si="4"/>
        <v/>
      </c>
      <c r="C630" s="29"/>
      <c r="D630" s="29"/>
      <c r="E630" s="29" t="b">
        <v>0</v>
      </c>
      <c r="F630" s="29"/>
      <c r="G630" s="21" t="str">
        <f>IFERROR(VLOOKUP(A630, 'Price Sheet'!$A$2:$B1010, 2, false), "")</f>
        <v/>
      </c>
      <c r="J630" s="21" t="str">
        <f t="shared" si="3"/>
        <v/>
      </c>
      <c r="K630" s="29"/>
      <c r="L630" s="29" t="b">
        <v>0</v>
      </c>
      <c r="M630" s="29"/>
      <c r="N630" s="21" t="str">
        <f>IFERROR(VLOOKUP(I630, 'Price Sheet'!$A$2:$B1010, 2, false), "")</f>
        <v/>
      </c>
    </row>
    <row r="631">
      <c r="B631" s="21" t="str">
        <f t="shared" si="4"/>
        <v/>
      </c>
      <c r="C631" s="29"/>
      <c r="D631" s="29"/>
      <c r="E631" s="29" t="b">
        <v>0</v>
      </c>
      <c r="F631" s="29"/>
      <c r="G631" s="21" t="str">
        <f>IFERROR(VLOOKUP(A631, 'Price Sheet'!$A$2:$B1010, 2, false), "")</f>
        <v/>
      </c>
      <c r="J631" s="21" t="str">
        <f t="shared" si="3"/>
        <v/>
      </c>
      <c r="K631" s="29"/>
      <c r="L631" s="29" t="b">
        <v>0</v>
      </c>
      <c r="M631" s="29"/>
      <c r="N631" s="21" t="str">
        <f>IFERROR(VLOOKUP(I631, 'Price Sheet'!$A$2:$B1010, 2, false), "")</f>
        <v/>
      </c>
    </row>
    <row r="632">
      <c r="B632" s="21" t="str">
        <f t="shared" si="4"/>
        <v/>
      </c>
      <c r="C632" s="29"/>
      <c r="D632" s="29"/>
      <c r="E632" s="29" t="b">
        <v>0</v>
      </c>
      <c r="F632" s="29"/>
      <c r="G632" s="21" t="str">
        <f>IFERROR(VLOOKUP(A632, 'Price Sheet'!$A$2:$B1010, 2, false), "")</f>
        <v/>
      </c>
      <c r="J632" s="21" t="str">
        <f t="shared" si="3"/>
        <v/>
      </c>
      <c r="K632" s="29"/>
      <c r="L632" s="29" t="b">
        <v>0</v>
      </c>
      <c r="M632" s="29"/>
      <c r="N632" s="21" t="str">
        <f>IFERROR(VLOOKUP(I632, 'Price Sheet'!$A$2:$B1010, 2, false), "")</f>
        <v/>
      </c>
    </row>
    <row r="633">
      <c r="B633" s="21" t="str">
        <f t="shared" si="4"/>
        <v/>
      </c>
      <c r="C633" s="29"/>
      <c r="D633" s="29"/>
      <c r="E633" s="29" t="b">
        <v>0</v>
      </c>
      <c r="F633" s="29"/>
      <c r="G633" s="21" t="str">
        <f>IFERROR(VLOOKUP(A633, 'Price Sheet'!$A$2:$B1010, 2, false), "")</f>
        <v/>
      </c>
      <c r="J633" s="21" t="str">
        <f t="shared" si="3"/>
        <v/>
      </c>
      <c r="K633" s="29"/>
      <c r="L633" s="29" t="b">
        <v>0</v>
      </c>
      <c r="M633" s="29"/>
      <c r="N633" s="21" t="str">
        <f>IFERROR(VLOOKUP(I633, 'Price Sheet'!$A$2:$B1010, 2, false), "")</f>
        <v/>
      </c>
    </row>
    <row r="634">
      <c r="B634" s="21" t="str">
        <f t="shared" si="4"/>
        <v/>
      </c>
      <c r="C634" s="29"/>
      <c r="D634" s="29"/>
      <c r="E634" s="29" t="b">
        <v>0</v>
      </c>
      <c r="F634" s="29"/>
      <c r="G634" s="21" t="str">
        <f>IFERROR(VLOOKUP(A634, 'Price Sheet'!$A$2:$B1010, 2, false), "")</f>
        <v/>
      </c>
      <c r="J634" s="21" t="str">
        <f t="shared" si="3"/>
        <v/>
      </c>
      <c r="K634" s="29"/>
      <c r="L634" s="29" t="b">
        <v>0</v>
      </c>
      <c r="M634" s="29"/>
      <c r="N634" s="21" t="str">
        <f>IFERROR(VLOOKUP(I634, 'Price Sheet'!$A$2:$B1010, 2, false), "")</f>
        <v/>
      </c>
    </row>
    <row r="635">
      <c r="B635" s="21" t="str">
        <f t="shared" si="4"/>
        <v/>
      </c>
      <c r="C635" s="29"/>
      <c r="D635" s="29"/>
      <c r="E635" s="29" t="b">
        <v>0</v>
      </c>
      <c r="F635" s="29"/>
      <c r="G635" s="21" t="str">
        <f>IFERROR(VLOOKUP(A635, 'Price Sheet'!$A$2:$B1010, 2, false), "")</f>
        <v/>
      </c>
      <c r="J635" s="21" t="str">
        <f t="shared" si="3"/>
        <v/>
      </c>
      <c r="K635" s="29"/>
      <c r="L635" s="29" t="b">
        <v>0</v>
      </c>
      <c r="M635" s="29"/>
      <c r="N635" s="21" t="str">
        <f>IFERROR(VLOOKUP(I635, 'Price Sheet'!$A$2:$B1010, 2, false), "")</f>
        <v/>
      </c>
    </row>
    <row r="636">
      <c r="B636" s="21" t="str">
        <f t="shared" si="4"/>
        <v/>
      </c>
      <c r="C636" s="29"/>
      <c r="D636" s="29"/>
      <c r="E636" s="29" t="b">
        <v>0</v>
      </c>
      <c r="F636" s="29"/>
      <c r="G636" s="21" t="str">
        <f>IFERROR(VLOOKUP(A636, 'Price Sheet'!$A$2:$B1010, 2, false), "")</f>
        <v/>
      </c>
      <c r="J636" s="21" t="str">
        <f t="shared" si="3"/>
        <v/>
      </c>
      <c r="K636" s="29"/>
      <c r="L636" s="29" t="b">
        <v>0</v>
      </c>
      <c r="M636" s="29"/>
      <c r="N636" s="21" t="str">
        <f>IFERROR(VLOOKUP(I636, 'Price Sheet'!$A$2:$B1010, 2, false), "")</f>
        <v/>
      </c>
    </row>
    <row r="637">
      <c r="B637" s="21" t="str">
        <f t="shared" si="4"/>
        <v/>
      </c>
      <c r="C637" s="29"/>
      <c r="D637" s="29"/>
      <c r="E637" s="29" t="b">
        <v>0</v>
      </c>
      <c r="F637" s="29"/>
      <c r="G637" s="21" t="str">
        <f>IFERROR(VLOOKUP(A637, 'Price Sheet'!$A$2:$B1010, 2, false), "")</f>
        <v/>
      </c>
      <c r="J637" s="21" t="str">
        <f t="shared" si="3"/>
        <v/>
      </c>
      <c r="K637" s="29"/>
      <c r="L637" s="29" t="b">
        <v>0</v>
      </c>
      <c r="M637" s="29"/>
      <c r="N637" s="21" t="str">
        <f>IFERROR(VLOOKUP(I637, 'Price Sheet'!$A$2:$B1010, 2, false), "")</f>
        <v/>
      </c>
    </row>
    <row r="638">
      <c r="B638" s="21" t="str">
        <f t="shared" si="4"/>
        <v/>
      </c>
      <c r="C638" s="29"/>
      <c r="D638" s="29"/>
      <c r="E638" s="29" t="b">
        <v>0</v>
      </c>
      <c r="F638" s="29"/>
      <c r="G638" s="21" t="str">
        <f>IFERROR(VLOOKUP(A638, 'Price Sheet'!$A$2:$B1010, 2, false), "")</f>
        <v/>
      </c>
      <c r="J638" s="21" t="str">
        <f t="shared" si="3"/>
        <v/>
      </c>
      <c r="K638" s="29"/>
      <c r="L638" s="29" t="b">
        <v>0</v>
      </c>
      <c r="M638" s="29"/>
      <c r="N638" s="21" t="str">
        <f>IFERROR(VLOOKUP(I638, 'Price Sheet'!$A$2:$B1010, 2, false), "")</f>
        <v/>
      </c>
    </row>
    <row r="639">
      <c r="B639" s="21" t="str">
        <f t="shared" si="4"/>
        <v/>
      </c>
      <c r="C639" s="29"/>
      <c r="D639" s="29"/>
      <c r="E639" s="29" t="b">
        <v>0</v>
      </c>
      <c r="F639" s="29"/>
      <c r="G639" s="21" t="str">
        <f>IFERROR(VLOOKUP(A639, 'Price Sheet'!$A$2:$B1010, 2, false), "")</f>
        <v/>
      </c>
      <c r="J639" s="21" t="str">
        <f t="shared" si="3"/>
        <v/>
      </c>
      <c r="K639" s="29"/>
      <c r="L639" s="29" t="b">
        <v>0</v>
      </c>
      <c r="M639" s="29"/>
      <c r="N639" s="21" t="str">
        <f>IFERROR(VLOOKUP(I639, 'Price Sheet'!$A$2:$B1010, 2, false), "")</f>
        <v/>
      </c>
    </row>
    <row r="640">
      <c r="B640" s="21" t="str">
        <f t="shared" si="4"/>
        <v/>
      </c>
      <c r="C640" s="29"/>
      <c r="D640" s="29"/>
      <c r="E640" s="29" t="b">
        <v>0</v>
      </c>
      <c r="F640" s="29"/>
      <c r="G640" s="21" t="str">
        <f>IFERROR(VLOOKUP(A640, 'Price Sheet'!$A$2:$B1010, 2, false), "")</f>
        <v/>
      </c>
      <c r="J640" s="21" t="str">
        <f t="shared" si="3"/>
        <v/>
      </c>
      <c r="K640" s="29"/>
      <c r="L640" s="29" t="b">
        <v>0</v>
      </c>
      <c r="M640" s="29"/>
      <c r="N640" s="21" t="str">
        <f>IFERROR(VLOOKUP(I640, 'Price Sheet'!$A$2:$B1010, 2, false), "")</f>
        <v/>
      </c>
    </row>
    <row r="641">
      <c r="B641" s="21" t="str">
        <f t="shared" si="4"/>
        <v/>
      </c>
      <c r="C641" s="29"/>
      <c r="D641" s="29"/>
      <c r="E641" s="29" t="b">
        <v>0</v>
      </c>
      <c r="F641" s="29"/>
      <c r="G641" s="21" t="str">
        <f>IFERROR(VLOOKUP(A641, 'Price Sheet'!$A$2:$B1010, 2, false), "")</f>
        <v/>
      </c>
      <c r="J641" s="21" t="str">
        <f t="shared" si="3"/>
        <v/>
      </c>
      <c r="K641" s="29"/>
      <c r="L641" s="29" t="b">
        <v>0</v>
      </c>
      <c r="M641" s="29"/>
      <c r="N641" s="21" t="str">
        <f>IFERROR(VLOOKUP(I641, 'Price Sheet'!$A$2:$B1010, 2, false), "")</f>
        <v/>
      </c>
    </row>
    <row r="642">
      <c r="B642" s="21" t="str">
        <f t="shared" si="4"/>
        <v/>
      </c>
      <c r="C642" s="29"/>
      <c r="D642" s="29"/>
      <c r="E642" s="29" t="b">
        <v>0</v>
      </c>
      <c r="F642" s="29"/>
      <c r="G642" s="21" t="str">
        <f>IFERROR(VLOOKUP(A642, 'Price Sheet'!$A$2:$B1010, 2, false), "")</f>
        <v/>
      </c>
      <c r="J642" s="21" t="str">
        <f t="shared" si="3"/>
        <v/>
      </c>
      <c r="K642" s="29"/>
      <c r="L642" s="29" t="b">
        <v>0</v>
      </c>
      <c r="M642" s="29"/>
      <c r="N642" s="21" t="str">
        <f>IFERROR(VLOOKUP(I642, 'Price Sheet'!$A$2:$B1010, 2, false), "")</f>
        <v/>
      </c>
    </row>
    <row r="643">
      <c r="B643" s="21" t="str">
        <f t="shared" si="4"/>
        <v/>
      </c>
      <c r="C643" s="29"/>
      <c r="D643" s="29"/>
      <c r="E643" s="29" t="b">
        <v>0</v>
      </c>
      <c r="F643" s="29"/>
      <c r="G643" s="21" t="str">
        <f>IFERROR(VLOOKUP(A643, 'Price Sheet'!$A$2:$B1010, 2, false), "")</f>
        <v/>
      </c>
      <c r="J643" s="21" t="str">
        <f t="shared" si="3"/>
        <v/>
      </c>
      <c r="K643" s="29"/>
      <c r="L643" s="29" t="b">
        <v>0</v>
      </c>
      <c r="M643" s="29"/>
      <c r="N643" s="21" t="str">
        <f>IFERROR(VLOOKUP(I643, 'Price Sheet'!$A$2:$B1010, 2, false), "")</f>
        <v/>
      </c>
    </row>
    <row r="644">
      <c r="B644" s="21" t="str">
        <f t="shared" si="4"/>
        <v/>
      </c>
      <c r="C644" s="29"/>
      <c r="D644" s="29"/>
      <c r="E644" s="29" t="b">
        <v>0</v>
      </c>
      <c r="F644" s="29"/>
      <c r="G644" s="21" t="str">
        <f>IFERROR(VLOOKUP(A644, 'Price Sheet'!$A$2:$B1010, 2, false), "")</f>
        <v/>
      </c>
      <c r="J644" s="21" t="str">
        <f t="shared" si="3"/>
        <v/>
      </c>
      <c r="K644" s="29"/>
      <c r="L644" s="29" t="b">
        <v>0</v>
      </c>
      <c r="M644" s="29"/>
      <c r="N644" s="21" t="str">
        <f>IFERROR(VLOOKUP(I644, 'Price Sheet'!$A$2:$B1010, 2, false), "")</f>
        <v/>
      </c>
    </row>
    <row r="645">
      <c r="B645" s="21" t="str">
        <f t="shared" si="4"/>
        <v/>
      </c>
      <c r="C645" s="29"/>
      <c r="D645" s="29"/>
      <c r="E645" s="29" t="b">
        <v>0</v>
      </c>
      <c r="F645" s="29"/>
      <c r="G645" s="21" t="str">
        <f>IFERROR(VLOOKUP(A645, 'Price Sheet'!$A$2:$B1010, 2, false), "")</f>
        <v/>
      </c>
      <c r="J645" s="21" t="str">
        <f t="shared" si="3"/>
        <v/>
      </c>
      <c r="K645" s="29"/>
      <c r="L645" s="29" t="b">
        <v>0</v>
      </c>
      <c r="M645" s="29"/>
      <c r="N645" s="21" t="str">
        <f>IFERROR(VLOOKUP(I645, 'Price Sheet'!$A$2:$B1010, 2, false), "")</f>
        <v/>
      </c>
    </row>
    <row r="646">
      <c r="B646" s="21" t="str">
        <f t="shared" si="4"/>
        <v/>
      </c>
      <c r="C646" s="29"/>
      <c r="D646" s="29"/>
      <c r="E646" s="29" t="b">
        <v>0</v>
      </c>
      <c r="F646" s="29"/>
      <c r="G646" s="21" t="str">
        <f>IFERROR(VLOOKUP(A646, 'Price Sheet'!$A$2:$B1010, 2, false), "")</f>
        <v/>
      </c>
      <c r="J646" s="21" t="str">
        <f t="shared" si="3"/>
        <v/>
      </c>
      <c r="K646" s="29"/>
      <c r="L646" s="29" t="b">
        <v>0</v>
      </c>
      <c r="M646" s="29"/>
      <c r="N646" s="21" t="str">
        <f>IFERROR(VLOOKUP(I646, 'Price Sheet'!$A$2:$B1010, 2, false), "")</f>
        <v/>
      </c>
    </row>
    <row r="647">
      <c r="B647" s="21" t="str">
        <f t="shared" si="4"/>
        <v/>
      </c>
      <c r="C647" s="29"/>
      <c r="D647" s="29"/>
      <c r="E647" s="29" t="b">
        <v>0</v>
      </c>
      <c r="F647" s="29"/>
      <c r="G647" s="21" t="str">
        <f>IFERROR(VLOOKUP(A647, 'Price Sheet'!$A$2:$B1010, 2, false), "")</f>
        <v/>
      </c>
      <c r="J647" s="21" t="str">
        <f t="shared" si="3"/>
        <v/>
      </c>
      <c r="K647" s="29"/>
      <c r="L647" s="29" t="b">
        <v>0</v>
      </c>
      <c r="M647" s="29"/>
      <c r="N647" s="21" t="str">
        <f>IFERROR(VLOOKUP(I647, 'Price Sheet'!$A$2:$B1010, 2, false), "")</f>
        <v/>
      </c>
    </row>
    <row r="648">
      <c r="B648" s="21" t="str">
        <f t="shared" si="4"/>
        <v/>
      </c>
      <c r="C648" s="29"/>
      <c r="D648" s="29"/>
      <c r="E648" s="29" t="b">
        <v>0</v>
      </c>
      <c r="F648" s="29"/>
      <c r="G648" s="21" t="str">
        <f>IFERROR(VLOOKUP(A648, 'Price Sheet'!$A$2:$B1010, 2, false), "")</f>
        <v/>
      </c>
      <c r="J648" s="21" t="str">
        <f t="shared" si="3"/>
        <v/>
      </c>
      <c r="K648" s="29"/>
      <c r="L648" s="29" t="b">
        <v>0</v>
      </c>
      <c r="M648" s="29"/>
      <c r="N648" s="21" t="str">
        <f>IFERROR(VLOOKUP(I648, 'Price Sheet'!$A$2:$B1010, 2, false), "")</f>
        <v/>
      </c>
    </row>
    <row r="649">
      <c r="B649" s="21" t="str">
        <f t="shared" si="4"/>
        <v/>
      </c>
      <c r="C649" s="29"/>
      <c r="D649" s="29"/>
      <c r="E649" s="29" t="b">
        <v>0</v>
      </c>
      <c r="F649" s="29"/>
      <c r="G649" s="21" t="str">
        <f>IFERROR(VLOOKUP(A649, 'Price Sheet'!$A$2:$B1010, 2, false), "")</f>
        <v/>
      </c>
      <c r="J649" s="21" t="str">
        <f t="shared" si="3"/>
        <v/>
      </c>
      <c r="K649" s="29"/>
      <c r="L649" s="29" t="b">
        <v>0</v>
      </c>
      <c r="M649" s="29"/>
      <c r="N649" s="21" t="str">
        <f>IFERROR(VLOOKUP(I649, 'Price Sheet'!$A$2:$B1010, 2, false), "")</f>
        <v/>
      </c>
    </row>
    <row r="650">
      <c r="B650" s="21" t="str">
        <f t="shared" si="4"/>
        <v/>
      </c>
      <c r="C650" s="29"/>
      <c r="D650" s="29"/>
      <c r="E650" s="29" t="b">
        <v>0</v>
      </c>
      <c r="F650" s="29"/>
      <c r="G650" s="21" t="str">
        <f>IFERROR(VLOOKUP(A650, 'Price Sheet'!$A$2:$B1010, 2, false), "")</f>
        <v/>
      </c>
      <c r="J650" s="21" t="str">
        <f t="shared" si="3"/>
        <v/>
      </c>
      <c r="K650" s="29"/>
      <c r="L650" s="29" t="b">
        <v>0</v>
      </c>
      <c r="M650" s="29"/>
      <c r="N650" s="21" t="str">
        <f>IFERROR(VLOOKUP(I650, 'Price Sheet'!$A$2:$B1010, 2, false), "")</f>
        <v/>
      </c>
    </row>
    <row r="651">
      <c r="B651" s="21" t="str">
        <f t="shared" si="4"/>
        <v/>
      </c>
      <c r="C651" s="29"/>
      <c r="D651" s="29"/>
      <c r="E651" s="29" t="b">
        <v>0</v>
      </c>
      <c r="F651" s="29"/>
      <c r="G651" s="21" t="str">
        <f>IFERROR(VLOOKUP(A651, 'Price Sheet'!$A$2:$B1010, 2, false), "")</f>
        <v/>
      </c>
      <c r="J651" s="21" t="str">
        <f t="shared" si="3"/>
        <v/>
      </c>
      <c r="K651" s="29"/>
      <c r="L651" s="29" t="b">
        <v>0</v>
      </c>
      <c r="M651" s="29"/>
      <c r="N651" s="21" t="str">
        <f>IFERROR(VLOOKUP(I651, 'Price Sheet'!$A$2:$B1010, 2, false), "")</f>
        <v/>
      </c>
    </row>
    <row r="652">
      <c r="B652" s="21" t="str">
        <f t="shared" si="4"/>
        <v/>
      </c>
      <c r="C652" s="29"/>
      <c r="D652" s="29"/>
      <c r="E652" s="29" t="b">
        <v>0</v>
      </c>
      <c r="F652" s="29"/>
      <c r="G652" s="21" t="str">
        <f>IFERROR(VLOOKUP(A652, 'Price Sheet'!$A$2:$B1010, 2, false), "")</f>
        <v/>
      </c>
      <c r="J652" s="21" t="str">
        <f t="shared" si="3"/>
        <v/>
      </c>
      <c r="K652" s="29"/>
      <c r="L652" s="29" t="b">
        <v>0</v>
      </c>
      <c r="M652" s="29"/>
      <c r="N652" s="21" t="str">
        <f>IFERROR(VLOOKUP(I652, 'Price Sheet'!$A$2:$B1010, 2, false), "")</f>
        <v/>
      </c>
    </row>
    <row r="653">
      <c r="B653" s="21" t="str">
        <f t="shared" si="4"/>
        <v/>
      </c>
      <c r="C653" s="29"/>
      <c r="D653" s="29"/>
      <c r="E653" s="29" t="b">
        <v>0</v>
      </c>
      <c r="F653" s="29"/>
      <c r="G653" s="21" t="str">
        <f>IFERROR(VLOOKUP(A653, 'Price Sheet'!$A$2:$B1010, 2, false), "")</f>
        <v/>
      </c>
      <c r="J653" s="21" t="str">
        <f t="shared" si="3"/>
        <v/>
      </c>
      <c r="K653" s="29"/>
      <c r="L653" s="29" t="b">
        <v>0</v>
      </c>
      <c r="M653" s="29"/>
      <c r="N653" s="21" t="str">
        <f>IFERROR(VLOOKUP(I653, 'Price Sheet'!$A$2:$B1010, 2, false), "")</f>
        <v/>
      </c>
    </row>
    <row r="654">
      <c r="B654" s="21" t="str">
        <f t="shared" si="4"/>
        <v/>
      </c>
      <c r="C654" s="29"/>
      <c r="D654" s="29"/>
      <c r="E654" s="29" t="b">
        <v>0</v>
      </c>
      <c r="F654" s="29"/>
      <c r="G654" s="21" t="str">
        <f>IFERROR(VLOOKUP(A654, 'Price Sheet'!$A$2:$B1010, 2, false), "")</f>
        <v/>
      </c>
      <c r="J654" s="21" t="str">
        <f t="shared" si="3"/>
        <v/>
      </c>
      <c r="K654" s="29"/>
      <c r="L654" s="29" t="b">
        <v>0</v>
      </c>
      <c r="M654" s="29"/>
      <c r="N654" s="21" t="str">
        <f>IFERROR(VLOOKUP(I654, 'Price Sheet'!$A$2:$B1010, 2, false), "")</f>
        <v/>
      </c>
    </row>
    <row r="655">
      <c r="B655" s="21" t="str">
        <f t="shared" si="4"/>
        <v/>
      </c>
      <c r="C655" s="29"/>
      <c r="D655" s="29"/>
      <c r="E655" s="29" t="b">
        <v>0</v>
      </c>
      <c r="F655" s="29"/>
      <c r="G655" s="21" t="str">
        <f>IFERROR(VLOOKUP(A655, 'Price Sheet'!$A$2:$B1010, 2, false), "")</f>
        <v/>
      </c>
      <c r="J655" s="21" t="str">
        <f t="shared" si="3"/>
        <v/>
      </c>
      <c r="K655" s="29"/>
      <c r="L655" s="29" t="b">
        <v>0</v>
      </c>
      <c r="M655" s="29"/>
      <c r="N655" s="21" t="str">
        <f>IFERROR(VLOOKUP(I655, 'Price Sheet'!$A$2:$B1010, 2, false), "")</f>
        <v/>
      </c>
    </row>
    <row r="656">
      <c r="B656" s="21" t="str">
        <f t="shared" si="4"/>
        <v/>
      </c>
      <c r="C656" s="29"/>
      <c r="D656" s="29"/>
      <c r="E656" s="29" t="b">
        <v>0</v>
      </c>
      <c r="F656" s="29"/>
      <c r="G656" s="21" t="str">
        <f>IFERROR(VLOOKUP(A656, 'Price Sheet'!$A$2:$B1010, 2, false), "")</f>
        <v/>
      </c>
      <c r="J656" s="21" t="str">
        <f t="shared" si="3"/>
        <v/>
      </c>
      <c r="K656" s="29"/>
      <c r="L656" s="29" t="b">
        <v>0</v>
      </c>
      <c r="M656" s="29"/>
      <c r="N656" s="21" t="str">
        <f>IFERROR(VLOOKUP(I656, 'Price Sheet'!$A$2:$B1010, 2, false), "")</f>
        <v/>
      </c>
    </row>
    <row r="657">
      <c r="B657" s="21" t="str">
        <f t="shared" si="4"/>
        <v/>
      </c>
      <c r="C657" s="29"/>
      <c r="D657" s="29"/>
      <c r="E657" s="29" t="b">
        <v>0</v>
      </c>
      <c r="F657" s="29"/>
      <c r="G657" s="21" t="str">
        <f>IFERROR(VLOOKUP(A657, 'Price Sheet'!$A$2:$B1010, 2, false), "")</f>
        <v/>
      </c>
      <c r="J657" s="21" t="str">
        <f t="shared" si="3"/>
        <v/>
      </c>
      <c r="K657" s="29"/>
      <c r="L657" s="29" t="b">
        <v>0</v>
      </c>
      <c r="M657" s="29"/>
      <c r="N657" s="21" t="str">
        <f>IFERROR(VLOOKUP(I657, 'Price Sheet'!$A$2:$B1010, 2, false), "")</f>
        <v/>
      </c>
    </row>
    <row r="658">
      <c r="B658" s="21" t="str">
        <f t="shared" si="4"/>
        <v/>
      </c>
      <c r="C658" s="29"/>
      <c r="D658" s="29"/>
      <c r="E658" s="29" t="b">
        <v>0</v>
      </c>
      <c r="F658" s="29"/>
      <c r="G658" s="21" t="str">
        <f>IFERROR(VLOOKUP(A658, 'Price Sheet'!$A$2:$B1010, 2, false), "")</f>
        <v/>
      </c>
      <c r="J658" s="21" t="str">
        <f t="shared" si="3"/>
        <v/>
      </c>
      <c r="K658" s="29"/>
      <c r="L658" s="29" t="b">
        <v>0</v>
      </c>
      <c r="M658" s="29"/>
      <c r="N658" s="21" t="str">
        <f>IFERROR(VLOOKUP(I658, 'Price Sheet'!$A$2:$B1010, 2, false), "")</f>
        <v/>
      </c>
    </row>
    <row r="659">
      <c r="B659" s="21" t="str">
        <f t="shared" si="4"/>
        <v/>
      </c>
      <c r="C659" s="29"/>
      <c r="D659" s="29"/>
      <c r="E659" s="29" t="b">
        <v>0</v>
      </c>
      <c r="F659" s="29"/>
      <c r="G659" s="21" t="str">
        <f>IFERROR(VLOOKUP(A659, 'Price Sheet'!$A$2:$B1010, 2, false), "")</f>
        <v/>
      </c>
      <c r="J659" s="21" t="str">
        <f t="shared" si="3"/>
        <v/>
      </c>
      <c r="K659" s="29"/>
      <c r="L659" s="29" t="b">
        <v>0</v>
      </c>
      <c r="M659" s="29"/>
      <c r="N659" s="21" t="str">
        <f>IFERROR(VLOOKUP(I659, 'Price Sheet'!$A$2:$B1010, 2, false), "")</f>
        <v/>
      </c>
    </row>
    <row r="660">
      <c r="B660" s="21" t="str">
        <f t="shared" si="4"/>
        <v/>
      </c>
      <c r="C660" s="29"/>
      <c r="D660" s="29"/>
      <c r="E660" s="29" t="b">
        <v>0</v>
      </c>
      <c r="F660" s="29"/>
      <c r="G660" s="21" t="str">
        <f>IFERROR(VLOOKUP(A660, 'Price Sheet'!$A$2:$B1010, 2, false), "")</f>
        <v/>
      </c>
      <c r="J660" s="21" t="str">
        <f t="shared" si="3"/>
        <v/>
      </c>
      <c r="K660" s="29"/>
      <c r="L660" s="29" t="b">
        <v>0</v>
      </c>
      <c r="M660" s="29"/>
      <c r="N660" s="21" t="str">
        <f>IFERROR(VLOOKUP(I660, 'Price Sheet'!$A$2:$B1010, 2, false), "")</f>
        <v/>
      </c>
    </row>
    <row r="661">
      <c r="B661" s="21" t="str">
        <f t="shared" si="4"/>
        <v/>
      </c>
      <c r="C661" s="29"/>
      <c r="D661" s="29"/>
      <c r="E661" s="29" t="b">
        <v>0</v>
      </c>
      <c r="F661" s="29"/>
      <c r="G661" s="21" t="str">
        <f>IFERROR(VLOOKUP(A661, 'Price Sheet'!$A$2:$B1010, 2, false), "")</f>
        <v/>
      </c>
      <c r="J661" s="21" t="str">
        <f t="shared" si="3"/>
        <v/>
      </c>
      <c r="K661" s="29"/>
      <c r="L661" s="29" t="b">
        <v>0</v>
      </c>
      <c r="M661" s="29"/>
      <c r="N661" s="21" t="str">
        <f>IFERROR(VLOOKUP(I661, 'Price Sheet'!$A$2:$B1010, 2, false), "")</f>
        <v/>
      </c>
    </row>
    <row r="662">
      <c r="B662" s="21" t="str">
        <f t="shared" si="4"/>
        <v/>
      </c>
      <c r="C662" s="29"/>
      <c r="D662" s="29"/>
      <c r="E662" s="29" t="b">
        <v>0</v>
      </c>
      <c r="F662" s="29"/>
      <c r="G662" s="21" t="str">
        <f>IFERROR(VLOOKUP(A662, 'Price Sheet'!$A$2:$B1010, 2, false), "")</f>
        <v/>
      </c>
      <c r="J662" s="21" t="str">
        <f t="shared" si="3"/>
        <v/>
      </c>
      <c r="K662" s="29"/>
      <c r="L662" s="29" t="b">
        <v>0</v>
      </c>
      <c r="M662" s="29"/>
      <c r="N662" s="21" t="str">
        <f>IFERROR(VLOOKUP(I662, 'Price Sheet'!$A$2:$B1010, 2, false), "")</f>
        <v/>
      </c>
    </row>
    <row r="663">
      <c r="B663" s="21" t="str">
        <f t="shared" si="4"/>
        <v/>
      </c>
      <c r="C663" s="29"/>
      <c r="D663" s="29"/>
      <c r="E663" s="29" t="b">
        <v>0</v>
      </c>
      <c r="F663" s="29"/>
      <c r="G663" s="21" t="str">
        <f>IFERROR(VLOOKUP(A663, 'Price Sheet'!$A$2:$B1010, 2, false), "")</f>
        <v/>
      </c>
      <c r="J663" s="21" t="str">
        <f t="shared" si="3"/>
        <v/>
      </c>
      <c r="K663" s="29"/>
      <c r="L663" s="29" t="b">
        <v>0</v>
      </c>
      <c r="M663" s="29"/>
      <c r="N663" s="21" t="str">
        <f>IFERROR(VLOOKUP(I663, 'Price Sheet'!$A$2:$B1010, 2, false), "")</f>
        <v/>
      </c>
    </row>
    <row r="664">
      <c r="B664" s="21" t="str">
        <f t="shared" si="4"/>
        <v/>
      </c>
      <c r="C664" s="29"/>
      <c r="D664" s="29"/>
      <c r="E664" s="29" t="b">
        <v>0</v>
      </c>
      <c r="F664" s="29"/>
      <c r="G664" s="21" t="str">
        <f>IFERROR(VLOOKUP(A664, 'Price Sheet'!$A$2:$B1010, 2, false), "")</f>
        <v/>
      </c>
      <c r="J664" s="21" t="str">
        <f t="shared" si="3"/>
        <v/>
      </c>
      <c r="K664" s="29"/>
      <c r="L664" s="29" t="b">
        <v>0</v>
      </c>
      <c r="M664" s="29"/>
      <c r="N664" s="21" t="str">
        <f>IFERROR(VLOOKUP(I664, 'Price Sheet'!$A$2:$B1010, 2, false), "")</f>
        <v/>
      </c>
    </row>
    <row r="665">
      <c r="B665" s="21" t="str">
        <f t="shared" si="4"/>
        <v/>
      </c>
      <c r="C665" s="29"/>
      <c r="D665" s="29"/>
      <c r="E665" s="29" t="b">
        <v>0</v>
      </c>
      <c r="F665" s="29"/>
      <c r="G665" s="21" t="str">
        <f>IFERROR(VLOOKUP(A665, 'Price Sheet'!$A$2:$B1010, 2, false), "")</f>
        <v/>
      </c>
      <c r="J665" s="21" t="str">
        <f t="shared" si="3"/>
        <v/>
      </c>
      <c r="K665" s="29"/>
      <c r="L665" s="29" t="b">
        <v>0</v>
      </c>
      <c r="M665" s="29"/>
      <c r="N665" s="21" t="str">
        <f>IFERROR(VLOOKUP(I665, 'Price Sheet'!$A$2:$B1010, 2, false), "")</f>
        <v/>
      </c>
    </row>
    <row r="666">
      <c r="B666" s="21" t="str">
        <f t="shared" si="4"/>
        <v/>
      </c>
      <c r="C666" s="29"/>
      <c r="D666" s="29"/>
      <c r="E666" s="29" t="b">
        <v>0</v>
      </c>
      <c r="F666" s="29"/>
      <c r="G666" s="21" t="str">
        <f>IFERROR(VLOOKUP(A666, 'Price Sheet'!$A$2:$B1010, 2, false), "")</f>
        <v/>
      </c>
      <c r="J666" s="21" t="str">
        <f t="shared" si="3"/>
        <v/>
      </c>
      <c r="K666" s="29"/>
      <c r="L666" s="29" t="b">
        <v>0</v>
      </c>
      <c r="M666" s="29"/>
      <c r="N666" s="21" t="str">
        <f>IFERROR(VLOOKUP(I666, 'Price Sheet'!$A$2:$B1010, 2, false), "")</f>
        <v/>
      </c>
    </row>
    <row r="667">
      <c r="B667" s="21" t="str">
        <f t="shared" si="4"/>
        <v/>
      </c>
      <c r="C667" s="29"/>
      <c r="D667" s="29"/>
      <c r="E667" s="29" t="b">
        <v>0</v>
      </c>
      <c r="F667" s="29"/>
      <c r="G667" s="21" t="str">
        <f>IFERROR(VLOOKUP(A667, 'Price Sheet'!$A$2:$B1010, 2, false), "")</f>
        <v/>
      </c>
      <c r="J667" s="21" t="str">
        <f t="shared" si="3"/>
        <v/>
      </c>
      <c r="K667" s="29"/>
      <c r="L667" s="29" t="b">
        <v>0</v>
      </c>
      <c r="M667" s="29"/>
      <c r="N667" s="21" t="str">
        <f>IFERROR(VLOOKUP(I667, 'Price Sheet'!$A$2:$B1010, 2, false), "")</f>
        <v/>
      </c>
    </row>
    <row r="668">
      <c r="B668" s="21" t="str">
        <f t="shared" si="4"/>
        <v/>
      </c>
      <c r="C668" s="29"/>
      <c r="D668" s="29"/>
      <c r="E668" s="29" t="b">
        <v>0</v>
      </c>
      <c r="F668" s="29"/>
      <c r="G668" s="21" t="str">
        <f>IFERROR(VLOOKUP(A668, 'Price Sheet'!$A$2:$B1010, 2, false), "")</f>
        <v/>
      </c>
      <c r="J668" s="21" t="str">
        <f t="shared" si="3"/>
        <v/>
      </c>
      <c r="K668" s="29"/>
      <c r="L668" s="29" t="b">
        <v>0</v>
      </c>
      <c r="M668" s="29"/>
      <c r="N668" s="21" t="str">
        <f>IFERROR(VLOOKUP(I668, 'Price Sheet'!$A$2:$B1010, 2, false), "")</f>
        <v/>
      </c>
    </row>
    <row r="669">
      <c r="B669" s="21" t="str">
        <f t="shared" si="4"/>
        <v/>
      </c>
      <c r="C669" s="29"/>
      <c r="D669" s="29"/>
      <c r="E669" s="29" t="b">
        <v>0</v>
      </c>
      <c r="F669" s="29"/>
      <c r="G669" s="21" t="str">
        <f>IFERROR(VLOOKUP(A669, 'Price Sheet'!$A$2:$B1010, 2, false), "")</f>
        <v/>
      </c>
      <c r="J669" s="21" t="str">
        <f t="shared" si="3"/>
        <v/>
      </c>
      <c r="K669" s="29"/>
      <c r="L669" s="29" t="b">
        <v>0</v>
      </c>
      <c r="M669" s="29"/>
      <c r="N669" s="21" t="str">
        <f>IFERROR(VLOOKUP(I669, 'Price Sheet'!$A$2:$B1010, 2, false), "")</f>
        <v/>
      </c>
    </row>
    <row r="670">
      <c r="B670" s="21" t="str">
        <f t="shared" si="4"/>
        <v/>
      </c>
      <c r="C670" s="29"/>
      <c r="D670" s="29"/>
      <c r="E670" s="29" t="b">
        <v>0</v>
      </c>
      <c r="F670" s="29"/>
      <c r="G670" s="21" t="str">
        <f>IFERROR(VLOOKUP(A670, 'Price Sheet'!$A$2:$B1010, 2, false), "")</f>
        <v/>
      </c>
      <c r="J670" s="21" t="str">
        <f t="shared" si="3"/>
        <v/>
      </c>
      <c r="K670" s="29"/>
      <c r="L670" s="29" t="b">
        <v>0</v>
      </c>
      <c r="M670" s="29"/>
      <c r="N670" s="21" t="str">
        <f>IFERROR(VLOOKUP(I670, 'Price Sheet'!$A$2:$B1010, 2, false), "")</f>
        <v/>
      </c>
    </row>
    <row r="671">
      <c r="B671" s="21" t="str">
        <f t="shared" si="4"/>
        <v/>
      </c>
      <c r="C671" s="29"/>
      <c r="D671" s="29"/>
      <c r="E671" s="29" t="b">
        <v>0</v>
      </c>
      <c r="F671" s="29"/>
      <c r="G671" s="21" t="str">
        <f>IFERROR(VLOOKUP(A671, 'Price Sheet'!$A$2:$B1010, 2, false), "")</f>
        <v/>
      </c>
      <c r="J671" s="21" t="str">
        <f t="shared" si="3"/>
        <v/>
      </c>
      <c r="K671" s="29"/>
      <c r="L671" s="29" t="b">
        <v>0</v>
      </c>
      <c r="M671" s="29"/>
      <c r="N671" s="21" t="str">
        <f>IFERROR(VLOOKUP(I671, 'Price Sheet'!$A$2:$B1010, 2, false), "")</f>
        <v/>
      </c>
    </row>
    <row r="672">
      <c r="B672" s="21" t="str">
        <f t="shared" si="4"/>
        <v/>
      </c>
      <c r="C672" s="29"/>
      <c r="D672" s="29"/>
      <c r="E672" s="29" t="b">
        <v>0</v>
      </c>
      <c r="F672" s="29"/>
      <c r="G672" s="21" t="str">
        <f>IFERROR(VLOOKUP(A672, 'Price Sheet'!$A$2:$B1010, 2, false), "")</f>
        <v/>
      </c>
      <c r="J672" s="21" t="str">
        <f t="shared" si="3"/>
        <v/>
      </c>
      <c r="K672" s="29"/>
      <c r="L672" s="29" t="b">
        <v>0</v>
      </c>
      <c r="M672" s="29"/>
      <c r="N672" s="21" t="str">
        <f>IFERROR(VLOOKUP(I672, 'Price Sheet'!$A$2:$B1010, 2, false), "")</f>
        <v/>
      </c>
    </row>
    <row r="673">
      <c r="B673" s="21" t="str">
        <f t="shared" si="4"/>
        <v/>
      </c>
      <c r="C673" s="29"/>
      <c r="D673" s="29"/>
      <c r="E673" s="29" t="b">
        <v>0</v>
      </c>
      <c r="F673" s="29"/>
      <c r="G673" s="21" t="str">
        <f>IFERROR(VLOOKUP(A673, 'Price Sheet'!$A$2:$B1010, 2, false), "")</f>
        <v/>
      </c>
      <c r="J673" s="21" t="str">
        <f t="shared" si="3"/>
        <v/>
      </c>
      <c r="K673" s="29"/>
      <c r="L673" s="29" t="b">
        <v>0</v>
      </c>
      <c r="M673" s="29"/>
      <c r="N673" s="21" t="str">
        <f>IFERROR(VLOOKUP(I673, 'Price Sheet'!$A$2:$B1010, 2, false), "")</f>
        <v/>
      </c>
    </row>
    <row r="674">
      <c r="B674" s="21" t="str">
        <f t="shared" si="4"/>
        <v/>
      </c>
      <c r="C674" s="29"/>
      <c r="D674" s="29"/>
      <c r="E674" s="29" t="b">
        <v>0</v>
      </c>
      <c r="F674" s="29"/>
      <c r="G674" s="21" t="str">
        <f>IFERROR(VLOOKUP(A674, 'Price Sheet'!$A$2:$B1010, 2, false), "")</f>
        <v/>
      </c>
      <c r="J674" s="21" t="str">
        <f t="shared" si="3"/>
        <v/>
      </c>
      <c r="K674" s="29"/>
      <c r="L674" s="29" t="b">
        <v>0</v>
      </c>
      <c r="M674" s="29"/>
      <c r="N674" s="21" t="str">
        <f>IFERROR(VLOOKUP(I674, 'Price Sheet'!$A$2:$B1010, 2, false), "")</f>
        <v/>
      </c>
    </row>
    <row r="675">
      <c r="B675" s="21" t="str">
        <f t="shared" si="4"/>
        <v/>
      </c>
      <c r="C675" s="29"/>
      <c r="D675" s="29"/>
      <c r="E675" s="29" t="b">
        <v>0</v>
      </c>
      <c r="F675" s="29"/>
      <c r="G675" s="21" t="str">
        <f>IFERROR(VLOOKUP(A675, 'Price Sheet'!$A$2:$B1010, 2, false), "")</f>
        <v/>
      </c>
      <c r="J675" s="21" t="str">
        <f t="shared" si="3"/>
        <v/>
      </c>
      <c r="K675" s="29"/>
      <c r="L675" s="29" t="b">
        <v>0</v>
      </c>
      <c r="M675" s="29"/>
      <c r="N675" s="21" t="str">
        <f>IFERROR(VLOOKUP(I675, 'Price Sheet'!$A$2:$B1010, 2, false), "")</f>
        <v/>
      </c>
    </row>
    <row r="676">
      <c r="B676" s="21" t="str">
        <f t="shared" si="4"/>
        <v/>
      </c>
      <c r="C676" s="29"/>
      <c r="D676" s="29"/>
      <c r="E676" s="29" t="b">
        <v>0</v>
      </c>
      <c r="F676" s="29"/>
      <c r="G676" s="21" t="str">
        <f>IFERROR(VLOOKUP(A676, 'Price Sheet'!$A$2:$B1010, 2, false), "")</f>
        <v/>
      </c>
      <c r="J676" s="21" t="str">
        <f t="shared" si="3"/>
        <v/>
      </c>
      <c r="K676" s="29"/>
      <c r="L676" s="29" t="b">
        <v>0</v>
      </c>
      <c r="M676" s="29"/>
      <c r="N676" s="21" t="str">
        <f>IFERROR(VLOOKUP(I676, 'Price Sheet'!$A$2:$B1010, 2, false), "")</f>
        <v/>
      </c>
    </row>
    <row r="677">
      <c r="B677" s="21" t="str">
        <f t="shared" si="4"/>
        <v/>
      </c>
      <c r="C677" s="29"/>
      <c r="D677" s="29"/>
      <c r="E677" s="29" t="b">
        <v>0</v>
      </c>
      <c r="F677" s="29"/>
      <c r="G677" s="21" t="str">
        <f>IFERROR(VLOOKUP(A677, 'Price Sheet'!$A$2:$B1010, 2, false), "")</f>
        <v/>
      </c>
      <c r="J677" s="21" t="str">
        <f t="shared" si="3"/>
        <v/>
      </c>
      <c r="K677" s="29"/>
      <c r="L677" s="29" t="b">
        <v>0</v>
      </c>
      <c r="M677" s="29"/>
      <c r="N677" s="21" t="str">
        <f>IFERROR(VLOOKUP(I677, 'Price Sheet'!$A$2:$B1010, 2, false), "")</f>
        <v/>
      </c>
    </row>
    <row r="678">
      <c r="B678" s="21" t="str">
        <f t="shared" si="4"/>
        <v/>
      </c>
      <c r="C678" s="29"/>
      <c r="D678" s="29"/>
      <c r="E678" s="29" t="b">
        <v>0</v>
      </c>
      <c r="F678" s="29"/>
      <c r="G678" s="21" t="str">
        <f>IFERROR(VLOOKUP(A678, 'Price Sheet'!$A$2:$B1010, 2, false), "")</f>
        <v/>
      </c>
      <c r="J678" s="21" t="str">
        <f t="shared" si="3"/>
        <v/>
      </c>
      <c r="K678" s="29"/>
      <c r="L678" s="29" t="b">
        <v>0</v>
      </c>
      <c r="M678" s="29"/>
      <c r="N678" s="21" t="str">
        <f>IFERROR(VLOOKUP(I678, 'Price Sheet'!$A$2:$B1010, 2, false), "")</f>
        <v/>
      </c>
    </row>
    <row r="679">
      <c r="B679" s="21" t="str">
        <f t="shared" si="4"/>
        <v/>
      </c>
      <c r="C679" s="29"/>
      <c r="D679" s="29"/>
      <c r="E679" s="29" t="b">
        <v>0</v>
      </c>
      <c r="F679" s="29"/>
      <c r="G679" s="21" t="str">
        <f>IFERROR(VLOOKUP(A679, 'Price Sheet'!$A$2:$B1010, 2, false), "")</f>
        <v/>
      </c>
      <c r="J679" s="21" t="str">
        <f t="shared" si="3"/>
        <v/>
      </c>
      <c r="K679" s="29"/>
      <c r="L679" s="29" t="b">
        <v>0</v>
      </c>
      <c r="M679" s="29"/>
      <c r="N679" s="21" t="str">
        <f>IFERROR(VLOOKUP(I679, 'Price Sheet'!$A$2:$B1010, 2, false), "")</f>
        <v/>
      </c>
    </row>
    <row r="680">
      <c r="B680" s="21" t="str">
        <f t="shared" si="4"/>
        <v/>
      </c>
      <c r="C680" s="29"/>
      <c r="D680" s="29"/>
      <c r="E680" s="29" t="b">
        <v>0</v>
      </c>
      <c r="F680" s="29"/>
      <c r="G680" s="21" t="str">
        <f>IFERROR(VLOOKUP(A680, 'Price Sheet'!$A$2:$B1010, 2, false), "")</f>
        <v/>
      </c>
      <c r="J680" s="21" t="str">
        <f t="shared" si="3"/>
        <v/>
      </c>
      <c r="K680" s="29"/>
      <c r="L680" s="29" t="b">
        <v>0</v>
      </c>
      <c r="M680" s="29"/>
      <c r="N680" s="21" t="str">
        <f>IFERROR(VLOOKUP(I680, 'Price Sheet'!$A$2:$B1010, 2, false), "")</f>
        <v/>
      </c>
    </row>
    <row r="681">
      <c r="B681" s="21" t="str">
        <f t="shared" si="4"/>
        <v/>
      </c>
      <c r="C681" s="29"/>
      <c r="D681" s="29"/>
      <c r="E681" s="29" t="b">
        <v>0</v>
      </c>
      <c r="F681" s="29"/>
      <c r="G681" s="21" t="str">
        <f>IFERROR(VLOOKUP(A681, 'Price Sheet'!$A$2:$B1010, 2, false), "")</f>
        <v/>
      </c>
      <c r="J681" s="21" t="str">
        <f t="shared" si="3"/>
        <v/>
      </c>
      <c r="K681" s="29"/>
      <c r="L681" s="29" t="b">
        <v>0</v>
      </c>
      <c r="M681" s="29"/>
      <c r="N681" s="21" t="str">
        <f>IFERROR(VLOOKUP(I681, 'Price Sheet'!$A$2:$B1010, 2, false), "")</f>
        <v/>
      </c>
    </row>
    <row r="682">
      <c r="B682" s="21" t="str">
        <f t="shared" si="4"/>
        <v/>
      </c>
      <c r="C682" s="29"/>
      <c r="D682" s="29"/>
      <c r="E682" s="29" t="b">
        <v>0</v>
      </c>
      <c r="F682" s="29"/>
      <c r="G682" s="21" t="str">
        <f>IFERROR(VLOOKUP(A682, 'Price Sheet'!$A$2:$B1010, 2, false), "")</f>
        <v/>
      </c>
      <c r="J682" s="21" t="str">
        <f t="shared" si="3"/>
        <v/>
      </c>
      <c r="K682" s="29"/>
      <c r="L682" s="29" t="b">
        <v>0</v>
      </c>
      <c r="M682" s="29"/>
      <c r="N682" s="21" t="str">
        <f>IFERROR(VLOOKUP(I682, 'Price Sheet'!$A$2:$B1010, 2, false), "")</f>
        <v/>
      </c>
    </row>
    <row r="683">
      <c r="B683" s="21" t="str">
        <f t="shared" si="4"/>
        <v/>
      </c>
      <c r="C683" s="29"/>
      <c r="D683" s="29"/>
      <c r="E683" s="29" t="b">
        <v>0</v>
      </c>
      <c r="F683" s="29"/>
      <c r="G683" s="21" t="str">
        <f>IFERROR(VLOOKUP(A683, 'Price Sheet'!$A$2:$B1010, 2, false), "")</f>
        <v/>
      </c>
      <c r="J683" s="21" t="str">
        <f t="shared" si="3"/>
        <v/>
      </c>
      <c r="K683" s="29"/>
      <c r="L683" s="29" t="b">
        <v>0</v>
      </c>
      <c r="M683" s="29"/>
      <c r="N683" s="21" t="str">
        <f>IFERROR(VLOOKUP(I683, 'Price Sheet'!$A$2:$B1010, 2, false), "")</f>
        <v/>
      </c>
    </row>
    <row r="684">
      <c r="B684" s="21" t="str">
        <f t="shared" si="4"/>
        <v/>
      </c>
      <c r="C684" s="29"/>
      <c r="D684" s="29"/>
      <c r="E684" s="29" t="b">
        <v>0</v>
      </c>
      <c r="F684" s="29"/>
      <c r="G684" s="21" t="str">
        <f>IFERROR(VLOOKUP(A684, 'Price Sheet'!$A$2:$B1010, 2, false), "")</f>
        <v/>
      </c>
      <c r="J684" s="21" t="str">
        <f t="shared" si="3"/>
        <v/>
      </c>
      <c r="K684" s="29"/>
      <c r="L684" s="29" t="b">
        <v>0</v>
      </c>
      <c r="M684" s="29"/>
      <c r="N684" s="21" t="str">
        <f>IFERROR(VLOOKUP(I684, 'Price Sheet'!$A$2:$B1010, 2, false), "")</f>
        <v/>
      </c>
    </row>
    <row r="685">
      <c r="B685" s="21" t="str">
        <f t="shared" si="4"/>
        <v/>
      </c>
      <c r="C685" s="29"/>
      <c r="D685" s="29"/>
      <c r="E685" s="29" t="b">
        <v>0</v>
      </c>
      <c r="F685" s="29"/>
      <c r="G685" s="21" t="str">
        <f>IFERROR(VLOOKUP(A685, 'Price Sheet'!$A$2:$B1010, 2, false), "")</f>
        <v/>
      </c>
      <c r="J685" s="21" t="str">
        <f t="shared" si="3"/>
        <v/>
      </c>
      <c r="K685" s="29"/>
      <c r="L685" s="29" t="b">
        <v>0</v>
      </c>
      <c r="M685" s="29"/>
      <c r="N685" s="21" t="str">
        <f>IFERROR(VLOOKUP(I685, 'Price Sheet'!$A$2:$B1010, 2, false), "")</f>
        <v/>
      </c>
    </row>
    <row r="686">
      <c r="B686" s="21" t="str">
        <f t="shared" si="4"/>
        <v/>
      </c>
      <c r="C686" s="29"/>
      <c r="D686" s="29"/>
      <c r="E686" s="29" t="b">
        <v>0</v>
      </c>
      <c r="F686" s="29"/>
      <c r="G686" s="21" t="str">
        <f>IFERROR(VLOOKUP(A686, 'Price Sheet'!$A$2:$B1010, 2, false), "")</f>
        <v/>
      </c>
      <c r="J686" s="21" t="str">
        <f t="shared" si="3"/>
        <v/>
      </c>
      <c r="K686" s="29"/>
      <c r="L686" s="29" t="b">
        <v>0</v>
      </c>
      <c r="M686" s="29"/>
      <c r="N686" s="21" t="str">
        <f>IFERROR(VLOOKUP(I686, 'Price Sheet'!$A$2:$B1010, 2, false), "")</f>
        <v/>
      </c>
    </row>
    <row r="687">
      <c r="B687" s="21" t="str">
        <f t="shared" si="4"/>
        <v/>
      </c>
      <c r="C687" s="29"/>
      <c r="D687" s="29"/>
      <c r="E687" s="29" t="b">
        <v>0</v>
      </c>
      <c r="F687" s="29"/>
      <c r="G687" s="21" t="str">
        <f>IFERROR(VLOOKUP(A687, 'Price Sheet'!$A$2:$B1010, 2, false), "")</f>
        <v/>
      </c>
      <c r="J687" s="21" t="str">
        <f t="shared" si="3"/>
        <v/>
      </c>
      <c r="K687" s="29"/>
      <c r="L687" s="29" t="b">
        <v>0</v>
      </c>
      <c r="M687" s="29"/>
      <c r="N687" s="21" t="str">
        <f>IFERROR(VLOOKUP(I687, 'Price Sheet'!$A$2:$B1010, 2, false), "")</f>
        <v/>
      </c>
    </row>
    <row r="688">
      <c r="B688" s="21" t="str">
        <f t="shared" si="4"/>
        <v/>
      </c>
      <c r="C688" s="29"/>
      <c r="D688" s="29"/>
      <c r="E688" s="29" t="b">
        <v>0</v>
      </c>
      <c r="F688" s="29"/>
      <c r="G688" s="21" t="str">
        <f>IFERROR(VLOOKUP(A688, 'Price Sheet'!$A$2:$B1010, 2, false), "")</f>
        <v/>
      </c>
      <c r="J688" s="21" t="str">
        <f t="shared" si="3"/>
        <v/>
      </c>
      <c r="K688" s="29"/>
      <c r="L688" s="29" t="b">
        <v>0</v>
      </c>
      <c r="M688" s="29"/>
      <c r="N688" s="21" t="str">
        <f>IFERROR(VLOOKUP(I688, 'Price Sheet'!$A$2:$B1010, 2, false), "")</f>
        <v/>
      </c>
    </row>
    <row r="689">
      <c r="B689" s="21" t="str">
        <f t="shared" si="4"/>
        <v/>
      </c>
      <c r="C689" s="29"/>
      <c r="D689" s="29"/>
      <c r="E689" s="29" t="b">
        <v>0</v>
      </c>
      <c r="F689" s="29"/>
      <c r="G689" s="21" t="str">
        <f>IFERROR(VLOOKUP(A689, 'Price Sheet'!$A$2:$B1010, 2, false), "")</f>
        <v/>
      </c>
      <c r="J689" s="21" t="str">
        <f t="shared" si="3"/>
        <v/>
      </c>
      <c r="K689" s="29"/>
      <c r="L689" s="29" t="b">
        <v>0</v>
      </c>
      <c r="M689" s="29"/>
      <c r="N689" s="21" t="str">
        <f>IFERROR(VLOOKUP(I689, 'Price Sheet'!$A$2:$B1010, 2, false), "")</f>
        <v/>
      </c>
    </row>
    <row r="690">
      <c r="B690" s="21" t="str">
        <f t="shared" si="4"/>
        <v/>
      </c>
      <c r="C690" s="29"/>
      <c r="D690" s="29"/>
      <c r="E690" s="29" t="b">
        <v>0</v>
      </c>
      <c r="F690" s="29"/>
      <c r="G690" s="21" t="str">
        <f>IFERROR(VLOOKUP(A690, 'Price Sheet'!$A$2:$B1010, 2, false), "")</f>
        <v/>
      </c>
      <c r="J690" s="21" t="str">
        <f t="shared" si="3"/>
        <v/>
      </c>
      <c r="K690" s="29"/>
      <c r="L690" s="29" t="b">
        <v>0</v>
      </c>
      <c r="M690" s="29"/>
      <c r="N690" s="21" t="str">
        <f>IFERROR(VLOOKUP(I690, 'Price Sheet'!$A$2:$B1010, 2, false), "")</f>
        <v/>
      </c>
    </row>
    <row r="691">
      <c r="B691" s="21" t="str">
        <f t="shared" si="4"/>
        <v/>
      </c>
      <c r="C691" s="29"/>
      <c r="D691" s="29"/>
      <c r="E691" s="29" t="b">
        <v>0</v>
      </c>
      <c r="F691" s="29"/>
      <c r="G691" s="21" t="str">
        <f>IFERROR(VLOOKUP(A691, 'Price Sheet'!$A$2:$B1010, 2, false), "")</f>
        <v/>
      </c>
      <c r="J691" s="21" t="str">
        <f t="shared" si="3"/>
        <v/>
      </c>
      <c r="K691" s="29"/>
      <c r="L691" s="29" t="b">
        <v>0</v>
      </c>
      <c r="M691" s="29"/>
      <c r="N691" s="21" t="str">
        <f>IFERROR(VLOOKUP(I691, 'Price Sheet'!$A$2:$B1010, 2, false), "")</f>
        <v/>
      </c>
    </row>
    <row r="692">
      <c r="B692" s="21" t="str">
        <f t="shared" si="4"/>
        <v/>
      </c>
      <c r="C692" s="29"/>
      <c r="D692" s="29"/>
      <c r="E692" s="29" t="b">
        <v>0</v>
      </c>
      <c r="F692" s="29"/>
      <c r="G692" s="21" t="str">
        <f>IFERROR(VLOOKUP(A692, 'Price Sheet'!$A$2:$B1010, 2, false), "")</f>
        <v/>
      </c>
      <c r="J692" s="21" t="str">
        <f t="shared" si="3"/>
        <v/>
      </c>
      <c r="K692" s="29"/>
      <c r="L692" s="29" t="b">
        <v>0</v>
      </c>
      <c r="M692" s="29"/>
      <c r="N692" s="21" t="str">
        <f>IFERROR(VLOOKUP(I692, 'Price Sheet'!$A$2:$B1010, 2, false), "")</f>
        <v/>
      </c>
    </row>
    <row r="693">
      <c r="B693" s="21" t="str">
        <f t="shared" si="4"/>
        <v/>
      </c>
      <c r="C693" s="29"/>
      <c r="D693" s="29"/>
      <c r="E693" s="29" t="b">
        <v>0</v>
      </c>
      <c r="F693" s="29"/>
      <c r="G693" s="21" t="str">
        <f>IFERROR(VLOOKUP(A693, 'Price Sheet'!$A$2:$B1010, 2, false), "")</f>
        <v/>
      </c>
      <c r="J693" s="21" t="str">
        <f t="shared" si="3"/>
        <v/>
      </c>
      <c r="K693" s="29"/>
      <c r="L693" s="29" t="b">
        <v>0</v>
      </c>
      <c r="M693" s="29"/>
      <c r="N693" s="21" t="str">
        <f>IFERROR(VLOOKUP(I693, 'Price Sheet'!$A$2:$B1010, 2, false), "")</f>
        <v/>
      </c>
    </row>
    <row r="694">
      <c r="B694" s="21" t="str">
        <f t="shared" si="4"/>
        <v/>
      </c>
      <c r="C694" s="29"/>
      <c r="D694" s="29"/>
      <c r="E694" s="29" t="b">
        <v>0</v>
      </c>
      <c r="F694" s="29"/>
      <c r="G694" s="21" t="str">
        <f>IFERROR(VLOOKUP(A694, 'Price Sheet'!$A$2:$B1010, 2, false), "")</f>
        <v/>
      </c>
      <c r="J694" s="21" t="str">
        <f t="shared" si="3"/>
        <v/>
      </c>
      <c r="K694" s="29"/>
      <c r="L694" s="29" t="b">
        <v>0</v>
      </c>
      <c r="M694" s="29"/>
      <c r="N694" s="21" t="str">
        <f>IFERROR(VLOOKUP(I694, 'Price Sheet'!$A$2:$B1010, 2, false), "")</f>
        <v/>
      </c>
    </row>
    <row r="695">
      <c r="B695" s="21" t="str">
        <f t="shared" si="4"/>
        <v/>
      </c>
      <c r="C695" s="29"/>
      <c r="D695" s="29"/>
      <c r="E695" s="29" t="b">
        <v>0</v>
      </c>
      <c r="F695" s="29"/>
      <c r="G695" s="21" t="str">
        <f>IFERROR(VLOOKUP(A695, 'Price Sheet'!$A$2:$B1010, 2, false), "")</f>
        <v/>
      </c>
      <c r="J695" s="21" t="str">
        <f t="shared" si="3"/>
        <v/>
      </c>
      <c r="K695" s="29"/>
      <c r="L695" s="29" t="b">
        <v>0</v>
      </c>
      <c r="M695" s="29"/>
      <c r="N695" s="21" t="str">
        <f>IFERROR(VLOOKUP(I695, 'Price Sheet'!$A$2:$B1010, 2, false), "")</f>
        <v/>
      </c>
    </row>
    <row r="696">
      <c r="B696" s="21" t="str">
        <f t="shared" si="4"/>
        <v/>
      </c>
      <c r="C696" s="29"/>
      <c r="D696" s="29"/>
      <c r="E696" s="29" t="b">
        <v>0</v>
      </c>
      <c r="F696" s="29"/>
      <c r="G696" s="21" t="str">
        <f>IFERROR(VLOOKUP(A696, 'Price Sheet'!$A$2:$B1010, 2, false), "")</f>
        <v/>
      </c>
      <c r="J696" s="21" t="str">
        <f t="shared" si="3"/>
        <v/>
      </c>
      <c r="K696" s="29"/>
      <c r="L696" s="29" t="b">
        <v>0</v>
      </c>
      <c r="M696" s="29"/>
      <c r="N696" s="21" t="str">
        <f>IFERROR(VLOOKUP(I696, 'Price Sheet'!$A$2:$B1010, 2, false), "")</f>
        <v/>
      </c>
    </row>
    <row r="697">
      <c r="B697" s="21" t="str">
        <f t="shared" si="4"/>
        <v/>
      </c>
      <c r="C697" s="29"/>
      <c r="D697" s="29"/>
      <c r="E697" s="29" t="b">
        <v>0</v>
      </c>
      <c r="F697" s="29"/>
      <c r="G697" s="21" t="str">
        <f>IFERROR(VLOOKUP(A697, 'Price Sheet'!$A$2:$B1010, 2, false), "")</f>
        <v/>
      </c>
      <c r="J697" s="21" t="str">
        <f t="shared" si="3"/>
        <v/>
      </c>
      <c r="K697" s="29"/>
      <c r="L697" s="29" t="b">
        <v>0</v>
      </c>
      <c r="M697" s="29"/>
      <c r="N697" s="21" t="str">
        <f>IFERROR(VLOOKUP(I697, 'Price Sheet'!$A$2:$B1010, 2, false), "")</f>
        <v/>
      </c>
    </row>
    <row r="698">
      <c r="B698" s="21" t="str">
        <f t="shared" si="4"/>
        <v/>
      </c>
      <c r="C698" s="29"/>
      <c r="D698" s="29"/>
      <c r="E698" s="29" t="b">
        <v>0</v>
      </c>
      <c r="F698" s="29"/>
      <c r="G698" s="21" t="str">
        <f>IFERROR(VLOOKUP(A698, 'Price Sheet'!$A$2:$B1010, 2, false), "")</f>
        <v/>
      </c>
      <c r="J698" s="21" t="str">
        <f t="shared" si="3"/>
        <v/>
      </c>
      <c r="K698" s="29"/>
      <c r="L698" s="29" t="b">
        <v>0</v>
      </c>
      <c r="M698" s="29"/>
      <c r="N698" s="21" t="str">
        <f>IFERROR(VLOOKUP(I698, 'Price Sheet'!$A$2:$B1010, 2, false), "")</f>
        <v/>
      </c>
    </row>
    <row r="699">
      <c r="B699" s="21" t="str">
        <f t="shared" si="4"/>
        <v/>
      </c>
      <c r="C699" s="29"/>
      <c r="D699" s="29"/>
      <c r="E699" s="29" t="b">
        <v>0</v>
      </c>
      <c r="F699" s="29"/>
      <c r="G699" s="21" t="str">
        <f>IFERROR(VLOOKUP(A699, 'Price Sheet'!$A$2:$B1010, 2, false), "")</f>
        <v/>
      </c>
      <c r="J699" s="21" t="str">
        <f t="shared" si="3"/>
        <v/>
      </c>
      <c r="K699" s="29"/>
      <c r="L699" s="29" t="b">
        <v>0</v>
      </c>
      <c r="M699" s="29"/>
      <c r="N699" s="21" t="str">
        <f>IFERROR(VLOOKUP(I699, 'Price Sheet'!$A$2:$B1010, 2, false), "")</f>
        <v/>
      </c>
    </row>
    <row r="700">
      <c r="B700" s="21" t="str">
        <f t="shared" si="4"/>
        <v/>
      </c>
      <c r="C700" s="29"/>
      <c r="D700" s="29"/>
      <c r="E700" s="29" t="b">
        <v>0</v>
      </c>
      <c r="F700" s="29"/>
      <c r="G700" s="21" t="str">
        <f>IFERROR(VLOOKUP(A700, 'Price Sheet'!$A$2:$B1010, 2, false), "")</f>
        <v/>
      </c>
      <c r="J700" s="21" t="str">
        <f t="shared" si="3"/>
        <v/>
      </c>
      <c r="K700" s="29"/>
      <c r="L700" s="29" t="b">
        <v>0</v>
      </c>
      <c r="M700" s="29"/>
      <c r="N700" s="21" t="str">
        <f>IFERROR(VLOOKUP(I700, 'Price Sheet'!$A$2:$B1010, 2, false), "")</f>
        <v/>
      </c>
    </row>
    <row r="701">
      <c r="B701" s="21" t="str">
        <f t="shared" si="4"/>
        <v/>
      </c>
      <c r="C701" s="29"/>
      <c r="D701" s="29"/>
      <c r="E701" s="29" t="b">
        <v>0</v>
      </c>
      <c r="F701" s="29"/>
      <c r="G701" s="21" t="str">
        <f>IFERROR(VLOOKUP(A701, 'Price Sheet'!$A$2:$B1010, 2, false), "")</f>
        <v/>
      </c>
      <c r="J701" s="21" t="str">
        <f t="shared" si="3"/>
        <v/>
      </c>
      <c r="K701" s="29"/>
      <c r="L701" s="29" t="b">
        <v>0</v>
      </c>
      <c r="M701" s="29"/>
      <c r="N701" s="21" t="str">
        <f>IFERROR(VLOOKUP(I701, 'Price Sheet'!$A$2:$B1010, 2, false), "")</f>
        <v/>
      </c>
    </row>
    <row r="702">
      <c r="B702" s="21" t="str">
        <f t="shared" si="4"/>
        <v/>
      </c>
      <c r="C702" s="29"/>
      <c r="D702" s="29"/>
      <c r="E702" s="29" t="b">
        <v>0</v>
      </c>
      <c r="F702" s="29"/>
      <c r="G702" s="21" t="str">
        <f>IFERROR(VLOOKUP(A702, 'Price Sheet'!$A$2:$B1010, 2, false), "")</f>
        <v/>
      </c>
      <c r="J702" s="21" t="str">
        <f t="shared" si="3"/>
        <v/>
      </c>
      <c r="K702" s="29"/>
      <c r="L702" s="29" t="b">
        <v>0</v>
      </c>
      <c r="M702" s="29"/>
      <c r="N702" s="21" t="str">
        <f>IFERROR(VLOOKUP(I702, 'Price Sheet'!$A$2:$B1010, 2, false), "")</f>
        <v/>
      </c>
    </row>
    <row r="703">
      <c r="B703" s="21" t="str">
        <f t="shared" si="4"/>
        <v/>
      </c>
      <c r="C703" s="29"/>
      <c r="D703" s="29"/>
      <c r="E703" s="29" t="b">
        <v>0</v>
      </c>
      <c r="F703" s="29"/>
      <c r="G703" s="21" t="str">
        <f>IFERROR(VLOOKUP(A703, 'Price Sheet'!$A$2:$B1010, 2, false), "")</f>
        <v/>
      </c>
      <c r="J703" s="21" t="str">
        <f t="shared" si="3"/>
        <v/>
      </c>
      <c r="K703" s="29"/>
      <c r="L703" s="29" t="b">
        <v>0</v>
      </c>
      <c r="M703" s="29"/>
      <c r="N703" s="21" t="str">
        <f>IFERROR(VLOOKUP(I703, 'Price Sheet'!$A$2:$B1010, 2, false), "")</f>
        <v/>
      </c>
    </row>
    <row r="704">
      <c r="B704" s="21" t="str">
        <f t="shared" si="4"/>
        <v/>
      </c>
      <c r="C704" s="29"/>
      <c r="D704" s="29"/>
      <c r="E704" s="29" t="b">
        <v>0</v>
      </c>
      <c r="F704" s="29"/>
      <c r="G704" s="21" t="str">
        <f>IFERROR(VLOOKUP(A704, 'Price Sheet'!$A$2:$B1010, 2, false), "")</f>
        <v/>
      </c>
      <c r="J704" s="21" t="str">
        <f t="shared" si="3"/>
        <v/>
      </c>
      <c r="K704" s="29"/>
      <c r="L704" s="29" t="b">
        <v>0</v>
      </c>
      <c r="M704" s="29"/>
      <c r="N704" s="21" t="str">
        <f>IFERROR(VLOOKUP(I704, 'Price Sheet'!$A$2:$B1010, 2, false), "")</f>
        <v/>
      </c>
    </row>
    <row r="705">
      <c r="B705" s="21" t="str">
        <f t="shared" si="4"/>
        <v/>
      </c>
      <c r="C705" s="29"/>
      <c r="D705" s="29"/>
      <c r="E705" s="29" t="b">
        <v>0</v>
      </c>
      <c r="F705" s="29"/>
      <c r="G705" s="21" t="str">
        <f>IFERROR(VLOOKUP(A705, 'Price Sheet'!$A$2:$B1010, 2, false), "")</f>
        <v/>
      </c>
      <c r="J705" s="21" t="str">
        <f t="shared" si="3"/>
        <v/>
      </c>
      <c r="K705" s="29"/>
      <c r="L705" s="29" t="b">
        <v>0</v>
      </c>
      <c r="M705" s="29"/>
      <c r="N705" s="21" t="str">
        <f>IFERROR(VLOOKUP(I705, 'Price Sheet'!$A$2:$B1010, 2, false), "")</f>
        <v/>
      </c>
    </row>
    <row r="706">
      <c r="B706" s="21" t="str">
        <f t="shared" si="4"/>
        <v/>
      </c>
      <c r="C706" s="29"/>
      <c r="D706" s="29"/>
      <c r="E706" s="29" t="b">
        <v>0</v>
      </c>
      <c r="F706" s="29"/>
      <c r="G706" s="21" t="str">
        <f>IFERROR(VLOOKUP(A706, 'Price Sheet'!$A$2:$B1010, 2, false), "")</f>
        <v/>
      </c>
      <c r="J706" s="21" t="str">
        <f t="shared" si="3"/>
        <v/>
      </c>
      <c r="K706" s="29"/>
      <c r="L706" s="29" t="b">
        <v>0</v>
      </c>
      <c r="M706" s="29"/>
      <c r="N706" s="21" t="str">
        <f>IFERROR(VLOOKUP(I706, 'Price Sheet'!$A$2:$B1010, 2, false), "")</f>
        <v/>
      </c>
    </row>
    <row r="707">
      <c r="B707" s="21" t="str">
        <f t="shared" si="4"/>
        <v/>
      </c>
      <c r="C707" s="29"/>
      <c r="D707" s="29"/>
      <c r="E707" s="29" t="b">
        <v>0</v>
      </c>
      <c r="F707" s="29"/>
      <c r="G707" s="21" t="str">
        <f>IFERROR(VLOOKUP(A707, 'Price Sheet'!$A$2:$B1010, 2, false), "")</f>
        <v/>
      </c>
      <c r="J707" s="21" t="str">
        <f t="shared" si="3"/>
        <v/>
      </c>
      <c r="K707" s="29"/>
      <c r="L707" s="29" t="b">
        <v>0</v>
      </c>
      <c r="M707" s="29"/>
      <c r="N707" s="21" t="str">
        <f>IFERROR(VLOOKUP(I707, 'Price Sheet'!$A$2:$B1010, 2, false), "")</f>
        <v/>
      </c>
    </row>
    <row r="708">
      <c r="B708" s="21" t="str">
        <f t="shared" si="4"/>
        <v/>
      </c>
      <c r="C708" s="29"/>
      <c r="D708" s="29"/>
      <c r="E708" s="29" t="b">
        <v>0</v>
      </c>
      <c r="F708" s="29"/>
      <c r="G708" s="21" t="str">
        <f>IFERROR(VLOOKUP(A708, 'Price Sheet'!$A$2:$B1010, 2, false), "")</f>
        <v/>
      </c>
      <c r="J708" s="21" t="str">
        <f t="shared" si="3"/>
        <v/>
      </c>
      <c r="K708" s="29"/>
      <c r="L708" s="29" t="b">
        <v>0</v>
      </c>
      <c r="M708" s="29"/>
      <c r="N708" s="21" t="str">
        <f>IFERROR(VLOOKUP(I708, 'Price Sheet'!$A$2:$B1010, 2, false), "")</f>
        <v/>
      </c>
    </row>
    <row r="709">
      <c r="B709" s="21" t="str">
        <f t="shared" si="4"/>
        <v/>
      </c>
      <c r="C709" s="29"/>
      <c r="D709" s="29"/>
      <c r="E709" s="29" t="b">
        <v>0</v>
      </c>
      <c r="F709" s="29"/>
      <c r="G709" s="21" t="str">
        <f>IFERROR(VLOOKUP(A709, 'Price Sheet'!$A$2:$B1010, 2, false), "")</f>
        <v/>
      </c>
      <c r="J709" s="21" t="str">
        <f t="shared" si="3"/>
        <v/>
      </c>
      <c r="K709" s="29"/>
      <c r="L709" s="29" t="b">
        <v>0</v>
      </c>
      <c r="M709" s="29"/>
      <c r="N709" s="21" t="str">
        <f>IFERROR(VLOOKUP(I709, 'Price Sheet'!$A$2:$B1010, 2, false), "")</f>
        <v/>
      </c>
    </row>
    <row r="710">
      <c r="B710" s="21" t="str">
        <f t="shared" si="4"/>
        <v/>
      </c>
      <c r="C710" s="29"/>
      <c r="D710" s="29"/>
      <c r="E710" s="29" t="b">
        <v>0</v>
      </c>
      <c r="F710" s="29"/>
      <c r="G710" s="21" t="str">
        <f>IFERROR(VLOOKUP(A710, 'Price Sheet'!$A$2:$B1010, 2, false), "")</f>
        <v/>
      </c>
      <c r="J710" s="21" t="str">
        <f t="shared" si="3"/>
        <v/>
      </c>
      <c r="K710" s="29"/>
      <c r="L710" s="29" t="b">
        <v>0</v>
      </c>
      <c r="M710" s="29"/>
      <c r="N710" s="21" t="str">
        <f>IFERROR(VLOOKUP(I710, 'Price Sheet'!$A$2:$B1010, 2, false), "")</f>
        <v/>
      </c>
    </row>
    <row r="711">
      <c r="B711" s="21" t="str">
        <f t="shared" si="4"/>
        <v/>
      </c>
      <c r="C711" s="29"/>
      <c r="D711" s="29"/>
      <c r="E711" s="29" t="b">
        <v>0</v>
      </c>
      <c r="F711" s="29"/>
      <c r="G711" s="21" t="str">
        <f>IFERROR(VLOOKUP(A711, 'Price Sheet'!$A$2:$B1010, 2, false), "")</f>
        <v/>
      </c>
      <c r="J711" s="21" t="str">
        <f t="shared" si="3"/>
        <v/>
      </c>
      <c r="K711" s="29"/>
      <c r="L711" s="29" t="b">
        <v>0</v>
      </c>
      <c r="M711" s="29"/>
      <c r="N711" s="21" t="str">
        <f>IFERROR(VLOOKUP(I711, 'Price Sheet'!$A$2:$B1010, 2, false), "")</f>
        <v/>
      </c>
    </row>
    <row r="712">
      <c r="B712" s="21" t="str">
        <f t="shared" si="4"/>
        <v/>
      </c>
      <c r="C712" s="29"/>
      <c r="D712" s="29"/>
      <c r="E712" s="29" t="b">
        <v>0</v>
      </c>
      <c r="F712" s="29"/>
      <c r="G712" s="21" t="str">
        <f>IFERROR(VLOOKUP(A712, 'Price Sheet'!$A$2:$B1010, 2, false), "")</f>
        <v/>
      </c>
      <c r="J712" s="21" t="str">
        <f t="shared" si="3"/>
        <v/>
      </c>
      <c r="K712" s="29"/>
      <c r="L712" s="29" t="b">
        <v>0</v>
      </c>
      <c r="M712" s="29"/>
      <c r="N712" s="21" t="str">
        <f>IFERROR(VLOOKUP(I712, 'Price Sheet'!$A$2:$B1010, 2, false), "")</f>
        <v/>
      </c>
    </row>
    <row r="713">
      <c r="B713" s="21" t="str">
        <f t="shared" si="4"/>
        <v/>
      </c>
      <c r="C713" s="29"/>
      <c r="D713" s="29"/>
      <c r="E713" s="29" t="b">
        <v>0</v>
      </c>
      <c r="F713" s="29"/>
      <c r="G713" s="21" t="str">
        <f>IFERROR(VLOOKUP(A713, 'Price Sheet'!$A$2:$B1010, 2, false), "")</f>
        <v/>
      </c>
      <c r="J713" s="21" t="str">
        <f t="shared" si="3"/>
        <v/>
      </c>
      <c r="K713" s="29"/>
      <c r="L713" s="29" t="b">
        <v>0</v>
      </c>
      <c r="M713" s="29"/>
      <c r="N713" s="21" t="str">
        <f>IFERROR(VLOOKUP(I713, 'Price Sheet'!$A$2:$B1010, 2, false), "")</f>
        <v/>
      </c>
    </row>
    <row r="714">
      <c r="B714" s="21" t="str">
        <f t="shared" si="4"/>
        <v/>
      </c>
      <c r="C714" s="29"/>
      <c r="D714" s="29"/>
      <c r="E714" s="29" t="b">
        <v>0</v>
      </c>
      <c r="F714" s="29"/>
      <c r="G714" s="21" t="str">
        <f>IFERROR(VLOOKUP(A714, 'Price Sheet'!$A$2:$B1010, 2, false), "")</f>
        <v/>
      </c>
      <c r="J714" s="21" t="str">
        <f t="shared" si="3"/>
        <v/>
      </c>
      <c r="K714" s="29"/>
      <c r="L714" s="29" t="b">
        <v>0</v>
      </c>
      <c r="M714" s="29"/>
      <c r="N714" s="21" t="str">
        <f>IFERROR(VLOOKUP(I714, 'Price Sheet'!$A$2:$B1010, 2, false), "")</f>
        <v/>
      </c>
    </row>
    <row r="715">
      <c r="B715" s="21" t="str">
        <f t="shared" si="4"/>
        <v/>
      </c>
      <c r="C715" s="29"/>
      <c r="D715" s="29"/>
      <c r="E715" s="29" t="b">
        <v>0</v>
      </c>
      <c r="F715" s="29"/>
      <c r="G715" s="21" t="str">
        <f>IFERROR(VLOOKUP(A715, 'Price Sheet'!$A$2:$B1010, 2, false), "")</f>
        <v/>
      </c>
      <c r="J715" s="21" t="str">
        <f t="shared" si="3"/>
        <v/>
      </c>
      <c r="K715" s="29"/>
      <c r="L715" s="29" t="b">
        <v>0</v>
      </c>
      <c r="M715" s="29"/>
      <c r="N715" s="21" t="str">
        <f>IFERROR(VLOOKUP(I715, 'Price Sheet'!$A$2:$B1010, 2, false), "")</f>
        <v/>
      </c>
    </row>
    <row r="716">
      <c r="B716" s="21" t="str">
        <f t="shared" si="4"/>
        <v/>
      </c>
      <c r="C716" s="29"/>
      <c r="D716" s="29"/>
      <c r="E716" s="29" t="b">
        <v>0</v>
      </c>
      <c r="F716" s="29"/>
      <c r="G716" s="21" t="str">
        <f>IFERROR(VLOOKUP(A716, 'Price Sheet'!$A$2:$B1010, 2, false), "")</f>
        <v/>
      </c>
      <c r="J716" s="21" t="str">
        <f t="shared" si="3"/>
        <v/>
      </c>
      <c r="K716" s="29"/>
      <c r="L716" s="29" t="b">
        <v>0</v>
      </c>
      <c r="M716" s="29"/>
      <c r="N716" s="21" t="str">
        <f>IFERROR(VLOOKUP(I716, 'Price Sheet'!$A$2:$B1010, 2, false), "")</f>
        <v/>
      </c>
    </row>
    <row r="717">
      <c r="B717" s="21" t="str">
        <f t="shared" si="4"/>
        <v/>
      </c>
      <c r="C717" s="29"/>
      <c r="D717" s="29"/>
      <c r="E717" s="29" t="b">
        <v>0</v>
      </c>
      <c r="F717" s="29"/>
      <c r="G717" s="21" t="str">
        <f>IFERROR(VLOOKUP(A717, 'Price Sheet'!$A$2:$B1010, 2, false), "")</f>
        <v/>
      </c>
      <c r="J717" s="21" t="str">
        <f t="shared" si="3"/>
        <v/>
      </c>
      <c r="K717" s="29"/>
      <c r="L717" s="29" t="b">
        <v>0</v>
      </c>
      <c r="M717" s="29"/>
      <c r="N717" s="21" t="str">
        <f>IFERROR(VLOOKUP(I717, 'Price Sheet'!$A$2:$B1010, 2, false), "")</f>
        <v/>
      </c>
    </row>
    <row r="718">
      <c r="B718" s="21" t="str">
        <f t="shared" si="4"/>
        <v/>
      </c>
      <c r="C718" s="29"/>
      <c r="D718" s="29"/>
      <c r="E718" s="29" t="b">
        <v>0</v>
      </c>
      <c r="F718" s="29"/>
      <c r="G718" s="21" t="str">
        <f>IFERROR(VLOOKUP(A718, 'Price Sheet'!$A$2:$B1010, 2, false), "")</f>
        <v/>
      </c>
      <c r="J718" s="21" t="str">
        <f t="shared" si="3"/>
        <v/>
      </c>
      <c r="K718" s="29"/>
      <c r="L718" s="29" t="b">
        <v>0</v>
      </c>
      <c r="M718" s="29"/>
      <c r="N718" s="21" t="str">
        <f>IFERROR(VLOOKUP(I718, 'Price Sheet'!$A$2:$B1010, 2, false), "")</f>
        <v/>
      </c>
    </row>
    <row r="719">
      <c r="B719" s="21" t="str">
        <f t="shared" si="4"/>
        <v/>
      </c>
      <c r="C719" s="29"/>
      <c r="D719" s="29"/>
      <c r="E719" s="29" t="b">
        <v>0</v>
      </c>
      <c r="F719" s="29"/>
      <c r="G719" s="21" t="str">
        <f>IFERROR(VLOOKUP(A719, 'Price Sheet'!$A$2:$B1010, 2, false), "")</f>
        <v/>
      </c>
      <c r="J719" s="21" t="str">
        <f t="shared" si="3"/>
        <v/>
      </c>
      <c r="K719" s="29"/>
      <c r="L719" s="29" t="b">
        <v>0</v>
      </c>
      <c r="M719" s="29"/>
      <c r="N719" s="21" t="str">
        <f>IFERROR(VLOOKUP(I719, 'Price Sheet'!$A$2:$B1010, 2, false), "")</f>
        <v/>
      </c>
    </row>
    <row r="720">
      <c r="B720" s="21" t="str">
        <f t="shared" si="4"/>
        <v/>
      </c>
      <c r="C720" s="29"/>
      <c r="D720" s="29"/>
      <c r="E720" s="29" t="b">
        <v>0</v>
      </c>
      <c r="F720" s="29"/>
      <c r="G720" s="21" t="str">
        <f>IFERROR(VLOOKUP(A720, 'Price Sheet'!$A$2:$B1010, 2, false), "")</f>
        <v/>
      </c>
      <c r="J720" s="21" t="str">
        <f t="shared" si="3"/>
        <v/>
      </c>
      <c r="K720" s="29"/>
      <c r="L720" s="29" t="b">
        <v>0</v>
      </c>
      <c r="M720" s="29"/>
      <c r="N720" s="21" t="str">
        <f>IFERROR(VLOOKUP(I720, 'Price Sheet'!$A$2:$B1010, 2, false), "")</f>
        <v/>
      </c>
    </row>
    <row r="721">
      <c r="B721" s="21" t="str">
        <f t="shared" si="4"/>
        <v/>
      </c>
      <c r="C721" s="29"/>
      <c r="D721" s="29"/>
      <c r="E721" s="29" t="b">
        <v>0</v>
      </c>
      <c r="F721" s="29"/>
      <c r="G721" s="21" t="str">
        <f>IFERROR(VLOOKUP(A721, 'Price Sheet'!$A$2:$B1010, 2, false), "")</f>
        <v/>
      </c>
      <c r="J721" s="21" t="str">
        <f t="shared" si="3"/>
        <v/>
      </c>
      <c r="K721" s="29"/>
      <c r="L721" s="29" t="b">
        <v>0</v>
      </c>
      <c r="M721" s="29"/>
      <c r="N721" s="21" t="str">
        <f>IFERROR(VLOOKUP(I721, 'Price Sheet'!$A$2:$B1010, 2, false), "")</f>
        <v/>
      </c>
    </row>
    <row r="722">
      <c r="B722" s="21" t="str">
        <f t="shared" si="4"/>
        <v/>
      </c>
      <c r="C722" s="29"/>
      <c r="D722" s="29"/>
      <c r="E722" s="29" t="b">
        <v>0</v>
      </c>
      <c r="F722" s="29"/>
      <c r="G722" s="21" t="str">
        <f>IFERROR(VLOOKUP(A722, 'Price Sheet'!$A$2:$B1010, 2, false), "")</f>
        <v/>
      </c>
      <c r="J722" s="21" t="str">
        <f t="shared" si="3"/>
        <v/>
      </c>
      <c r="K722" s="29"/>
      <c r="L722" s="29" t="b">
        <v>0</v>
      </c>
      <c r="M722" s="29"/>
      <c r="N722" s="21" t="str">
        <f>IFERROR(VLOOKUP(I722, 'Price Sheet'!$A$2:$B1010, 2, false), "")</f>
        <v/>
      </c>
    </row>
    <row r="723">
      <c r="B723" s="21" t="str">
        <f t="shared" si="4"/>
        <v/>
      </c>
      <c r="C723" s="29"/>
      <c r="D723" s="29"/>
      <c r="E723" s="29" t="b">
        <v>0</v>
      </c>
      <c r="F723" s="29"/>
      <c r="G723" s="21" t="str">
        <f>IFERROR(VLOOKUP(A723, 'Price Sheet'!$A$2:$B1010, 2, false), "")</f>
        <v/>
      </c>
      <c r="J723" s="21" t="str">
        <f t="shared" si="3"/>
        <v/>
      </c>
      <c r="K723" s="29"/>
      <c r="L723" s="29" t="b">
        <v>0</v>
      </c>
      <c r="M723" s="29"/>
      <c r="N723" s="21" t="str">
        <f>IFERROR(VLOOKUP(I723, 'Price Sheet'!$A$2:$B1010, 2, false), "")</f>
        <v/>
      </c>
    </row>
    <row r="724">
      <c r="B724" s="21" t="str">
        <f t="shared" si="4"/>
        <v/>
      </c>
      <c r="C724" s="29"/>
      <c r="D724" s="29"/>
      <c r="E724" s="29" t="b">
        <v>0</v>
      </c>
      <c r="F724" s="29"/>
      <c r="G724" s="21" t="str">
        <f>IFERROR(VLOOKUP(A724, 'Price Sheet'!$A$2:$B1010, 2, false), "")</f>
        <v/>
      </c>
      <c r="J724" s="21" t="str">
        <f t="shared" si="3"/>
        <v/>
      </c>
      <c r="K724" s="29"/>
      <c r="L724" s="29" t="b">
        <v>0</v>
      </c>
      <c r="M724" s="29"/>
      <c r="N724" s="21" t="str">
        <f>IFERROR(VLOOKUP(I724, 'Price Sheet'!$A$2:$B1010, 2, false), "")</f>
        <v/>
      </c>
    </row>
    <row r="725">
      <c r="B725" s="21" t="str">
        <f t="shared" si="4"/>
        <v/>
      </c>
      <c r="C725" s="29"/>
      <c r="D725" s="29"/>
      <c r="E725" s="29" t="b">
        <v>0</v>
      </c>
      <c r="F725" s="29"/>
      <c r="G725" s="21" t="str">
        <f>IFERROR(VLOOKUP(A725, 'Price Sheet'!$A$2:$B1010, 2, false), "")</f>
        <v/>
      </c>
      <c r="J725" s="21" t="str">
        <f t="shared" si="3"/>
        <v/>
      </c>
      <c r="K725" s="29"/>
      <c r="L725" s="29" t="b">
        <v>0</v>
      </c>
      <c r="M725" s="29"/>
      <c r="N725" s="21" t="str">
        <f>IFERROR(VLOOKUP(I725, 'Price Sheet'!$A$2:$B1010, 2, false), "")</f>
        <v/>
      </c>
    </row>
    <row r="726">
      <c r="B726" s="21" t="str">
        <f t="shared" si="4"/>
        <v/>
      </c>
      <c r="C726" s="29"/>
      <c r="D726" s="29"/>
      <c r="E726" s="29" t="b">
        <v>0</v>
      </c>
      <c r="F726" s="29"/>
      <c r="G726" s="21" t="str">
        <f>IFERROR(VLOOKUP(A726, 'Price Sheet'!$A$2:$B1010, 2, false), "")</f>
        <v/>
      </c>
      <c r="J726" s="21" t="str">
        <f t="shared" si="3"/>
        <v/>
      </c>
      <c r="K726" s="29"/>
      <c r="L726" s="29" t="b">
        <v>0</v>
      </c>
      <c r="M726" s="29"/>
      <c r="N726" s="21" t="str">
        <f>IFERROR(VLOOKUP(I726, 'Price Sheet'!$A$2:$B1010, 2, false), "")</f>
        <v/>
      </c>
    </row>
    <row r="727">
      <c r="B727" s="21" t="str">
        <f t="shared" si="4"/>
        <v/>
      </c>
      <c r="C727" s="29"/>
      <c r="D727" s="29"/>
      <c r="E727" s="29" t="b">
        <v>0</v>
      </c>
      <c r="F727" s="29"/>
      <c r="G727" s="21" t="str">
        <f>IFERROR(VLOOKUP(A727, 'Price Sheet'!$A$2:$B1010, 2, false), "")</f>
        <v/>
      </c>
      <c r="J727" s="21" t="str">
        <f t="shared" si="3"/>
        <v/>
      </c>
      <c r="K727" s="29"/>
      <c r="L727" s="29" t="b">
        <v>0</v>
      </c>
      <c r="M727" s="29"/>
      <c r="N727" s="21" t="str">
        <f>IFERROR(VLOOKUP(I727, 'Price Sheet'!$A$2:$B1010, 2, false), "")</f>
        <v/>
      </c>
    </row>
    <row r="728">
      <c r="B728" s="21" t="str">
        <f t="shared" si="4"/>
        <v/>
      </c>
      <c r="C728" s="29"/>
      <c r="D728" s="29"/>
      <c r="E728" s="29" t="b">
        <v>0</v>
      </c>
      <c r="F728" s="29"/>
      <c r="G728" s="21" t="str">
        <f>IFERROR(VLOOKUP(A728, 'Price Sheet'!$A$2:$B1010, 2, false), "")</f>
        <v/>
      </c>
      <c r="J728" s="21" t="str">
        <f t="shared" si="3"/>
        <v/>
      </c>
      <c r="K728" s="29"/>
      <c r="L728" s="29" t="b">
        <v>0</v>
      </c>
      <c r="M728" s="29"/>
      <c r="N728" s="21" t="str">
        <f>IFERROR(VLOOKUP(I728, 'Price Sheet'!$A$2:$B1010, 2, false), "")</f>
        <v/>
      </c>
    </row>
    <row r="729">
      <c r="B729" s="21" t="str">
        <f t="shared" si="4"/>
        <v/>
      </c>
      <c r="C729" s="29"/>
      <c r="D729" s="29"/>
      <c r="E729" s="29" t="b">
        <v>0</v>
      </c>
      <c r="F729" s="29"/>
      <c r="G729" s="21" t="str">
        <f>IFERROR(VLOOKUP(A729, 'Price Sheet'!$A$2:$B1010, 2, false), "")</f>
        <v/>
      </c>
      <c r="J729" s="21" t="str">
        <f t="shared" si="3"/>
        <v/>
      </c>
      <c r="K729" s="29"/>
      <c r="L729" s="29" t="b">
        <v>0</v>
      </c>
      <c r="M729" s="29"/>
      <c r="N729" s="21" t="str">
        <f>IFERROR(VLOOKUP(I729, 'Price Sheet'!$A$2:$B1010, 2, false), "")</f>
        <v/>
      </c>
    </row>
    <row r="730">
      <c r="B730" s="21" t="str">
        <f t="shared" si="4"/>
        <v/>
      </c>
      <c r="C730" s="29"/>
      <c r="D730" s="29"/>
      <c r="E730" s="29" t="b">
        <v>0</v>
      </c>
      <c r="F730" s="29"/>
      <c r="G730" s="21" t="str">
        <f>IFERROR(VLOOKUP(A730, 'Price Sheet'!$A$2:$B1010, 2, false), "")</f>
        <v/>
      </c>
      <c r="J730" s="21" t="str">
        <f t="shared" si="3"/>
        <v/>
      </c>
      <c r="K730" s="29"/>
      <c r="L730" s="29" t="b">
        <v>0</v>
      </c>
      <c r="M730" s="29"/>
      <c r="N730" s="21" t="str">
        <f>IFERROR(VLOOKUP(I730, 'Price Sheet'!$A$2:$B1010, 2, false), "")</f>
        <v/>
      </c>
    </row>
    <row r="731">
      <c r="B731" s="21" t="str">
        <f t="shared" si="4"/>
        <v/>
      </c>
      <c r="C731" s="29"/>
      <c r="D731" s="29"/>
      <c r="E731" s="29" t="b">
        <v>0</v>
      </c>
      <c r="F731" s="29"/>
      <c r="G731" s="21" t="str">
        <f>IFERROR(VLOOKUP(A731, 'Price Sheet'!$A$2:$B1010, 2, false), "")</f>
        <v/>
      </c>
      <c r="J731" s="21" t="str">
        <f t="shared" si="3"/>
        <v/>
      </c>
      <c r="K731" s="29"/>
      <c r="L731" s="29" t="b">
        <v>0</v>
      </c>
      <c r="M731" s="29"/>
      <c r="N731" s="21" t="str">
        <f>IFERROR(VLOOKUP(I731, 'Price Sheet'!$A$2:$B1010, 2, false), "")</f>
        <v/>
      </c>
    </row>
    <row r="732">
      <c r="B732" s="21" t="str">
        <f t="shared" si="4"/>
        <v/>
      </c>
      <c r="C732" s="29"/>
      <c r="D732" s="29"/>
      <c r="E732" s="29" t="b">
        <v>0</v>
      </c>
      <c r="F732" s="29"/>
      <c r="G732" s="21" t="str">
        <f>IFERROR(VLOOKUP(A732, 'Price Sheet'!$A$2:$B1010, 2, false), "")</f>
        <v/>
      </c>
      <c r="J732" s="21" t="str">
        <f t="shared" si="3"/>
        <v/>
      </c>
      <c r="K732" s="29"/>
      <c r="L732" s="29" t="b">
        <v>0</v>
      </c>
      <c r="M732" s="29"/>
      <c r="N732" s="21" t="str">
        <f>IFERROR(VLOOKUP(I732, 'Price Sheet'!$A$2:$B1010, 2, false), "")</f>
        <v/>
      </c>
    </row>
    <row r="733">
      <c r="B733" s="21" t="str">
        <f t="shared" si="4"/>
        <v/>
      </c>
      <c r="C733" s="29"/>
      <c r="D733" s="29"/>
      <c r="E733" s="29" t="b">
        <v>0</v>
      </c>
      <c r="F733" s="29"/>
      <c r="G733" s="21" t="str">
        <f>IFERROR(VLOOKUP(A733, 'Price Sheet'!$A$2:$B1010, 2, false), "")</f>
        <v/>
      </c>
      <c r="J733" s="21" t="str">
        <f t="shared" si="3"/>
        <v/>
      </c>
      <c r="K733" s="29"/>
      <c r="L733" s="29" t="b">
        <v>0</v>
      </c>
      <c r="M733" s="29"/>
      <c r="N733" s="21" t="str">
        <f>IFERROR(VLOOKUP(I733, 'Price Sheet'!$A$2:$B1010, 2, false), "")</f>
        <v/>
      </c>
    </row>
    <row r="734">
      <c r="B734" s="21" t="str">
        <f t="shared" si="4"/>
        <v/>
      </c>
      <c r="C734" s="29"/>
      <c r="D734" s="29"/>
      <c r="E734" s="29" t="b">
        <v>0</v>
      </c>
      <c r="F734" s="29"/>
      <c r="G734" s="21" t="str">
        <f>IFERROR(VLOOKUP(A734, 'Price Sheet'!$A$2:$B1010, 2, false), "")</f>
        <v/>
      </c>
      <c r="J734" s="21" t="str">
        <f t="shared" si="3"/>
        <v/>
      </c>
      <c r="K734" s="29"/>
      <c r="L734" s="29" t="b">
        <v>0</v>
      </c>
      <c r="M734" s="29"/>
      <c r="N734" s="21" t="str">
        <f>IFERROR(VLOOKUP(I734, 'Price Sheet'!$A$2:$B1010, 2, false), "")</f>
        <v/>
      </c>
    </row>
    <row r="735">
      <c r="B735" s="21" t="str">
        <f t="shared" si="4"/>
        <v/>
      </c>
      <c r="C735" s="29"/>
      <c r="D735" s="29"/>
      <c r="E735" s="29" t="b">
        <v>0</v>
      </c>
      <c r="F735" s="29"/>
      <c r="G735" s="21" t="str">
        <f>IFERROR(VLOOKUP(A735, 'Price Sheet'!$A$2:$B1010, 2, false), "")</f>
        <v/>
      </c>
      <c r="J735" s="21" t="str">
        <f t="shared" si="3"/>
        <v/>
      </c>
      <c r="K735" s="29"/>
      <c r="L735" s="29" t="b">
        <v>0</v>
      </c>
      <c r="M735" s="29"/>
      <c r="N735" s="21" t="str">
        <f>IFERROR(VLOOKUP(I735, 'Price Sheet'!$A$2:$B1010, 2, false), "")</f>
        <v/>
      </c>
    </row>
    <row r="736">
      <c r="B736" s="21" t="str">
        <f t="shared" si="4"/>
        <v/>
      </c>
      <c r="C736" s="29"/>
      <c r="D736" s="29"/>
      <c r="E736" s="29" t="b">
        <v>0</v>
      </c>
      <c r="F736" s="29"/>
      <c r="G736" s="21" t="str">
        <f>IFERROR(VLOOKUP(A736, 'Price Sheet'!$A$2:$B1010, 2, false), "")</f>
        <v/>
      </c>
      <c r="J736" s="21" t="str">
        <f t="shared" si="3"/>
        <v/>
      </c>
      <c r="K736" s="29"/>
      <c r="L736" s="29" t="b">
        <v>0</v>
      </c>
      <c r="M736" s="29"/>
      <c r="N736" s="21" t="str">
        <f>IFERROR(VLOOKUP(I736, 'Price Sheet'!$A$2:$B1010, 2, false), "")</f>
        <v/>
      </c>
    </row>
    <row r="737">
      <c r="B737" s="21" t="str">
        <f t="shared" si="4"/>
        <v/>
      </c>
      <c r="C737" s="29"/>
      <c r="D737" s="29"/>
      <c r="E737" s="29" t="b">
        <v>0</v>
      </c>
      <c r="F737" s="29"/>
      <c r="G737" s="21" t="str">
        <f>IFERROR(VLOOKUP(A737, 'Price Sheet'!$A$2:$B1010, 2, false), "")</f>
        <v/>
      </c>
      <c r="J737" s="21" t="str">
        <f t="shared" si="3"/>
        <v/>
      </c>
      <c r="K737" s="29"/>
      <c r="L737" s="29" t="b">
        <v>0</v>
      </c>
      <c r="M737" s="29"/>
      <c r="N737" s="21" t="str">
        <f>IFERROR(VLOOKUP(I737, 'Price Sheet'!$A$2:$B1010, 2, false), "")</f>
        <v/>
      </c>
    </row>
    <row r="738">
      <c r="B738" s="21" t="str">
        <f t="shared" si="4"/>
        <v/>
      </c>
      <c r="C738" s="29"/>
      <c r="D738" s="29"/>
      <c r="E738" s="29" t="b">
        <v>0</v>
      </c>
      <c r="F738" s="29"/>
      <c r="G738" s="21" t="str">
        <f>IFERROR(VLOOKUP(A738, 'Price Sheet'!$A$2:$B1010, 2, false), "")</f>
        <v/>
      </c>
      <c r="J738" s="21" t="str">
        <f t="shared" si="3"/>
        <v/>
      </c>
      <c r="K738" s="29"/>
      <c r="L738" s="29" t="b">
        <v>0</v>
      </c>
      <c r="M738" s="29"/>
      <c r="N738" s="21" t="str">
        <f>IFERROR(VLOOKUP(I738, 'Price Sheet'!$A$2:$B1010, 2, false), "")</f>
        <v/>
      </c>
    </row>
    <row r="739">
      <c r="B739" s="21" t="str">
        <f t="shared" si="4"/>
        <v/>
      </c>
      <c r="C739" s="29"/>
      <c r="D739" s="29"/>
      <c r="E739" s="29" t="b">
        <v>0</v>
      </c>
      <c r="F739" s="29"/>
      <c r="G739" s="21" t="str">
        <f>IFERROR(VLOOKUP(A739, 'Price Sheet'!$A$2:$B1010, 2, false), "")</f>
        <v/>
      </c>
      <c r="J739" s="21" t="str">
        <f t="shared" si="3"/>
        <v/>
      </c>
      <c r="K739" s="29"/>
      <c r="L739" s="29" t="b">
        <v>0</v>
      </c>
      <c r="M739" s="29"/>
      <c r="N739" s="21" t="str">
        <f>IFERROR(VLOOKUP(I739, 'Price Sheet'!$A$2:$B1010, 2, false), "")</f>
        <v/>
      </c>
    </row>
    <row r="740">
      <c r="B740" s="21" t="str">
        <f t="shared" si="4"/>
        <v/>
      </c>
      <c r="C740" s="29"/>
      <c r="D740" s="29"/>
      <c r="E740" s="29" t="b">
        <v>0</v>
      </c>
      <c r="F740" s="29"/>
      <c r="G740" s="21" t="str">
        <f>IFERROR(VLOOKUP(A740, 'Price Sheet'!$A$2:$B1010, 2, false), "")</f>
        <v/>
      </c>
      <c r="J740" s="21" t="str">
        <f t="shared" si="3"/>
        <v/>
      </c>
      <c r="K740" s="29"/>
      <c r="L740" s="29" t="b">
        <v>0</v>
      </c>
      <c r="M740" s="29"/>
      <c r="N740" s="21" t="str">
        <f>IFERROR(VLOOKUP(I740, 'Price Sheet'!$A$2:$B1010, 2, false), "")</f>
        <v/>
      </c>
    </row>
    <row r="741">
      <c r="B741" s="21" t="str">
        <f t="shared" si="4"/>
        <v/>
      </c>
      <c r="C741" s="29"/>
      <c r="D741" s="29"/>
      <c r="E741" s="29" t="b">
        <v>0</v>
      </c>
      <c r="F741" s="29"/>
      <c r="G741" s="21" t="str">
        <f>IFERROR(VLOOKUP(A741, 'Price Sheet'!$A$2:$B1010, 2, false), "")</f>
        <v/>
      </c>
      <c r="J741" s="21" t="str">
        <f t="shared" si="3"/>
        <v/>
      </c>
      <c r="K741" s="29"/>
      <c r="L741" s="29" t="b">
        <v>0</v>
      </c>
      <c r="M741" s="29"/>
      <c r="N741" s="21" t="str">
        <f>IFERROR(VLOOKUP(I741, 'Price Sheet'!$A$2:$B1010, 2, false), "")</f>
        <v/>
      </c>
    </row>
    <row r="742">
      <c r="B742" s="21" t="str">
        <f t="shared" si="4"/>
        <v/>
      </c>
      <c r="C742" s="29"/>
      <c r="D742" s="29"/>
      <c r="E742" s="29" t="b">
        <v>0</v>
      </c>
      <c r="F742" s="29"/>
      <c r="G742" s="21" t="str">
        <f>IFERROR(VLOOKUP(A742, 'Price Sheet'!$A$2:$B1010, 2, false), "")</f>
        <v/>
      </c>
      <c r="J742" s="21" t="str">
        <f t="shared" si="3"/>
        <v/>
      </c>
      <c r="K742" s="29"/>
      <c r="L742" s="29" t="b">
        <v>0</v>
      </c>
      <c r="M742" s="29"/>
      <c r="N742" s="21" t="str">
        <f>IFERROR(VLOOKUP(I742, 'Price Sheet'!$A$2:$B1010, 2, false), "")</f>
        <v/>
      </c>
    </row>
    <row r="743">
      <c r="B743" s="21" t="str">
        <f t="shared" si="4"/>
        <v/>
      </c>
      <c r="C743" s="29"/>
      <c r="D743" s="29"/>
      <c r="E743" s="29" t="b">
        <v>0</v>
      </c>
      <c r="F743" s="29"/>
      <c r="G743" s="21" t="str">
        <f>IFERROR(VLOOKUP(A743, 'Price Sheet'!$A$2:$B1010, 2, false), "")</f>
        <v/>
      </c>
      <c r="J743" s="21" t="str">
        <f t="shared" si="3"/>
        <v/>
      </c>
      <c r="K743" s="29"/>
      <c r="L743" s="29" t="b">
        <v>0</v>
      </c>
      <c r="M743" s="29"/>
      <c r="N743" s="21" t="str">
        <f>IFERROR(VLOOKUP(I743, 'Price Sheet'!$A$2:$B1010, 2, false), "")</f>
        <v/>
      </c>
    </row>
    <row r="744">
      <c r="B744" s="21" t="str">
        <f t="shared" si="4"/>
        <v/>
      </c>
      <c r="C744" s="29"/>
      <c r="D744" s="29"/>
      <c r="E744" s="29" t="b">
        <v>0</v>
      </c>
      <c r="F744" s="29"/>
      <c r="G744" s="21" t="str">
        <f>IFERROR(VLOOKUP(A744, 'Price Sheet'!$A$2:$B1010, 2, false), "")</f>
        <v/>
      </c>
      <c r="J744" s="21" t="str">
        <f t="shared" si="3"/>
        <v/>
      </c>
      <c r="K744" s="29"/>
      <c r="L744" s="29" t="b">
        <v>0</v>
      </c>
      <c r="M744" s="29"/>
      <c r="N744" s="21" t="str">
        <f>IFERROR(VLOOKUP(I744, 'Price Sheet'!$A$2:$B1010, 2, false), "")</f>
        <v/>
      </c>
    </row>
    <row r="745">
      <c r="B745" s="21" t="str">
        <f t="shared" si="4"/>
        <v/>
      </c>
      <c r="C745" s="29"/>
      <c r="D745" s="29"/>
      <c r="E745" s="29" t="b">
        <v>0</v>
      </c>
      <c r="F745" s="29"/>
      <c r="G745" s="21" t="str">
        <f>IFERROR(VLOOKUP(A745, 'Price Sheet'!$A$2:$B1010, 2, false), "")</f>
        <v/>
      </c>
      <c r="J745" s="21" t="str">
        <f t="shared" si="3"/>
        <v/>
      </c>
      <c r="K745" s="29"/>
      <c r="L745" s="29" t="b">
        <v>0</v>
      </c>
      <c r="M745" s="29"/>
      <c r="N745" s="21" t="str">
        <f>IFERROR(VLOOKUP(I745, 'Price Sheet'!$A$2:$B1010, 2, false), "")</f>
        <v/>
      </c>
    </row>
    <row r="746">
      <c r="B746" s="21" t="str">
        <f t="shared" si="4"/>
        <v/>
      </c>
      <c r="C746" s="29"/>
      <c r="D746" s="29"/>
      <c r="E746" s="29" t="b">
        <v>0</v>
      </c>
      <c r="F746" s="29"/>
      <c r="G746" s="21" t="str">
        <f>IFERROR(VLOOKUP(A746, 'Price Sheet'!$A$2:$B1010, 2, false), "")</f>
        <v/>
      </c>
      <c r="J746" s="21" t="str">
        <f t="shared" si="3"/>
        <v/>
      </c>
      <c r="K746" s="29"/>
      <c r="L746" s="29" t="b">
        <v>0</v>
      </c>
      <c r="M746" s="29"/>
      <c r="N746" s="21" t="str">
        <f>IFERROR(VLOOKUP(I746, 'Price Sheet'!$A$2:$B1010, 2, false), "")</f>
        <v/>
      </c>
    </row>
    <row r="747">
      <c r="B747" s="21" t="str">
        <f t="shared" si="4"/>
        <v/>
      </c>
      <c r="C747" s="29"/>
      <c r="D747" s="29"/>
      <c r="E747" s="29" t="b">
        <v>0</v>
      </c>
      <c r="F747" s="29"/>
      <c r="G747" s="21" t="str">
        <f>IFERROR(VLOOKUP(A747, 'Price Sheet'!$A$2:$B1010, 2, false), "")</f>
        <v/>
      </c>
      <c r="J747" s="21" t="str">
        <f t="shared" si="3"/>
        <v/>
      </c>
      <c r="K747" s="29"/>
      <c r="L747" s="29" t="b">
        <v>0</v>
      </c>
      <c r="M747" s="29"/>
      <c r="N747" s="21" t="str">
        <f>IFERROR(VLOOKUP(I747, 'Price Sheet'!$A$2:$B1010, 2, false), "")</f>
        <v/>
      </c>
    </row>
    <row r="748">
      <c r="B748" s="21" t="str">
        <f t="shared" si="4"/>
        <v/>
      </c>
      <c r="C748" s="29"/>
      <c r="D748" s="29"/>
      <c r="E748" s="29" t="b">
        <v>0</v>
      </c>
      <c r="F748" s="29"/>
      <c r="G748" s="21" t="str">
        <f>IFERROR(VLOOKUP(A748, 'Price Sheet'!$A$2:$B1010, 2, false), "")</f>
        <v/>
      </c>
      <c r="J748" s="21" t="str">
        <f t="shared" si="3"/>
        <v/>
      </c>
      <c r="K748" s="29"/>
      <c r="L748" s="29" t="b">
        <v>0</v>
      </c>
      <c r="M748" s="29"/>
      <c r="N748" s="21" t="str">
        <f>IFERROR(VLOOKUP(I748, 'Price Sheet'!$A$2:$B1010, 2, false), "")</f>
        <v/>
      </c>
    </row>
    <row r="749">
      <c r="B749" s="21" t="str">
        <f t="shared" si="4"/>
        <v/>
      </c>
      <c r="C749" s="29"/>
      <c r="D749" s="29"/>
      <c r="E749" s="29" t="b">
        <v>0</v>
      </c>
      <c r="F749" s="29"/>
      <c r="G749" s="21" t="str">
        <f>IFERROR(VLOOKUP(A749, 'Price Sheet'!$A$2:$B1010, 2, false), "")</f>
        <v/>
      </c>
      <c r="J749" s="21" t="str">
        <f t="shared" si="3"/>
        <v/>
      </c>
      <c r="K749" s="29"/>
      <c r="L749" s="29" t="b">
        <v>0</v>
      </c>
      <c r="M749" s="29"/>
      <c r="N749" s="21" t="str">
        <f>IFERROR(VLOOKUP(I749, 'Price Sheet'!$A$2:$B1010, 2, false), "")</f>
        <v/>
      </c>
    </row>
    <row r="750">
      <c r="B750" s="21" t="str">
        <f t="shared" si="4"/>
        <v/>
      </c>
      <c r="C750" s="29"/>
      <c r="D750" s="29"/>
      <c r="E750" s="29" t="b">
        <v>0</v>
      </c>
      <c r="F750" s="29"/>
      <c r="G750" s="21" t="str">
        <f>IFERROR(VLOOKUP(A750, 'Price Sheet'!$A$2:$B1010, 2, false), "")</f>
        <v/>
      </c>
      <c r="J750" s="21" t="str">
        <f t="shared" si="3"/>
        <v/>
      </c>
      <c r="K750" s="29"/>
      <c r="L750" s="29" t="b">
        <v>0</v>
      </c>
      <c r="M750" s="29"/>
      <c r="N750" s="21" t="str">
        <f>IFERROR(VLOOKUP(I750, 'Price Sheet'!$A$2:$B1010, 2, false), "")</f>
        <v/>
      </c>
    </row>
    <row r="751">
      <c r="B751" s="21" t="str">
        <f t="shared" si="4"/>
        <v/>
      </c>
      <c r="C751" s="29"/>
      <c r="D751" s="29"/>
      <c r="E751" s="29" t="b">
        <v>0</v>
      </c>
      <c r="F751" s="29"/>
      <c r="G751" s="21" t="str">
        <f>IFERROR(VLOOKUP(A751, 'Price Sheet'!$A$2:$B1010, 2, false), "")</f>
        <v/>
      </c>
      <c r="J751" s="21" t="str">
        <f t="shared" si="3"/>
        <v/>
      </c>
      <c r="K751" s="29"/>
      <c r="L751" s="29" t="b">
        <v>0</v>
      </c>
      <c r="M751" s="29"/>
      <c r="N751" s="21" t="str">
        <f>IFERROR(VLOOKUP(I751, 'Price Sheet'!$A$2:$B1010, 2, false), "")</f>
        <v/>
      </c>
    </row>
    <row r="752">
      <c r="B752" s="21" t="str">
        <f t="shared" si="4"/>
        <v/>
      </c>
      <c r="C752" s="29"/>
      <c r="D752" s="29"/>
      <c r="E752" s="29" t="b">
        <v>0</v>
      </c>
      <c r="F752" s="29"/>
      <c r="G752" s="21" t="str">
        <f>IFERROR(VLOOKUP(A752, 'Price Sheet'!$A$2:$B1010, 2, false), "")</f>
        <v/>
      </c>
      <c r="J752" s="21" t="str">
        <f t="shared" si="3"/>
        <v/>
      </c>
      <c r="K752" s="29"/>
      <c r="L752" s="29" t="b">
        <v>0</v>
      </c>
      <c r="M752" s="29"/>
      <c r="N752" s="21" t="str">
        <f>IFERROR(VLOOKUP(I752, 'Price Sheet'!$A$2:$B1010, 2, false), "")</f>
        <v/>
      </c>
    </row>
    <row r="753">
      <c r="B753" s="21" t="str">
        <f t="shared" si="4"/>
        <v/>
      </c>
      <c r="C753" s="29"/>
      <c r="D753" s="29"/>
      <c r="E753" s="29" t="b">
        <v>0</v>
      </c>
      <c r="F753" s="29"/>
      <c r="G753" s="21" t="str">
        <f>IFERROR(VLOOKUP(A753, 'Price Sheet'!$A$2:$B1010, 2, false), "")</f>
        <v/>
      </c>
      <c r="J753" s="21" t="str">
        <f t="shared" si="3"/>
        <v/>
      </c>
      <c r="K753" s="29"/>
      <c r="L753" s="29" t="b">
        <v>0</v>
      </c>
      <c r="M753" s="29"/>
      <c r="N753" s="21" t="str">
        <f>IFERROR(VLOOKUP(I753, 'Price Sheet'!$A$2:$B1010, 2, false), "")</f>
        <v/>
      </c>
    </row>
    <row r="754">
      <c r="B754" s="21" t="str">
        <f t="shared" si="4"/>
        <v/>
      </c>
      <c r="C754" s="29"/>
      <c r="D754" s="29"/>
      <c r="E754" s="29" t="b">
        <v>0</v>
      </c>
      <c r="F754" s="29"/>
      <c r="G754" s="21" t="str">
        <f>IFERROR(VLOOKUP(A754, 'Price Sheet'!$A$2:$B1010, 2, false), "")</f>
        <v/>
      </c>
      <c r="J754" s="21" t="str">
        <f t="shared" si="3"/>
        <v/>
      </c>
      <c r="K754" s="29"/>
      <c r="L754" s="29" t="b">
        <v>0</v>
      </c>
      <c r="M754" s="29"/>
      <c r="N754" s="21" t="str">
        <f>IFERROR(VLOOKUP(I754, 'Price Sheet'!$A$2:$B1010, 2, false), "")</f>
        <v/>
      </c>
    </row>
    <row r="755">
      <c r="B755" s="21" t="str">
        <f t="shared" si="4"/>
        <v/>
      </c>
      <c r="C755" s="29"/>
      <c r="D755" s="29"/>
      <c r="E755" s="29" t="b">
        <v>0</v>
      </c>
      <c r="F755" s="29"/>
      <c r="G755" s="21" t="str">
        <f>IFERROR(VLOOKUP(A755, 'Price Sheet'!$A$2:$B1010, 2, false), "")</f>
        <v/>
      </c>
      <c r="J755" s="21" t="str">
        <f t="shared" si="3"/>
        <v/>
      </c>
      <c r="K755" s="29"/>
      <c r="L755" s="29" t="b">
        <v>0</v>
      </c>
      <c r="M755" s="29"/>
      <c r="N755" s="21" t="str">
        <f>IFERROR(VLOOKUP(I755, 'Price Sheet'!$A$2:$B1010, 2, false), "")</f>
        <v/>
      </c>
    </row>
    <row r="756">
      <c r="B756" s="21" t="str">
        <f t="shared" si="4"/>
        <v/>
      </c>
      <c r="C756" s="29"/>
      <c r="D756" s="29"/>
      <c r="E756" s="29" t="b">
        <v>0</v>
      </c>
      <c r="F756" s="29"/>
      <c r="G756" s="21" t="str">
        <f>IFERROR(VLOOKUP(A756, 'Price Sheet'!$A$2:$B1010, 2, false), "")</f>
        <v/>
      </c>
      <c r="J756" s="21" t="str">
        <f t="shared" si="3"/>
        <v/>
      </c>
      <c r="K756" s="29"/>
      <c r="L756" s="29" t="b">
        <v>0</v>
      </c>
      <c r="M756" s="29"/>
      <c r="N756" s="21" t="str">
        <f>IFERROR(VLOOKUP(I756, 'Price Sheet'!$A$2:$B1010, 2, false), "")</f>
        <v/>
      </c>
    </row>
    <row r="757">
      <c r="B757" s="21" t="str">
        <f t="shared" si="4"/>
        <v/>
      </c>
      <c r="C757" s="29"/>
      <c r="D757" s="29"/>
      <c r="E757" s="29" t="b">
        <v>0</v>
      </c>
      <c r="F757" s="29"/>
      <c r="G757" s="21" t="str">
        <f>IFERROR(VLOOKUP(A757, 'Price Sheet'!$A$2:$B1010, 2, false), "")</f>
        <v/>
      </c>
      <c r="J757" s="21" t="str">
        <f t="shared" si="3"/>
        <v/>
      </c>
      <c r="K757" s="29"/>
      <c r="L757" s="29" t="b">
        <v>0</v>
      </c>
      <c r="M757" s="29"/>
      <c r="N757" s="21" t="str">
        <f>IFERROR(VLOOKUP(I757, 'Price Sheet'!$A$2:$B1010, 2, false), "")</f>
        <v/>
      </c>
    </row>
    <row r="758">
      <c r="B758" s="21" t="str">
        <f t="shared" si="4"/>
        <v/>
      </c>
      <c r="C758" s="29"/>
      <c r="D758" s="29"/>
      <c r="E758" s="29" t="b">
        <v>0</v>
      </c>
      <c r="F758" s="29"/>
      <c r="G758" s="21" t="str">
        <f>IFERROR(VLOOKUP(A758, 'Price Sheet'!$A$2:$B1010, 2, false), "")</f>
        <v/>
      </c>
      <c r="J758" s="21" t="str">
        <f t="shared" si="3"/>
        <v/>
      </c>
      <c r="K758" s="29"/>
      <c r="L758" s="29" t="b">
        <v>0</v>
      </c>
      <c r="M758" s="29"/>
      <c r="N758" s="21" t="str">
        <f>IFERROR(VLOOKUP(I758, 'Price Sheet'!$A$2:$B1010, 2, false), "")</f>
        <v/>
      </c>
    </row>
    <row r="759">
      <c r="B759" s="21" t="str">
        <f t="shared" si="4"/>
        <v/>
      </c>
      <c r="C759" s="29"/>
      <c r="D759" s="29"/>
      <c r="E759" s="29" t="b">
        <v>0</v>
      </c>
      <c r="F759" s="29"/>
      <c r="G759" s="21" t="str">
        <f>IFERROR(VLOOKUP(A759, 'Price Sheet'!$A$2:$B1010, 2, false), "")</f>
        <v/>
      </c>
      <c r="J759" s="21" t="str">
        <f t="shared" si="3"/>
        <v/>
      </c>
      <c r="K759" s="29"/>
      <c r="L759" s="29" t="b">
        <v>0</v>
      </c>
      <c r="M759" s="29"/>
      <c r="N759" s="21" t="str">
        <f>IFERROR(VLOOKUP(I759, 'Price Sheet'!$A$2:$B1010, 2, false), "")</f>
        <v/>
      </c>
    </row>
    <row r="760">
      <c r="B760" s="21" t="str">
        <f t="shared" si="4"/>
        <v/>
      </c>
      <c r="C760" s="29"/>
      <c r="D760" s="29"/>
      <c r="E760" s="29" t="b">
        <v>0</v>
      </c>
      <c r="F760" s="29"/>
      <c r="G760" s="21" t="str">
        <f>IFERROR(VLOOKUP(A760, 'Price Sheet'!$A$2:$B1010, 2, false), "")</f>
        <v/>
      </c>
      <c r="J760" s="21" t="str">
        <f t="shared" si="3"/>
        <v/>
      </c>
      <c r="K760" s="29"/>
      <c r="L760" s="29" t="b">
        <v>0</v>
      </c>
      <c r="M760" s="29"/>
      <c r="N760" s="21" t="str">
        <f>IFERROR(VLOOKUP(I760, 'Price Sheet'!$A$2:$B1010, 2, false), "")</f>
        <v/>
      </c>
    </row>
    <row r="761">
      <c r="B761" s="21" t="str">
        <f t="shared" si="4"/>
        <v/>
      </c>
      <c r="C761" s="29"/>
      <c r="D761" s="29"/>
      <c r="E761" s="29" t="b">
        <v>0</v>
      </c>
      <c r="F761" s="29"/>
      <c r="G761" s="21" t="str">
        <f>IFERROR(VLOOKUP(A761, 'Price Sheet'!$A$2:$B1010, 2, false), "")</f>
        <v/>
      </c>
      <c r="J761" s="21" t="str">
        <f t="shared" si="3"/>
        <v/>
      </c>
      <c r="K761" s="29"/>
      <c r="L761" s="29" t="b">
        <v>0</v>
      </c>
      <c r="M761" s="29"/>
      <c r="N761" s="21" t="str">
        <f>IFERROR(VLOOKUP(I761, 'Price Sheet'!$A$2:$B1010, 2, false), "")</f>
        <v/>
      </c>
    </row>
    <row r="762">
      <c r="B762" s="21" t="str">
        <f t="shared" si="4"/>
        <v/>
      </c>
      <c r="C762" s="29"/>
      <c r="D762" s="29"/>
      <c r="E762" s="29" t="b">
        <v>0</v>
      </c>
      <c r="F762" s="29"/>
      <c r="G762" s="21" t="str">
        <f>IFERROR(VLOOKUP(A762, 'Price Sheet'!$A$2:$B1010, 2, false), "")</f>
        <v/>
      </c>
      <c r="J762" s="21" t="str">
        <f t="shared" si="3"/>
        <v/>
      </c>
      <c r="K762" s="29"/>
      <c r="L762" s="29" t="b">
        <v>0</v>
      </c>
      <c r="M762" s="29"/>
      <c r="N762" s="21" t="str">
        <f>IFERROR(VLOOKUP(I762, 'Price Sheet'!$A$2:$B1010, 2, false), "")</f>
        <v/>
      </c>
    </row>
    <row r="763">
      <c r="B763" s="21" t="str">
        <f t="shared" si="4"/>
        <v/>
      </c>
      <c r="C763" s="29"/>
      <c r="D763" s="29"/>
      <c r="E763" s="29" t="b">
        <v>0</v>
      </c>
      <c r="F763" s="29"/>
      <c r="G763" s="21" t="str">
        <f>IFERROR(VLOOKUP(A763, 'Price Sheet'!$A$2:$B1010, 2, false), "")</f>
        <v/>
      </c>
      <c r="J763" s="21" t="str">
        <f t="shared" si="3"/>
        <v/>
      </c>
      <c r="K763" s="29"/>
      <c r="L763" s="29" t="b">
        <v>0</v>
      </c>
      <c r="M763" s="29"/>
      <c r="N763" s="21" t="str">
        <f>IFERROR(VLOOKUP(I763, 'Price Sheet'!$A$2:$B1010, 2, false), "")</f>
        <v/>
      </c>
    </row>
    <row r="764">
      <c r="B764" s="21" t="str">
        <f t="shared" si="4"/>
        <v/>
      </c>
      <c r="C764" s="29"/>
      <c r="D764" s="29"/>
      <c r="E764" s="29" t="b">
        <v>0</v>
      </c>
      <c r="F764" s="29"/>
      <c r="G764" s="21" t="str">
        <f>IFERROR(VLOOKUP(A764, 'Price Sheet'!$A$2:$B1010, 2, false), "")</f>
        <v/>
      </c>
      <c r="J764" s="21" t="str">
        <f t="shared" si="3"/>
        <v/>
      </c>
      <c r="K764" s="29"/>
      <c r="L764" s="29" t="b">
        <v>0</v>
      </c>
      <c r="M764" s="29"/>
      <c r="N764" s="21" t="str">
        <f>IFERROR(VLOOKUP(I764, 'Price Sheet'!$A$2:$B1010, 2, false), "")</f>
        <v/>
      </c>
    </row>
    <row r="765">
      <c r="B765" s="21" t="str">
        <f t="shared" si="4"/>
        <v/>
      </c>
      <c r="C765" s="29"/>
      <c r="D765" s="29"/>
      <c r="E765" s="29" t="b">
        <v>0</v>
      </c>
      <c r="F765" s="29"/>
      <c r="G765" s="21" t="str">
        <f>IFERROR(VLOOKUP(A765, 'Price Sheet'!$A$2:$B1010, 2, false), "")</f>
        <v/>
      </c>
      <c r="J765" s="21" t="str">
        <f t="shared" si="3"/>
        <v/>
      </c>
      <c r="K765" s="29"/>
      <c r="L765" s="29" t="b">
        <v>0</v>
      </c>
      <c r="M765" s="29"/>
      <c r="N765" s="21" t="str">
        <f>IFERROR(VLOOKUP(I765, 'Price Sheet'!$A$2:$B1010, 2, false), "")</f>
        <v/>
      </c>
    </row>
    <row r="766">
      <c r="B766" s="21" t="str">
        <f t="shared" si="4"/>
        <v/>
      </c>
      <c r="C766" s="29"/>
      <c r="D766" s="29"/>
      <c r="E766" s="29" t="b">
        <v>0</v>
      </c>
      <c r="F766" s="29"/>
      <c r="G766" s="21" t="str">
        <f>IFERROR(VLOOKUP(A766, 'Price Sheet'!$A$2:$B1010, 2, false), "")</f>
        <v/>
      </c>
      <c r="J766" s="21" t="str">
        <f t="shared" si="3"/>
        <v/>
      </c>
      <c r="K766" s="29"/>
      <c r="L766" s="29" t="b">
        <v>0</v>
      </c>
      <c r="M766" s="29"/>
      <c r="N766" s="21" t="str">
        <f>IFERROR(VLOOKUP(I766, 'Price Sheet'!$A$2:$B1010, 2, false), "")</f>
        <v/>
      </c>
    </row>
    <row r="767">
      <c r="B767" s="21" t="str">
        <f t="shared" si="4"/>
        <v/>
      </c>
      <c r="C767" s="29"/>
      <c r="D767" s="29"/>
      <c r="E767" s="29" t="b">
        <v>0</v>
      </c>
      <c r="F767" s="29"/>
      <c r="G767" s="21" t="str">
        <f>IFERROR(VLOOKUP(A767, 'Price Sheet'!$A$2:$B1010, 2, false), "")</f>
        <v/>
      </c>
      <c r="J767" s="21" t="str">
        <f t="shared" si="3"/>
        <v/>
      </c>
      <c r="K767" s="29"/>
      <c r="L767" s="29" t="b">
        <v>0</v>
      </c>
      <c r="M767" s="29"/>
      <c r="N767" s="21" t="str">
        <f>IFERROR(VLOOKUP(I767, 'Price Sheet'!$A$2:$B1010, 2, false), "")</f>
        <v/>
      </c>
    </row>
    <row r="768">
      <c r="B768" s="21" t="str">
        <f t="shared" si="4"/>
        <v/>
      </c>
      <c r="C768" s="29"/>
      <c r="D768" s="29"/>
      <c r="E768" s="29" t="b">
        <v>0</v>
      </c>
      <c r="F768" s="29"/>
      <c r="G768" s="21" t="str">
        <f>IFERROR(VLOOKUP(A768, 'Price Sheet'!$A$2:$B1010, 2, false), "")</f>
        <v/>
      </c>
      <c r="J768" s="21" t="str">
        <f t="shared" si="3"/>
        <v/>
      </c>
      <c r="K768" s="29"/>
      <c r="L768" s="29" t="b">
        <v>0</v>
      </c>
      <c r="M768" s="29"/>
      <c r="N768" s="21" t="str">
        <f>IFERROR(VLOOKUP(I768, 'Price Sheet'!$A$2:$B1010, 2, false), "")</f>
        <v/>
      </c>
    </row>
    <row r="769">
      <c r="B769" s="21" t="str">
        <f t="shared" si="4"/>
        <v/>
      </c>
      <c r="C769" s="29"/>
      <c r="D769" s="29"/>
      <c r="E769" s="29" t="b">
        <v>0</v>
      </c>
      <c r="F769" s="29"/>
      <c r="G769" s="21" t="str">
        <f>IFERROR(VLOOKUP(A769, 'Price Sheet'!$A$2:$B1010, 2, false), "")</f>
        <v/>
      </c>
      <c r="J769" s="21" t="str">
        <f t="shared" si="3"/>
        <v/>
      </c>
      <c r="K769" s="29"/>
      <c r="L769" s="29" t="b">
        <v>0</v>
      </c>
      <c r="M769" s="29"/>
      <c r="N769" s="21" t="str">
        <f>IFERROR(VLOOKUP(I769, 'Price Sheet'!$A$2:$B1010, 2, false), "")</f>
        <v/>
      </c>
    </row>
    <row r="770">
      <c r="B770" s="21" t="str">
        <f t="shared" si="4"/>
        <v/>
      </c>
      <c r="C770" s="29"/>
      <c r="D770" s="29"/>
      <c r="E770" s="29" t="b">
        <v>0</v>
      </c>
      <c r="F770" s="29"/>
      <c r="G770" s="21" t="str">
        <f>IFERROR(VLOOKUP(A770, 'Price Sheet'!$A$2:$B1010, 2, false), "")</f>
        <v/>
      </c>
      <c r="J770" s="21" t="str">
        <f t="shared" si="3"/>
        <v/>
      </c>
      <c r="K770" s="29"/>
      <c r="L770" s="29" t="b">
        <v>0</v>
      </c>
      <c r="M770" s="29"/>
      <c r="N770" s="21" t="str">
        <f>IFERROR(VLOOKUP(I770, 'Price Sheet'!$A$2:$B1010, 2, false), "")</f>
        <v/>
      </c>
    </row>
    <row r="771">
      <c r="B771" s="21" t="str">
        <f t="shared" si="4"/>
        <v/>
      </c>
      <c r="C771" s="29"/>
      <c r="D771" s="29"/>
      <c r="E771" s="29" t="b">
        <v>0</v>
      </c>
      <c r="F771" s="29"/>
      <c r="G771" s="21" t="str">
        <f>IFERROR(VLOOKUP(A771, 'Price Sheet'!$A$2:$B1010, 2, false), "")</f>
        <v/>
      </c>
      <c r="J771" s="21" t="str">
        <f t="shared" si="3"/>
        <v/>
      </c>
      <c r="K771" s="29"/>
      <c r="L771" s="29" t="b">
        <v>0</v>
      </c>
      <c r="M771" s="29"/>
      <c r="N771" s="21" t="str">
        <f>IFERROR(VLOOKUP(I771, 'Price Sheet'!$A$2:$B1010, 2, false), "")</f>
        <v/>
      </c>
    </row>
    <row r="772">
      <c r="B772" s="21" t="str">
        <f t="shared" si="4"/>
        <v/>
      </c>
      <c r="C772" s="29"/>
      <c r="D772" s="29"/>
      <c r="E772" s="29" t="b">
        <v>0</v>
      </c>
      <c r="F772" s="29"/>
      <c r="G772" s="21" t="str">
        <f>IFERROR(VLOOKUP(A772, 'Price Sheet'!$A$2:$B1010, 2, false), "")</f>
        <v/>
      </c>
      <c r="J772" s="21" t="str">
        <f t="shared" si="3"/>
        <v/>
      </c>
      <c r="K772" s="29"/>
      <c r="L772" s="29" t="b">
        <v>0</v>
      </c>
      <c r="M772" s="29"/>
      <c r="N772" s="21" t="str">
        <f>IFERROR(VLOOKUP(I772, 'Price Sheet'!$A$2:$B1010, 2, false), "")</f>
        <v/>
      </c>
    </row>
    <row r="773">
      <c r="B773" s="21" t="str">
        <f t="shared" si="4"/>
        <v/>
      </c>
      <c r="C773" s="29"/>
      <c r="D773" s="29"/>
      <c r="E773" s="29" t="b">
        <v>0</v>
      </c>
      <c r="F773" s="29"/>
      <c r="G773" s="21" t="str">
        <f>IFERROR(VLOOKUP(A773, 'Price Sheet'!$A$2:$B1010, 2, false), "")</f>
        <v/>
      </c>
      <c r="J773" s="21" t="str">
        <f t="shared" si="3"/>
        <v/>
      </c>
      <c r="K773" s="29"/>
      <c r="L773" s="29" t="b">
        <v>0</v>
      </c>
      <c r="M773" s="29"/>
      <c r="N773" s="21" t="str">
        <f>IFERROR(VLOOKUP(I773, 'Price Sheet'!$A$2:$B1010, 2, false), "")</f>
        <v/>
      </c>
    </row>
    <row r="774">
      <c r="B774" s="21" t="str">
        <f t="shared" si="4"/>
        <v/>
      </c>
      <c r="C774" s="29"/>
      <c r="D774" s="29"/>
      <c r="E774" s="29" t="b">
        <v>0</v>
      </c>
      <c r="F774" s="29"/>
      <c r="G774" s="21" t="str">
        <f>IFERROR(VLOOKUP(A774, 'Price Sheet'!$A$2:$B1010, 2, false), "")</f>
        <v/>
      </c>
      <c r="J774" s="21" t="str">
        <f t="shared" si="3"/>
        <v/>
      </c>
      <c r="K774" s="29"/>
      <c r="L774" s="29" t="b">
        <v>0</v>
      </c>
      <c r="M774" s="29"/>
      <c r="N774" s="21" t="str">
        <f>IFERROR(VLOOKUP(I774, 'Price Sheet'!$A$2:$B1010, 2, false), "")</f>
        <v/>
      </c>
    </row>
    <row r="775">
      <c r="B775" s="21" t="str">
        <f t="shared" si="4"/>
        <v/>
      </c>
      <c r="C775" s="29"/>
      <c r="D775" s="29"/>
      <c r="E775" s="29" t="b">
        <v>0</v>
      </c>
      <c r="F775" s="29"/>
      <c r="G775" s="21" t="str">
        <f>IFERROR(VLOOKUP(A775, 'Price Sheet'!$A$2:$B1010, 2, false), "")</f>
        <v/>
      </c>
      <c r="J775" s="21" t="str">
        <f t="shared" si="3"/>
        <v/>
      </c>
      <c r="K775" s="29"/>
      <c r="L775" s="29" t="b">
        <v>0</v>
      </c>
      <c r="M775" s="29"/>
      <c r="N775" s="21" t="str">
        <f>IFERROR(VLOOKUP(I775, 'Price Sheet'!$A$2:$B1010, 2, false), "")</f>
        <v/>
      </c>
    </row>
    <row r="776">
      <c r="B776" s="21" t="str">
        <f t="shared" si="4"/>
        <v/>
      </c>
      <c r="C776" s="29"/>
      <c r="D776" s="29"/>
      <c r="E776" s="29" t="b">
        <v>0</v>
      </c>
      <c r="F776" s="29"/>
      <c r="G776" s="21" t="str">
        <f>IFERROR(VLOOKUP(A776, 'Price Sheet'!$A$2:$B1010, 2, false), "")</f>
        <v/>
      </c>
      <c r="J776" s="21" t="str">
        <f t="shared" si="3"/>
        <v/>
      </c>
      <c r="K776" s="29"/>
      <c r="L776" s="29" t="b">
        <v>0</v>
      </c>
      <c r="M776" s="29"/>
      <c r="N776" s="21" t="str">
        <f>IFERROR(VLOOKUP(I776, 'Price Sheet'!$A$2:$B1010, 2, false), "")</f>
        <v/>
      </c>
    </row>
    <row r="777">
      <c r="B777" s="21" t="str">
        <f t="shared" si="4"/>
        <v/>
      </c>
      <c r="C777" s="29"/>
      <c r="D777" s="29"/>
      <c r="E777" s="29" t="b">
        <v>0</v>
      </c>
      <c r="F777" s="29"/>
      <c r="G777" s="21" t="str">
        <f>IFERROR(VLOOKUP(A777, 'Price Sheet'!$A$2:$B1010, 2, false), "")</f>
        <v/>
      </c>
      <c r="J777" s="21" t="str">
        <f t="shared" si="3"/>
        <v/>
      </c>
      <c r="K777" s="29"/>
      <c r="L777" s="29" t="b">
        <v>0</v>
      </c>
      <c r="M777" s="29"/>
      <c r="N777" s="21" t="str">
        <f>IFERROR(VLOOKUP(I777, 'Price Sheet'!$A$2:$B1010, 2, false), "")</f>
        <v/>
      </c>
    </row>
    <row r="778">
      <c r="B778" s="21" t="str">
        <f t="shared" si="4"/>
        <v/>
      </c>
      <c r="C778" s="29"/>
      <c r="D778" s="29"/>
      <c r="E778" s="29" t="b">
        <v>0</v>
      </c>
      <c r="F778" s="29"/>
      <c r="G778" s="21" t="str">
        <f>IFERROR(VLOOKUP(A778, 'Price Sheet'!$A$2:$B1010, 2, false), "")</f>
        <v/>
      </c>
      <c r="J778" s="21" t="str">
        <f t="shared" si="3"/>
        <v/>
      </c>
      <c r="K778" s="29"/>
      <c r="L778" s="29" t="b">
        <v>0</v>
      </c>
      <c r="M778" s="29"/>
      <c r="N778" s="21" t="str">
        <f>IFERROR(VLOOKUP(I778, 'Price Sheet'!$A$2:$B1010, 2, false), "")</f>
        <v/>
      </c>
    </row>
    <row r="779">
      <c r="B779" s="21" t="str">
        <f t="shared" si="4"/>
        <v/>
      </c>
      <c r="C779" s="29"/>
      <c r="D779" s="29"/>
      <c r="E779" s="29" t="b">
        <v>0</v>
      </c>
      <c r="F779" s="29"/>
      <c r="G779" s="21" t="str">
        <f>IFERROR(VLOOKUP(A779, 'Price Sheet'!$A$2:$B1010, 2, false), "")</f>
        <v/>
      </c>
      <c r="J779" s="21" t="str">
        <f t="shared" si="3"/>
        <v/>
      </c>
      <c r="K779" s="29"/>
      <c r="L779" s="29" t="b">
        <v>0</v>
      </c>
      <c r="M779" s="29"/>
      <c r="N779" s="21" t="str">
        <f>IFERROR(VLOOKUP(I779, 'Price Sheet'!$A$2:$B1010, 2, false), "")</f>
        <v/>
      </c>
    </row>
    <row r="780">
      <c r="B780" s="21" t="str">
        <f t="shared" si="4"/>
        <v/>
      </c>
      <c r="C780" s="29"/>
      <c r="D780" s="29"/>
      <c r="E780" s="29" t="b">
        <v>0</v>
      </c>
      <c r="F780" s="29"/>
      <c r="G780" s="21" t="str">
        <f>IFERROR(VLOOKUP(A780, 'Price Sheet'!$A$2:$B1010, 2, false), "")</f>
        <v/>
      </c>
      <c r="J780" s="21" t="str">
        <f t="shared" si="3"/>
        <v/>
      </c>
      <c r="K780" s="29"/>
      <c r="L780" s="29" t="b">
        <v>0</v>
      </c>
      <c r="M780" s="29"/>
      <c r="N780" s="21" t="str">
        <f>IFERROR(VLOOKUP(I780, 'Price Sheet'!$A$2:$B1010, 2, false), "")</f>
        <v/>
      </c>
    </row>
    <row r="781">
      <c r="B781" s="21" t="str">
        <f t="shared" si="4"/>
        <v/>
      </c>
      <c r="C781" s="29"/>
      <c r="D781" s="29"/>
      <c r="E781" s="29" t="b">
        <v>0</v>
      </c>
      <c r="F781" s="29"/>
      <c r="G781" s="21" t="str">
        <f>IFERROR(VLOOKUP(A781, 'Price Sheet'!$A$2:$B1010, 2, false), "")</f>
        <v/>
      </c>
      <c r="J781" s="21" t="str">
        <f t="shared" si="3"/>
        <v/>
      </c>
      <c r="K781" s="29"/>
      <c r="L781" s="29" t="b">
        <v>0</v>
      </c>
      <c r="M781" s="29"/>
      <c r="N781" s="21" t="str">
        <f>IFERROR(VLOOKUP(I781, 'Price Sheet'!$A$2:$B1010, 2, false), "")</f>
        <v/>
      </c>
    </row>
    <row r="782">
      <c r="B782" s="21" t="str">
        <f t="shared" si="4"/>
        <v/>
      </c>
      <c r="C782" s="29"/>
      <c r="D782" s="29"/>
      <c r="E782" s="29" t="b">
        <v>0</v>
      </c>
      <c r="F782" s="29"/>
      <c r="G782" s="21" t="str">
        <f>IFERROR(VLOOKUP(A782, 'Price Sheet'!$A$2:$B1010, 2, false), "")</f>
        <v/>
      </c>
      <c r="J782" s="21" t="str">
        <f t="shared" si="3"/>
        <v/>
      </c>
      <c r="K782" s="29"/>
      <c r="L782" s="29" t="b">
        <v>0</v>
      </c>
      <c r="M782" s="29"/>
      <c r="N782" s="21" t="str">
        <f>IFERROR(VLOOKUP(I782, 'Price Sheet'!$A$2:$B1010, 2, false), "")</f>
        <v/>
      </c>
    </row>
    <row r="783">
      <c r="B783" s="21" t="str">
        <f t="shared" si="4"/>
        <v/>
      </c>
      <c r="C783" s="29"/>
      <c r="D783" s="29"/>
      <c r="E783" s="29" t="b">
        <v>0</v>
      </c>
      <c r="F783" s="29"/>
      <c r="G783" s="21" t="str">
        <f>IFERROR(VLOOKUP(A783, 'Price Sheet'!$A$2:$B1010, 2, false), "")</f>
        <v/>
      </c>
      <c r="J783" s="21" t="str">
        <f t="shared" si="3"/>
        <v/>
      </c>
      <c r="K783" s="29"/>
      <c r="L783" s="29" t="b">
        <v>0</v>
      </c>
      <c r="M783" s="29"/>
      <c r="N783" s="21" t="str">
        <f>IFERROR(VLOOKUP(I783, 'Price Sheet'!$A$2:$B1010, 2, false), "")</f>
        <v/>
      </c>
    </row>
    <row r="784">
      <c r="B784" s="21" t="str">
        <f t="shared" si="4"/>
        <v/>
      </c>
      <c r="C784" s="29"/>
      <c r="D784" s="29"/>
      <c r="E784" s="29" t="b">
        <v>0</v>
      </c>
      <c r="F784" s="29"/>
      <c r="G784" s="21" t="str">
        <f>IFERROR(VLOOKUP(A784, 'Price Sheet'!$A$2:$B1010, 2, false), "")</f>
        <v/>
      </c>
      <c r="J784" s="21" t="str">
        <f t="shared" si="3"/>
        <v/>
      </c>
      <c r="K784" s="29"/>
      <c r="L784" s="29" t="b">
        <v>0</v>
      </c>
      <c r="M784" s="29"/>
      <c r="N784" s="21" t="str">
        <f>IFERROR(VLOOKUP(I784, 'Price Sheet'!$A$2:$B1010, 2, false), "")</f>
        <v/>
      </c>
    </row>
    <row r="785">
      <c r="B785" s="21" t="str">
        <f t="shared" si="4"/>
        <v/>
      </c>
      <c r="C785" s="29"/>
      <c r="D785" s="29"/>
      <c r="E785" s="29" t="b">
        <v>0</v>
      </c>
      <c r="F785" s="29"/>
      <c r="G785" s="21" t="str">
        <f>IFERROR(VLOOKUP(A785, 'Price Sheet'!$A$2:$B1010, 2, false), "")</f>
        <v/>
      </c>
      <c r="J785" s="21" t="str">
        <f t="shared" si="3"/>
        <v/>
      </c>
      <c r="K785" s="29"/>
      <c r="L785" s="29" t="b">
        <v>0</v>
      </c>
      <c r="M785" s="29"/>
      <c r="N785" s="21" t="str">
        <f>IFERROR(VLOOKUP(I785, 'Price Sheet'!$A$2:$B1010, 2, false), "")</f>
        <v/>
      </c>
    </row>
    <row r="786">
      <c r="B786" s="21" t="str">
        <f t="shared" si="4"/>
        <v/>
      </c>
      <c r="C786" s="29"/>
      <c r="D786" s="29"/>
      <c r="E786" s="29" t="b">
        <v>0</v>
      </c>
      <c r="F786" s="29"/>
      <c r="G786" s="21" t="str">
        <f>IFERROR(VLOOKUP(A786, 'Price Sheet'!$A$2:$B1010, 2, false), "")</f>
        <v/>
      </c>
      <c r="J786" s="21" t="str">
        <f t="shared" si="3"/>
        <v/>
      </c>
      <c r="K786" s="29"/>
      <c r="L786" s="29" t="b">
        <v>0</v>
      </c>
      <c r="M786" s="29"/>
      <c r="N786" s="21" t="str">
        <f>IFERROR(VLOOKUP(I786, 'Price Sheet'!$A$2:$B1010, 2, false), "")</f>
        <v/>
      </c>
    </row>
    <row r="787">
      <c r="B787" s="21" t="str">
        <f t="shared" si="4"/>
        <v/>
      </c>
      <c r="C787" s="29"/>
      <c r="D787" s="29"/>
      <c r="E787" s="29" t="b">
        <v>0</v>
      </c>
      <c r="F787" s="29"/>
      <c r="G787" s="21" t="str">
        <f>IFERROR(VLOOKUP(A787, 'Price Sheet'!$A$2:$B1010, 2, false), "")</f>
        <v/>
      </c>
      <c r="J787" s="21" t="str">
        <f t="shared" si="3"/>
        <v/>
      </c>
      <c r="K787" s="29"/>
      <c r="L787" s="29" t="b">
        <v>0</v>
      </c>
      <c r="M787" s="29"/>
      <c r="N787" s="21" t="str">
        <f>IFERROR(VLOOKUP(I787, 'Price Sheet'!$A$2:$B1010, 2, false), "")</f>
        <v/>
      </c>
    </row>
    <row r="788">
      <c r="B788" s="21" t="str">
        <f t="shared" si="4"/>
        <v/>
      </c>
      <c r="C788" s="29"/>
      <c r="D788" s="29"/>
      <c r="E788" s="29" t="b">
        <v>0</v>
      </c>
      <c r="F788" s="29"/>
      <c r="G788" s="21" t="str">
        <f>IFERROR(VLOOKUP(A788, 'Price Sheet'!$A$2:$B1010, 2, false), "")</f>
        <v/>
      </c>
      <c r="J788" s="21" t="str">
        <f t="shared" si="3"/>
        <v/>
      </c>
      <c r="K788" s="29"/>
      <c r="L788" s="29" t="b">
        <v>0</v>
      </c>
      <c r="M788" s="29"/>
      <c r="N788" s="21" t="str">
        <f>IFERROR(VLOOKUP(I788, 'Price Sheet'!$A$2:$B1010, 2, false), "")</f>
        <v/>
      </c>
    </row>
    <row r="789">
      <c r="B789" s="21" t="str">
        <f t="shared" si="4"/>
        <v/>
      </c>
      <c r="C789" s="29"/>
      <c r="D789" s="29"/>
      <c r="E789" s="29" t="b">
        <v>0</v>
      </c>
      <c r="F789" s="29"/>
      <c r="G789" s="21" t="str">
        <f>IFERROR(VLOOKUP(A789, 'Price Sheet'!$A$2:$B1010, 2, false), "")</f>
        <v/>
      </c>
      <c r="J789" s="21" t="str">
        <f t="shared" si="3"/>
        <v/>
      </c>
      <c r="K789" s="29"/>
      <c r="L789" s="29" t="b">
        <v>0</v>
      </c>
      <c r="M789" s="29"/>
      <c r="N789" s="21" t="str">
        <f>IFERROR(VLOOKUP(I789, 'Price Sheet'!$A$2:$B1010, 2, false), "")</f>
        <v/>
      </c>
    </row>
    <row r="790">
      <c r="B790" s="21" t="str">
        <f t="shared" si="4"/>
        <v/>
      </c>
      <c r="C790" s="29"/>
      <c r="D790" s="29"/>
      <c r="E790" s="29" t="b">
        <v>0</v>
      </c>
      <c r="F790" s="29"/>
      <c r="G790" s="21" t="str">
        <f>IFERROR(VLOOKUP(A790, 'Price Sheet'!$A$2:$B1010, 2, false), "")</f>
        <v/>
      </c>
      <c r="J790" s="21" t="str">
        <f t="shared" si="3"/>
        <v/>
      </c>
      <c r="K790" s="29"/>
      <c r="L790" s="29" t="b">
        <v>0</v>
      </c>
      <c r="M790" s="29"/>
      <c r="N790" s="21" t="str">
        <f>IFERROR(VLOOKUP(I790, 'Price Sheet'!$A$2:$B1010, 2, false), "")</f>
        <v/>
      </c>
    </row>
    <row r="791">
      <c r="B791" s="21" t="str">
        <f t="shared" si="4"/>
        <v/>
      </c>
      <c r="C791" s="29"/>
      <c r="D791" s="29"/>
      <c r="E791" s="29" t="b">
        <v>0</v>
      </c>
      <c r="F791" s="29"/>
      <c r="G791" s="21" t="str">
        <f>IFERROR(VLOOKUP(A791, 'Price Sheet'!$A$2:$B1010, 2, false), "")</f>
        <v/>
      </c>
      <c r="J791" s="21" t="str">
        <f t="shared" si="3"/>
        <v/>
      </c>
      <c r="K791" s="29"/>
      <c r="L791" s="29" t="b">
        <v>0</v>
      </c>
      <c r="M791" s="29"/>
      <c r="N791" s="21" t="str">
        <f>IFERROR(VLOOKUP(I791, 'Price Sheet'!$A$2:$B1010, 2, false), "")</f>
        <v/>
      </c>
    </row>
    <row r="792">
      <c r="B792" s="21" t="str">
        <f t="shared" si="4"/>
        <v/>
      </c>
      <c r="C792" s="29"/>
      <c r="D792" s="29"/>
      <c r="E792" s="29" t="b">
        <v>0</v>
      </c>
      <c r="F792" s="29"/>
      <c r="G792" s="21" t="str">
        <f>IFERROR(VLOOKUP(A792, 'Price Sheet'!$A$2:$B1010, 2, false), "")</f>
        <v/>
      </c>
      <c r="J792" s="21" t="str">
        <f t="shared" si="3"/>
        <v/>
      </c>
      <c r="K792" s="29"/>
      <c r="L792" s="29" t="b">
        <v>0</v>
      </c>
      <c r="M792" s="29"/>
      <c r="N792" s="21" t="str">
        <f>IFERROR(VLOOKUP(I792, 'Price Sheet'!$A$2:$B1010, 2, false), "")</f>
        <v/>
      </c>
    </row>
    <row r="793">
      <c r="B793" s="21" t="str">
        <f t="shared" si="4"/>
        <v/>
      </c>
      <c r="C793" s="29"/>
      <c r="D793" s="29"/>
      <c r="E793" s="29" t="b">
        <v>0</v>
      </c>
      <c r="F793" s="29"/>
      <c r="G793" s="21" t="str">
        <f>IFERROR(VLOOKUP(A793, 'Price Sheet'!$A$2:$B1010, 2, false), "")</f>
        <v/>
      </c>
      <c r="J793" s="21" t="str">
        <f t="shared" si="3"/>
        <v/>
      </c>
      <c r="K793" s="29"/>
      <c r="L793" s="29" t="b">
        <v>0</v>
      </c>
      <c r="M793" s="29"/>
      <c r="N793" s="21" t="str">
        <f>IFERROR(VLOOKUP(I793, 'Price Sheet'!$A$2:$B1010, 2, false), "")</f>
        <v/>
      </c>
    </row>
    <row r="794">
      <c r="B794" s="21" t="str">
        <f t="shared" si="4"/>
        <v/>
      </c>
      <c r="C794" s="29"/>
      <c r="D794" s="29"/>
      <c r="E794" s="29" t="b">
        <v>0</v>
      </c>
      <c r="F794" s="29"/>
      <c r="G794" s="21" t="str">
        <f>IFERROR(VLOOKUP(A794, 'Price Sheet'!$A$2:$B1010, 2, false), "")</f>
        <v/>
      </c>
      <c r="J794" s="21" t="str">
        <f t="shared" si="3"/>
        <v/>
      </c>
      <c r="K794" s="29"/>
      <c r="L794" s="29" t="b">
        <v>0</v>
      </c>
      <c r="M794" s="29"/>
      <c r="N794" s="21" t="str">
        <f>IFERROR(VLOOKUP(I794, 'Price Sheet'!$A$2:$B1010, 2, false), "")</f>
        <v/>
      </c>
    </row>
    <row r="795">
      <c r="B795" s="21" t="str">
        <f t="shared" si="4"/>
        <v/>
      </c>
      <c r="C795" s="29"/>
      <c r="D795" s="29"/>
      <c r="E795" s="29" t="b">
        <v>0</v>
      </c>
      <c r="F795" s="29"/>
      <c r="G795" s="21" t="str">
        <f>IFERROR(VLOOKUP(A795, 'Price Sheet'!$A$2:$B1010, 2, false), "")</f>
        <v/>
      </c>
      <c r="J795" s="21" t="str">
        <f t="shared" si="3"/>
        <v/>
      </c>
      <c r="K795" s="29"/>
      <c r="L795" s="29" t="b">
        <v>0</v>
      </c>
      <c r="M795" s="29"/>
      <c r="N795" s="21" t="str">
        <f>IFERROR(VLOOKUP(I795, 'Price Sheet'!$A$2:$B1010, 2, false), "")</f>
        <v/>
      </c>
    </row>
    <row r="796">
      <c r="B796" s="21" t="str">
        <f t="shared" si="4"/>
        <v/>
      </c>
      <c r="C796" s="29"/>
      <c r="D796" s="29"/>
      <c r="E796" s="29" t="b">
        <v>0</v>
      </c>
      <c r="F796" s="29"/>
      <c r="G796" s="21" t="str">
        <f>IFERROR(VLOOKUP(A796, 'Price Sheet'!$A$2:$B1010, 2, false), "")</f>
        <v/>
      </c>
      <c r="J796" s="21" t="str">
        <f t="shared" si="3"/>
        <v/>
      </c>
      <c r="K796" s="29"/>
      <c r="L796" s="29" t="b">
        <v>0</v>
      </c>
      <c r="M796" s="29"/>
      <c r="N796" s="21" t="str">
        <f>IFERROR(VLOOKUP(I796, 'Price Sheet'!$A$2:$B1010, 2, false), "")</f>
        <v/>
      </c>
    </row>
    <row r="797">
      <c r="B797" s="21" t="str">
        <f t="shared" si="4"/>
        <v/>
      </c>
      <c r="C797" s="29"/>
      <c r="D797" s="29"/>
      <c r="E797" s="29" t="b">
        <v>0</v>
      </c>
      <c r="F797" s="29"/>
      <c r="G797" s="21" t="str">
        <f>IFERROR(VLOOKUP(A797, 'Price Sheet'!$A$2:$B1010, 2, false), "")</f>
        <v/>
      </c>
      <c r="J797" s="21" t="str">
        <f t="shared" si="3"/>
        <v/>
      </c>
      <c r="K797" s="29"/>
      <c r="L797" s="29" t="b">
        <v>0</v>
      </c>
      <c r="M797" s="29"/>
      <c r="N797" s="21" t="str">
        <f>IFERROR(VLOOKUP(I797, 'Price Sheet'!$A$2:$B1010, 2, false), "")</f>
        <v/>
      </c>
    </row>
    <row r="798">
      <c r="B798" s="21" t="str">
        <f t="shared" si="4"/>
        <v/>
      </c>
      <c r="C798" s="29"/>
      <c r="D798" s="29"/>
      <c r="E798" s="29" t="b">
        <v>0</v>
      </c>
      <c r="F798" s="29"/>
      <c r="G798" s="21" t="str">
        <f>IFERROR(VLOOKUP(A798, 'Price Sheet'!$A$2:$B1010, 2, false), "")</f>
        <v/>
      </c>
      <c r="J798" s="21" t="str">
        <f t="shared" si="3"/>
        <v/>
      </c>
      <c r="K798" s="29"/>
      <c r="L798" s="29" t="b">
        <v>0</v>
      </c>
      <c r="M798" s="29"/>
      <c r="N798" s="21" t="str">
        <f>IFERROR(VLOOKUP(I798, 'Price Sheet'!$A$2:$B1010, 2, false), "")</f>
        <v/>
      </c>
    </row>
    <row r="799">
      <c r="B799" s="21" t="str">
        <f t="shared" si="4"/>
        <v/>
      </c>
      <c r="C799" s="29"/>
      <c r="D799" s="29"/>
      <c r="E799" s="29" t="b">
        <v>0</v>
      </c>
      <c r="F799" s="29"/>
      <c r="G799" s="21" t="str">
        <f>IFERROR(VLOOKUP(A799, 'Price Sheet'!$A$2:$B1010, 2, false), "")</f>
        <v/>
      </c>
      <c r="J799" s="21" t="str">
        <f t="shared" si="3"/>
        <v/>
      </c>
      <c r="K799" s="29"/>
      <c r="L799" s="29" t="b">
        <v>0</v>
      </c>
      <c r="M799" s="29"/>
      <c r="N799" s="21" t="str">
        <f>IFERROR(VLOOKUP(I799, 'Price Sheet'!$A$2:$B1010, 2, false), "")</f>
        <v/>
      </c>
    </row>
    <row r="800">
      <c r="B800" s="21" t="str">
        <f t="shared" si="4"/>
        <v/>
      </c>
      <c r="C800" s="29"/>
      <c r="D800" s="29"/>
      <c r="E800" s="29" t="b">
        <v>0</v>
      </c>
      <c r="F800" s="29"/>
      <c r="G800" s="21" t="str">
        <f>IFERROR(VLOOKUP(A800, 'Price Sheet'!$A$2:$B1010, 2, false), "")</f>
        <v/>
      </c>
      <c r="J800" s="21" t="str">
        <f t="shared" si="3"/>
        <v/>
      </c>
      <c r="K800" s="29"/>
      <c r="L800" s="29" t="b">
        <v>0</v>
      </c>
      <c r="M800" s="29"/>
      <c r="N800" s="21" t="str">
        <f>IFERROR(VLOOKUP(I800, 'Price Sheet'!$A$2:$B1010, 2, false), "")</f>
        <v/>
      </c>
    </row>
    <row r="801">
      <c r="B801" s="21" t="str">
        <f t="shared" si="4"/>
        <v/>
      </c>
      <c r="C801" s="29"/>
      <c r="D801" s="29"/>
      <c r="E801" s="29" t="b">
        <v>0</v>
      </c>
      <c r="F801" s="29"/>
      <c r="G801" s="21" t="str">
        <f>IFERROR(VLOOKUP(A801, 'Price Sheet'!$A$2:$B1010, 2, false), "")</f>
        <v/>
      </c>
      <c r="J801" s="21" t="str">
        <f t="shared" si="3"/>
        <v/>
      </c>
      <c r="K801" s="29"/>
      <c r="L801" s="29" t="b">
        <v>0</v>
      </c>
      <c r="M801" s="29"/>
      <c r="N801" s="21" t="str">
        <f>IFERROR(VLOOKUP(I801, 'Price Sheet'!$A$2:$B1010, 2, false), "")</f>
        <v/>
      </c>
    </row>
    <row r="802">
      <c r="B802" s="21" t="str">
        <f t="shared" si="4"/>
        <v/>
      </c>
      <c r="C802" s="29"/>
      <c r="D802" s="29"/>
      <c r="E802" s="29" t="b">
        <v>0</v>
      </c>
      <c r="F802" s="29"/>
      <c r="G802" s="21" t="str">
        <f>IFERROR(VLOOKUP(A802, 'Price Sheet'!$A$2:$B1010, 2, false), "")</f>
        <v/>
      </c>
      <c r="J802" s="21" t="str">
        <f t="shared" si="3"/>
        <v/>
      </c>
      <c r="K802" s="29"/>
      <c r="L802" s="29" t="b">
        <v>0</v>
      </c>
      <c r="M802" s="29"/>
      <c r="N802" s="21" t="str">
        <f>IFERROR(VLOOKUP(I802, 'Price Sheet'!$A$2:$B1010, 2, false), "")</f>
        <v/>
      </c>
    </row>
    <row r="803">
      <c r="B803" s="21" t="str">
        <f t="shared" si="4"/>
        <v/>
      </c>
      <c r="C803" s="29"/>
      <c r="D803" s="29"/>
      <c r="E803" s="29" t="b">
        <v>0</v>
      </c>
      <c r="F803" s="29"/>
      <c r="G803" s="21" t="str">
        <f>IFERROR(VLOOKUP(A803, 'Price Sheet'!$A$2:$B1010, 2, false), "")</f>
        <v/>
      </c>
      <c r="J803" s="21" t="str">
        <f t="shared" si="3"/>
        <v/>
      </c>
      <c r="K803" s="29"/>
      <c r="L803" s="29" t="b">
        <v>0</v>
      </c>
      <c r="M803" s="29"/>
      <c r="N803" s="21" t="str">
        <f>IFERROR(VLOOKUP(I803, 'Price Sheet'!$A$2:$B1010, 2, false), "")</f>
        <v/>
      </c>
    </row>
    <row r="804">
      <c r="B804" s="21" t="str">
        <f t="shared" si="4"/>
        <v/>
      </c>
      <c r="C804" s="29"/>
      <c r="D804" s="29"/>
      <c r="E804" s="29" t="b">
        <v>0</v>
      </c>
      <c r="F804" s="29"/>
      <c r="G804" s="21" t="str">
        <f>IFERROR(VLOOKUP(A804, 'Price Sheet'!$A$2:$B1010, 2, false), "")</f>
        <v/>
      </c>
      <c r="J804" s="21" t="str">
        <f t="shared" si="3"/>
        <v/>
      </c>
      <c r="K804" s="29"/>
      <c r="L804" s="29" t="b">
        <v>0</v>
      </c>
      <c r="M804" s="29"/>
      <c r="N804" s="21" t="str">
        <f>IFERROR(VLOOKUP(I804, 'Price Sheet'!$A$2:$B1010, 2, false), "")</f>
        <v/>
      </c>
    </row>
    <row r="805">
      <c r="B805" s="21" t="str">
        <f t="shared" si="4"/>
        <v/>
      </c>
      <c r="C805" s="29"/>
      <c r="D805" s="29"/>
      <c r="E805" s="29" t="b">
        <v>0</v>
      </c>
      <c r="F805" s="29"/>
      <c r="G805" s="21" t="str">
        <f>IFERROR(VLOOKUP(A805, 'Price Sheet'!$A$2:$B1010, 2, false), "")</f>
        <v/>
      </c>
      <c r="J805" s="21" t="str">
        <f t="shared" si="3"/>
        <v/>
      </c>
      <c r="K805" s="29"/>
      <c r="L805" s="29" t="b">
        <v>0</v>
      </c>
      <c r="M805" s="29"/>
      <c r="N805" s="21" t="str">
        <f>IFERROR(VLOOKUP(I805, 'Price Sheet'!$A$2:$B1010, 2, false), "")</f>
        <v/>
      </c>
    </row>
    <row r="806">
      <c r="B806" s="21" t="str">
        <f t="shared" si="4"/>
        <v/>
      </c>
      <c r="C806" s="29"/>
      <c r="D806" s="29"/>
      <c r="E806" s="29" t="b">
        <v>0</v>
      </c>
      <c r="F806" s="29"/>
      <c r="G806" s="21" t="str">
        <f>IFERROR(VLOOKUP(A806, 'Price Sheet'!$A$2:$B1010, 2, false), "")</f>
        <v/>
      </c>
      <c r="J806" s="21" t="str">
        <f t="shared" si="3"/>
        <v/>
      </c>
      <c r="K806" s="29"/>
      <c r="L806" s="29" t="b">
        <v>0</v>
      </c>
      <c r="M806" s="29"/>
      <c r="N806" s="21" t="str">
        <f>IFERROR(VLOOKUP(I806, 'Price Sheet'!$A$2:$B1010, 2, false), "")</f>
        <v/>
      </c>
    </row>
    <row r="807">
      <c r="B807" s="21" t="str">
        <f t="shared" si="4"/>
        <v/>
      </c>
      <c r="C807" s="29"/>
      <c r="D807" s="29"/>
      <c r="E807" s="29" t="b">
        <v>0</v>
      </c>
      <c r="F807" s="29"/>
      <c r="G807" s="21" t="str">
        <f>IFERROR(VLOOKUP(A807, 'Price Sheet'!$A$2:$B1010, 2, false), "")</f>
        <v/>
      </c>
      <c r="J807" s="21" t="str">
        <f t="shared" si="3"/>
        <v/>
      </c>
      <c r="K807" s="29"/>
      <c r="L807" s="29" t="b">
        <v>0</v>
      </c>
      <c r="M807" s="29"/>
      <c r="N807" s="21" t="str">
        <f>IFERROR(VLOOKUP(I807, 'Price Sheet'!$A$2:$B1010, 2, false), "")</f>
        <v/>
      </c>
    </row>
    <row r="808">
      <c r="B808" s="21" t="str">
        <f t="shared" si="4"/>
        <v/>
      </c>
      <c r="C808" s="29"/>
      <c r="D808" s="29"/>
      <c r="E808" s="29" t="b">
        <v>0</v>
      </c>
      <c r="F808" s="29"/>
      <c r="G808" s="21" t="str">
        <f>IFERROR(VLOOKUP(A808, 'Price Sheet'!$A$2:$B1010, 2, false), "")</f>
        <v/>
      </c>
      <c r="J808" s="21" t="str">
        <f t="shared" si="3"/>
        <v/>
      </c>
      <c r="K808" s="29"/>
      <c r="L808" s="29" t="b">
        <v>0</v>
      </c>
      <c r="M808" s="29"/>
      <c r="N808" s="21" t="str">
        <f>IFERROR(VLOOKUP(I808, 'Price Sheet'!$A$2:$B1010, 2, false), "")</f>
        <v/>
      </c>
    </row>
    <row r="809">
      <c r="B809" s="21" t="str">
        <f t="shared" si="4"/>
        <v/>
      </c>
      <c r="C809" s="29"/>
      <c r="D809" s="29"/>
      <c r="E809" s="29" t="b">
        <v>0</v>
      </c>
      <c r="F809" s="29"/>
      <c r="G809" s="21" t="str">
        <f>IFERROR(VLOOKUP(A809, 'Price Sheet'!$A$2:$B1010, 2, false), "")</f>
        <v/>
      </c>
      <c r="J809" s="21" t="str">
        <f t="shared" si="3"/>
        <v/>
      </c>
      <c r="K809" s="29"/>
      <c r="L809" s="29" t="b">
        <v>0</v>
      </c>
      <c r="M809" s="29"/>
      <c r="N809" s="21" t="str">
        <f>IFERROR(VLOOKUP(I809, 'Price Sheet'!$A$2:$B1010, 2, false), "")</f>
        <v/>
      </c>
    </row>
    <row r="810">
      <c r="B810" s="21" t="str">
        <f t="shared" si="4"/>
        <v/>
      </c>
      <c r="C810" s="29"/>
      <c r="D810" s="29"/>
      <c r="E810" s="29" t="b">
        <v>0</v>
      </c>
      <c r="F810" s="29"/>
      <c r="G810" s="21" t="str">
        <f>IFERROR(VLOOKUP(A810, 'Price Sheet'!$A$2:$B1010, 2, false), "")</f>
        <v/>
      </c>
      <c r="J810" s="21" t="str">
        <f t="shared" si="3"/>
        <v/>
      </c>
      <c r="K810" s="29"/>
      <c r="L810" s="29" t="b">
        <v>0</v>
      </c>
      <c r="M810" s="29"/>
      <c r="N810" s="21" t="str">
        <f>IFERROR(VLOOKUP(I810, 'Price Sheet'!$A$2:$B1010, 2, false), "")</f>
        <v/>
      </c>
    </row>
    <row r="811">
      <c r="B811" s="21" t="str">
        <f t="shared" si="4"/>
        <v/>
      </c>
      <c r="C811" s="29"/>
      <c r="D811" s="29"/>
      <c r="E811" s="29" t="b">
        <v>0</v>
      </c>
      <c r="F811" s="29"/>
      <c r="G811" s="21" t="str">
        <f>IFERROR(VLOOKUP(A811, 'Price Sheet'!$A$2:$B1010, 2, false), "")</f>
        <v/>
      </c>
      <c r="J811" s="21" t="str">
        <f t="shared" si="3"/>
        <v/>
      </c>
      <c r="K811" s="29"/>
      <c r="L811" s="29" t="b">
        <v>0</v>
      </c>
      <c r="M811" s="29"/>
      <c r="N811" s="21" t="str">
        <f>IFERROR(VLOOKUP(I811, 'Price Sheet'!$A$2:$B1010, 2, false), "")</f>
        <v/>
      </c>
    </row>
    <row r="812">
      <c r="B812" s="21" t="str">
        <f t="shared" si="4"/>
        <v/>
      </c>
      <c r="C812" s="29"/>
      <c r="D812" s="29"/>
      <c r="E812" s="29" t="b">
        <v>0</v>
      </c>
      <c r="F812" s="29"/>
      <c r="G812" s="21" t="str">
        <f>IFERROR(VLOOKUP(A812, 'Price Sheet'!$A$2:$B1010, 2, false), "")</f>
        <v/>
      </c>
      <c r="J812" s="21" t="str">
        <f t="shared" si="3"/>
        <v/>
      </c>
      <c r="K812" s="29"/>
      <c r="L812" s="29" t="b">
        <v>0</v>
      </c>
      <c r="M812" s="29"/>
      <c r="N812" s="21" t="str">
        <f>IFERROR(VLOOKUP(I812, 'Price Sheet'!$A$2:$B1010, 2, false), "")</f>
        <v/>
      </c>
    </row>
    <row r="813">
      <c r="B813" s="21" t="str">
        <f t="shared" si="4"/>
        <v/>
      </c>
      <c r="C813" s="29"/>
      <c r="D813" s="29"/>
      <c r="E813" s="29" t="b">
        <v>0</v>
      </c>
      <c r="F813" s="29"/>
      <c r="G813" s="21" t="str">
        <f>IFERROR(VLOOKUP(A813, 'Price Sheet'!$A$2:$B1010, 2, false), "")</f>
        <v/>
      </c>
      <c r="J813" s="21" t="str">
        <f t="shared" si="3"/>
        <v/>
      </c>
      <c r="K813" s="29"/>
      <c r="L813" s="29" t="b">
        <v>0</v>
      </c>
      <c r="M813" s="29"/>
      <c r="N813" s="21" t="str">
        <f>IFERROR(VLOOKUP(I813, 'Price Sheet'!$A$2:$B1010, 2, false), "")</f>
        <v/>
      </c>
    </row>
    <row r="814">
      <c r="B814" s="21" t="str">
        <f t="shared" si="4"/>
        <v/>
      </c>
      <c r="C814" s="29"/>
      <c r="D814" s="29"/>
      <c r="E814" s="29" t="b">
        <v>0</v>
      </c>
      <c r="F814" s="29"/>
      <c r="G814" s="21" t="str">
        <f>IFERROR(VLOOKUP(A814, 'Price Sheet'!$A$2:$B1010, 2, false), "")</f>
        <v/>
      </c>
      <c r="J814" s="21" t="str">
        <f t="shared" si="3"/>
        <v/>
      </c>
      <c r="K814" s="29"/>
      <c r="L814" s="29" t="b">
        <v>0</v>
      </c>
      <c r="M814" s="29"/>
      <c r="N814" s="21" t="str">
        <f>IFERROR(VLOOKUP(I814, 'Price Sheet'!$A$2:$B1010, 2, false), "")</f>
        <v/>
      </c>
    </row>
    <row r="815">
      <c r="B815" s="21" t="str">
        <f t="shared" si="4"/>
        <v/>
      </c>
      <c r="C815" s="29"/>
      <c r="D815" s="29"/>
      <c r="E815" s="29" t="b">
        <v>0</v>
      </c>
      <c r="F815" s="29"/>
      <c r="G815" s="21" t="str">
        <f>IFERROR(VLOOKUP(A815, 'Price Sheet'!$A$2:$B1010, 2, false), "")</f>
        <v/>
      </c>
      <c r="J815" s="21" t="str">
        <f t="shared" si="3"/>
        <v/>
      </c>
      <c r="K815" s="29"/>
      <c r="L815" s="29" t="b">
        <v>0</v>
      </c>
      <c r="M815" s="29"/>
      <c r="N815" s="21" t="str">
        <f>IFERROR(VLOOKUP(I815, 'Price Sheet'!$A$2:$B1010, 2, false), "")</f>
        <v/>
      </c>
    </row>
    <row r="816">
      <c r="B816" s="21" t="str">
        <f t="shared" si="4"/>
        <v/>
      </c>
      <c r="C816" s="29"/>
      <c r="D816" s="29"/>
      <c r="E816" s="29" t="b">
        <v>0</v>
      </c>
      <c r="F816" s="29"/>
      <c r="G816" s="21" t="str">
        <f>IFERROR(VLOOKUP(A816, 'Price Sheet'!$A$2:$B1010, 2, false), "")</f>
        <v/>
      </c>
      <c r="J816" s="21" t="str">
        <f t="shared" si="3"/>
        <v/>
      </c>
      <c r="K816" s="29"/>
      <c r="L816" s="29" t="b">
        <v>0</v>
      </c>
      <c r="M816" s="29"/>
      <c r="N816" s="21" t="str">
        <f>IFERROR(VLOOKUP(I816, 'Price Sheet'!$A$2:$B1010, 2, false), "")</f>
        <v/>
      </c>
    </row>
    <row r="817">
      <c r="B817" s="21" t="str">
        <f t="shared" si="4"/>
        <v/>
      </c>
      <c r="C817" s="29"/>
      <c r="D817" s="29"/>
      <c r="E817" s="29" t="b">
        <v>0</v>
      </c>
      <c r="F817" s="29"/>
      <c r="G817" s="21" t="str">
        <f>IFERROR(VLOOKUP(A817, 'Price Sheet'!$A$2:$B1010, 2, false), "")</f>
        <v/>
      </c>
      <c r="J817" s="21" t="str">
        <f t="shared" si="3"/>
        <v/>
      </c>
      <c r="K817" s="29"/>
      <c r="L817" s="29" t="b">
        <v>0</v>
      </c>
      <c r="M817" s="29"/>
      <c r="N817" s="21" t="str">
        <f>IFERROR(VLOOKUP(I817, 'Price Sheet'!$A$2:$B1010, 2, false), "")</f>
        <v/>
      </c>
    </row>
    <row r="818">
      <c r="B818" s="21" t="str">
        <f t="shared" si="4"/>
        <v/>
      </c>
      <c r="C818" s="29"/>
      <c r="D818" s="29"/>
      <c r="E818" s="29" t="b">
        <v>0</v>
      </c>
      <c r="F818" s="29"/>
      <c r="G818" s="21" t="str">
        <f>IFERROR(VLOOKUP(A818, 'Price Sheet'!$A$2:$B1010, 2, false), "")</f>
        <v/>
      </c>
      <c r="J818" s="21" t="str">
        <f t="shared" si="3"/>
        <v/>
      </c>
      <c r="K818" s="29"/>
      <c r="L818" s="29" t="b">
        <v>0</v>
      </c>
      <c r="M818" s="29"/>
      <c r="N818" s="21" t="str">
        <f>IFERROR(VLOOKUP(I818, 'Price Sheet'!$A$2:$B1010, 2, false), "")</f>
        <v/>
      </c>
    </row>
    <row r="819">
      <c r="B819" s="21" t="str">
        <f t="shared" si="4"/>
        <v/>
      </c>
      <c r="C819" s="29"/>
      <c r="D819" s="29"/>
      <c r="E819" s="29" t="b">
        <v>0</v>
      </c>
      <c r="F819" s="29"/>
      <c r="G819" s="21" t="str">
        <f>IFERROR(VLOOKUP(A819, 'Price Sheet'!$A$2:$B1010, 2, false), "")</f>
        <v/>
      </c>
      <c r="J819" s="21" t="str">
        <f t="shared" si="3"/>
        <v/>
      </c>
      <c r="K819" s="29"/>
      <c r="L819" s="29" t="b">
        <v>0</v>
      </c>
      <c r="M819" s="29"/>
      <c r="N819" s="21" t="str">
        <f>IFERROR(VLOOKUP(I819, 'Price Sheet'!$A$2:$B1010, 2, false), "")</f>
        <v/>
      </c>
    </row>
    <row r="820">
      <c r="B820" s="21" t="str">
        <f t="shared" si="4"/>
        <v/>
      </c>
      <c r="C820" s="29"/>
      <c r="D820" s="29"/>
      <c r="E820" s="29" t="b">
        <v>0</v>
      </c>
      <c r="F820" s="29"/>
      <c r="G820" s="21" t="str">
        <f>IFERROR(VLOOKUP(A820, 'Price Sheet'!$A$2:$B1010, 2, false), "")</f>
        <v/>
      </c>
      <c r="J820" s="21" t="str">
        <f t="shared" si="3"/>
        <v/>
      </c>
      <c r="K820" s="29"/>
      <c r="L820" s="29" t="b">
        <v>0</v>
      </c>
      <c r="M820" s="29"/>
      <c r="N820" s="21" t="str">
        <f>IFERROR(VLOOKUP(I820, 'Price Sheet'!$A$2:$B1010, 2, false), "")</f>
        <v/>
      </c>
    </row>
    <row r="821">
      <c r="B821" s="21" t="str">
        <f t="shared" si="4"/>
        <v/>
      </c>
      <c r="C821" s="29"/>
      <c r="D821" s="29"/>
      <c r="E821" s="29" t="b">
        <v>0</v>
      </c>
      <c r="F821" s="29"/>
      <c r="G821" s="21" t="str">
        <f>IFERROR(VLOOKUP(A821, 'Price Sheet'!$A$2:$B1010, 2, false), "")</f>
        <v/>
      </c>
      <c r="J821" s="21" t="str">
        <f t="shared" si="3"/>
        <v/>
      </c>
      <c r="K821" s="29"/>
      <c r="L821" s="29" t="b">
        <v>0</v>
      </c>
      <c r="M821" s="29"/>
      <c r="N821" s="21" t="str">
        <f>IFERROR(VLOOKUP(I821, 'Price Sheet'!$A$2:$B1010, 2, false), "")</f>
        <v/>
      </c>
    </row>
    <row r="822">
      <c r="B822" s="21" t="str">
        <f t="shared" si="4"/>
        <v/>
      </c>
      <c r="C822" s="29"/>
      <c r="D822" s="29"/>
      <c r="E822" s="29" t="b">
        <v>0</v>
      </c>
      <c r="F822" s="29"/>
      <c r="G822" s="21" t="str">
        <f>IFERROR(VLOOKUP(A822, 'Price Sheet'!$A$2:$B1010, 2, false), "")</f>
        <v/>
      </c>
      <c r="J822" s="21" t="str">
        <f t="shared" si="3"/>
        <v/>
      </c>
      <c r="K822" s="29"/>
      <c r="L822" s="29" t="b">
        <v>0</v>
      </c>
      <c r="M822" s="29"/>
      <c r="N822" s="21" t="str">
        <f>IFERROR(VLOOKUP(I822, 'Price Sheet'!$A$2:$B1010, 2, false), "")</f>
        <v/>
      </c>
    </row>
    <row r="823">
      <c r="B823" s="21" t="str">
        <f t="shared" si="4"/>
        <v/>
      </c>
      <c r="C823" s="29"/>
      <c r="D823" s="29"/>
      <c r="E823" s="29" t="b">
        <v>0</v>
      </c>
      <c r="F823" s="29"/>
      <c r="G823" s="21" t="str">
        <f>IFERROR(VLOOKUP(A823, 'Price Sheet'!$A$2:$B1010, 2, false), "")</f>
        <v/>
      </c>
      <c r="J823" s="21" t="str">
        <f t="shared" si="3"/>
        <v/>
      </c>
      <c r="K823" s="29"/>
      <c r="L823" s="29" t="b">
        <v>0</v>
      </c>
      <c r="M823" s="29"/>
      <c r="N823" s="21" t="str">
        <f>IFERROR(VLOOKUP(I823, 'Price Sheet'!$A$2:$B1010, 2, false), "")</f>
        <v/>
      </c>
    </row>
    <row r="824">
      <c r="B824" s="21" t="str">
        <f t="shared" si="4"/>
        <v/>
      </c>
      <c r="C824" s="29"/>
      <c r="D824" s="29"/>
      <c r="E824" s="29" t="b">
        <v>0</v>
      </c>
      <c r="F824" s="29"/>
      <c r="G824" s="21" t="str">
        <f>IFERROR(VLOOKUP(A824, 'Price Sheet'!$A$2:$B1010, 2, false), "")</f>
        <v/>
      </c>
      <c r="J824" s="21" t="str">
        <f t="shared" si="3"/>
        <v/>
      </c>
      <c r="K824" s="29"/>
      <c r="L824" s="29" t="b">
        <v>0</v>
      </c>
      <c r="M824" s="29"/>
      <c r="N824" s="21" t="str">
        <f>IFERROR(VLOOKUP(I824, 'Price Sheet'!$A$2:$B1010, 2, false), "")</f>
        <v/>
      </c>
    </row>
    <row r="825">
      <c r="B825" s="21" t="str">
        <f t="shared" si="4"/>
        <v/>
      </c>
      <c r="C825" s="29"/>
      <c r="D825" s="29"/>
      <c r="E825" s="29" t="b">
        <v>0</v>
      </c>
      <c r="F825" s="29"/>
      <c r="G825" s="21" t="str">
        <f>IFERROR(VLOOKUP(A825, 'Price Sheet'!$A$2:$B1010, 2, false), "")</f>
        <v/>
      </c>
      <c r="J825" s="21" t="str">
        <f t="shared" si="3"/>
        <v/>
      </c>
      <c r="K825" s="29"/>
      <c r="L825" s="29" t="b">
        <v>0</v>
      </c>
      <c r="M825" s="29"/>
      <c r="N825" s="21" t="str">
        <f>IFERROR(VLOOKUP(I825, 'Price Sheet'!$A$2:$B1010, 2, false), "")</f>
        <v/>
      </c>
    </row>
    <row r="826">
      <c r="B826" s="21" t="str">
        <f t="shared" si="4"/>
        <v/>
      </c>
      <c r="C826" s="29"/>
      <c r="D826" s="29"/>
      <c r="E826" s="29" t="b">
        <v>0</v>
      </c>
      <c r="F826" s="29"/>
      <c r="G826" s="21" t="str">
        <f>IFERROR(VLOOKUP(A826, 'Price Sheet'!$A$2:$B1010, 2, false), "")</f>
        <v/>
      </c>
      <c r="J826" s="21" t="str">
        <f t="shared" si="3"/>
        <v/>
      </c>
      <c r="K826" s="29"/>
      <c r="L826" s="29" t="b">
        <v>0</v>
      </c>
      <c r="M826" s="29"/>
      <c r="N826" s="21" t="str">
        <f>IFERROR(VLOOKUP(I826, 'Price Sheet'!$A$2:$B1010, 2, false), "")</f>
        <v/>
      </c>
    </row>
    <row r="827">
      <c r="B827" s="21" t="str">
        <f t="shared" si="4"/>
        <v/>
      </c>
      <c r="C827" s="29"/>
      <c r="D827" s="29"/>
      <c r="E827" s="29" t="b">
        <v>0</v>
      </c>
      <c r="F827" s="29"/>
      <c r="G827" s="21" t="str">
        <f>IFERROR(VLOOKUP(A827, 'Price Sheet'!$A$2:$B1010, 2, false), "")</f>
        <v/>
      </c>
      <c r="J827" s="21" t="str">
        <f t="shared" si="3"/>
        <v/>
      </c>
      <c r="K827" s="29"/>
      <c r="L827" s="29" t="b">
        <v>0</v>
      </c>
      <c r="M827" s="29"/>
      <c r="N827" s="21" t="str">
        <f>IFERROR(VLOOKUP(I827, 'Price Sheet'!$A$2:$B1010, 2, false), "")</f>
        <v/>
      </c>
    </row>
    <row r="828">
      <c r="B828" s="21" t="str">
        <f t="shared" si="4"/>
        <v/>
      </c>
      <c r="C828" s="29"/>
      <c r="D828" s="29"/>
      <c r="E828" s="29" t="b">
        <v>0</v>
      </c>
      <c r="F828" s="29"/>
      <c r="G828" s="21" t="str">
        <f>IFERROR(VLOOKUP(A828, 'Price Sheet'!$A$2:$B1010, 2, false), "")</f>
        <v/>
      </c>
      <c r="J828" s="21" t="str">
        <f t="shared" si="3"/>
        <v/>
      </c>
      <c r="K828" s="29"/>
      <c r="L828" s="29" t="b">
        <v>0</v>
      </c>
      <c r="M828" s="29"/>
      <c r="N828" s="21" t="str">
        <f>IFERROR(VLOOKUP(I828, 'Price Sheet'!$A$2:$B1010, 2, false), "")</f>
        <v/>
      </c>
    </row>
    <row r="829">
      <c r="B829" s="21" t="str">
        <f t="shared" si="4"/>
        <v/>
      </c>
      <c r="C829" s="29"/>
      <c r="D829" s="29"/>
      <c r="E829" s="29" t="b">
        <v>0</v>
      </c>
      <c r="F829" s="29"/>
      <c r="G829" s="21" t="str">
        <f>IFERROR(VLOOKUP(A829, 'Price Sheet'!$A$2:$B1010, 2, false), "")</f>
        <v/>
      </c>
      <c r="J829" s="21" t="str">
        <f t="shared" si="3"/>
        <v/>
      </c>
      <c r="K829" s="29"/>
      <c r="L829" s="29" t="b">
        <v>0</v>
      </c>
      <c r="M829" s="29"/>
      <c r="N829" s="21" t="str">
        <f>IFERROR(VLOOKUP(I829, 'Price Sheet'!$A$2:$B1010, 2, false), "")</f>
        <v/>
      </c>
    </row>
    <row r="830">
      <c r="B830" s="21" t="str">
        <f t="shared" si="4"/>
        <v/>
      </c>
      <c r="C830" s="29"/>
      <c r="D830" s="29"/>
      <c r="E830" s="29" t="b">
        <v>0</v>
      </c>
      <c r="F830" s="29"/>
      <c r="G830" s="21" t="str">
        <f>IFERROR(VLOOKUP(A830, 'Price Sheet'!$A$2:$B1010, 2, false), "")</f>
        <v/>
      </c>
      <c r="J830" s="21" t="str">
        <f t="shared" si="3"/>
        <v/>
      </c>
      <c r="K830" s="29"/>
      <c r="L830" s="29" t="b">
        <v>0</v>
      </c>
      <c r="M830" s="29"/>
      <c r="N830" s="21" t="str">
        <f>IFERROR(VLOOKUP(I830, 'Price Sheet'!$A$2:$B1010, 2, false), "")</f>
        <v/>
      </c>
    </row>
    <row r="831">
      <c r="B831" s="21" t="str">
        <f t="shared" si="4"/>
        <v/>
      </c>
      <c r="C831" s="29"/>
      <c r="D831" s="29"/>
      <c r="E831" s="29" t="b">
        <v>0</v>
      </c>
      <c r="F831" s="29"/>
      <c r="G831" s="21" t="str">
        <f>IFERROR(VLOOKUP(A831, 'Price Sheet'!$A$2:$B1010, 2, false), "")</f>
        <v/>
      </c>
      <c r="J831" s="21" t="str">
        <f t="shared" si="3"/>
        <v/>
      </c>
      <c r="K831" s="29"/>
      <c r="L831" s="29" t="b">
        <v>0</v>
      </c>
      <c r="M831" s="29"/>
      <c r="N831" s="21" t="str">
        <f>IFERROR(VLOOKUP(I831, 'Price Sheet'!$A$2:$B1010, 2, false), "")</f>
        <v/>
      </c>
    </row>
    <row r="832">
      <c r="B832" s="21" t="str">
        <f t="shared" si="4"/>
        <v/>
      </c>
      <c r="C832" s="29"/>
      <c r="D832" s="29"/>
      <c r="E832" s="29" t="b">
        <v>0</v>
      </c>
      <c r="F832" s="29"/>
      <c r="G832" s="21" t="str">
        <f>IFERROR(VLOOKUP(A832, 'Price Sheet'!$A$2:$B1010, 2, false), "")</f>
        <v/>
      </c>
      <c r="J832" s="21" t="str">
        <f t="shared" si="3"/>
        <v/>
      </c>
      <c r="K832" s="29"/>
      <c r="L832" s="29" t="b">
        <v>0</v>
      </c>
      <c r="M832" s="29"/>
      <c r="N832" s="21" t="str">
        <f>IFERROR(VLOOKUP(I832, 'Price Sheet'!$A$2:$B1010, 2, false), "")</f>
        <v/>
      </c>
    </row>
    <row r="833">
      <c r="B833" s="21" t="str">
        <f t="shared" si="4"/>
        <v/>
      </c>
      <c r="C833" s="29"/>
      <c r="D833" s="29"/>
      <c r="E833" s="29" t="b">
        <v>0</v>
      </c>
      <c r="F833" s="29"/>
      <c r="G833" s="21" t="str">
        <f>IFERROR(VLOOKUP(A833, 'Price Sheet'!$A$2:$B1010, 2, false), "")</f>
        <v/>
      </c>
      <c r="J833" s="21" t="str">
        <f t="shared" si="3"/>
        <v/>
      </c>
      <c r="K833" s="29"/>
      <c r="L833" s="29" t="b">
        <v>0</v>
      </c>
      <c r="M833" s="29"/>
      <c r="N833" s="21" t="str">
        <f>IFERROR(VLOOKUP(I833, 'Price Sheet'!$A$2:$B1010, 2, false), "")</f>
        <v/>
      </c>
    </row>
    <row r="834">
      <c r="B834" s="21" t="str">
        <f t="shared" si="4"/>
        <v/>
      </c>
      <c r="C834" s="29"/>
      <c r="D834" s="29"/>
      <c r="E834" s="29" t="b">
        <v>0</v>
      </c>
      <c r="F834" s="29"/>
      <c r="G834" s="21" t="str">
        <f>IFERROR(VLOOKUP(A834, 'Price Sheet'!$A$2:$B1010, 2, false), "")</f>
        <v/>
      </c>
      <c r="J834" s="21" t="str">
        <f t="shared" si="3"/>
        <v/>
      </c>
      <c r="K834" s="29"/>
      <c r="L834" s="29" t="b">
        <v>0</v>
      </c>
      <c r="M834" s="29"/>
      <c r="N834" s="21" t="str">
        <f>IFERROR(VLOOKUP(I834, 'Price Sheet'!$A$2:$B1010, 2, false), "")</f>
        <v/>
      </c>
    </row>
    <row r="835">
      <c r="B835" s="21" t="str">
        <f t="shared" si="4"/>
        <v/>
      </c>
      <c r="C835" s="29"/>
      <c r="D835" s="29"/>
      <c r="E835" s="29" t="b">
        <v>0</v>
      </c>
      <c r="F835" s="29"/>
      <c r="G835" s="21" t="str">
        <f>IFERROR(VLOOKUP(A835, 'Price Sheet'!$A$2:$B1010, 2, false), "")</f>
        <v/>
      </c>
      <c r="J835" s="21" t="str">
        <f t="shared" si="3"/>
        <v/>
      </c>
      <c r="K835" s="29"/>
      <c r="L835" s="29" t="b">
        <v>0</v>
      </c>
      <c r="M835" s="29"/>
      <c r="N835" s="21" t="str">
        <f>IFERROR(VLOOKUP(I835, 'Price Sheet'!$A$2:$B1010, 2, false), "")</f>
        <v/>
      </c>
    </row>
    <row r="836">
      <c r="B836" s="21" t="str">
        <f t="shared" si="4"/>
        <v/>
      </c>
      <c r="C836" s="29"/>
      <c r="D836" s="29"/>
      <c r="E836" s="29" t="b">
        <v>0</v>
      </c>
      <c r="F836" s="29"/>
      <c r="G836" s="21" t="str">
        <f>IFERROR(VLOOKUP(A836, 'Price Sheet'!$A$2:$B1010, 2, false), "")</f>
        <v/>
      </c>
      <c r="J836" s="21" t="str">
        <f t="shared" si="3"/>
        <v/>
      </c>
      <c r="K836" s="29"/>
      <c r="L836" s="29" t="b">
        <v>0</v>
      </c>
      <c r="M836" s="29"/>
      <c r="N836" s="21" t="str">
        <f>IFERROR(VLOOKUP(I836, 'Price Sheet'!$A$2:$B1010, 2, false), "")</f>
        <v/>
      </c>
    </row>
    <row r="837">
      <c r="B837" s="21" t="str">
        <f t="shared" si="4"/>
        <v/>
      </c>
      <c r="C837" s="29"/>
      <c r="D837" s="29"/>
      <c r="E837" s="29" t="b">
        <v>0</v>
      </c>
      <c r="F837" s="29"/>
      <c r="G837" s="21" t="str">
        <f>IFERROR(VLOOKUP(A837, 'Price Sheet'!$A$2:$B1010, 2, false), "")</f>
        <v/>
      </c>
      <c r="J837" s="21" t="str">
        <f t="shared" si="3"/>
        <v/>
      </c>
      <c r="K837" s="29"/>
      <c r="L837" s="29" t="b">
        <v>0</v>
      </c>
      <c r="M837" s="29"/>
      <c r="N837" s="21" t="str">
        <f>IFERROR(VLOOKUP(I837, 'Price Sheet'!$A$2:$B1010, 2, false), "")</f>
        <v/>
      </c>
    </row>
    <row r="838">
      <c r="B838" s="21" t="str">
        <f t="shared" si="4"/>
        <v/>
      </c>
      <c r="C838" s="29"/>
      <c r="D838" s="29"/>
      <c r="E838" s="29" t="b">
        <v>0</v>
      </c>
      <c r="F838" s="29"/>
      <c r="G838" s="21" t="str">
        <f>IFERROR(VLOOKUP(A838, 'Price Sheet'!$A$2:$B1010, 2, false), "")</f>
        <v/>
      </c>
      <c r="J838" s="21" t="str">
        <f t="shared" si="3"/>
        <v/>
      </c>
      <c r="K838" s="29"/>
      <c r="L838" s="29" t="b">
        <v>0</v>
      </c>
      <c r="M838" s="29"/>
      <c r="N838" s="21" t="str">
        <f>IFERROR(VLOOKUP(I838, 'Price Sheet'!$A$2:$B1010, 2, false), "")</f>
        <v/>
      </c>
    </row>
    <row r="839">
      <c r="B839" s="21" t="str">
        <f t="shared" si="4"/>
        <v/>
      </c>
      <c r="C839" s="29"/>
      <c r="D839" s="29"/>
      <c r="E839" s="29" t="b">
        <v>0</v>
      </c>
      <c r="F839" s="29"/>
      <c r="G839" s="21" t="str">
        <f>IFERROR(VLOOKUP(A839, 'Price Sheet'!$A$2:$B1010, 2, false), "")</f>
        <v/>
      </c>
      <c r="J839" s="21" t="str">
        <f t="shared" si="3"/>
        <v/>
      </c>
      <c r="K839" s="29"/>
      <c r="L839" s="29" t="b">
        <v>0</v>
      </c>
      <c r="M839" s="29"/>
      <c r="N839" s="21" t="str">
        <f>IFERROR(VLOOKUP(I839, 'Price Sheet'!$A$2:$B1010, 2, false), "")</f>
        <v/>
      </c>
    </row>
    <row r="840">
      <c r="B840" s="21" t="str">
        <f t="shared" si="4"/>
        <v/>
      </c>
      <c r="C840" s="29"/>
      <c r="D840" s="29"/>
      <c r="E840" s="29" t="b">
        <v>0</v>
      </c>
      <c r="F840" s="29"/>
      <c r="G840" s="21" t="str">
        <f>IFERROR(VLOOKUP(A840, 'Price Sheet'!$A$2:$B1010, 2, false), "")</f>
        <v/>
      </c>
      <c r="J840" s="21" t="str">
        <f t="shared" si="3"/>
        <v/>
      </c>
      <c r="K840" s="29"/>
      <c r="L840" s="29" t="b">
        <v>0</v>
      </c>
      <c r="M840" s="29"/>
      <c r="N840" s="21" t="str">
        <f>IFERROR(VLOOKUP(I840, 'Price Sheet'!$A$2:$B1010, 2, false), "")</f>
        <v/>
      </c>
    </row>
    <row r="841">
      <c r="B841" s="21" t="str">
        <f t="shared" si="4"/>
        <v/>
      </c>
      <c r="C841" s="29"/>
      <c r="D841" s="29"/>
      <c r="E841" s="29" t="b">
        <v>0</v>
      </c>
      <c r="F841" s="29"/>
      <c r="G841" s="21" t="str">
        <f>IFERROR(VLOOKUP(A841, 'Price Sheet'!$A$2:$B1010, 2, false), "")</f>
        <v/>
      </c>
      <c r="J841" s="21" t="str">
        <f t="shared" si="3"/>
        <v/>
      </c>
      <c r="K841" s="29"/>
      <c r="L841" s="29" t="b">
        <v>0</v>
      </c>
      <c r="M841" s="29"/>
      <c r="N841" s="21" t="str">
        <f>IFERROR(VLOOKUP(I841, 'Price Sheet'!$A$2:$B1010, 2, false), "")</f>
        <v/>
      </c>
    </row>
    <row r="842">
      <c r="B842" s="21" t="str">
        <f t="shared" si="4"/>
        <v/>
      </c>
      <c r="C842" s="29"/>
      <c r="D842" s="29"/>
      <c r="E842" s="29" t="b">
        <v>0</v>
      </c>
      <c r="F842" s="29"/>
      <c r="G842" s="21" t="str">
        <f>IFERROR(VLOOKUP(A842, 'Price Sheet'!$A$2:$B1010, 2, false), "")</f>
        <v/>
      </c>
      <c r="J842" s="21" t="str">
        <f t="shared" si="3"/>
        <v/>
      </c>
      <c r="K842" s="29"/>
      <c r="L842" s="29" t="b">
        <v>0</v>
      </c>
      <c r="M842" s="29"/>
      <c r="N842" s="21" t="str">
        <f>IFERROR(VLOOKUP(I842, 'Price Sheet'!$A$2:$B1010, 2, false), "")</f>
        <v/>
      </c>
    </row>
    <row r="843">
      <c r="B843" s="21" t="str">
        <f t="shared" si="4"/>
        <v/>
      </c>
      <c r="C843" s="29"/>
      <c r="D843" s="29"/>
      <c r="E843" s="29" t="b">
        <v>0</v>
      </c>
      <c r="F843" s="29"/>
      <c r="G843" s="21" t="str">
        <f>IFERROR(VLOOKUP(A843, 'Price Sheet'!$A$2:$B1010, 2, false), "")</f>
        <v/>
      </c>
      <c r="J843" s="21" t="str">
        <f t="shared" si="3"/>
        <v/>
      </c>
      <c r="K843" s="29"/>
      <c r="L843" s="29" t="b">
        <v>0</v>
      </c>
      <c r="M843" s="29"/>
      <c r="N843" s="21" t="str">
        <f>IFERROR(VLOOKUP(I843, 'Price Sheet'!$A$2:$B1010, 2, false), "")</f>
        <v/>
      </c>
    </row>
    <row r="844">
      <c r="B844" s="21" t="str">
        <f t="shared" si="4"/>
        <v/>
      </c>
      <c r="C844" s="29"/>
      <c r="D844" s="29"/>
      <c r="E844" s="29" t="b">
        <v>0</v>
      </c>
      <c r="F844" s="29"/>
      <c r="G844" s="21" t="str">
        <f>IFERROR(VLOOKUP(A844, 'Price Sheet'!$A$2:$B1010, 2, false), "")</f>
        <v/>
      </c>
      <c r="J844" s="21" t="str">
        <f t="shared" si="3"/>
        <v/>
      </c>
      <c r="K844" s="29"/>
      <c r="L844" s="29" t="b">
        <v>0</v>
      </c>
      <c r="M844" s="29"/>
      <c r="N844" s="21" t="str">
        <f>IFERROR(VLOOKUP(I844, 'Price Sheet'!$A$2:$B1010, 2, false), "")</f>
        <v/>
      </c>
    </row>
    <row r="845">
      <c r="B845" s="21" t="str">
        <f t="shared" si="4"/>
        <v/>
      </c>
      <c r="C845" s="29"/>
      <c r="D845" s="29"/>
      <c r="E845" s="29" t="b">
        <v>0</v>
      </c>
      <c r="F845" s="29"/>
      <c r="G845" s="21" t="str">
        <f>IFERROR(VLOOKUP(A845, 'Price Sheet'!$A$2:$B1010, 2, false), "")</f>
        <v/>
      </c>
      <c r="J845" s="21" t="str">
        <f t="shared" si="3"/>
        <v/>
      </c>
      <c r="K845" s="29"/>
      <c r="L845" s="29" t="b">
        <v>0</v>
      </c>
      <c r="M845" s="29"/>
      <c r="N845" s="21" t="str">
        <f>IFERROR(VLOOKUP(I845, 'Price Sheet'!$A$2:$B1010, 2, false), "")</f>
        <v/>
      </c>
    </row>
    <row r="846">
      <c r="B846" s="21" t="str">
        <f t="shared" si="4"/>
        <v/>
      </c>
      <c r="C846" s="29"/>
      <c r="D846" s="29"/>
      <c r="E846" s="29" t="b">
        <v>0</v>
      </c>
      <c r="F846" s="29"/>
      <c r="G846" s="21" t="str">
        <f>IFERROR(VLOOKUP(A846, 'Price Sheet'!$A$2:$B1010, 2, false), "")</f>
        <v/>
      </c>
      <c r="J846" s="21" t="str">
        <f t="shared" si="3"/>
        <v/>
      </c>
      <c r="K846" s="29"/>
      <c r="L846" s="29" t="b">
        <v>0</v>
      </c>
      <c r="M846" s="29"/>
      <c r="N846" s="21" t="str">
        <f>IFERROR(VLOOKUP(I846, 'Price Sheet'!$A$2:$B1010, 2, false), "")</f>
        <v/>
      </c>
    </row>
    <row r="847">
      <c r="B847" s="21" t="str">
        <f t="shared" si="4"/>
        <v/>
      </c>
      <c r="C847" s="29"/>
      <c r="D847" s="29"/>
      <c r="E847" s="29" t="b">
        <v>0</v>
      </c>
      <c r="F847" s="29"/>
      <c r="G847" s="21" t="str">
        <f>IFERROR(VLOOKUP(A847, 'Price Sheet'!$A$2:$B1010, 2, false), "")</f>
        <v/>
      </c>
      <c r="J847" s="21" t="str">
        <f t="shared" si="3"/>
        <v/>
      </c>
      <c r="K847" s="29"/>
      <c r="L847" s="29" t="b">
        <v>0</v>
      </c>
      <c r="M847" s="29"/>
      <c r="N847" s="21" t="str">
        <f>IFERROR(VLOOKUP(I847, 'Price Sheet'!$A$2:$B1010, 2, false), "")</f>
        <v/>
      </c>
    </row>
    <row r="848">
      <c r="B848" s="21" t="str">
        <f t="shared" si="4"/>
        <v/>
      </c>
      <c r="C848" s="29"/>
      <c r="D848" s="29"/>
      <c r="E848" s="29" t="b">
        <v>0</v>
      </c>
      <c r="F848" s="29"/>
      <c r="G848" s="21" t="str">
        <f>IFERROR(VLOOKUP(A848, 'Price Sheet'!$A$2:$B1010, 2, false), "")</f>
        <v/>
      </c>
      <c r="J848" s="21" t="str">
        <f t="shared" si="3"/>
        <v/>
      </c>
      <c r="K848" s="29"/>
      <c r="L848" s="29" t="b">
        <v>0</v>
      </c>
      <c r="M848" s="29"/>
      <c r="N848" s="21" t="str">
        <f>IFERROR(VLOOKUP(I848, 'Price Sheet'!$A$2:$B1010, 2, false), "")</f>
        <v/>
      </c>
    </row>
    <row r="849">
      <c r="B849" s="21" t="str">
        <f t="shared" si="4"/>
        <v/>
      </c>
      <c r="C849" s="29"/>
      <c r="D849" s="29"/>
      <c r="E849" s="29" t="b">
        <v>0</v>
      </c>
      <c r="F849" s="29"/>
      <c r="G849" s="21" t="str">
        <f>IFERROR(VLOOKUP(A849, 'Price Sheet'!$A$2:$B1010, 2, false), "")</f>
        <v/>
      </c>
      <c r="J849" s="21" t="str">
        <f t="shared" si="3"/>
        <v/>
      </c>
      <c r="K849" s="29"/>
      <c r="L849" s="29" t="b">
        <v>0</v>
      </c>
      <c r="M849" s="29"/>
      <c r="N849" s="21" t="str">
        <f>IFERROR(VLOOKUP(I849, 'Price Sheet'!$A$2:$B1010, 2, false), "")</f>
        <v/>
      </c>
    </row>
    <row r="850">
      <c r="B850" s="21" t="str">
        <f t="shared" si="4"/>
        <v/>
      </c>
      <c r="C850" s="29"/>
      <c r="D850" s="29"/>
      <c r="E850" s="29" t="b">
        <v>0</v>
      </c>
      <c r="F850" s="29"/>
      <c r="G850" s="21" t="str">
        <f>IFERROR(VLOOKUP(A850, 'Price Sheet'!$A$2:$B1010, 2, false), "")</f>
        <v/>
      </c>
      <c r="J850" s="21" t="str">
        <f t="shared" si="3"/>
        <v/>
      </c>
      <c r="K850" s="29"/>
      <c r="L850" s="29" t="b">
        <v>0</v>
      </c>
      <c r="M850" s="29"/>
      <c r="N850" s="21" t="str">
        <f>IFERROR(VLOOKUP(I850, 'Price Sheet'!$A$2:$B1010, 2, false), "")</f>
        <v/>
      </c>
    </row>
    <row r="851">
      <c r="B851" s="21" t="str">
        <f t="shared" si="4"/>
        <v/>
      </c>
      <c r="C851" s="29"/>
      <c r="D851" s="29"/>
      <c r="E851" s="29" t="b">
        <v>0</v>
      </c>
      <c r="F851" s="29"/>
      <c r="G851" s="21" t="str">
        <f>IFERROR(VLOOKUP(A851, 'Price Sheet'!$A$2:$B1010, 2, false), "")</f>
        <v/>
      </c>
      <c r="J851" s="21" t="str">
        <f t="shared" si="3"/>
        <v/>
      </c>
      <c r="K851" s="29"/>
      <c r="L851" s="29" t="b">
        <v>0</v>
      </c>
      <c r="M851" s="29"/>
      <c r="N851" s="21" t="str">
        <f>IFERROR(VLOOKUP(I851, 'Price Sheet'!$A$2:$B1010, 2, false), "")</f>
        <v/>
      </c>
    </row>
    <row r="852">
      <c r="B852" s="21" t="str">
        <f t="shared" si="4"/>
        <v/>
      </c>
      <c r="C852" s="29"/>
      <c r="D852" s="29"/>
      <c r="E852" s="29" t="b">
        <v>0</v>
      </c>
      <c r="F852" s="29"/>
      <c r="G852" s="21" t="str">
        <f>IFERROR(VLOOKUP(A852, 'Price Sheet'!$A$2:$B1010, 2, false), "")</f>
        <v/>
      </c>
      <c r="J852" s="21" t="str">
        <f t="shared" si="3"/>
        <v/>
      </c>
      <c r="K852" s="29"/>
      <c r="L852" s="29" t="b">
        <v>0</v>
      </c>
      <c r="M852" s="29"/>
      <c r="N852" s="21" t="str">
        <f>IFERROR(VLOOKUP(I852, 'Price Sheet'!$A$2:$B1010, 2, false), "")</f>
        <v/>
      </c>
    </row>
    <row r="853">
      <c r="B853" s="21" t="str">
        <f t="shared" si="4"/>
        <v/>
      </c>
      <c r="C853" s="29"/>
      <c r="D853" s="29"/>
      <c r="E853" s="29" t="b">
        <v>0</v>
      </c>
      <c r="F853" s="29"/>
      <c r="G853" s="21" t="str">
        <f>IFERROR(VLOOKUP(A853, 'Price Sheet'!$A$2:$B1010, 2, false), "")</f>
        <v/>
      </c>
      <c r="J853" s="21" t="str">
        <f t="shared" si="3"/>
        <v/>
      </c>
      <c r="K853" s="29"/>
      <c r="L853" s="29" t="b">
        <v>0</v>
      </c>
      <c r="M853" s="29"/>
      <c r="N853" s="21" t="str">
        <f>IFERROR(VLOOKUP(I853, 'Price Sheet'!$A$2:$B1010, 2, false), "")</f>
        <v/>
      </c>
    </row>
    <row r="854">
      <c r="B854" s="21" t="str">
        <f t="shared" si="4"/>
        <v/>
      </c>
      <c r="C854" s="29"/>
      <c r="D854" s="29"/>
      <c r="E854" s="29" t="b">
        <v>0</v>
      </c>
      <c r="F854" s="29"/>
      <c r="G854" s="21" t="str">
        <f>IFERROR(VLOOKUP(A854, 'Price Sheet'!$A$2:$B1010, 2, false), "")</f>
        <v/>
      </c>
      <c r="J854" s="21" t="str">
        <f t="shared" si="3"/>
        <v/>
      </c>
      <c r="K854" s="29"/>
      <c r="L854" s="29" t="b">
        <v>0</v>
      </c>
      <c r="M854" s="29"/>
      <c r="N854" s="21" t="str">
        <f>IFERROR(VLOOKUP(I854, 'Price Sheet'!$A$2:$B1010, 2, false), "")</f>
        <v/>
      </c>
    </row>
    <row r="855">
      <c r="B855" s="21" t="str">
        <f t="shared" si="4"/>
        <v/>
      </c>
      <c r="C855" s="29"/>
      <c r="D855" s="29"/>
      <c r="E855" s="29" t="b">
        <v>0</v>
      </c>
      <c r="F855" s="29"/>
      <c r="G855" s="21" t="str">
        <f>IFERROR(VLOOKUP(A855, 'Price Sheet'!$A$2:$B1010, 2, false), "")</f>
        <v/>
      </c>
      <c r="J855" s="21" t="str">
        <f t="shared" si="3"/>
        <v/>
      </c>
      <c r="K855" s="29"/>
      <c r="L855" s="29" t="b">
        <v>0</v>
      </c>
      <c r="M855" s="29"/>
      <c r="N855" s="21" t="str">
        <f>IFERROR(VLOOKUP(I855, 'Price Sheet'!$A$2:$B1010, 2, false), "")</f>
        <v/>
      </c>
    </row>
    <row r="856">
      <c r="B856" s="21" t="str">
        <f t="shared" si="4"/>
        <v/>
      </c>
      <c r="C856" s="29"/>
      <c r="D856" s="29"/>
      <c r="E856" s="29" t="b">
        <v>0</v>
      </c>
      <c r="F856" s="29"/>
      <c r="G856" s="21" t="str">
        <f>IFERROR(VLOOKUP(A856, 'Price Sheet'!$A$2:$B1010, 2, false), "")</f>
        <v/>
      </c>
      <c r="J856" s="21" t="str">
        <f t="shared" si="3"/>
        <v/>
      </c>
      <c r="K856" s="29"/>
      <c r="L856" s="29" t="b">
        <v>0</v>
      </c>
      <c r="M856" s="29"/>
      <c r="N856" s="21" t="str">
        <f>IFERROR(VLOOKUP(I856, 'Price Sheet'!$A$2:$B1010, 2, false), "")</f>
        <v/>
      </c>
    </row>
    <row r="857">
      <c r="B857" s="21" t="str">
        <f t="shared" si="4"/>
        <v/>
      </c>
      <c r="C857" s="29"/>
      <c r="D857" s="29"/>
      <c r="E857" s="29" t="b">
        <v>0</v>
      </c>
      <c r="F857" s="29"/>
      <c r="G857" s="21" t="str">
        <f>IFERROR(VLOOKUP(A857, 'Price Sheet'!$A$2:$B1010, 2, false), "")</f>
        <v/>
      </c>
      <c r="J857" s="21" t="str">
        <f t="shared" si="3"/>
        <v/>
      </c>
      <c r="K857" s="29"/>
      <c r="L857" s="29" t="b">
        <v>0</v>
      </c>
      <c r="M857" s="29"/>
      <c r="N857" s="21" t="str">
        <f>IFERROR(VLOOKUP(I857, 'Price Sheet'!$A$2:$B1010, 2, false), "")</f>
        <v/>
      </c>
    </row>
    <row r="858">
      <c r="B858" s="21" t="str">
        <f t="shared" si="4"/>
        <v/>
      </c>
      <c r="C858" s="29"/>
      <c r="D858" s="29"/>
      <c r="E858" s="29" t="b">
        <v>0</v>
      </c>
      <c r="F858" s="29"/>
      <c r="G858" s="21" t="str">
        <f>IFERROR(VLOOKUP(A858, 'Price Sheet'!$A$2:$B1010, 2, false), "")</f>
        <v/>
      </c>
      <c r="J858" s="21" t="str">
        <f t="shared" si="3"/>
        <v/>
      </c>
      <c r="K858" s="29"/>
      <c r="L858" s="29" t="b">
        <v>0</v>
      </c>
      <c r="M858" s="29"/>
      <c r="N858" s="21" t="str">
        <f>IFERROR(VLOOKUP(I858, 'Price Sheet'!$A$2:$B1010, 2, false), "")</f>
        <v/>
      </c>
    </row>
    <row r="859">
      <c r="B859" s="21" t="str">
        <f t="shared" si="4"/>
        <v/>
      </c>
      <c r="C859" s="29"/>
      <c r="D859" s="29"/>
      <c r="E859" s="29" t="b">
        <v>0</v>
      </c>
      <c r="F859" s="29"/>
      <c r="G859" s="21" t="str">
        <f>IFERROR(VLOOKUP(A859, 'Price Sheet'!$A$2:$B1010, 2, false), "")</f>
        <v/>
      </c>
      <c r="J859" s="21" t="str">
        <f t="shared" si="3"/>
        <v/>
      </c>
      <c r="K859" s="29"/>
      <c r="L859" s="29" t="b">
        <v>0</v>
      </c>
      <c r="M859" s="29"/>
      <c r="N859" s="21" t="str">
        <f>IFERROR(VLOOKUP(I859, 'Price Sheet'!$A$2:$B1010, 2, false), "")</f>
        <v/>
      </c>
    </row>
    <row r="860">
      <c r="B860" s="21" t="str">
        <f t="shared" si="4"/>
        <v/>
      </c>
      <c r="C860" s="29"/>
      <c r="D860" s="29"/>
      <c r="E860" s="29" t="b">
        <v>0</v>
      </c>
      <c r="F860" s="29"/>
      <c r="G860" s="21" t="str">
        <f>IFERROR(VLOOKUP(A860, 'Price Sheet'!$A$2:$B1010, 2, false), "")</f>
        <v/>
      </c>
      <c r="J860" s="21" t="str">
        <f t="shared" si="3"/>
        <v/>
      </c>
      <c r="K860" s="29"/>
      <c r="L860" s="29" t="b">
        <v>0</v>
      </c>
      <c r="M860" s="29"/>
      <c r="N860" s="21" t="str">
        <f>IFERROR(VLOOKUP(I860, 'Price Sheet'!$A$2:$B1010, 2, false), "")</f>
        <v/>
      </c>
    </row>
    <row r="861">
      <c r="B861" s="21" t="str">
        <f t="shared" si="4"/>
        <v/>
      </c>
      <c r="C861" s="29"/>
      <c r="D861" s="29"/>
      <c r="E861" s="29" t="b">
        <v>0</v>
      </c>
      <c r="F861" s="29"/>
      <c r="G861" s="21" t="str">
        <f>IFERROR(VLOOKUP(A861, 'Price Sheet'!$A$2:$B1010, 2, false), "")</f>
        <v/>
      </c>
      <c r="J861" s="21" t="str">
        <f t="shared" si="3"/>
        <v/>
      </c>
      <c r="K861" s="29"/>
      <c r="L861" s="29" t="b">
        <v>0</v>
      </c>
      <c r="M861" s="29"/>
      <c r="N861" s="21" t="str">
        <f>IFERROR(VLOOKUP(I861, 'Price Sheet'!$A$2:$B1010, 2, false), "")</f>
        <v/>
      </c>
    </row>
    <row r="862">
      <c r="B862" s="21" t="str">
        <f t="shared" si="4"/>
        <v/>
      </c>
      <c r="C862" s="29"/>
      <c r="D862" s="29"/>
      <c r="E862" s="29" t="b">
        <v>0</v>
      </c>
      <c r="F862" s="29"/>
      <c r="G862" s="21" t="str">
        <f>IFERROR(VLOOKUP(A862, 'Price Sheet'!$A$2:$B1010, 2, false), "")</f>
        <v/>
      </c>
      <c r="J862" s="21" t="str">
        <f t="shared" si="3"/>
        <v/>
      </c>
      <c r="K862" s="29"/>
      <c r="L862" s="29" t="b">
        <v>0</v>
      </c>
      <c r="M862" s="29"/>
      <c r="N862" s="21" t="str">
        <f>IFERROR(VLOOKUP(I862, 'Price Sheet'!$A$2:$B1010, 2, false), "")</f>
        <v/>
      </c>
    </row>
    <row r="863">
      <c r="B863" s="21" t="str">
        <f t="shared" si="4"/>
        <v/>
      </c>
      <c r="C863" s="29"/>
      <c r="D863" s="29"/>
      <c r="E863" s="29" t="b">
        <v>0</v>
      </c>
      <c r="F863" s="29"/>
      <c r="G863" s="21" t="str">
        <f>IFERROR(VLOOKUP(A863, 'Price Sheet'!$A$2:$B1010, 2, false), "")</f>
        <v/>
      </c>
      <c r="J863" s="21" t="str">
        <f t="shared" si="3"/>
        <v/>
      </c>
      <c r="K863" s="29"/>
      <c r="L863" s="29" t="b">
        <v>0</v>
      </c>
      <c r="M863" s="29"/>
      <c r="N863" s="21" t="str">
        <f>IFERROR(VLOOKUP(I863, 'Price Sheet'!$A$2:$B1010, 2, false), "")</f>
        <v/>
      </c>
    </row>
    <row r="864">
      <c r="B864" s="21" t="str">
        <f t="shared" si="4"/>
        <v/>
      </c>
      <c r="C864" s="29"/>
      <c r="D864" s="29"/>
      <c r="E864" s="29" t="b">
        <v>0</v>
      </c>
      <c r="F864" s="29"/>
      <c r="G864" s="21" t="str">
        <f>IFERROR(VLOOKUP(A864, 'Price Sheet'!$A$2:$B1010, 2, false), "")</f>
        <v/>
      </c>
      <c r="J864" s="21" t="str">
        <f t="shared" si="3"/>
        <v/>
      </c>
      <c r="K864" s="29"/>
      <c r="L864" s="29" t="b">
        <v>0</v>
      </c>
      <c r="M864" s="29"/>
      <c r="N864" s="21" t="str">
        <f>IFERROR(VLOOKUP(I864, 'Price Sheet'!$A$2:$B1010, 2, false), "")</f>
        <v/>
      </c>
    </row>
    <row r="865">
      <c r="B865" s="21" t="str">
        <f t="shared" si="4"/>
        <v/>
      </c>
      <c r="C865" s="29"/>
      <c r="D865" s="29"/>
      <c r="E865" s="29" t="b">
        <v>0</v>
      </c>
      <c r="F865" s="29"/>
      <c r="G865" s="21" t="str">
        <f>IFERROR(VLOOKUP(A865, 'Price Sheet'!$A$2:$B1010, 2, false), "")</f>
        <v/>
      </c>
      <c r="J865" s="21" t="str">
        <f t="shared" si="3"/>
        <v/>
      </c>
      <c r="K865" s="29"/>
      <c r="L865" s="29" t="b">
        <v>0</v>
      </c>
      <c r="M865" s="29"/>
      <c r="N865" s="21" t="str">
        <f>IFERROR(VLOOKUP(I865, 'Price Sheet'!$A$2:$B1010, 2, false), "")</f>
        <v/>
      </c>
    </row>
    <row r="866">
      <c r="B866" s="21" t="str">
        <f t="shared" si="4"/>
        <v/>
      </c>
      <c r="C866" s="29"/>
      <c r="D866" s="29"/>
      <c r="E866" s="29" t="b">
        <v>0</v>
      </c>
      <c r="F866" s="29"/>
      <c r="G866" s="21" t="str">
        <f>IFERROR(VLOOKUP(A866, 'Price Sheet'!$A$2:$B1010, 2, false), "")</f>
        <v/>
      </c>
      <c r="J866" s="21" t="str">
        <f t="shared" si="3"/>
        <v/>
      </c>
      <c r="K866" s="29"/>
      <c r="L866" s="29" t="b">
        <v>0</v>
      </c>
      <c r="M866" s="29"/>
      <c r="N866" s="21" t="str">
        <f>IFERROR(VLOOKUP(I866, 'Price Sheet'!$A$2:$B1010, 2, false), "")</f>
        <v/>
      </c>
    </row>
    <row r="867">
      <c r="B867" s="21" t="str">
        <f t="shared" si="4"/>
        <v/>
      </c>
      <c r="C867" s="29"/>
      <c r="D867" s="29"/>
      <c r="E867" s="29" t="b">
        <v>0</v>
      </c>
      <c r="F867" s="29"/>
      <c r="G867" s="21" t="str">
        <f>IFERROR(VLOOKUP(A867, 'Price Sheet'!$A$2:$B1010, 2, false), "")</f>
        <v/>
      </c>
      <c r="J867" s="21" t="str">
        <f t="shared" si="3"/>
        <v/>
      </c>
      <c r="K867" s="29"/>
      <c r="L867" s="29" t="b">
        <v>0</v>
      </c>
      <c r="M867" s="29"/>
      <c r="N867" s="21" t="str">
        <f>IFERROR(VLOOKUP(I867, 'Price Sheet'!$A$2:$B1010, 2, false), "")</f>
        <v/>
      </c>
    </row>
    <row r="868">
      <c r="B868" s="21" t="str">
        <f t="shared" si="4"/>
        <v/>
      </c>
      <c r="C868" s="29"/>
      <c r="D868" s="29"/>
      <c r="E868" s="29" t="b">
        <v>0</v>
      </c>
      <c r="F868" s="29"/>
      <c r="G868" s="21" t="str">
        <f>IFERROR(VLOOKUP(A868, 'Price Sheet'!$A$2:$B1010, 2, false), "")</f>
        <v/>
      </c>
      <c r="J868" s="21" t="str">
        <f t="shared" si="3"/>
        <v/>
      </c>
      <c r="K868" s="29"/>
      <c r="L868" s="29" t="b">
        <v>0</v>
      </c>
      <c r="M868" s="29"/>
      <c r="N868" s="21" t="str">
        <f>IFERROR(VLOOKUP(I868, 'Price Sheet'!$A$2:$B1010, 2, false), "")</f>
        <v/>
      </c>
    </row>
    <row r="869">
      <c r="B869" s="21" t="str">
        <f t="shared" si="4"/>
        <v/>
      </c>
      <c r="C869" s="29"/>
      <c r="D869" s="29"/>
      <c r="E869" s="29" t="b">
        <v>0</v>
      </c>
      <c r="F869" s="29"/>
      <c r="G869" s="21" t="str">
        <f>IFERROR(VLOOKUP(A869, 'Price Sheet'!$A$2:$B1010, 2, false), "")</f>
        <v/>
      </c>
      <c r="J869" s="21" t="str">
        <f t="shared" si="3"/>
        <v/>
      </c>
      <c r="K869" s="29"/>
      <c r="L869" s="29" t="b">
        <v>0</v>
      </c>
      <c r="M869" s="29"/>
      <c r="N869" s="21" t="str">
        <f>IFERROR(VLOOKUP(I869, 'Price Sheet'!$A$2:$B1010, 2, false), "")</f>
        <v/>
      </c>
    </row>
    <row r="870">
      <c r="B870" s="21" t="str">
        <f t="shared" si="4"/>
        <v/>
      </c>
      <c r="C870" s="29"/>
      <c r="D870" s="29"/>
      <c r="E870" s="29" t="b">
        <v>0</v>
      </c>
      <c r="F870" s="29"/>
      <c r="G870" s="21" t="str">
        <f>IFERROR(VLOOKUP(A870, 'Price Sheet'!$A$2:$B1010, 2, false), "")</f>
        <v/>
      </c>
      <c r="J870" s="21" t="str">
        <f t="shared" si="3"/>
        <v/>
      </c>
      <c r="K870" s="29"/>
      <c r="L870" s="29" t="b">
        <v>0</v>
      </c>
      <c r="M870" s="29"/>
      <c r="N870" s="21" t="str">
        <f>IFERROR(VLOOKUP(I870, 'Price Sheet'!$A$2:$B1010, 2, false), "")</f>
        <v/>
      </c>
    </row>
    <row r="871">
      <c r="B871" s="21" t="str">
        <f t="shared" si="4"/>
        <v/>
      </c>
      <c r="C871" s="29"/>
      <c r="D871" s="29"/>
      <c r="E871" s="29" t="b">
        <v>0</v>
      </c>
      <c r="F871" s="29"/>
      <c r="G871" s="21" t="str">
        <f>IFERROR(VLOOKUP(A871, 'Price Sheet'!$A$2:$B1010, 2, false), "")</f>
        <v/>
      </c>
      <c r="J871" s="21" t="str">
        <f t="shared" si="3"/>
        <v/>
      </c>
      <c r="K871" s="29"/>
      <c r="L871" s="29" t="b">
        <v>0</v>
      </c>
      <c r="M871" s="29"/>
      <c r="N871" s="21" t="str">
        <f>IFERROR(VLOOKUP(I871, 'Price Sheet'!$A$2:$B1010, 2, false), "")</f>
        <v/>
      </c>
    </row>
    <row r="872">
      <c r="B872" s="21" t="str">
        <f t="shared" si="4"/>
        <v/>
      </c>
      <c r="C872" s="29"/>
      <c r="D872" s="29"/>
      <c r="E872" s="29" t="b">
        <v>0</v>
      </c>
      <c r="F872" s="29"/>
      <c r="G872" s="21" t="str">
        <f>IFERROR(VLOOKUP(A872, 'Price Sheet'!$A$2:$B1010, 2, false), "")</f>
        <v/>
      </c>
      <c r="J872" s="21" t="str">
        <f t="shared" si="3"/>
        <v/>
      </c>
      <c r="K872" s="29"/>
      <c r="L872" s="29" t="b">
        <v>0</v>
      </c>
      <c r="M872" s="29"/>
      <c r="N872" s="21" t="str">
        <f>IFERROR(VLOOKUP(I872, 'Price Sheet'!$A$2:$B1010, 2, false), "")</f>
        <v/>
      </c>
    </row>
    <row r="873">
      <c r="B873" s="21" t="str">
        <f t="shared" si="4"/>
        <v/>
      </c>
      <c r="C873" s="29"/>
      <c r="D873" s="29"/>
      <c r="E873" s="29" t="b">
        <v>0</v>
      </c>
      <c r="F873" s="29"/>
      <c r="G873" s="21" t="str">
        <f>IFERROR(VLOOKUP(A873, 'Price Sheet'!$A$2:$B1010, 2, false), "")</f>
        <v/>
      </c>
      <c r="J873" s="21" t="str">
        <f t="shared" si="3"/>
        <v/>
      </c>
      <c r="K873" s="29"/>
      <c r="L873" s="29" t="b">
        <v>0</v>
      </c>
      <c r="M873" s="29"/>
      <c r="N873" s="21" t="str">
        <f>IFERROR(VLOOKUP(I873, 'Price Sheet'!$A$2:$B1010, 2, false), "")</f>
        <v/>
      </c>
    </row>
    <row r="874">
      <c r="B874" s="21" t="str">
        <f t="shared" si="4"/>
        <v/>
      </c>
      <c r="C874" s="29"/>
      <c r="D874" s="29"/>
      <c r="E874" s="29" t="b">
        <v>0</v>
      </c>
      <c r="F874" s="29"/>
      <c r="G874" s="21" t="str">
        <f>IFERROR(VLOOKUP(A874, 'Price Sheet'!$A$2:$B1010, 2, false), "")</f>
        <v/>
      </c>
      <c r="J874" s="21" t="str">
        <f t="shared" si="3"/>
        <v/>
      </c>
      <c r="K874" s="29"/>
      <c r="L874" s="29" t="b">
        <v>0</v>
      </c>
      <c r="M874" s="29"/>
      <c r="N874" s="21" t="str">
        <f>IFERROR(VLOOKUP(I874, 'Price Sheet'!$A$2:$B1010, 2, false), "")</f>
        <v/>
      </c>
    </row>
    <row r="875">
      <c r="B875" s="21" t="str">
        <f t="shared" si="4"/>
        <v/>
      </c>
      <c r="C875" s="29"/>
      <c r="D875" s="29"/>
      <c r="E875" s="29" t="b">
        <v>0</v>
      </c>
      <c r="F875" s="29"/>
      <c r="G875" s="21" t="str">
        <f>IFERROR(VLOOKUP(A875, 'Price Sheet'!$A$2:$B1010, 2, false), "")</f>
        <v/>
      </c>
      <c r="J875" s="21" t="str">
        <f t="shared" si="3"/>
        <v/>
      </c>
      <c r="K875" s="29"/>
      <c r="L875" s="29" t="b">
        <v>0</v>
      </c>
      <c r="M875" s="29"/>
      <c r="N875" s="21" t="str">
        <f>IFERROR(VLOOKUP(I875, 'Price Sheet'!$A$2:$B1010, 2, false), "")</f>
        <v/>
      </c>
    </row>
    <row r="876">
      <c r="B876" s="21" t="str">
        <f t="shared" si="4"/>
        <v/>
      </c>
      <c r="C876" s="29"/>
      <c r="D876" s="29"/>
      <c r="E876" s="29" t="b">
        <v>0</v>
      </c>
      <c r="F876" s="29"/>
      <c r="G876" s="21" t="str">
        <f>IFERROR(VLOOKUP(A876, 'Price Sheet'!$A$2:$B1010, 2, false), "")</f>
        <v/>
      </c>
      <c r="J876" s="21" t="str">
        <f t="shared" si="3"/>
        <v/>
      </c>
      <c r="K876" s="29"/>
      <c r="L876" s="29" t="b">
        <v>0</v>
      </c>
      <c r="M876" s="29"/>
      <c r="N876" s="21" t="str">
        <f>IFERROR(VLOOKUP(I876, 'Price Sheet'!$A$2:$B1010, 2, false), "")</f>
        <v/>
      </c>
    </row>
    <row r="877">
      <c r="B877" s="21" t="str">
        <f t="shared" si="4"/>
        <v/>
      </c>
      <c r="C877" s="29"/>
      <c r="D877" s="29"/>
      <c r="E877" s="29" t="b">
        <v>0</v>
      </c>
      <c r="F877" s="29"/>
      <c r="G877" s="21" t="str">
        <f>IFERROR(VLOOKUP(A877, 'Price Sheet'!$A$2:$B1010, 2, false), "")</f>
        <v/>
      </c>
      <c r="J877" s="21" t="str">
        <f t="shared" si="3"/>
        <v/>
      </c>
      <c r="K877" s="29"/>
      <c r="L877" s="29" t="b">
        <v>0</v>
      </c>
      <c r="M877" s="29"/>
      <c r="N877" s="21" t="str">
        <f>IFERROR(VLOOKUP(I877, 'Price Sheet'!$A$2:$B1010, 2, false), "")</f>
        <v/>
      </c>
    </row>
    <row r="878">
      <c r="B878" s="21" t="str">
        <f t="shared" si="4"/>
        <v/>
      </c>
      <c r="C878" s="29"/>
      <c r="D878" s="29"/>
      <c r="E878" s="29" t="b">
        <v>0</v>
      </c>
      <c r="F878" s="29"/>
      <c r="G878" s="21" t="str">
        <f>IFERROR(VLOOKUP(A878, 'Price Sheet'!$A$2:$B1010, 2, false), "")</f>
        <v/>
      </c>
      <c r="J878" s="21" t="str">
        <f t="shared" si="3"/>
        <v/>
      </c>
      <c r="K878" s="29"/>
      <c r="L878" s="29" t="b">
        <v>0</v>
      </c>
      <c r="M878" s="29"/>
      <c r="N878" s="21" t="str">
        <f>IFERROR(VLOOKUP(I878, 'Price Sheet'!$A$2:$B1010, 2, false), "")</f>
        <v/>
      </c>
    </row>
    <row r="879">
      <c r="B879" s="21" t="str">
        <f t="shared" si="4"/>
        <v/>
      </c>
      <c r="C879" s="29"/>
      <c r="D879" s="29"/>
      <c r="E879" s="29" t="b">
        <v>0</v>
      </c>
      <c r="F879" s="29"/>
      <c r="G879" s="21" t="str">
        <f>IFERROR(VLOOKUP(A879, 'Price Sheet'!$A$2:$B1010, 2, false), "")</f>
        <v/>
      </c>
      <c r="J879" s="21" t="str">
        <f t="shared" si="3"/>
        <v/>
      </c>
      <c r="K879" s="29"/>
      <c r="L879" s="29" t="b">
        <v>0</v>
      </c>
      <c r="M879" s="29"/>
      <c r="N879" s="21" t="str">
        <f>IFERROR(VLOOKUP(I879, 'Price Sheet'!$A$2:$B1010, 2, false), "")</f>
        <v/>
      </c>
    </row>
    <row r="880">
      <c r="B880" s="21" t="str">
        <f t="shared" si="4"/>
        <v/>
      </c>
      <c r="C880" s="29"/>
      <c r="D880" s="29"/>
      <c r="E880" s="29" t="b">
        <v>0</v>
      </c>
      <c r="F880" s="29"/>
      <c r="G880" s="21" t="str">
        <f>IFERROR(VLOOKUP(A880, 'Price Sheet'!$A$2:$B1010, 2, false), "")</f>
        <v/>
      </c>
      <c r="J880" s="21" t="str">
        <f t="shared" si="3"/>
        <v/>
      </c>
      <c r="K880" s="29"/>
      <c r="L880" s="29" t="b">
        <v>0</v>
      </c>
      <c r="M880" s="29"/>
      <c r="N880" s="21" t="str">
        <f>IFERROR(VLOOKUP(I880, 'Price Sheet'!$A$2:$B1010, 2, false), "")</f>
        <v/>
      </c>
    </row>
    <row r="881">
      <c r="B881" s="21" t="str">
        <f t="shared" si="4"/>
        <v/>
      </c>
      <c r="C881" s="29"/>
      <c r="D881" s="29"/>
      <c r="E881" s="29" t="b">
        <v>0</v>
      </c>
      <c r="F881" s="29"/>
      <c r="G881" s="21" t="str">
        <f>IFERROR(VLOOKUP(A881, 'Price Sheet'!$A$2:$B1010, 2, false), "")</f>
        <v/>
      </c>
      <c r="J881" s="21" t="str">
        <f t="shared" si="3"/>
        <v/>
      </c>
      <c r="K881" s="29"/>
      <c r="L881" s="29" t="b">
        <v>0</v>
      </c>
      <c r="M881" s="29"/>
      <c r="N881" s="21" t="str">
        <f>IFERROR(VLOOKUP(I881, 'Price Sheet'!$A$2:$B1010, 2, false), "")</f>
        <v/>
      </c>
    </row>
    <row r="882">
      <c r="B882" s="21" t="str">
        <f t="shared" si="4"/>
        <v/>
      </c>
      <c r="C882" s="29"/>
      <c r="D882" s="29"/>
      <c r="E882" s="29" t="b">
        <v>0</v>
      </c>
      <c r="F882" s="29"/>
      <c r="G882" s="21" t="str">
        <f>IFERROR(VLOOKUP(A882, 'Price Sheet'!$A$2:$B1010, 2, false), "")</f>
        <v/>
      </c>
      <c r="J882" s="21" t="str">
        <f t="shared" si="3"/>
        <v/>
      </c>
      <c r="K882" s="29"/>
      <c r="L882" s="29" t="b">
        <v>0</v>
      </c>
      <c r="M882" s="29"/>
      <c r="N882" s="21" t="str">
        <f>IFERROR(VLOOKUP(I882, 'Price Sheet'!$A$2:$B1010, 2, false), "")</f>
        <v/>
      </c>
    </row>
    <row r="883">
      <c r="B883" s="21" t="str">
        <f t="shared" si="4"/>
        <v/>
      </c>
      <c r="C883" s="29"/>
      <c r="D883" s="29"/>
      <c r="E883" s="29" t="b">
        <v>0</v>
      </c>
      <c r="F883" s="29"/>
      <c r="G883" s="21" t="str">
        <f>IFERROR(VLOOKUP(A883, 'Price Sheet'!$A$2:$B1010, 2, false), "")</f>
        <v/>
      </c>
      <c r="J883" s="21" t="str">
        <f t="shared" si="3"/>
        <v/>
      </c>
      <c r="K883" s="29"/>
      <c r="L883" s="29" t="b">
        <v>0</v>
      </c>
      <c r="M883" s="29"/>
      <c r="N883" s="21" t="str">
        <f>IFERROR(VLOOKUP(I883, 'Price Sheet'!$A$2:$B1010, 2, false), "")</f>
        <v/>
      </c>
    </row>
    <row r="884">
      <c r="B884" s="21" t="str">
        <f t="shared" si="4"/>
        <v/>
      </c>
      <c r="C884" s="29"/>
      <c r="D884" s="29"/>
      <c r="E884" s="29" t="b">
        <v>0</v>
      </c>
      <c r="F884" s="29"/>
      <c r="G884" s="21" t="str">
        <f>IFERROR(VLOOKUP(A884, 'Price Sheet'!$A$2:$B1010, 2, false), "")</f>
        <v/>
      </c>
      <c r="J884" s="21" t="str">
        <f t="shared" si="3"/>
        <v/>
      </c>
      <c r="K884" s="29"/>
      <c r="L884" s="29" t="b">
        <v>0</v>
      </c>
      <c r="M884" s="29"/>
      <c r="N884" s="21" t="str">
        <f>IFERROR(VLOOKUP(I884, 'Price Sheet'!$A$2:$B1010, 2, false), "")</f>
        <v/>
      </c>
    </row>
    <row r="885">
      <c r="B885" s="21" t="str">
        <f t="shared" si="4"/>
        <v/>
      </c>
      <c r="C885" s="29"/>
      <c r="D885" s="29"/>
      <c r="E885" s="29" t="b">
        <v>0</v>
      </c>
      <c r="F885" s="29"/>
      <c r="G885" s="21" t="str">
        <f>IFERROR(VLOOKUP(A885, 'Price Sheet'!$A$2:$B1010, 2, false), "")</f>
        <v/>
      </c>
      <c r="J885" s="21" t="str">
        <f t="shared" si="3"/>
        <v/>
      </c>
      <c r="K885" s="29"/>
      <c r="L885" s="29" t="b">
        <v>0</v>
      </c>
      <c r="M885" s="29"/>
      <c r="N885" s="21" t="str">
        <f>IFERROR(VLOOKUP(I885, 'Price Sheet'!$A$2:$B1010, 2, false), "")</f>
        <v/>
      </c>
    </row>
    <row r="886">
      <c r="B886" s="21" t="str">
        <f t="shared" si="4"/>
        <v/>
      </c>
      <c r="C886" s="29"/>
      <c r="D886" s="29"/>
      <c r="E886" s="29" t="b">
        <v>0</v>
      </c>
      <c r="F886" s="29"/>
      <c r="G886" s="21" t="str">
        <f>IFERROR(VLOOKUP(A886, 'Price Sheet'!$A$2:$B1010, 2, false), "")</f>
        <v/>
      </c>
      <c r="J886" s="21" t="str">
        <f t="shared" si="3"/>
        <v/>
      </c>
      <c r="K886" s="29"/>
      <c r="L886" s="29" t="b">
        <v>0</v>
      </c>
      <c r="M886" s="29"/>
      <c r="N886" s="21" t="str">
        <f>IFERROR(VLOOKUP(I886, 'Price Sheet'!$A$2:$B1010, 2, false), "")</f>
        <v/>
      </c>
    </row>
    <row r="887">
      <c r="B887" s="21" t="str">
        <f t="shared" si="4"/>
        <v/>
      </c>
      <c r="C887" s="29"/>
      <c r="D887" s="29"/>
      <c r="E887" s="29" t="b">
        <v>0</v>
      </c>
      <c r="F887" s="29"/>
      <c r="G887" s="21" t="str">
        <f>IFERROR(VLOOKUP(A887, 'Price Sheet'!$A$2:$B1010, 2, false), "")</f>
        <v/>
      </c>
      <c r="J887" s="21" t="str">
        <f t="shared" si="3"/>
        <v/>
      </c>
      <c r="K887" s="29"/>
      <c r="L887" s="29" t="b">
        <v>0</v>
      </c>
      <c r="M887" s="29"/>
      <c r="N887" s="21" t="str">
        <f>IFERROR(VLOOKUP(I887, 'Price Sheet'!$A$2:$B1010, 2, false), "")</f>
        <v/>
      </c>
    </row>
    <row r="888">
      <c r="B888" s="21" t="str">
        <f t="shared" si="4"/>
        <v/>
      </c>
      <c r="C888" s="29"/>
      <c r="D888" s="29"/>
      <c r="E888" s="29" t="b">
        <v>0</v>
      </c>
      <c r="F888" s="29"/>
      <c r="G888" s="21" t="str">
        <f>IFERROR(VLOOKUP(A888, 'Price Sheet'!$A$2:$B1010, 2, false), "")</f>
        <v/>
      </c>
      <c r="J888" s="21" t="str">
        <f t="shared" si="3"/>
        <v/>
      </c>
      <c r="K888" s="29"/>
      <c r="L888" s="29" t="b">
        <v>0</v>
      </c>
      <c r="M888" s="29"/>
      <c r="N888" s="21" t="str">
        <f>IFERROR(VLOOKUP(I888, 'Price Sheet'!$A$2:$B1010, 2, false), "")</f>
        <v/>
      </c>
    </row>
    <row r="889">
      <c r="B889" s="21" t="str">
        <f t="shared" si="4"/>
        <v/>
      </c>
      <c r="C889" s="29"/>
      <c r="D889" s="29"/>
      <c r="E889" s="29" t="b">
        <v>0</v>
      </c>
      <c r="F889" s="29"/>
      <c r="G889" s="21" t="str">
        <f>IFERROR(VLOOKUP(A889, 'Price Sheet'!$A$2:$B1010, 2, false), "")</f>
        <v/>
      </c>
      <c r="J889" s="21" t="str">
        <f t="shared" si="3"/>
        <v/>
      </c>
      <c r="K889" s="29"/>
      <c r="L889" s="29" t="b">
        <v>0</v>
      </c>
      <c r="M889" s="29"/>
      <c r="N889" s="21" t="str">
        <f>IFERROR(VLOOKUP(I889, 'Price Sheet'!$A$2:$B1010, 2, false), "")</f>
        <v/>
      </c>
    </row>
    <row r="890">
      <c r="B890" s="21" t="str">
        <f t="shared" si="4"/>
        <v/>
      </c>
      <c r="C890" s="29"/>
      <c r="D890" s="29"/>
      <c r="E890" s="29" t="b">
        <v>0</v>
      </c>
      <c r="F890" s="29"/>
      <c r="G890" s="21" t="str">
        <f>IFERROR(VLOOKUP(A890, 'Price Sheet'!$A$2:$B1010, 2, false), "")</f>
        <v/>
      </c>
      <c r="J890" s="21" t="str">
        <f t="shared" si="3"/>
        <v/>
      </c>
      <c r="K890" s="29"/>
      <c r="L890" s="29" t="b">
        <v>0</v>
      </c>
      <c r="M890" s="29"/>
      <c r="N890" s="21" t="str">
        <f>IFERROR(VLOOKUP(I890, 'Price Sheet'!$A$2:$B1010, 2, false), "")</f>
        <v/>
      </c>
    </row>
    <row r="891">
      <c r="B891" s="21" t="str">
        <f t="shared" si="4"/>
        <v/>
      </c>
      <c r="C891" s="29"/>
      <c r="D891" s="29"/>
      <c r="E891" s="29" t="b">
        <v>0</v>
      </c>
      <c r="F891" s="29"/>
      <c r="G891" s="21" t="str">
        <f>IFERROR(VLOOKUP(A891, 'Price Sheet'!$A$2:$B1010, 2, false), "")</f>
        <v/>
      </c>
      <c r="J891" s="21" t="str">
        <f t="shared" si="3"/>
        <v/>
      </c>
      <c r="K891" s="29"/>
      <c r="L891" s="29" t="b">
        <v>0</v>
      </c>
      <c r="M891" s="29"/>
      <c r="N891" s="21" t="str">
        <f>IFERROR(VLOOKUP(I891, 'Price Sheet'!$A$2:$B1010, 2, false), "")</f>
        <v/>
      </c>
    </row>
    <row r="892">
      <c r="B892" s="21" t="str">
        <f t="shared" si="4"/>
        <v/>
      </c>
      <c r="C892" s="29"/>
      <c r="D892" s="29"/>
      <c r="E892" s="29" t="b">
        <v>0</v>
      </c>
      <c r="F892" s="29"/>
      <c r="G892" s="21" t="str">
        <f>IFERROR(VLOOKUP(A892, 'Price Sheet'!$A$2:$B1010, 2, false), "")</f>
        <v/>
      </c>
      <c r="J892" s="21" t="str">
        <f t="shared" si="3"/>
        <v/>
      </c>
      <c r="K892" s="29"/>
      <c r="L892" s="29" t="b">
        <v>0</v>
      </c>
      <c r="M892" s="29"/>
      <c r="N892" s="21" t="str">
        <f>IFERROR(VLOOKUP(I892, 'Price Sheet'!$A$2:$B1010, 2, false), "")</f>
        <v/>
      </c>
    </row>
    <row r="893">
      <c r="B893" s="21" t="str">
        <f t="shared" si="4"/>
        <v/>
      </c>
      <c r="C893" s="29"/>
      <c r="D893" s="29"/>
      <c r="E893" s="29" t="b">
        <v>0</v>
      </c>
      <c r="F893" s="29"/>
      <c r="G893" s="21" t="str">
        <f>IFERROR(VLOOKUP(A893, 'Price Sheet'!$A$2:$B1010, 2, false), "")</f>
        <v/>
      </c>
      <c r="J893" s="21" t="str">
        <f t="shared" si="3"/>
        <v/>
      </c>
      <c r="K893" s="29"/>
      <c r="L893" s="29" t="b">
        <v>0</v>
      </c>
      <c r="M893" s="29"/>
      <c r="N893" s="21" t="str">
        <f>IFERROR(VLOOKUP(I893, 'Price Sheet'!$A$2:$B1010, 2, false), "")</f>
        <v/>
      </c>
    </row>
    <row r="894">
      <c r="B894" s="21" t="str">
        <f t="shared" si="4"/>
        <v/>
      </c>
      <c r="C894" s="29"/>
      <c r="D894" s="29"/>
      <c r="E894" s="29" t="b">
        <v>0</v>
      </c>
      <c r="F894" s="29"/>
      <c r="G894" s="21" t="str">
        <f>IFERROR(VLOOKUP(A894, 'Price Sheet'!$A$2:$B1010, 2, false), "")</f>
        <v/>
      </c>
      <c r="J894" s="21" t="str">
        <f t="shared" si="3"/>
        <v/>
      </c>
      <c r="K894" s="29"/>
      <c r="L894" s="29" t="b">
        <v>0</v>
      </c>
      <c r="M894" s="29"/>
      <c r="N894" s="21" t="str">
        <f>IFERROR(VLOOKUP(I894, 'Price Sheet'!$A$2:$B1010, 2, false), "")</f>
        <v/>
      </c>
    </row>
    <row r="895">
      <c r="B895" s="21" t="str">
        <f t="shared" si="4"/>
        <v/>
      </c>
      <c r="C895" s="29"/>
      <c r="D895" s="29"/>
      <c r="E895" s="29" t="b">
        <v>0</v>
      </c>
      <c r="F895" s="29"/>
      <c r="G895" s="21" t="str">
        <f>IFERROR(VLOOKUP(A895, 'Price Sheet'!$A$2:$B1010, 2, false), "")</f>
        <v/>
      </c>
      <c r="J895" s="21" t="str">
        <f t="shared" si="3"/>
        <v/>
      </c>
      <c r="K895" s="29"/>
      <c r="L895" s="29" t="b">
        <v>0</v>
      </c>
      <c r="M895" s="29"/>
      <c r="N895" s="21" t="str">
        <f>IFERROR(VLOOKUP(I895, 'Price Sheet'!$A$2:$B1010, 2, false), "")</f>
        <v/>
      </c>
    </row>
    <row r="896">
      <c r="B896" s="21" t="str">
        <f t="shared" si="4"/>
        <v/>
      </c>
      <c r="C896" s="29"/>
      <c r="D896" s="29"/>
      <c r="E896" s="29" t="b">
        <v>0</v>
      </c>
      <c r="F896" s="29"/>
      <c r="G896" s="21" t="str">
        <f>IFERROR(VLOOKUP(A896, 'Price Sheet'!$A$2:$B1010, 2, false), "")</f>
        <v/>
      </c>
      <c r="J896" s="21" t="str">
        <f t="shared" si="3"/>
        <v/>
      </c>
      <c r="K896" s="29"/>
      <c r="L896" s="29" t="b">
        <v>0</v>
      </c>
      <c r="M896" s="29"/>
      <c r="N896" s="21" t="str">
        <f>IFERROR(VLOOKUP(I896, 'Price Sheet'!$A$2:$B1010, 2, false), "")</f>
        <v/>
      </c>
    </row>
    <row r="897">
      <c r="B897" s="21" t="str">
        <f t="shared" si="4"/>
        <v/>
      </c>
      <c r="C897" s="29"/>
      <c r="D897" s="29"/>
      <c r="E897" s="29" t="b">
        <v>0</v>
      </c>
      <c r="F897" s="29"/>
      <c r="G897" s="21" t="str">
        <f>IFERROR(VLOOKUP(A897, 'Price Sheet'!$A$2:$B1010, 2, false), "")</f>
        <v/>
      </c>
      <c r="J897" s="21" t="str">
        <f t="shared" si="3"/>
        <v/>
      </c>
      <c r="K897" s="29"/>
      <c r="L897" s="29" t="b">
        <v>0</v>
      </c>
      <c r="M897" s="29"/>
      <c r="N897" s="21" t="str">
        <f>IFERROR(VLOOKUP(I897, 'Price Sheet'!$A$2:$B1010, 2, false), "")</f>
        <v/>
      </c>
    </row>
    <row r="898">
      <c r="B898" s="21" t="str">
        <f t="shared" si="4"/>
        <v/>
      </c>
      <c r="C898" s="29"/>
      <c r="D898" s="29"/>
      <c r="E898" s="29" t="b">
        <v>0</v>
      </c>
      <c r="F898" s="29"/>
      <c r="G898" s="21" t="str">
        <f>IFERROR(VLOOKUP(A898, 'Price Sheet'!$A$2:$B1010, 2, false), "")</f>
        <v/>
      </c>
      <c r="J898" s="21" t="str">
        <f t="shared" si="3"/>
        <v/>
      </c>
      <c r="K898" s="29"/>
      <c r="L898" s="29" t="b">
        <v>0</v>
      </c>
      <c r="M898" s="29"/>
      <c r="N898" s="21" t="str">
        <f>IFERROR(VLOOKUP(I898, 'Price Sheet'!$A$2:$B1010, 2, false), "")</f>
        <v/>
      </c>
    </row>
    <row r="899">
      <c r="B899" s="21" t="str">
        <f t="shared" si="4"/>
        <v/>
      </c>
      <c r="C899" s="29"/>
      <c r="D899" s="29"/>
      <c r="E899" s="29" t="b">
        <v>0</v>
      </c>
      <c r="F899" s="29"/>
      <c r="G899" s="21" t="str">
        <f>IFERROR(VLOOKUP(A899, 'Price Sheet'!$A$2:$B1010, 2, false), "")</f>
        <v/>
      </c>
      <c r="J899" s="21" t="str">
        <f t="shared" si="3"/>
        <v/>
      </c>
      <c r="K899" s="29"/>
      <c r="L899" s="29" t="b">
        <v>0</v>
      </c>
      <c r="M899" s="29"/>
      <c r="N899" s="21" t="str">
        <f>IFERROR(VLOOKUP(I899, 'Price Sheet'!$A$2:$B1010, 2, false), "")</f>
        <v/>
      </c>
    </row>
    <row r="900">
      <c r="B900" s="21" t="str">
        <f t="shared" si="4"/>
        <v/>
      </c>
      <c r="C900" s="29"/>
      <c r="D900" s="29"/>
      <c r="E900" s="29" t="b">
        <v>0</v>
      </c>
      <c r="F900" s="29"/>
      <c r="G900" s="21" t="str">
        <f>IFERROR(VLOOKUP(A900, 'Price Sheet'!$A$2:$B1010, 2, false), "")</f>
        <v/>
      </c>
      <c r="J900" s="21" t="str">
        <f t="shared" si="3"/>
        <v/>
      </c>
      <c r="K900" s="29"/>
      <c r="L900" s="29" t="b">
        <v>0</v>
      </c>
      <c r="M900" s="29"/>
      <c r="N900" s="21" t="str">
        <f>IFERROR(VLOOKUP(I900, 'Price Sheet'!$A$2:$B1010, 2, false), "")</f>
        <v/>
      </c>
    </row>
    <row r="901">
      <c r="B901" s="21" t="str">
        <f t="shared" si="4"/>
        <v/>
      </c>
      <c r="C901" s="29"/>
      <c r="D901" s="29"/>
      <c r="E901" s="29" t="b">
        <v>0</v>
      </c>
      <c r="F901" s="29"/>
      <c r="G901" s="21" t="str">
        <f>IFERROR(VLOOKUP(A901, 'Price Sheet'!$A$2:$B1010, 2, false), "")</f>
        <v/>
      </c>
      <c r="J901" s="21" t="str">
        <f t="shared" si="3"/>
        <v/>
      </c>
      <c r="K901" s="29"/>
      <c r="L901" s="29" t="b">
        <v>0</v>
      </c>
      <c r="M901" s="29"/>
      <c r="N901" s="21" t="str">
        <f>IFERROR(VLOOKUP(I901, 'Price Sheet'!$A$2:$B1010, 2, false), "")</f>
        <v/>
      </c>
    </row>
    <row r="902">
      <c r="B902" s="21" t="str">
        <f t="shared" si="4"/>
        <v/>
      </c>
      <c r="C902" s="29"/>
      <c r="D902" s="29"/>
      <c r="E902" s="29" t="b">
        <v>0</v>
      </c>
      <c r="F902" s="29"/>
      <c r="G902" s="21" t="str">
        <f>IFERROR(VLOOKUP(A902, 'Price Sheet'!$A$2:$B1010, 2, false), "")</f>
        <v/>
      </c>
      <c r="J902" s="21" t="str">
        <f t="shared" si="3"/>
        <v/>
      </c>
      <c r="K902" s="29"/>
      <c r="L902" s="29" t="b">
        <v>0</v>
      </c>
      <c r="M902" s="29"/>
      <c r="N902" s="21" t="str">
        <f>IFERROR(VLOOKUP(I902, 'Price Sheet'!$A$2:$B1010, 2, false), "")</f>
        <v/>
      </c>
    </row>
    <row r="903">
      <c r="B903" s="21" t="str">
        <f t="shared" si="4"/>
        <v/>
      </c>
      <c r="C903" s="29"/>
      <c r="D903" s="29"/>
      <c r="E903" s="29" t="b">
        <v>0</v>
      </c>
      <c r="F903" s="29"/>
      <c r="G903" s="21" t="str">
        <f>IFERROR(VLOOKUP(A903, 'Price Sheet'!$A$2:$B1010, 2, false), "")</f>
        <v/>
      </c>
      <c r="J903" s="21" t="str">
        <f t="shared" si="3"/>
        <v/>
      </c>
      <c r="K903" s="29"/>
      <c r="L903" s="29" t="b">
        <v>0</v>
      </c>
      <c r="M903" s="29"/>
      <c r="N903" s="21" t="str">
        <f>IFERROR(VLOOKUP(I903, 'Price Sheet'!$A$2:$B1010, 2, false), "")</f>
        <v/>
      </c>
    </row>
    <row r="904">
      <c r="B904" s="21" t="str">
        <f t="shared" si="4"/>
        <v/>
      </c>
      <c r="C904" s="29"/>
      <c r="D904" s="29"/>
      <c r="E904" s="29" t="b">
        <v>0</v>
      </c>
      <c r="F904" s="29"/>
      <c r="G904" s="21" t="str">
        <f>IFERROR(VLOOKUP(A904, 'Price Sheet'!$A$2:$B1010, 2, false), "")</f>
        <v/>
      </c>
      <c r="J904" s="21" t="str">
        <f t="shared" si="3"/>
        <v/>
      </c>
      <c r="K904" s="29"/>
      <c r="L904" s="29" t="b">
        <v>0</v>
      </c>
      <c r="M904" s="29"/>
      <c r="N904" s="21" t="str">
        <f>IFERROR(VLOOKUP(I904, 'Price Sheet'!$A$2:$B1010, 2, false), "")</f>
        <v/>
      </c>
    </row>
    <row r="905">
      <c r="B905" s="21" t="str">
        <f t="shared" si="4"/>
        <v/>
      </c>
      <c r="C905" s="29"/>
      <c r="D905" s="29"/>
      <c r="E905" s="29" t="b">
        <v>0</v>
      </c>
      <c r="F905" s="29"/>
      <c r="G905" s="21" t="str">
        <f>IFERROR(VLOOKUP(A905, 'Price Sheet'!$A$2:$B1010, 2, false), "")</f>
        <v/>
      </c>
      <c r="J905" s="21" t="str">
        <f t="shared" si="3"/>
        <v/>
      </c>
      <c r="K905" s="29"/>
      <c r="L905" s="29" t="b">
        <v>0</v>
      </c>
      <c r="M905" s="29"/>
      <c r="N905" s="21" t="str">
        <f>IFERROR(VLOOKUP(I905, 'Price Sheet'!$A$2:$B1010, 2, false), "")</f>
        <v/>
      </c>
    </row>
    <row r="906">
      <c r="B906" s="21" t="str">
        <f t="shared" si="4"/>
        <v/>
      </c>
      <c r="C906" s="29"/>
      <c r="D906" s="29"/>
      <c r="E906" s="29" t="b">
        <v>0</v>
      </c>
      <c r="F906" s="29"/>
      <c r="G906" s="21" t="str">
        <f>IFERROR(VLOOKUP(A906, 'Price Sheet'!$A$2:$B1010, 2, false), "")</f>
        <v/>
      </c>
      <c r="J906" s="21" t="str">
        <f t="shared" si="3"/>
        <v/>
      </c>
      <c r="K906" s="29"/>
      <c r="L906" s="29" t="b">
        <v>0</v>
      </c>
      <c r="M906" s="29"/>
      <c r="N906" s="21" t="str">
        <f>IFERROR(VLOOKUP(I906, 'Price Sheet'!$A$2:$B1010, 2, false), "")</f>
        <v/>
      </c>
    </row>
    <row r="907">
      <c r="B907" s="21" t="str">
        <f t="shared" si="4"/>
        <v/>
      </c>
      <c r="C907" s="29"/>
      <c r="D907" s="29"/>
      <c r="E907" s="29" t="b">
        <v>0</v>
      </c>
      <c r="F907" s="29"/>
      <c r="G907" s="21" t="str">
        <f>IFERROR(VLOOKUP(A907, 'Price Sheet'!$A$2:$B1010, 2, false), "")</f>
        <v/>
      </c>
      <c r="J907" s="21" t="str">
        <f t="shared" si="3"/>
        <v/>
      </c>
      <c r="K907" s="29"/>
      <c r="L907" s="29" t="b">
        <v>0</v>
      </c>
      <c r="M907" s="29"/>
      <c r="N907" s="21" t="str">
        <f>IFERROR(VLOOKUP(I907, 'Price Sheet'!$A$2:$B1010, 2, false), "")</f>
        <v/>
      </c>
    </row>
    <row r="908">
      <c r="B908" s="21" t="str">
        <f t="shared" si="4"/>
        <v/>
      </c>
      <c r="C908" s="29"/>
      <c r="D908" s="29"/>
      <c r="E908" s="29" t="b">
        <v>0</v>
      </c>
      <c r="F908" s="29"/>
      <c r="G908" s="21" t="str">
        <f>IFERROR(VLOOKUP(A908, 'Price Sheet'!$A$2:$B1010, 2, false), "")</f>
        <v/>
      </c>
      <c r="J908" s="21" t="str">
        <f t="shared" si="3"/>
        <v/>
      </c>
      <c r="K908" s="29"/>
      <c r="L908" s="29" t="b">
        <v>0</v>
      </c>
      <c r="M908" s="29"/>
      <c r="N908" s="21" t="str">
        <f>IFERROR(VLOOKUP(I908, 'Price Sheet'!$A$2:$B1010, 2, false), "")</f>
        <v/>
      </c>
    </row>
    <row r="909">
      <c r="B909" s="21" t="str">
        <f t="shared" si="4"/>
        <v/>
      </c>
      <c r="C909" s="29"/>
      <c r="D909" s="29"/>
      <c r="E909" s="29" t="b">
        <v>0</v>
      </c>
      <c r="F909" s="29"/>
      <c r="G909" s="21" t="str">
        <f>IFERROR(VLOOKUP(A909, 'Price Sheet'!$A$2:$B1010, 2, false), "")</f>
        <v/>
      </c>
      <c r="J909" s="21" t="str">
        <f t="shared" si="3"/>
        <v/>
      </c>
      <c r="K909" s="29"/>
      <c r="L909" s="29" t="b">
        <v>0</v>
      </c>
      <c r="M909" s="29"/>
      <c r="N909" s="21" t="str">
        <f>IFERROR(VLOOKUP(I909, 'Price Sheet'!$A$2:$B1010, 2, false), "")</f>
        <v/>
      </c>
    </row>
    <row r="910">
      <c r="B910" s="21" t="str">
        <f t="shared" si="4"/>
        <v/>
      </c>
      <c r="C910" s="29"/>
      <c r="D910" s="29"/>
      <c r="E910" s="29" t="b">
        <v>0</v>
      </c>
      <c r="F910" s="29"/>
      <c r="G910" s="21" t="str">
        <f>IFERROR(VLOOKUP(A910, 'Price Sheet'!$A$2:$B1010, 2, false), "")</f>
        <v/>
      </c>
      <c r="J910" s="21" t="str">
        <f t="shared" si="3"/>
        <v/>
      </c>
      <c r="K910" s="29"/>
      <c r="L910" s="29" t="b">
        <v>0</v>
      </c>
      <c r="M910" s="29"/>
      <c r="N910" s="21" t="str">
        <f>IFERROR(VLOOKUP(I910, 'Price Sheet'!$A$2:$B1010, 2, false), "")</f>
        <v/>
      </c>
    </row>
    <row r="911">
      <c r="B911" s="21" t="str">
        <f t="shared" si="4"/>
        <v/>
      </c>
      <c r="C911" s="29"/>
      <c r="D911" s="29"/>
      <c r="E911" s="29" t="b">
        <v>0</v>
      </c>
      <c r="F911" s="29"/>
      <c r="G911" s="21" t="str">
        <f>IFERROR(VLOOKUP(A911, 'Price Sheet'!$A$2:$B1010, 2, false), "")</f>
        <v/>
      </c>
      <c r="J911" s="21" t="str">
        <f t="shared" si="3"/>
        <v/>
      </c>
      <c r="K911" s="29"/>
      <c r="L911" s="29" t="b">
        <v>0</v>
      </c>
      <c r="M911" s="29"/>
      <c r="N911" s="21" t="str">
        <f>IFERROR(VLOOKUP(I911, 'Price Sheet'!$A$2:$B1010, 2, false), "")</f>
        <v/>
      </c>
    </row>
    <row r="912">
      <c r="B912" s="21" t="str">
        <f t="shared" si="4"/>
        <v/>
      </c>
      <c r="C912" s="29"/>
      <c r="D912" s="29"/>
      <c r="E912" s="29" t="b">
        <v>0</v>
      </c>
      <c r="F912" s="29"/>
      <c r="G912" s="21" t="str">
        <f>IFERROR(VLOOKUP(A912, 'Price Sheet'!$A$2:$B1010, 2, false), "")</f>
        <v/>
      </c>
      <c r="J912" s="21" t="str">
        <f t="shared" si="3"/>
        <v/>
      </c>
      <c r="K912" s="29"/>
      <c r="L912" s="29" t="b">
        <v>0</v>
      </c>
      <c r="M912" s="29"/>
      <c r="N912" s="21" t="str">
        <f>IFERROR(VLOOKUP(I912, 'Price Sheet'!$A$2:$B1010, 2, false), "")</f>
        <v/>
      </c>
    </row>
    <row r="913">
      <c r="B913" s="21" t="str">
        <f t="shared" si="4"/>
        <v/>
      </c>
      <c r="C913" s="29"/>
      <c r="D913" s="29"/>
      <c r="E913" s="29" t="b">
        <v>0</v>
      </c>
      <c r="F913" s="29"/>
      <c r="G913" s="21" t="str">
        <f>IFERROR(VLOOKUP(A913, 'Price Sheet'!$A$2:$B1010, 2, false), "")</f>
        <v/>
      </c>
      <c r="J913" s="21" t="str">
        <f t="shared" si="3"/>
        <v/>
      </c>
      <c r="K913" s="29"/>
      <c r="L913" s="29" t="b">
        <v>0</v>
      </c>
      <c r="M913" s="29"/>
      <c r="N913" s="21" t="str">
        <f>IFERROR(VLOOKUP(I913, 'Price Sheet'!$A$2:$B1010, 2, false), "")</f>
        <v/>
      </c>
    </row>
    <row r="914">
      <c r="B914" s="21" t="str">
        <f t="shared" si="4"/>
        <v/>
      </c>
      <c r="C914" s="29"/>
      <c r="D914" s="29"/>
      <c r="E914" s="29" t="b">
        <v>0</v>
      </c>
      <c r="F914" s="29"/>
      <c r="G914" s="21" t="str">
        <f>IFERROR(VLOOKUP(A914, 'Price Sheet'!$A$2:$B1010, 2, false), "")</f>
        <v/>
      </c>
      <c r="J914" s="21" t="str">
        <f t="shared" si="3"/>
        <v/>
      </c>
      <c r="K914" s="29"/>
      <c r="L914" s="29" t="b">
        <v>0</v>
      </c>
      <c r="M914" s="29"/>
      <c r="N914" s="21" t="str">
        <f>IFERROR(VLOOKUP(I914, 'Price Sheet'!$A$2:$B1010, 2, false), "")</f>
        <v/>
      </c>
    </row>
    <row r="915">
      <c r="B915" s="21" t="str">
        <f t="shared" si="4"/>
        <v/>
      </c>
      <c r="C915" s="29"/>
      <c r="D915" s="29"/>
      <c r="E915" s="29" t="b">
        <v>0</v>
      </c>
      <c r="F915" s="29"/>
      <c r="G915" s="21" t="str">
        <f>IFERROR(VLOOKUP(A915, 'Price Sheet'!$A$2:$B1010, 2, false), "")</f>
        <v/>
      </c>
      <c r="J915" s="21" t="str">
        <f t="shared" si="3"/>
        <v/>
      </c>
      <c r="K915" s="29"/>
      <c r="L915" s="29" t="b">
        <v>0</v>
      </c>
      <c r="M915" s="29"/>
      <c r="N915" s="21" t="str">
        <f>IFERROR(VLOOKUP(I915, 'Price Sheet'!$A$2:$B1010, 2, false), "")</f>
        <v/>
      </c>
    </row>
    <row r="916">
      <c r="B916" s="21" t="str">
        <f t="shared" si="4"/>
        <v/>
      </c>
      <c r="C916" s="29"/>
      <c r="D916" s="29"/>
      <c r="E916" s="29" t="b">
        <v>0</v>
      </c>
      <c r="F916" s="29"/>
      <c r="G916" s="21" t="str">
        <f>IFERROR(VLOOKUP(A916, 'Price Sheet'!$A$2:$B1010, 2, false), "")</f>
        <v/>
      </c>
      <c r="J916" s="21" t="str">
        <f t="shared" si="3"/>
        <v/>
      </c>
      <c r="K916" s="29"/>
      <c r="L916" s="29" t="b">
        <v>0</v>
      </c>
      <c r="M916" s="29"/>
      <c r="N916" s="21" t="str">
        <f>IFERROR(VLOOKUP(I916, 'Price Sheet'!$A$2:$B1010, 2, false), "")</f>
        <v/>
      </c>
    </row>
    <row r="917">
      <c r="B917" s="21" t="str">
        <f t="shared" si="4"/>
        <v/>
      </c>
      <c r="C917" s="29"/>
      <c r="D917" s="29"/>
      <c r="E917" s="29" t="b">
        <v>0</v>
      </c>
      <c r="F917" s="29"/>
      <c r="G917" s="21" t="str">
        <f>IFERROR(VLOOKUP(A917, 'Price Sheet'!$A$2:$B1010, 2, false), "")</f>
        <v/>
      </c>
      <c r="J917" s="21" t="str">
        <f t="shared" si="3"/>
        <v/>
      </c>
      <c r="K917" s="29"/>
      <c r="L917" s="29" t="b">
        <v>0</v>
      </c>
      <c r="M917" s="29"/>
      <c r="N917" s="21" t="str">
        <f>IFERROR(VLOOKUP(I917, 'Price Sheet'!$A$2:$B1010, 2, false), "")</f>
        <v/>
      </c>
    </row>
    <row r="918">
      <c r="B918" s="21" t="str">
        <f t="shared" si="4"/>
        <v/>
      </c>
      <c r="C918" s="29"/>
      <c r="D918" s="29"/>
      <c r="E918" s="29" t="b">
        <v>0</v>
      </c>
      <c r="F918" s="29"/>
      <c r="G918" s="21" t="str">
        <f>IFERROR(VLOOKUP(A918, 'Price Sheet'!$A$2:$B1010, 2, false), "")</f>
        <v/>
      </c>
      <c r="J918" s="21" t="str">
        <f t="shared" si="3"/>
        <v/>
      </c>
      <c r="K918" s="29"/>
      <c r="L918" s="29" t="b">
        <v>0</v>
      </c>
      <c r="M918" s="29"/>
      <c r="N918" s="21" t="str">
        <f>IFERROR(VLOOKUP(I918, 'Price Sheet'!$A$2:$B1010, 2, false), "")</f>
        <v/>
      </c>
    </row>
    <row r="919">
      <c r="B919" s="21" t="str">
        <f t="shared" si="4"/>
        <v/>
      </c>
      <c r="C919" s="29"/>
      <c r="D919" s="29"/>
      <c r="E919" s="29" t="b">
        <v>0</v>
      </c>
      <c r="F919" s="29"/>
      <c r="G919" s="21" t="str">
        <f>IFERROR(VLOOKUP(A919, 'Price Sheet'!$A$2:$B1010, 2, false), "")</f>
        <v/>
      </c>
      <c r="J919" s="21" t="str">
        <f t="shared" si="3"/>
        <v/>
      </c>
      <c r="K919" s="29"/>
      <c r="L919" s="29" t="b">
        <v>0</v>
      </c>
      <c r="M919" s="29"/>
      <c r="N919" s="21" t="str">
        <f>IFERROR(VLOOKUP(I919, 'Price Sheet'!$A$2:$B1010, 2, false), "")</f>
        <v/>
      </c>
    </row>
    <row r="920">
      <c r="B920" s="21" t="str">
        <f t="shared" si="4"/>
        <v/>
      </c>
      <c r="C920" s="29"/>
      <c r="D920" s="29"/>
      <c r="E920" s="29" t="b">
        <v>0</v>
      </c>
      <c r="F920" s="29"/>
      <c r="G920" s="21" t="str">
        <f>IFERROR(VLOOKUP(A920, 'Price Sheet'!$A$2:$B1010, 2, false), "")</f>
        <v/>
      </c>
      <c r="J920" s="21" t="str">
        <f t="shared" si="3"/>
        <v/>
      </c>
      <c r="K920" s="29"/>
      <c r="L920" s="29" t="b">
        <v>0</v>
      </c>
      <c r="M920" s="29"/>
      <c r="N920" s="21" t="str">
        <f>IFERROR(VLOOKUP(I920, 'Price Sheet'!$A$2:$B1010, 2, false), "")</f>
        <v/>
      </c>
    </row>
    <row r="921">
      <c r="B921" s="21" t="str">
        <f t="shared" si="4"/>
        <v/>
      </c>
      <c r="C921" s="29"/>
      <c r="D921" s="29"/>
      <c r="E921" s="29" t="b">
        <v>0</v>
      </c>
      <c r="F921" s="29"/>
      <c r="G921" s="21" t="str">
        <f>IFERROR(VLOOKUP(A921, 'Price Sheet'!$A$2:$B1010, 2, false), "")</f>
        <v/>
      </c>
      <c r="J921" s="21" t="str">
        <f t="shared" si="3"/>
        <v/>
      </c>
      <c r="K921" s="29"/>
      <c r="L921" s="29" t="b">
        <v>0</v>
      </c>
      <c r="M921" s="29"/>
      <c r="N921" s="21" t="str">
        <f>IFERROR(VLOOKUP(I921, 'Price Sheet'!$A$2:$B1010, 2, false), "")</f>
        <v/>
      </c>
    </row>
    <row r="922">
      <c r="B922" s="21" t="str">
        <f t="shared" si="4"/>
        <v/>
      </c>
      <c r="C922" s="29"/>
      <c r="D922" s="29"/>
      <c r="E922" s="29" t="b">
        <v>0</v>
      </c>
      <c r="F922" s="29"/>
      <c r="G922" s="21" t="str">
        <f>IFERROR(VLOOKUP(A922, 'Price Sheet'!$A$2:$B1010, 2, false), "")</f>
        <v/>
      </c>
      <c r="J922" s="21" t="str">
        <f t="shared" si="3"/>
        <v/>
      </c>
      <c r="K922" s="29"/>
      <c r="L922" s="29" t="b">
        <v>0</v>
      </c>
      <c r="M922" s="29"/>
      <c r="N922" s="21" t="str">
        <f>IFERROR(VLOOKUP(I922, 'Price Sheet'!$A$2:$B1010, 2, false), "")</f>
        <v/>
      </c>
    </row>
    <row r="923">
      <c r="B923" s="21" t="str">
        <f t="shared" si="4"/>
        <v/>
      </c>
      <c r="C923" s="29"/>
      <c r="D923" s="29"/>
      <c r="E923" s="29" t="b">
        <v>0</v>
      </c>
      <c r="F923" s="29"/>
      <c r="G923" s="21" t="str">
        <f>IFERROR(VLOOKUP(A923, 'Price Sheet'!$A$2:$B1010, 2, false), "")</f>
        <v/>
      </c>
      <c r="J923" s="21" t="str">
        <f t="shared" si="3"/>
        <v/>
      </c>
      <c r="K923" s="29"/>
      <c r="L923" s="29" t="b">
        <v>0</v>
      </c>
      <c r="M923" s="29"/>
      <c r="N923" s="21" t="str">
        <f>IFERROR(VLOOKUP(I923, 'Price Sheet'!$A$2:$B1010, 2, false), "")</f>
        <v/>
      </c>
    </row>
    <row r="924">
      <c r="B924" s="21" t="str">
        <f t="shared" si="4"/>
        <v/>
      </c>
      <c r="C924" s="29"/>
      <c r="D924" s="29"/>
      <c r="E924" s="29" t="b">
        <v>0</v>
      </c>
      <c r="F924" s="29"/>
      <c r="G924" s="21" t="str">
        <f>IFERROR(VLOOKUP(A924, 'Price Sheet'!$A$2:$B1010, 2, false), "")</f>
        <v/>
      </c>
      <c r="J924" s="21" t="str">
        <f t="shared" si="3"/>
        <v/>
      </c>
      <c r="K924" s="29"/>
      <c r="L924" s="29" t="b">
        <v>0</v>
      </c>
      <c r="M924" s="29"/>
      <c r="N924" s="21" t="str">
        <f>IFERROR(VLOOKUP(I924, 'Price Sheet'!$A$2:$B1010, 2, false), "")</f>
        <v/>
      </c>
    </row>
    <row r="925">
      <c r="B925" s="21" t="str">
        <f t="shared" si="4"/>
        <v/>
      </c>
      <c r="C925" s="29"/>
      <c r="D925" s="29"/>
      <c r="E925" s="29" t="b">
        <v>0</v>
      </c>
      <c r="F925" s="29"/>
      <c r="G925" s="21" t="str">
        <f>IFERROR(VLOOKUP(A925, 'Price Sheet'!$A$2:$B1010, 2, false), "")</f>
        <v/>
      </c>
      <c r="J925" s="21" t="str">
        <f t="shared" si="3"/>
        <v/>
      </c>
      <c r="K925" s="29"/>
      <c r="L925" s="29" t="b">
        <v>0</v>
      </c>
      <c r="M925" s="29"/>
      <c r="N925" s="21" t="str">
        <f>IFERROR(VLOOKUP(I925, 'Price Sheet'!$A$2:$B1010, 2, false), "")</f>
        <v/>
      </c>
    </row>
    <row r="926">
      <c r="B926" s="21" t="str">
        <f t="shared" si="4"/>
        <v/>
      </c>
      <c r="C926" s="29"/>
      <c r="D926" s="29"/>
      <c r="E926" s="29" t="b">
        <v>0</v>
      </c>
      <c r="F926" s="29"/>
      <c r="G926" s="21" t="str">
        <f>IFERROR(VLOOKUP(A926, 'Price Sheet'!$A$2:$B1010, 2, false), "")</f>
        <v/>
      </c>
      <c r="J926" s="21" t="str">
        <f t="shared" si="3"/>
        <v/>
      </c>
      <c r="K926" s="29"/>
      <c r="L926" s="29" t="b">
        <v>0</v>
      </c>
      <c r="M926" s="29"/>
      <c r="N926" s="21" t="str">
        <f>IFERROR(VLOOKUP(I926, 'Price Sheet'!$A$2:$B1010, 2, false), "")</f>
        <v/>
      </c>
    </row>
    <row r="927">
      <c r="B927" s="21" t="str">
        <f t="shared" si="4"/>
        <v/>
      </c>
      <c r="C927" s="29"/>
      <c r="D927" s="29"/>
      <c r="E927" s="29" t="b">
        <v>0</v>
      </c>
      <c r="F927" s="29"/>
      <c r="G927" s="21" t="str">
        <f>IFERROR(VLOOKUP(A927, 'Price Sheet'!$A$2:$B1010, 2, false), "")</f>
        <v/>
      </c>
      <c r="J927" s="21" t="str">
        <f t="shared" si="3"/>
        <v/>
      </c>
      <c r="K927" s="29"/>
      <c r="L927" s="29" t="b">
        <v>0</v>
      </c>
      <c r="M927" s="29"/>
      <c r="N927" s="21" t="str">
        <f>IFERROR(VLOOKUP(I927, 'Price Sheet'!$A$2:$B1010, 2, false), "")</f>
        <v/>
      </c>
    </row>
    <row r="928">
      <c r="B928" s="21" t="str">
        <f t="shared" si="4"/>
        <v/>
      </c>
      <c r="C928" s="29"/>
      <c r="D928" s="29"/>
      <c r="E928" s="29" t="b">
        <v>0</v>
      </c>
      <c r="F928" s="29"/>
      <c r="G928" s="21" t="str">
        <f>IFERROR(VLOOKUP(A928, 'Price Sheet'!$A$2:$B1010, 2, false), "")</f>
        <v/>
      </c>
      <c r="J928" s="21" t="str">
        <f t="shared" si="3"/>
        <v/>
      </c>
      <c r="K928" s="29"/>
      <c r="L928" s="29" t="b">
        <v>0</v>
      </c>
      <c r="M928" s="29"/>
      <c r="N928" s="21" t="str">
        <f>IFERROR(VLOOKUP(I928, 'Price Sheet'!$A$2:$B1010, 2, false), "")</f>
        <v/>
      </c>
    </row>
    <row r="929">
      <c r="B929" s="21" t="str">
        <f t="shared" si="4"/>
        <v/>
      </c>
      <c r="C929" s="29"/>
      <c r="D929" s="29"/>
      <c r="E929" s="29" t="b">
        <v>0</v>
      </c>
      <c r="F929" s="29"/>
      <c r="G929" s="21" t="str">
        <f>IFERROR(VLOOKUP(A929, 'Price Sheet'!$A$2:$B1010, 2, false), "")</f>
        <v/>
      </c>
      <c r="J929" s="21" t="str">
        <f t="shared" si="3"/>
        <v/>
      </c>
      <c r="K929" s="29"/>
      <c r="L929" s="29" t="b">
        <v>0</v>
      </c>
      <c r="M929" s="29"/>
      <c r="N929" s="21" t="str">
        <f>IFERROR(VLOOKUP(I929, 'Price Sheet'!$A$2:$B1010, 2, false), "")</f>
        <v/>
      </c>
    </row>
    <row r="930">
      <c r="B930" s="21" t="str">
        <f t="shared" si="4"/>
        <v/>
      </c>
      <c r="C930" s="29"/>
      <c r="D930" s="29"/>
      <c r="E930" s="29" t="b">
        <v>0</v>
      </c>
      <c r="F930" s="29"/>
      <c r="G930" s="21" t="str">
        <f>IFERROR(VLOOKUP(A930, 'Price Sheet'!$A$2:$B1010, 2, false), "")</f>
        <v/>
      </c>
      <c r="J930" s="21" t="str">
        <f t="shared" si="3"/>
        <v/>
      </c>
      <c r="K930" s="29"/>
      <c r="L930" s="29" t="b">
        <v>0</v>
      </c>
      <c r="M930" s="29"/>
      <c r="N930" s="21" t="str">
        <f>IFERROR(VLOOKUP(I930, 'Price Sheet'!$A$2:$B1010, 2, false), "")</f>
        <v/>
      </c>
    </row>
    <row r="931">
      <c r="B931" s="21" t="str">
        <f t="shared" si="4"/>
        <v/>
      </c>
      <c r="C931" s="29"/>
      <c r="D931" s="29"/>
      <c r="E931" s="29" t="b">
        <v>0</v>
      </c>
      <c r="F931" s="29"/>
      <c r="G931" s="21" t="str">
        <f>IFERROR(VLOOKUP(A931, 'Price Sheet'!$A$2:$B1010, 2, false), "")</f>
        <v/>
      </c>
      <c r="J931" s="21" t="str">
        <f t="shared" si="3"/>
        <v/>
      </c>
      <c r="K931" s="29"/>
      <c r="L931" s="29" t="b">
        <v>0</v>
      </c>
      <c r="M931" s="29"/>
      <c r="N931" s="21" t="str">
        <f>IFERROR(VLOOKUP(I931, 'Price Sheet'!$A$2:$B1010, 2, false), "")</f>
        <v/>
      </c>
    </row>
    <row r="932">
      <c r="B932" s="21" t="str">
        <f t="shared" si="4"/>
        <v/>
      </c>
      <c r="C932" s="29"/>
      <c r="D932" s="29"/>
      <c r="E932" s="29" t="b">
        <v>0</v>
      </c>
      <c r="F932" s="29"/>
      <c r="G932" s="21" t="str">
        <f>IFERROR(VLOOKUP(A932, 'Price Sheet'!$A$2:$B1010, 2, false), "")</f>
        <v/>
      </c>
      <c r="J932" s="21" t="str">
        <f t="shared" si="3"/>
        <v/>
      </c>
      <c r="K932" s="29"/>
      <c r="L932" s="29" t="b">
        <v>0</v>
      </c>
      <c r="M932" s="29"/>
      <c r="N932" s="21" t="str">
        <f>IFERROR(VLOOKUP(I932, 'Price Sheet'!$A$2:$B1010, 2, false), "")</f>
        <v/>
      </c>
    </row>
    <row r="933">
      <c r="B933" s="21" t="str">
        <f t="shared" si="4"/>
        <v/>
      </c>
      <c r="C933" s="29"/>
      <c r="D933" s="29"/>
      <c r="E933" s="29" t="b">
        <v>0</v>
      </c>
      <c r="F933" s="29"/>
      <c r="G933" s="21" t="str">
        <f>IFERROR(VLOOKUP(A933, 'Price Sheet'!$A$2:$B1010, 2, false), "")</f>
        <v/>
      </c>
      <c r="J933" s="21" t="str">
        <f t="shared" si="3"/>
        <v/>
      </c>
      <c r="K933" s="29"/>
      <c r="L933" s="29" t="b">
        <v>0</v>
      </c>
      <c r="M933" s="29"/>
      <c r="N933" s="21" t="str">
        <f>IFERROR(VLOOKUP(I933, 'Price Sheet'!$A$2:$B1010, 2, false), "")</f>
        <v/>
      </c>
    </row>
    <row r="934">
      <c r="B934" s="21" t="str">
        <f t="shared" si="4"/>
        <v/>
      </c>
      <c r="C934" s="29"/>
      <c r="D934" s="29"/>
      <c r="E934" s="29" t="b">
        <v>0</v>
      </c>
      <c r="F934" s="29"/>
      <c r="G934" s="21" t="str">
        <f>IFERROR(VLOOKUP(A934, 'Price Sheet'!$A$2:$B1010, 2, false), "")</f>
        <v/>
      </c>
      <c r="J934" s="21" t="str">
        <f t="shared" si="3"/>
        <v/>
      </c>
      <c r="K934" s="29"/>
      <c r="L934" s="29" t="b">
        <v>0</v>
      </c>
      <c r="M934" s="29"/>
      <c r="N934" s="21" t="str">
        <f>IFERROR(VLOOKUP(I934, 'Price Sheet'!$A$2:$B1010, 2, false), "")</f>
        <v/>
      </c>
    </row>
    <row r="935">
      <c r="B935" s="21" t="str">
        <f t="shared" si="4"/>
        <v/>
      </c>
      <c r="C935" s="29"/>
      <c r="D935" s="29"/>
      <c r="E935" s="29" t="b">
        <v>0</v>
      </c>
      <c r="F935" s="29"/>
      <c r="G935" s="21" t="str">
        <f>IFERROR(VLOOKUP(A935, 'Price Sheet'!$A$2:$B1010, 2, false), "")</f>
        <v/>
      </c>
      <c r="J935" s="21" t="str">
        <f t="shared" si="3"/>
        <v/>
      </c>
      <c r="K935" s="29"/>
      <c r="L935" s="29" t="b">
        <v>0</v>
      </c>
      <c r="M935" s="29"/>
      <c r="N935" s="21" t="str">
        <f>IFERROR(VLOOKUP(I935, 'Price Sheet'!$A$2:$B1010, 2, false), "")</f>
        <v/>
      </c>
    </row>
    <row r="936">
      <c r="B936" s="21" t="str">
        <f t="shared" si="4"/>
        <v/>
      </c>
      <c r="C936" s="29"/>
      <c r="D936" s="29"/>
      <c r="E936" s="29" t="b">
        <v>0</v>
      </c>
      <c r="F936" s="29"/>
      <c r="G936" s="21" t="str">
        <f>IFERROR(VLOOKUP(A936, 'Price Sheet'!$A$2:$B1010, 2, false), "")</f>
        <v/>
      </c>
      <c r="J936" s="21" t="str">
        <f t="shared" si="3"/>
        <v/>
      </c>
      <c r="K936" s="29"/>
      <c r="L936" s="29" t="b">
        <v>0</v>
      </c>
      <c r="M936" s="29"/>
      <c r="N936" s="21" t="str">
        <f>IFERROR(VLOOKUP(I936, 'Price Sheet'!$A$2:$B1010, 2, false), "")</f>
        <v/>
      </c>
    </row>
    <row r="937">
      <c r="B937" s="21" t="str">
        <f t="shared" si="4"/>
        <v/>
      </c>
      <c r="C937" s="29"/>
      <c r="D937" s="29"/>
      <c r="E937" s="29" t="b">
        <v>0</v>
      </c>
      <c r="F937" s="29"/>
      <c r="G937" s="21" t="str">
        <f>IFERROR(VLOOKUP(A937, 'Price Sheet'!$A$2:$B1010, 2, false), "")</f>
        <v/>
      </c>
      <c r="J937" s="21" t="str">
        <f t="shared" si="3"/>
        <v/>
      </c>
      <c r="K937" s="29"/>
      <c r="L937" s="29" t="b">
        <v>0</v>
      </c>
      <c r="M937" s="29"/>
      <c r="N937" s="21" t="str">
        <f>IFERROR(VLOOKUP(I937, 'Price Sheet'!$A$2:$B1010, 2, false), "")</f>
        <v/>
      </c>
    </row>
    <row r="938">
      <c r="B938" s="21" t="str">
        <f t="shared" si="4"/>
        <v/>
      </c>
      <c r="C938" s="29"/>
      <c r="D938" s="29"/>
      <c r="E938" s="29" t="b">
        <v>0</v>
      </c>
      <c r="F938" s="29"/>
      <c r="G938" s="21" t="str">
        <f>IFERROR(VLOOKUP(A938, 'Price Sheet'!$A$2:$B1010, 2, false), "")</f>
        <v/>
      </c>
      <c r="J938" s="21" t="str">
        <f t="shared" si="3"/>
        <v/>
      </c>
      <c r="K938" s="29"/>
      <c r="L938" s="29" t="b">
        <v>0</v>
      </c>
      <c r="M938" s="29"/>
      <c r="N938" s="21" t="str">
        <f>IFERROR(VLOOKUP(I938, 'Price Sheet'!$A$2:$B1010, 2, false), "")</f>
        <v/>
      </c>
    </row>
    <row r="939">
      <c r="B939" s="21" t="str">
        <f t="shared" si="4"/>
        <v/>
      </c>
      <c r="C939" s="29"/>
      <c r="D939" s="29"/>
      <c r="E939" s="29" t="b">
        <v>0</v>
      </c>
      <c r="F939" s="29"/>
      <c r="G939" s="21" t="str">
        <f>IFERROR(VLOOKUP(A939, 'Price Sheet'!$A$2:$B1010, 2, false), "")</f>
        <v/>
      </c>
      <c r="J939" s="21" t="str">
        <f t="shared" si="3"/>
        <v/>
      </c>
      <c r="K939" s="29"/>
      <c r="L939" s="29" t="b">
        <v>0</v>
      </c>
      <c r="M939" s="29"/>
      <c r="N939" s="21" t="str">
        <f>IFERROR(VLOOKUP(I939, 'Price Sheet'!$A$2:$B1010, 2, false), "")</f>
        <v/>
      </c>
    </row>
    <row r="940">
      <c r="B940" s="21" t="str">
        <f t="shared" si="4"/>
        <v/>
      </c>
      <c r="C940" s="29"/>
      <c r="D940" s="29"/>
      <c r="E940" s="29" t="b">
        <v>0</v>
      </c>
      <c r="F940" s="29"/>
      <c r="G940" s="21" t="str">
        <f>IFERROR(VLOOKUP(A940, 'Price Sheet'!$A$2:$B1010, 2, false), "")</f>
        <v/>
      </c>
      <c r="J940" s="21" t="str">
        <f t="shared" si="3"/>
        <v/>
      </c>
      <c r="K940" s="29"/>
      <c r="L940" s="29" t="b">
        <v>0</v>
      </c>
      <c r="M940" s="29"/>
      <c r="N940" s="21" t="str">
        <f>IFERROR(VLOOKUP(I940, 'Price Sheet'!$A$2:$B1010, 2, false), "")</f>
        <v/>
      </c>
    </row>
    <row r="941">
      <c r="B941" s="21" t="str">
        <f t="shared" si="4"/>
        <v/>
      </c>
      <c r="C941" s="29"/>
      <c r="D941" s="29"/>
      <c r="E941" s="29" t="b">
        <v>0</v>
      </c>
      <c r="F941" s="29"/>
      <c r="G941" s="21" t="str">
        <f>IFERROR(VLOOKUP(A941, 'Price Sheet'!$A$2:$B1010, 2, false), "")</f>
        <v/>
      </c>
      <c r="J941" s="21" t="str">
        <f t="shared" si="3"/>
        <v/>
      </c>
      <c r="K941" s="29"/>
      <c r="L941" s="29" t="b">
        <v>0</v>
      </c>
      <c r="M941" s="29"/>
      <c r="N941" s="21" t="str">
        <f>IFERROR(VLOOKUP(I941, 'Price Sheet'!$A$2:$B1010, 2, false), "")</f>
        <v/>
      </c>
    </row>
    <row r="942">
      <c r="B942" s="21" t="str">
        <f t="shared" si="4"/>
        <v/>
      </c>
      <c r="C942" s="29"/>
      <c r="D942" s="29"/>
      <c r="E942" s="29" t="b">
        <v>0</v>
      </c>
      <c r="F942" s="29"/>
      <c r="G942" s="21" t="str">
        <f>IFERROR(VLOOKUP(A942, 'Price Sheet'!$A$2:$B1010, 2, false), "")</f>
        <v/>
      </c>
      <c r="J942" s="21" t="str">
        <f t="shared" si="3"/>
        <v/>
      </c>
      <c r="K942" s="29"/>
      <c r="L942" s="29" t="b">
        <v>0</v>
      </c>
      <c r="M942" s="29"/>
      <c r="N942" s="21" t="str">
        <f>IFERROR(VLOOKUP(I942, 'Price Sheet'!$A$2:$B1010, 2, false), "")</f>
        <v/>
      </c>
    </row>
    <row r="943">
      <c r="B943" s="21" t="str">
        <f t="shared" si="4"/>
        <v/>
      </c>
      <c r="C943" s="29"/>
      <c r="D943" s="29"/>
      <c r="E943" s="29" t="b">
        <v>0</v>
      </c>
      <c r="F943" s="29"/>
      <c r="G943" s="21" t="str">
        <f>IFERROR(VLOOKUP(A943, 'Price Sheet'!$A$2:$B1010, 2, false), "")</f>
        <v/>
      </c>
      <c r="J943" s="21" t="str">
        <f t="shared" si="3"/>
        <v/>
      </c>
      <c r="K943" s="29"/>
      <c r="L943" s="29" t="b">
        <v>0</v>
      </c>
      <c r="M943" s="29"/>
      <c r="N943" s="21" t="str">
        <f>IFERROR(VLOOKUP(I943, 'Price Sheet'!$A$2:$B1010, 2, false), "")</f>
        <v/>
      </c>
    </row>
    <row r="944">
      <c r="B944" s="21" t="str">
        <f t="shared" si="4"/>
        <v/>
      </c>
      <c r="C944" s="29"/>
      <c r="D944" s="29"/>
      <c r="E944" s="29" t="b">
        <v>0</v>
      </c>
      <c r="F944" s="29"/>
      <c r="G944" s="21" t="str">
        <f>IFERROR(VLOOKUP(A944, 'Price Sheet'!$A$2:$B1010, 2, false), "")</f>
        <v/>
      </c>
      <c r="J944" s="21" t="str">
        <f t="shared" si="3"/>
        <v/>
      </c>
      <c r="K944" s="29"/>
      <c r="L944" s="29" t="b">
        <v>0</v>
      </c>
      <c r="M944" s="29"/>
      <c r="N944" s="21" t="str">
        <f>IFERROR(VLOOKUP(I944, 'Price Sheet'!$A$2:$B1010, 2, false), "")</f>
        <v/>
      </c>
    </row>
    <row r="945">
      <c r="B945" s="21" t="str">
        <f t="shared" si="4"/>
        <v/>
      </c>
      <c r="C945" s="29"/>
      <c r="D945" s="29"/>
      <c r="E945" s="29" t="b">
        <v>0</v>
      </c>
      <c r="F945" s="29"/>
      <c r="G945" s="21" t="str">
        <f>IFERROR(VLOOKUP(A945, 'Price Sheet'!$A$2:$B1010, 2, false), "")</f>
        <v/>
      </c>
      <c r="J945" s="21" t="str">
        <f t="shared" si="3"/>
        <v/>
      </c>
      <c r="K945" s="29"/>
      <c r="L945" s="29" t="b">
        <v>0</v>
      </c>
      <c r="M945" s="29"/>
      <c r="N945" s="21" t="str">
        <f>IFERROR(VLOOKUP(I945, 'Price Sheet'!$A$2:$B1010, 2, false), "")</f>
        <v/>
      </c>
    </row>
    <row r="946">
      <c r="B946" s="21" t="str">
        <f t="shared" si="4"/>
        <v/>
      </c>
      <c r="C946" s="29"/>
      <c r="D946" s="29"/>
      <c r="E946" s="29" t="b">
        <v>0</v>
      </c>
      <c r="F946" s="29"/>
      <c r="G946" s="21" t="str">
        <f>IFERROR(VLOOKUP(A946, 'Price Sheet'!$A$2:$B1010, 2, false), "")</f>
        <v/>
      </c>
      <c r="J946" s="21" t="str">
        <f t="shared" si="3"/>
        <v/>
      </c>
      <c r="K946" s="29"/>
      <c r="L946" s="29" t="b">
        <v>0</v>
      </c>
      <c r="M946" s="29"/>
      <c r="N946" s="21" t="str">
        <f>IFERROR(VLOOKUP(I946, 'Price Sheet'!$A$2:$B1010, 2, false), "")</f>
        <v/>
      </c>
    </row>
    <row r="947">
      <c r="B947" s="21" t="str">
        <f t="shared" si="4"/>
        <v/>
      </c>
      <c r="C947" s="29"/>
      <c r="D947" s="29"/>
      <c r="E947" s="29" t="b">
        <v>0</v>
      </c>
      <c r="F947" s="29"/>
      <c r="G947" s="21" t="str">
        <f>IFERROR(VLOOKUP(A947, 'Price Sheet'!$A$2:$B1010, 2, false), "")</f>
        <v/>
      </c>
      <c r="J947" s="21" t="str">
        <f t="shared" si="3"/>
        <v/>
      </c>
      <c r="K947" s="29"/>
      <c r="L947" s="29" t="b">
        <v>0</v>
      </c>
      <c r="M947" s="29"/>
      <c r="N947" s="21" t="str">
        <f>IFERROR(VLOOKUP(I947, 'Price Sheet'!$A$2:$B1010, 2, false), "")</f>
        <v/>
      </c>
    </row>
    <row r="948">
      <c r="B948" s="21" t="str">
        <f t="shared" si="4"/>
        <v/>
      </c>
      <c r="C948" s="29"/>
      <c r="D948" s="29"/>
      <c r="E948" s="29" t="b">
        <v>0</v>
      </c>
      <c r="F948" s="29"/>
      <c r="G948" s="21" t="str">
        <f>IFERROR(VLOOKUP(A948, 'Price Sheet'!$A$2:$B1010, 2, false), "")</f>
        <v/>
      </c>
      <c r="J948" s="21" t="str">
        <f t="shared" si="3"/>
        <v/>
      </c>
      <c r="K948" s="29"/>
      <c r="L948" s="29" t="b">
        <v>0</v>
      </c>
      <c r="M948" s="29"/>
      <c r="N948" s="21" t="str">
        <f>IFERROR(VLOOKUP(I948, 'Price Sheet'!$A$2:$B1010, 2, false), "")</f>
        <v/>
      </c>
    </row>
    <row r="949">
      <c r="B949" s="21" t="str">
        <f t="shared" si="4"/>
        <v/>
      </c>
      <c r="C949" s="29"/>
      <c r="D949" s="29"/>
      <c r="E949" s="29" t="b">
        <v>0</v>
      </c>
      <c r="F949" s="29"/>
      <c r="G949" s="21" t="str">
        <f>IFERROR(VLOOKUP(A949, 'Price Sheet'!$A$2:$B1010, 2, false), "")</f>
        <v/>
      </c>
      <c r="J949" s="21" t="str">
        <f t="shared" si="3"/>
        <v/>
      </c>
      <c r="K949" s="29"/>
      <c r="L949" s="29" t="b">
        <v>0</v>
      </c>
      <c r="M949" s="29"/>
      <c r="N949" s="21" t="str">
        <f>IFERROR(VLOOKUP(I949, 'Price Sheet'!$A$2:$B1010, 2, false), "")</f>
        <v/>
      </c>
    </row>
    <row r="950">
      <c r="B950" s="21" t="str">
        <f t="shared" si="4"/>
        <v/>
      </c>
      <c r="C950" s="29"/>
      <c r="D950" s="29"/>
      <c r="E950" s="29" t="b">
        <v>0</v>
      </c>
      <c r="F950" s="29"/>
      <c r="G950" s="21" t="str">
        <f>IFERROR(VLOOKUP(A950, 'Price Sheet'!$A$2:$B1010, 2, false), "")</f>
        <v/>
      </c>
      <c r="J950" s="21" t="str">
        <f t="shared" si="3"/>
        <v/>
      </c>
      <c r="K950" s="29"/>
      <c r="L950" s="29" t="b">
        <v>0</v>
      </c>
      <c r="M950" s="29"/>
      <c r="N950" s="21" t="str">
        <f>IFERROR(VLOOKUP(I950, 'Price Sheet'!$A$2:$B1010, 2, false), "")</f>
        <v/>
      </c>
    </row>
    <row r="951">
      <c r="B951" s="21" t="str">
        <f t="shared" si="4"/>
        <v/>
      </c>
      <c r="C951" s="29"/>
      <c r="D951" s="29"/>
      <c r="E951" s="29" t="b">
        <v>0</v>
      </c>
      <c r="F951" s="29"/>
      <c r="G951" s="21" t="str">
        <f>IFERROR(VLOOKUP(A951, 'Price Sheet'!$A$2:$B1010, 2, false), "")</f>
        <v/>
      </c>
      <c r="J951" s="21" t="str">
        <f t="shared" si="3"/>
        <v/>
      </c>
      <c r="K951" s="29"/>
      <c r="L951" s="29" t="b">
        <v>0</v>
      </c>
      <c r="M951" s="29"/>
      <c r="N951" s="21" t="str">
        <f>IFERROR(VLOOKUP(I951, 'Price Sheet'!$A$2:$B1010, 2, false), "")</f>
        <v/>
      </c>
    </row>
    <row r="952">
      <c r="B952" s="21" t="str">
        <f t="shared" si="4"/>
        <v/>
      </c>
      <c r="C952" s="29"/>
      <c r="D952" s="29"/>
      <c r="E952" s="29" t="b">
        <v>0</v>
      </c>
      <c r="F952" s="29"/>
      <c r="G952" s="21" t="str">
        <f>IFERROR(VLOOKUP(A952, 'Price Sheet'!$A$2:$B1010, 2, false), "")</f>
        <v/>
      </c>
      <c r="J952" s="21" t="str">
        <f t="shared" si="3"/>
        <v/>
      </c>
      <c r="K952" s="29"/>
      <c r="L952" s="29" t="b">
        <v>0</v>
      </c>
      <c r="M952" s="29"/>
      <c r="N952" s="21" t="str">
        <f>IFERROR(VLOOKUP(I952, 'Price Sheet'!$A$2:$B1010, 2, false), "")</f>
        <v/>
      </c>
    </row>
    <row r="953">
      <c r="B953" s="21" t="str">
        <f t="shared" si="4"/>
        <v/>
      </c>
      <c r="C953" s="29"/>
      <c r="D953" s="29"/>
      <c r="E953" s="29" t="b">
        <v>0</v>
      </c>
      <c r="F953" s="29"/>
      <c r="G953" s="21" t="str">
        <f>IFERROR(VLOOKUP(A953, 'Price Sheet'!$A$2:$B1010, 2, false), "")</f>
        <v/>
      </c>
      <c r="J953" s="21" t="str">
        <f t="shared" si="3"/>
        <v/>
      </c>
      <c r="K953" s="29"/>
      <c r="L953" s="29" t="b">
        <v>0</v>
      </c>
      <c r="M953" s="29"/>
      <c r="N953" s="21" t="str">
        <f>IFERROR(VLOOKUP(I953, 'Price Sheet'!$A$2:$B1010, 2, false), "")</f>
        <v/>
      </c>
    </row>
    <row r="954">
      <c r="B954" s="21" t="str">
        <f t="shared" si="4"/>
        <v/>
      </c>
      <c r="C954" s="29"/>
      <c r="D954" s="29"/>
      <c r="E954" s="29" t="b">
        <v>0</v>
      </c>
      <c r="F954" s="29"/>
      <c r="G954" s="21" t="str">
        <f>IFERROR(VLOOKUP(A954, 'Price Sheet'!$A$2:$B1010, 2, false), "")</f>
        <v/>
      </c>
      <c r="J954" s="21" t="str">
        <f t="shared" si="3"/>
        <v/>
      </c>
      <c r="K954" s="29"/>
      <c r="L954" s="29" t="b">
        <v>0</v>
      </c>
      <c r="M954" s="29"/>
      <c r="N954" s="21" t="str">
        <f>IFERROR(VLOOKUP(I954, 'Price Sheet'!$A$2:$B1010, 2, false), "")</f>
        <v/>
      </c>
    </row>
    <row r="955">
      <c r="B955" s="21" t="str">
        <f t="shared" si="4"/>
        <v/>
      </c>
      <c r="C955" s="29"/>
      <c r="D955" s="29"/>
      <c r="E955" s="29" t="b">
        <v>0</v>
      </c>
      <c r="F955" s="29"/>
      <c r="G955" s="21" t="str">
        <f>IFERROR(VLOOKUP(A955, 'Price Sheet'!$A$2:$B1010, 2, false), "")</f>
        <v/>
      </c>
      <c r="J955" s="21" t="str">
        <f t="shared" si="3"/>
        <v/>
      </c>
      <c r="K955" s="29"/>
      <c r="L955" s="29" t="b">
        <v>0</v>
      </c>
      <c r="M955" s="29"/>
      <c r="N955" s="21" t="str">
        <f>IFERROR(VLOOKUP(I955, 'Price Sheet'!$A$2:$B1010, 2, false), "")</f>
        <v/>
      </c>
    </row>
    <row r="956">
      <c r="B956" s="21" t="str">
        <f t="shared" si="4"/>
        <v/>
      </c>
      <c r="C956" s="29"/>
      <c r="D956" s="29"/>
      <c r="E956" s="29" t="b">
        <v>0</v>
      </c>
      <c r="F956" s="29"/>
      <c r="G956" s="21" t="str">
        <f>IFERROR(VLOOKUP(A956, 'Price Sheet'!$A$2:$B1010, 2, false), "")</f>
        <v/>
      </c>
      <c r="J956" s="21" t="str">
        <f t="shared" si="3"/>
        <v/>
      </c>
      <c r="K956" s="29"/>
      <c r="L956" s="29" t="b">
        <v>0</v>
      </c>
      <c r="M956" s="29"/>
      <c r="N956" s="21" t="str">
        <f>IFERROR(VLOOKUP(I956, 'Price Sheet'!$A$2:$B1010, 2, false), "")</f>
        <v/>
      </c>
    </row>
    <row r="957">
      <c r="B957" s="21" t="str">
        <f t="shared" si="4"/>
        <v/>
      </c>
      <c r="C957" s="29"/>
      <c r="D957" s="29"/>
      <c r="E957" s="29" t="b">
        <v>0</v>
      </c>
      <c r="F957" s="29"/>
      <c r="G957" s="21" t="str">
        <f>IFERROR(VLOOKUP(A957, 'Price Sheet'!$A$2:$B1010, 2, false), "")</f>
        <v/>
      </c>
      <c r="J957" s="21" t="str">
        <f t="shared" si="3"/>
        <v/>
      </c>
      <c r="K957" s="29"/>
      <c r="L957" s="29" t="b">
        <v>0</v>
      </c>
      <c r="M957" s="29"/>
      <c r="N957" s="21" t="str">
        <f>IFERROR(VLOOKUP(I957, 'Price Sheet'!$A$2:$B1010, 2, false), "")</f>
        <v/>
      </c>
    </row>
    <row r="958">
      <c r="B958" s="21" t="str">
        <f t="shared" si="4"/>
        <v/>
      </c>
      <c r="C958" s="29"/>
      <c r="D958" s="29"/>
      <c r="E958" s="29" t="b">
        <v>0</v>
      </c>
      <c r="F958" s="29"/>
      <c r="G958" s="21" t="str">
        <f>IFERROR(VLOOKUP(A958, 'Price Sheet'!$A$2:$B1010, 2, false), "")</f>
        <v/>
      </c>
      <c r="J958" s="21" t="str">
        <f t="shared" si="3"/>
        <v/>
      </c>
      <c r="K958" s="29"/>
      <c r="L958" s="29" t="b">
        <v>0</v>
      </c>
      <c r="M958" s="29"/>
      <c r="N958" s="21" t="str">
        <f>IFERROR(VLOOKUP(I958, 'Price Sheet'!$A$2:$B1010, 2, false), "")</f>
        <v/>
      </c>
    </row>
    <row r="959">
      <c r="B959" s="21" t="str">
        <f t="shared" si="4"/>
        <v/>
      </c>
      <c r="C959" s="29"/>
      <c r="D959" s="29"/>
      <c r="E959" s="29" t="b">
        <v>0</v>
      </c>
      <c r="F959" s="29"/>
      <c r="G959" s="21" t="str">
        <f>IFERROR(VLOOKUP(A959, 'Price Sheet'!$A$2:$B1010, 2, false), "")</f>
        <v/>
      </c>
      <c r="J959" s="21" t="str">
        <f t="shared" si="3"/>
        <v/>
      </c>
      <c r="K959" s="29"/>
      <c r="L959" s="29" t="b">
        <v>0</v>
      </c>
      <c r="M959" s="29"/>
      <c r="N959" s="21" t="str">
        <f>IFERROR(VLOOKUP(I959, 'Price Sheet'!$A$2:$B1010, 2, false), "")</f>
        <v/>
      </c>
    </row>
    <row r="960">
      <c r="B960" s="21" t="str">
        <f t="shared" si="4"/>
        <v/>
      </c>
      <c r="C960" s="29"/>
      <c r="D960" s="29"/>
      <c r="E960" s="29" t="b">
        <v>0</v>
      </c>
      <c r="F960" s="29"/>
      <c r="G960" s="21" t="str">
        <f>IFERROR(VLOOKUP(A960, 'Price Sheet'!$A$2:$B1010, 2, false), "")</f>
        <v/>
      </c>
      <c r="J960" s="21" t="str">
        <f t="shared" si="3"/>
        <v/>
      </c>
      <c r="K960" s="29"/>
      <c r="L960" s="29" t="b">
        <v>0</v>
      </c>
      <c r="M960" s="29"/>
      <c r="N960" s="21" t="str">
        <f>IFERROR(VLOOKUP(I960, 'Price Sheet'!$A$2:$B1010, 2, false), "")</f>
        <v/>
      </c>
    </row>
    <row r="961">
      <c r="B961" s="21" t="str">
        <f t="shared" si="4"/>
        <v/>
      </c>
      <c r="C961" s="29"/>
      <c r="D961" s="29"/>
      <c r="E961" s="29" t="b">
        <v>0</v>
      </c>
      <c r="F961" s="29"/>
      <c r="G961" s="21" t="str">
        <f>IFERROR(VLOOKUP(A961, 'Price Sheet'!$A$2:$B1010, 2, false), "")</f>
        <v/>
      </c>
      <c r="J961" s="21" t="str">
        <f t="shared" si="3"/>
        <v/>
      </c>
      <c r="K961" s="29"/>
      <c r="L961" s="29" t="b">
        <v>0</v>
      </c>
      <c r="M961" s="29"/>
      <c r="N961" s="21" t="str">
        <f>IFERROR(VLOOKUP(I961, 'Price Sheet'!$A$2:$B1010, 2, false), "")</f>
        <v/>
      </c>
    </row>
    <row r="962">
      <c r="B962" s="21" t="str">
        <f t="shared" si="4"/>
        <v/>
      </c>
      <c r="C962" s="29"/>
      <c r="D962" s="29"/>
      <c r="E962" s="29" t="b">
        <v>0</v>
      </c>
      <c r="F962" s="29"/>
      <c r="G962" s="21" t="str">
        <f>IFERROR(VLOOKUP(A962, 'Price Sheet'!$A$2:$B1010, 2, false), "")</f>
        <v/>
      </c>
      <c r="J962" s="21" t="str">
        <f t="shared" si="3"/>
        <v/>
      </c>
      <c r="K962" s="29"/>
      <c r="L962" s="29" t="b">
        <v>0</v>
      </c>
      <c r="M962" s="29"/>
      <c r="N962" s="21" t="str">
        <f>IFERROR(VLOOKUP(I962, 'Price Sheet'!$A$2:$B1010, 2, false), "")</f>
        <v/>
      </c>
    </row>
    <row r="963">
      <c r="B963" s="21" t="str">
        <f t="shared" si="4"/>
        <v/>
      </c>
      <c r="C963" s="29"/>
      <c r="D963" s="29"/>
      <c r="E963" s="29" t="b">
        <v>0</v>
      </c>
      <c r="F963" s="29"/>
      <c r="G963" s="21" t="str">
        <f>IFERROR(VLOOKUP(A963, 'Price Sheet'!$A$2:$B1010, 2, false), "")</f>
        <v/>
      </c>
      <c r="J963" s="21" t="str">
        <f t="shared" si="3"/>
        <v/>
      </c>
      <c r="K963" s="29"/>
      <c r="L963" s="29" t="b">
        <v>0</v>
      </c>
      <c r="M963" s="29"/>
      <c r="N963" s="21" t="str">
        <f>IFERROR(VLOOKUP(I963, 'Price Sheet'!$A$2:$B1010, 2, false), "")</f>
        <v/>
      </c>
    </row>
    <row r="964">
      <c r="B964" s="21" t="str">
        <f t="shared" si="4"/>
        <v/>
      </c>
      <c r="C964" s="29"/>
      <c r="D964" s="29"/>
      <c r="E964" s="29" t="b">
        <v>0</v>
      </c>
      <c r="F964" s="29"/>
      <c r="G964" s="21" t="str">
        <f>IFERROR(VLOOKUP(A964, 'Price Sheet'!$A$2:$B1010, 2, false), "")</f>
        <v/>
      </c>
      <c r="J964" s="21" t="str">
        <f t="shared" si="3"/>
        <v/>
      </c>
      <c r="K964" s="29"/>
      <c r="L964" s="29" t="b">
        <v>0</v>
      </c>
      <c r="M964" s="29"/>
      <c r="N964" s="21" t="str">
        <f>IFERROR(VLOOKUP(I964, 'Price Sheet'!$A$2:$B1010, 2, false), "")</f>
        <v/>
      </c>
    </row>
    <row r="965">
      <c r="B965" s="21" t="str">
        <f t="shared" si="4"/>
        <v/>
      </c>
      <c r="C965" s="29"/>
      <c r="D965" s="29"/>
      <c r="E965" s="29" t="b">
        <v>0</v>
      </c>
      <c r="F965" s="29"/>
      <c r="G965" s="21" t="str">
        <f>IFERROR(VLOOKUP(A965, 'Price Sheet'!$A$2:$B1010, 2, false), "")</f>
        <v/>
      </c>
      <c r="J965" s="21" t="str">
        <f t="shared" si="3"/>
        <v/>
      </c>
      <c r="K965" s="29"/>
      <c r="L965" s="29" t="b">
        <v>0</v>
      </c>
      <c r="M965" s="29"/>
      <c r="N965" s="21" t="str">
        <f>IFERROR(VLOOKUP(I965, 'Price Sheet'!$A$2:$B1010, 2, false), "")</f>
        <v/>
      </c>
    </row>
    <row r="966">
      <c r="B966" s="21" t="str">
        <f t="shared" si="4"/>
        <v/>
      </c>
      <c r="C966" s="29"/>
      <c r="D966" s="29"/>
      <c r="E966" s="29" t="b">
        <v>0</v>
      </c>
      <c r="F966" s="29"/>
      <c r="G966" s="21" t="str">
        <f>IFERROR(VLOOKUP(A966, 'Price Sheet'!$A$2:$B1010, 2, false), "")</f>
        <v/>
      </c>
      <c r="J966" s="21" t="str">
        <f t="shared" si="3"/>
        <v/>
      </c>
      <c r="K966" s="29"/>
      <c r="L966" s="29" t="b">
        <v>0</v>
      </c>
      <c r="M966" s="29"/>
      <c r="N966" s="21" t="str">
        <f>IFERROR(VLOOKUP(I966, 'Price Sheet'!$A$2:$B1010, 2, false), "")</f>
        <v/>
      </c>
    </row>
    <row r="967">
      <c r="B967" s="21" t="str">
        <f t="shared" si="4"/>
        <v/>
      </c>
      <c r="C967" s="29"/>
      <c r="D967" s="29"/>
      <c r="E967" s="29" t="b">
        <v>0</v>
      </c>
      <c r="F967" s="29"/>
      <c r="G967" s="21" t="str">
        <f>IFERROR(VLOOKUP(A967, 'Price Sheet'!$A$2:$B1010, 2, false), "")</f>
        <v/>
      </c>
      <c r="J967" s="21" t="str">
        <f t="shared" si="3"/>
        <v/>
      </c>
      <c r="K967" s="29"/>
      <c r="L967" s="29" t="b">
        <v>0</v>
      </c>
      <c r="M967" s="29"/>
      <c r="N967" s="21" t="str">
        <f>IFERROR(VLOOKUP(I967, 'Price Sheet'!$A$2:$B1010, 2, false), "")</f>
        <v/>
      </c>
    </row>
    <row r="968">
      <c r="B968" s="21" t="str">
        <f t="shared" si="4"/>
        <v/>
      </c>
      <c r="C968" s="29"/>
      <c r="D968" s="29"/>
      <c r="E968" s="29" t="b">
        <v>0</v>
      </c>
      <c r="F968" s="29"/>
      <c r="G968" s="21" t="str">
        <f>IFERROR(VLOOKUP(A968, 'Price Sheet'!$A$2:$B1010, 2, false), "")</f>
        <v/>
      </c>
      <c r="J968" s="21" t="str">
        <f t="shared" si="3"/>
        <v/>
      </c>
      <c r="K968" s="29"/>
      <c r="L968" s="29" t="b">
        <v>0</v>
      </c>
      <c r="M968" s="29"/>
      <c r="N968" s="21" t="str">
        <f>IFERROR(VLOOKUP(I968, 'Price Sheet'!$A$2:$B1010, 2, false), "")</f>
        <v/>
      </c>
    </row>
    <row r="969">
      <c r="B969" s="21" t="str">
        <f t="shared" si="4"/>
        <v/>
      </c>
      <c r="C969" s="29"/>
      <c r="D969" s="29"/>
      <c r="E969" s="29" t="b">
        <v>0</v>
      </c>
      <c r="F969" s="29"/>
      <c r="G969" s="21" t="str">
        <f>IFERROR(VLOOKUP(A969, 'Price Sheet'!$A$2:$B1010, 2, false), "")</f>
        <v/>
      </c>
      <c r="J969" s="21" t="str">
        <f t="shared" si="3"/>
        <v/>
      </c>
      <c r="K969" s="29"/>
      <c r="L969" s="29" t="b">
        <v>0</v>
      </c>
      <c r="M969" s="29"/>
      <c r="N969" s="21" t="str">
        <f>IFERROR(VLOOKUP(I969, 'Price Sheet'!$A$2:$B1010, 2, false), "")</f>
        <v/>
      </c>
    </row>
    <row r="970">
      <c r="B970" s="21" t="str">
        <f t="shared" si="4"/>
        <v/>
      </c>
      <c r="C970" s="29"/>
      <c r="D970" s="29"/>
      <c r="E970" s="29" t="b">
        <v>0</v>
      </c>
      <c r="F970" s="29"/>
      <c r="G970" s="21" t="str">
        <f>IFERROR(VLOOKUP(A970, 'Price Sheet'!$A$2:$B1010, 2, false), "")</f>
        <v/>
      </c>
      <c r="J970" s="21" t="str">
        <f t="shared" si="3"/>
        <v/>
      </c>
      <c r="K970" s="29"/>
      <c r="L970" s="29" t="b">
        <v>0</v>
      </c>
      <c r="M970" s="29"/>
      <c r="N970" s="21" t="str">
        <f>IFERROR(VLOOKUP(I970, 'Price Sheet'!$A$2:$B1010, 2, false), "")</f>
        <v/>
      </c>
    </row>
    <row r="971">
      <c r="B971" s="21" t="str">
        <f t="shared" si="4"/>
        <v/>
      </c>
      <c r="C971" s="29"/>
      <c r="D971" s="29"/>
      <c r="E971" s="29" t="b">
        <v>0</v>
      </c>
      <c r="F971" s="29"/>
      <c r="G971" s="21" t="str">
        <f>IFERROR(VLOOKUP(A971, 'Price Sheet'!$A$2:$B1010, 2, false), "")</f>
        <v/>
      </c>
      <c r="J971" s="21" t="str">
        <f t="shared" si="3"/>
        <v/>
      </c>
      <c r="K971" s="29"/>
      <c r="L971" s="29" t="b">
        <v>0</v>
      </c>
      <c r="M971" s="29"/>
      <c r="N971" s="21" t="str">
        <f>IFERROR(VLOOKUP(I971, 'Price Sheet'!$A$2:$B1010, 2, false), "")</f>
        <v/>
      </c>
    </row>
    <row r="972">
      <c r="B972" s="21" t="str">
        <f t="shared" si="4"/>
        <v/>
      </c>
      <c r="C972" s="29"/>
      <c r="D972" s="29"/>
      <c r="E972" s="29" t="b">
        <v>0</v>
      </c>
      <c r="F972" s="29"/>
      <c r="G972" s="21" t="str">
        <f>IFERROR(VLOOKUP(A972, 'Price Sheet'!$A$2:$B1010, 2, false), "")</f>
        <v/>
      </c>
      <c r="J972" s="21" t="str">
        <f t="shared" si="3"/>
        <v/>
      </c>
      <c r="K972" s="29"/>
      <c r="L972" s="29" t="b">
        <v>0</v>
      </c>
      <c r="M972" s="29"/>
      <c r="N972" s="21" t="str">
        <f>IFERROR(VLOOKUP(I972, 'Price Sheet'!$A$2:$B1010, 2, false), "")</f>
        <v/>
      </c>
    </row>
    <row r="973">
      <c r="B973" s="21" t="str">
        <f t="shared" si="4"/>
        <v/>
      </c>
      <c r="C973" s="29"/>
      <c r="D973" s="29"/>
      <c r="E973" s="29" t="b">
        <v>0</v>
      </c>
      <c r="F973" s="29"/>
      <c r="G973" s="21" t="str">
        <f>IFERROR(VLOOKUP(A973, 'Price Sheet'!$A$2:$B1010, 2, false), "")</f>
        <v/>
      </c>
      <c r="J973" s="21" t="str">
        <f t="shared" si="3"/>
        <v/>
      </c>
      <c r="K973" s="29"/>
      <c r="L973" s="29" t="b">
        <v>0</v>
      </c>
      <c r="M973" s="29"/>
      <c r="N973" s="21" t="str">
        <f>IFERROR(VLOOKUP(I973, 'Price Sheet'!$A$2:$B1010, 2, false), "")</f>
        <v/>
      </c>
    </row>
    <row r="974">
      <c r="B974" s="21" t="str">
        <f t="shared" si="4"/>
        <v/>
      </c>
      <c r="C974" s="29"/>
      <c r="D974" s="29"/>
      <c r="E974" s="29" t="b">
        <v>0</v>
      </c>
      <c r="F974" s="29"/>
      <c r="G974" s="21" t="str">
        <f>IFERROR(VLOOKUP(A974, 'Price Sheet'!$A$2:$B1010, 2, false), "")</f>
        <v/>
      </c>
      <c r="J974" s="21" t="str">
        <f t="shared" si="3"/>
        <v/>
      </c>
      <c r="K974" s="29"/>
      <c r="L974" s="29" t="b">
        <v>0</v>
      </c>
      <c r="M974" s="29"/>
      <c r="N974" s="21" t="str">
        <f>IFERROR(VLOOKUP(I974, 'Price Sheet'!$A$2:$B1010, 2, false), "")</f>
        <v/>
      </c>
    </row>
    <row r="975">
      <c r="B975" s="21" t="str">
        <f t="shared" si="4"/>
        <v/>
      </c>
      <c r="C975" s="29"/>
      <c r="D975" s="29"/>
      <c r="E975" s="29" t="b">
        <v>0</v>
      </c>
      <c r="F975" s="29"/>
      <c r="G975" s="21" t="str">
        <f>IFERROR(VLOOKUP(A975, 'Price Sheet'!$A$2:$B1010, 2, false), "")</f>
        <v/>
      </c>
      <c r="J975" s="21" t="str">
        <f t="shared" si="3"/>
        <v/>
      </c>
      <c r="K975" s="29"/>
      <c r="L975" s="29" t="b">
        <v>0</v>
      </c>
      <c r="M975" s="29"/>
      <c r="N975" s="21" t="str">
        <f>IFERROR(VLOOKUP(I975, 'Price Sheet'!$A$2:$B1010, 2, false), "")</f>
        <v/>
      </c>
    </row>
    <row r="976">
      <c r="B976" s="21" t="str">
        <f t="shared" si="4"/>
        <v/>
      </c>
      <c r="C976" s="29"/>
      <c r="D976" s="29"/>
      <c r="E976" s="29" t="b">
        <v>0</v>
      </c>
      <c r="F976" s="29"/>
      <c r="G976" s="21" t="str">
        <f>IFERROR(VLOOKUP(A976, 'Price Sheet'!$A$2:$B1010, 2, false), "")</f>
        <v/>
      </c>
      <c r="J976" s="21" t="str">
        <f t="shared" si="3"/>
        <v/>
      </c>
      <c r="K976" s="29"/>
      <c r="L976" s="29" t="b">
        <v>0</v>
      </c>
      <c r="M976" s="29"/>
      <c r="N976" s="21" t="str">
        <f>IFERROR(VLOOKUP(I976, 'Price Sheet'!$A$2:$B1010, 2, false), "")</f>
        <v/>
      </c>
    </row>
    <row r="977">
      <c r="B977" s="21" t="str">
        <f t="shared" si="4"/>
        <v/>
      </c>
      <c r="C977" s="29"/>
      <c r="D977" s="29"/>
      <c r="E977" s="29" t="b">
        <v>0</v>
      </c>
      <c r="F977" s="29"/>
      <c r="G977" s="21" t="str">
        <f>IFERROR(VLOOKUP(A977, 'Price Sheet'!$A$2:$B1010, 2, false), "")</f>
        <v/>
      </c>
      <c r="J977" s="21" t="str">
        <f t="shared" si="3"/>
        <v/>
      </c>
      <c r="K977" s="29"/>
      <c r="L977" s="29" t="b">
        <v>0</v>
      </c>
      <c r="M977" s="29"/>
      <c r="N977" s="21" t="str">
        <f>IFERROR(VLOOKUP(I977, 'Price Sheet'!$A$2:$B1010, 2, false), "")</f>
        <v/>
      </c>
    </row>
    <row r="978">
      <c r="B978" s="21" t="str">
        <f t="shared" si="4"/>
        <v/>
      </c>
      <c r="C978" s="29"/>
      <c r="D978" s="29"/>
      <c r="E978" s="29" t="b">
        <v>0</v>
      </c>
      <c r="F978" s="29"/>
      <c r="G978" s="21" t="str">
        <f>IFERROR(VLOOKUP(A978, 'Price Sheet'!$A$2:$B1010, 2, false), "")</f>
        <v/>
      </c>
      <c r="J978" s="21" t="str">
        <f t="shared" si="3"/>
        <v/>
      </c>
      <c r="K978" s="29"/>
      <c r="L978" s="29" t="b">
        <v>0</v>
      </c>
      <c r="M978" s="29"/>
      <c r="N978" s="21" t="str">
        <f>IFERROR(VLOOKUP(I978, 'Price Sheet'!$A$2:$B1010, 2, false), "")</f>
        <v/>
      </c>
    </row>
    <row r="979">
      <c r="B979" s="21" t="str">
        <f t="shared" si="4"/>
        <v/>
      </c>
      <c r="C979" s="29"/>
      <c r="D979" s="29"/>
      <c r="E979" s="29" t="b">
        <v>0</v>
      </c>
      <c r="F979" s="29"/>
      <c r="G979" s="21" t="str">
        <f>IFERROR(VLOOKUP(A979, 'Price Sheet'!$A$2:$B1010, 2, false), "")</f>
        <v/>
      </c>
      <c r="J979" s="21" t="str">
        <f t="shared" si="3"/>
        <v/>
      </c>
      <c r="K979" s="29"/>
      <c r="L979" s="29" t="b">
        <v>0</v>
      </c>
      <c r="M979" s="29"/>
      <c r="N979" s="21" t="str">
        <f>IFERROR(VLOOKUP(I979, 'Price Sheet'!$A$2:$B1010, 2, false), "")</f>
        <v/>
      </c>
    </row>
    <row r="980">
      <c r="B980" s="21" t="str">
        <f t="shared" si="4"/>
        <v/>
      </c>
      <c r="C980" s="29"/>
      <c r="D980" s="29"/>
      <c r="E980" s="29" t="b">
        <v>0</v>
      </c>
      <c r="F980" s="29"/>
      <c r="G980" s="21" t="str">
        <f>IFERROR(VLOOKUP(A980, 'Price Sheet'!$A$2:$B1010, 2, false), "")</f>
        <v/>
      </c>
      <c r="J980" s="21" t="str">
        <f t="shared" si="3"/>
        <v/>
      </c>
      <c r="K980" s="29"/>
      <c r="L980" s="29" t="b">
        <v>0</v>
      </c>
      <c r="M980" s="29"/>
      <c r="N980" s="21" t="str">
        <f>IFERROR(VLOOKUP(I980, 'Price Sheet'!$A$2:$B1010, 2, false), "")</f>
        <v/>
      </c>
    </row>
    <row r="981">
      <c r="B981" s="21" t="str">
        <f t="shared" si="4"/>
        <v/>
      </c>
      <c r="C981" s="29"/>
      <c r="D981" s="29"/>
      <c r="E981" s="29" t="b">
        <v>0</v>
      </c>
      <c r="F981" s="29"/>
      <c r="G981" s="21" t="str">
        <f>IFERROR(VLOOKUP(A981, 'Price Sheet'!$A$2:$B1010, 2, false), "")</f>
        <v/>
      </c>
      <c r="J981" s="21" t="str">
        <f t="shared" si="3"/>
        <v/>
      </c>
      <c r="K981" s="29"/>
      <c r="L981" s="29" t="b">
        <v>0</v>
      </c>
      <c r="M981" s="29"/>
      <c r="N981" s="21" t="str">
        <f>IFERROR(VLOOKUP(I981, 'Price Sheet'!$A$2:$B1010, 2, false), "")</f>
        <v/>
      </c>
    </row>
    <row r="982">
      <c r="B982" s="21" t="str">
        <f t="shared" si="4"/>
        <v/>
      </c>
      <c r="C982" s="29"/>
      <c r="D982" s="29"/>
      <c r="E982" s="29" t="b">
        <v>0</v>
      </c>
      <c r="F982" s="29"/>
      <c r="G982" s="21" t="str">
        <f>IFERROR(VLOOKUP(A982, 'Price Sheet'!$A$2:$B1010, 2, false), "")</f>
        <v/>
      </c>
      <c r="J982" s="21" t="str">
        <f t="shared" si="3"/>
        <v/>
      </c>
      <c r="K982" s="29"/>
      <c r="L982" s="29" t="b">
        <v>0</v>
      </c>
      <c r="M982" s="29"/>
      <c r="N982" s="21" t="str">
        <f>IFERROR(VLOOKUP(I982, 'Price Sheet'!$A$2:$B1010, 2, false), "")</f>
        <v/>
      </c>
    </row>
    <row r="983">
      <c r="B983" s="21" t="str">
        <f t="shared" si="4"/>
        <v/>
      </c>
      <c r="C983" s="29"/>
      <c r="D983" s="29"/>
      <c r="E983" s="29" t="b">
        <v>0</v>
      </c>
      <c r="F983" s="29"/>
      <c r="G983" s="21" t="str">
        <f>IFERROR(VLOOKUP(A983, 'Price Sheet'!$A$2:$B1010, 2, false), "")</f>
        <v/>
      </c>
      <c r="J983" s="21" t="str">
        <f t="shared" si="3"/>
        <v/>
      </c>
      <c r="K983" s="29"/>
      <c r="L983" s="29" t="b">
        <v>0</v>
      </c>
      <c r="M983" s="29"/>
      <c r="N983" s="21" t="str">
        <f>IFERROR(VLOOKUP(I983, 'Price Sheet'!$A$2:$B1010, 2, false), "")</f>
        <v/>
      </c>
    </row>
    <row r="984">
      <c r="B984" s="21" t="str">
        <f t="shared" si="4"/>
        <v/>
      </c>
      <c r="C984" s="29"/>
      <c r="D984" s="29"/>
      <c r="E984" s="29" t="b">
        <v>0</v>
      </c>
      <c r="F984" s="29"/>
      <c r="G984" s="21" t="str">
        <f>IFERROR(VLOOKUP(A984, 'Price Sheet'!$A$2:$B1010, 2, false), "")</f>
        <v/>
      </c>
      <c r="J984" s="21" t="str">
        <f t="shared" si="3"/>
        <v/>
      </c>
      <c r="K984" s="29"/>
      <c r="L984" s="29" t="b">
        <v>0</v>
      </c>
      <c r="M984" s="29"/>
      <c r="N984" s="21" t="str">
        <f>IFERROR(VLOOKUP(I984, 'Price Sheet'!$A$2:$B1010, 2, false), "")</f>
        <v/>
      </c>
    </row>
    <row r="985">
      <c r="B985" s="21" t="str">
        <f t="shared" si="4"/>
        <v/>
      </c>
      <c r="C985" s="29"/>
      <c r="D985" s="29"/>
      <c r="E985" s="29" t="b">
        <v>0</v>
      </c>
      <c r="F985" s="29"/>
      <c r="G985" s="21" t="str">
        <f>IFERROR(VLOOKUP(A985, 'Price Sheet'!$A$2:$B1010, 2, false), "")</f>
        <v/>
      </c>
      <c r="J985" s="21" t="str">
        <f t="shared" si="3"/>
        <v/>
      </c>
      <c r="K985" s="29"/>
      <c r="L985" s="29" t="b">
        <v>0</v>
      </c>
      <c r="M985" s="29"/>
      <c r="N985" s="21" t="str">
        <f>IFERROR(VLOOKUP(I985, 'Price Sheet'!$A$2:$B1010, 2, false), "")</f>
        <v/>
      </c>
    </row>
    <row r="986">
      <c r="B986" s="21" t="str">
        <f t="shared" si="4"/>
        <v/>
      </c>
      <c r="C986" s="29"/>
      <c r="D986" s="29"/>
      <c r="E986" s="29" t="b">
        <v>0</v>
      </c>
      <c r="F986" s="29"/>
      <c r="G986" s="21" t="str">
        <f>IFERROR(VLOOKUP(A986, 'Price Sheet'!$A$2:$B1010, 2, false), "")</f>
        <v/>
      </c>
      <c r="J986" s="21" t="str">
        <f t="shared" si="3"/>
        <v/>
      </c>
      <c r="K986" s="29"/>
      <c r="L986" s="29" t="b">
        <v>0</v>
      </c>
      <c r="M986" s="29"/>
      <c r="N986" s="21" t="str">
        <f>IFERROR(VLOOKUP(I986, 'Price Sheet'!$A$2:$B1010, 2, false), "")</f>
        <v/>
      </c>
    </row>
    <row r="987">
      <c r="B987" s="21" t="str">
        <f t="shared" si="4"/>
        <v/>
      </c>
      <c r="C987" s="29"/>
      <c r="D987" s="29"/>
      <c r="E987" s="29" t="b">
        <v>0</v>
      </c>
      <c r="F987" s="29"/>
      <c r="G987" s="21" t="str">
        <f>IFERROR(VLOOKUP(A987, 'Price Sheet'!$A$2:$B1010, 2, false), "")</f>
        <v/>
      </c>
      <c r="J987" s="21" t="str">
        <f t="shared" si="3"/>
        <v/>
      </c>
      <c r="K987" s="29"/>
      <c r="L987" s="29" t="b">
        <v>0</v>
      </c>
      <c r="M987" s="29"/>
      <c r="N987" s="21" t="str">
        <f>IFERROR(VLOOKUP(I987, 'Price Sheet'!$A$2:$B1010, 2, false), "")</f>
        <v/>
      </c>
    </row>
    <row r="988">
      <c r="B988" s="21" t="str">
        <f t="shared" si="4"/>
        <v/>
      </c>
      <c r="C988" s="29"/>
      <c r="D988" s="29"/>
      <c r="E988" s="29" t="b">
        <v>0</v>
      </c>
      <c r="F988" s="29"/>
      <c r="G988" s="21" t="str">
        <f>IFERROR(VLOOKUP(A988, 'Price Sheet'!$A$2:$B1010, 2, false), "")</f>
        <v/>
      </c>
      <c r="J988" s="21" t="str">
        <f t="shared" si="3"/>
        <v/>
      </c>
      <c r="K988" s="29"/>
      <c r="L988" s="29" t="b">
        <v>0</v>
      </c>
      <c r="M988" s="29"/>
      <c r="N988" s="21" t="str">
        <f>IFERROR(VLOOKUP(I988, 'Price Sheet'!$A$2:$B1010, 2, false), "")</f>
        <v/>
      </c>
    </row>
    <row r="989">
      <c r="B989" s="21" t="str">
        <f t="shared" si="4"/>
        <v/>
      </c>
      <c r="C989" s="29"/>
      <c r="D989" s="29"/>
      <c r="E989" s="29" t="b">
        <v>0</v>
      </c>
      <c r="F989" s="29"/>
      <c r="G989" s="21" t="str">
        <f>IFERROR(VLOOKUP(A989, 'Price Sheet'!$A$2:$B1010, 2, false), "")</f>
        <v/>
      </c>
      <c r="J989" s="21" t="str">
        <f t="shared" si="3"/>
        <v/>
      </c>
      <c r="K989" s="29"/>
      <c r="L989" s="29" t="b">
        <v>0</v>
      </c>
      <c r="M989" s="29"/>
      <c r="N989" s="21" t="str">
        <f>IFERROR(VLOOKUP(I989, 'Price Sheet'!$A$2:$B1010, 2, false), "")</f>
        <v/>
      </c>
    </row>
    <row r="990">
      <c r="B990" s="21" t="str">
        <f t="shared" si="4"/>
        <v/>
      </c>
      <c r="C990" s="29"/>
      <c r="D990" s="29"/>
      <c r="E990" s="29" t="b">
        <v>0</v>
      </c>
      <c r="F990" s="29"/>
      <c r="G990" s="21" t="str">
        <f>IFERROR(VLOOKUP(A990, 'Price Sheet'!$A$2:$B1010, 2, false), "")</f>
        <v/>
      </c>
      <c r="J990" s="21" t="str">
        <f t="shared" si="3"/>
        <v/>
      </c>
      <c r="K990" s="29"/>
      <c r="L990" s="29" t="b">
        <v>0</v>
      </c>
      <c r="M990" s="29"/>
      <c r="N990" s="21" t="str">
        <f>IFERROR(VLOOKUP(I990, 'Price Sheet'!$A$2:$B1010, 2, false), "")</f>
        <v/>
      </c>
    </row>
    <row r="991">
      <c r="B991" s="21" t="str">
        <f t="shared" si="4"/>
        <v/>
      </c>
      <c r="C991" s="29"/>
      <c r="D991" s="29"/>
      <c r="E991" s="29" t="b">
        <v>0</v>
      </c>
      <c r="F991" s="29"/>
      <c r="G991" s="21" t="str">
        <f>IFERROR(VLOOKUP(A991, 'Price Sheet'!$A$2:$B1010, 2, false), "")</f>
        <v/>
      </c>
      <c r="J991" s="21" t="str">
        <f t="shared" si="3"/>
        <v/>
      </c>
      <c r="K991" s="29"/>
      <c r="L991" s="29" t="b">
        <v>0</v>
      </c>
      <c r="M991" s="29"/>
      <c r="N991" s="21" t="str">
        <f>IFERROR(VLOOKUP(I991, 'Price Sheet'!$A$2:$B1010, 2, false), "")</f>
        <v/>
      </c>
    </row>
    <row r="992">
      <c r="B992" s="21" t="str">
        <f t="shared" si="4"/>
        <v/>
      </c>
      <c r="C992" s="29"/>
      <c r="D992" s="29"/>
      <c r="E992" s="29" t="b">
        <v>0</v>
      </c>
      <c r="F992" s="29"/>
      <c r="G992" s="21" t="str">
        <f>IFERROR(VLOOKUP(A992, 'Price Sheet'!$A$2:$B1010, 2, false), "")</f>
        <v/>
      </c>
      <c r="J992" s="21" t="str">
        <f t="shared" si="3"/>
        <v/>
      </c>
      <c r="K992" s="29"/>
      <c r="L992" s="29" t="b">
        <v>0</v>
      </c>
      <c r="M992" s="29"/>
      <c r="N992" s="21" t="str">
        <f>IFERROR(VLOOKUP(I992, 'Price Sheet'!$A$2:$B1010, 2, false), "")</f>
        <v/>
      </c>
    </row>
    <row r="993">
      <c r="B993" s="21" t="str">
        <f t="shared" si="4"/>
        <v/>
      </c>
      <c r="C993" s="29"/>
      <c r="D993" s="29"/>
      <c r="E993" s="29" t="b">
        <v>0</v>
      </c>
      <c r="F993" s="29"/>
      <c r="G993" s="21" t="str">
        <f>IFERROR(VLOOKUP(A993, 'Price Sheet'!$A$2:$B1010, 2, false), "")</f>
        <v/>
      </c>
      <c r="J993" s="21" t="str">
        <f t="shared" si="3"/>
        <v/>
      </c>
      <c r="K993" s="29"/>
      <c r="L993" s="29" t="b">
        <v>0</v>
      </c>
      <c r="M993" s="29"/>
      <c r="N993" s="21" t="str">
        <f>IFERROR(VLOOKUP(I993, 'Price Sheet'!$A$2:$B1010, 2, false), "")</f>
        <v/>
      </c>
    </row>
    <row r="994">
      <c r="B994" s="21" t="str">
        <f t="shared" si="4"/>
        <v/>
      </c>
      <c r="C994" s="29"/>
      <c r="D994" s="29"/>
      <c r="E994" s="29" t="b">
        <v>0</v>
      </c>
      <c r="F994" s="29"/>
      <c r="G994" s="21" t="str">
        <f>IFERROR(VLOOKUP(A994, 'Price Sheet'!$A$2:$B1010, 2, false), "")</f>
        <v/>
      </c>
      <c r="J994" s="21" t="str">
        <f t="shared" si="3"/>
        <v/>
      </c>
      <c r="K994" s="29"/>
      <c r="L994" s="29" t="b">
        <v>0</v>
      </c>
      <c r="M994" s="29"/>
      <c r="N994" s="21" t="str">
        <f>IFERROR(VLOOKUP(I994, 'Price Sheet'!$A$2:$B1010, 2, false), "")</f>
        <v/>
      </c>
    </row>
    <row r="995">
      <c r="B995" s="21" t="str">
        <f t="shared" si="4"/>
        <v/>
      </c>
      <c r="C995" s="29"/>
      <c r="D995" s="29"/>
      <c r="E995" s="29" t="b">
        <v>0</v>
      </c>
      <c r="F995" s="29"/>
      <c r="G995" s="21" t="str">
        <f>IFERROR(VLOOKUP(A995, 'Price Sheet'!$A$2:$B1010, 2, false), "")</f>
        <v/>
      </c>
      <c r="J995" s="21" t="str">
        <f t="shared" si="3"/>
        <v/>
      </c>
      <c r="K995" s="29"/>
      <c r="L995" s="29" t="b">
        <v>0</v>
      </c>
      <c r="M995" s="29"/>
      <c r="N995" s="21" t="str">
        <f>IFERROR(VLOOKUP(I995, 'Price Sheet'!$A$2:$B1010, 2, false), "")</f>
        <v/>
      </c>
    </row>
    <row r="996">
      <c r="B996" s="21" t="str">
        <f t="shared" si="4"/>
        <v/>
      </c>
      <c r="C996" s="29"/>
      <c r="D996" s="29"/>
      <c r="E996" s="29" t="b">
        <v>0</v>
      </c>
      <c r="F996" s="29"/>
      <c r="G996" s="21" t="str">
        <f>IFERROR(VLOOKUP(A996, 'Price Sheet'!$A$2:$B1010, 2, false), "")</f>
        <v/>
      </c>
      <c r="J996" s="21" t="str">
        <f t="shared" si="3"/>
        <v/>
      </c>
      <c r="K996" s="29"/>
      <c r="L996" s="29" t="b">
        <v>0</v>
      </c>
      <c r="M996" s="29"/>
      <c r="N996" s="21" t="str">
        <f>IFERROR(VLOOKUP(I996, 'Price Sheet'!$A$2:$B1010, 2, false), "")</f>
        <v/>
      </c>
    </row>
    <row r="997">
      <c r="B997" s="21" t="str">
        <f t="shared" si="4"/>
        <v/>
      </c>
      <c r="C997" s="29"/>
      <c r="D997" s="29"/>
      <c r="E997" s="29" t="b">
        <v>0</v>
      </c>
      <c r="F997" s="29"/>
      <c r="G997" s="21" t="str">
        <f>IFERROR(VLOOKUP(A997, 'Price Sheet'!$A$2:$B1010, 2, false), "")</f>
        <v/>
      </c>
      <c r="J997" s="21" t="str">
        <f t="shared" si="3"/>
        <v/>
      </c>
      <c r="K997" s="29"/>
      <c r="L997" s="29" t="b">
        <v>0</v>
      </c>
      <c r="M997" s="29"/>
      <c r="N997" s="21" t="str">
        <f>IFERROR(VLOOKUP(I997, 'Price Sheet'!$A$2:$B1010, 2, false), "")</f>
        <v/>
      </c>
    </row>
    <row r="998">
      <c r="B998" s="21" t="str">
        <f t="shared" si="4"/>
        <v/>
      </c>
      <c r="C998" s="29"/>
      <c r="D998" s="29"/>
      <c r="E998" s="29" t="b">
        <v>0</v>
      </c>
      <c r="F998" s="29"/>
      <c r="G998" s="21" t="str">
        <f>IFERROR(VLOOKUP(A998, 'Price Sheet'!$A$2:$B1010, 2, false), "")</f>
        <v/>
      </c>
      <c r="J998" s="21" t="str">
        <f t="shared" si="3"/>
        <v/>
      </c>
      <c r="K998" s="29"/>
      <c r="L998" s="29" t="b">
        <v>0</v>
      </c>
      <c r="M998" s="29"/>
      <c r="N998" s="21" t="str">
        <f>IFERROR(VLOOKUP(I998, 'Price Sheet'!$A$2:$B1010, 2, false), "")</f>
        <v/>
      </c>
    </row>
    <row r="999">
      <c r="B999" s="21" t="str">
        <f t="shared" si="4"/>
        <v/>
      </c>
      <c r="C999" s="29"/>
      <c r="D999" s="29"/>
      <c r="E999" s="29" t="b">
        <v>0</v>
      </c>
      <c r="F999" s="29"/>
      <c r="G999" s="21" t="str">
        <f>IFERROR(VLOOKUP(A999, 'Price Sheet'!$A$2:$B1010, 2, false), "")</f>
        <v/>
      </c>
      <c r="J999" s="21" t="str">
        <f t="shared" si="3"/>
        <v/>
      </c>
      <c r="K999" s="29"/>
      <c r="L999" s="29" t="b">
        <v>0</v>
      </c>
      <c r="M999" s="29"/>
      <c r="N999" s="21" t="str">
        <f>IFERROR(VLOOKUP(I999, 'Price Sheet'!$A$2:$B1010, 2, false), "")</f>
        <v/>
      </c>
    </row>
    <row r="1000">
      <c r="B1000" s="21" t="str">
        <f t="shared" si="4"/>
        <v/>
      </c>
      <c r="C1000" s="29"/>
      <c r="D1000" s="29"/>
      <c r="E1000" s="29" t="b">
        <v>0</v>
      </c>
      <c r="F1000" s="29"/>
      <c r="G1000" s="21" t="str">
        <f>IFERROR(VLOOKUP(A1000, 'Price Sheet'!$A$2:$B1010, 2, false), "")</f>
        <v/>
      </c>
      <c r="J1000" s="21" t="str">
        <f t="shared" si="3"/>
        <v/>
      </c>
      <c r="K1000" s="29"/>
      <c r="L1000" s="29" t="b">
        <v>0</v>
      </c>
      <c r="M1000" s="29"/>
      <c r="N1000" s="21" t="str">
        <f>IFERROR(VLOOKUP(I1000, 'Price Sheet'!$A$2:$B1010, 2, false), "")</f>
        <v/>
      </c>
    </row>
    <row r="1001">
      <c r="B1001" s="21" t="str">
        <f t="shared" si="4"/>
        <v/>
      </c>
      <c r="C1001" s="29"/>
      <c r="D1001" s="29"/>
      <c r="E1001" s="29" t="b">
        <v>0</v>
      </c>
      <c r="F1001" s="29"/>
      <c r="G1001" s="21" t="str">
        <f>IFERROR(VLOOKUP(A1001, 'Price Sheet'!$A$2:$B1010, 2, false), "")</f>
        <v/>
      </c>
      <c r="J1001" s="21" t="str">
        <f t="shared" si="3"/>
        <v/>
      </c>
      <c r="K1001" s="29"/>
      <c r="L1001" s="29" t="b">
        <v>0</v>
      </c>
      <c r="M1001" s="29"/>
      <c r="N1001" s="21" t="str">
        <f>IFERROR(VLOOKUP(I1001, 'Price Sheet'!$A$2:$B1010, 2, false), "")</f>
        <v/>
      </c>
    </row>
    <row r="1002">
      <c r="B1002" s="21" t="str">
        <f t="shared" si="4"/>
        <v/>
      </c>
      <c r="C1002" s="29"/>
      <c r="D1002" s="29"/>
      <c r="E1002" s="29" t="b">
        <v>0</v>
      </c>
      <c r="F1002" s="29"/>
      <c r="G1002" s="21" t="str">
        <f>IFERROR(VLOOKUP(A1002, 'Price Sheet'!$A$2:$B1010, 2, false), "")</f>
        <v/>
      </c>
      <c r="J1002" s="21" t="str">
        <f t="shared" si="3"/>
        <v/>
      </c>
      <c r="K1002" s="29"/>
      <c r="L1002" s="29" t="b">
        <v>0</v>
      </c>
      <c r="M1002" s="29"/>
      <c r="N1002" s="21" t="str">
        <f>IFERROR(VLOOKUP(I1002, 'Price Sheet'!$A$2:$B1010, 2, false), "")</f>
        <v/>
      </c>
    </row>
    <row r="1003">
      <c r="B1003" s="21" t="str">
        <f t="shared" si="4"/>
        <v/>
      </c>
      <c r="C1003" s="29"/>
      <c r="D1003" s="29"/>
      <c r="E1003" s="29" t="b">
        <v>0</v>
      </c>
      <c r="F1003" s="29"/>
      <c r="G1003" s="21" t="str">
        <f>IFERROR(VLOOKUP(A1003, 'Price Sheet'!$A$2:$B1010, 2, false), "")</f>
        <v/>
      </c>
      <c r="J1003" s="21" t="str">
        <f t="shared" si="3"/>
        <v/>
      </c>
      <c r="K1003" s="29"/>
      <c r="L1003" s="29" t="b">
        <v>0</v>
      </c>
      <c r="M1003" s="29"/>
      <c r="N1003" s="21" t="str">
        <f>IFERROR(VLOOKUP(I1003, 'Price Sheet'!$A$2:$B1010, 2, false), "")</f>
        <v/>
      </c>
    </row>
    <row r="1004">
      <c r="B1004" s="21" t="str">
        <f t="shared" si="4"/>
        <v/>
      </c>
      <c r="C1004" s="29"/>
      <c r="D1004" s="29"/>
      <c r="E1004" s="29" t="b">
        <v>0</v>
      </c>
      <c r="F1004" s="29"/>
      <c r="G1004" s="21" t="str">
        <f>IFERROR(VLOOKUP(A1004, 'Price Sheet'!$A$2:$B1010, 2, false), "")</f>
        <v/>
      </c>
      <c r="J1004" s="21" t="str">
        <f t="shared" si="3"/>
        <v/>
      </c>
      <c r="K1004" s="29"/>
      <c r="L1004" s="29" t="b">
        <v>0</v>
      </c>
      <c r="M1004" s="29"/>
      <c r="N1004" s="21" t="str">
        <f>IFERROR(VLOOKUP(I1004, 'Price Sheet'!$A$2:$B1010, 2, false), "")</f>
        <v/>
      </c>
    </row>
    <row r="1005">
      <c r="B1005" s="21" t="str">
        <f t="shared" si="4"/>
        <v/>
      </c>
      <c r="C1005" s="29"/>
      <c r="D1005" s="29"/>
      <c r="E1005" s="29" t="b">
        <v>0</v>
      </c>
      <c r="F1005" s="29"/>
      <c r="G1005" s="21" t="str">
        <f>IFERROR(VLOOKUP(A1005, 'Price Sheet'!$A$2:$B1010, 2, false), "")</f>
        <v/>
      </c>
      <c r="J1005" s="21" t="str">
        <f t="shared" si="3"/>
        <v/>
      </c>
      <c r="K1005" s="29"/>
      <c r="L1005" s="29" t="b">
        <v>0</v>
      </c>
      <c r="M1005" s="29"/>
      <c r="N1005" s="21" t="str">
        <f>IFERROR(VLOOKUP(I1005, 'Price Sheet'!$A$2:$B1010, 2, false), "")</f>
        <v/>
      </c>
    </row>
    <row r="1006">
      <c r="B1006" s="21" t="str">
        <f t="shared" si="4"/>
        <v/>
      </c>
      <c r="C1006" s="29"/>
      <c r="D1006" s="29"/>
      <c r="E1006" s="29" t="b">
        <v>0</v>
      </c>
      <c r="F1006" s="29"/>
      <c r="G1006" s="21" t="str">
        <f>IFERROR(VLOOKUP(A1006, 'Price Sheet'!$A$2:$B1010, 2, false), "")</f>
        <v/>
      </c>
      <c r="J1006" s="21" t="str">
        <f t="shared" si="3"/>
        <v/>
      </c>
      <c r="K1006" s="29"/>
      <c r="L1006" s="29" t="b">
        <v>0</v>
      </c>
      <c r="M1006" s="29"/>
      <c r="N1006" s="21" t="str">
        <f>IFERROR(VLOOKUP(I1006, 'Price Sheet'!$A$2:$B1010, 2, false), "")</f>
        <v/>
      </c>
    </row>
    <row r="1007">
      <c r="B1007" s="21" t="str">
        <f t="shared" si="4"/>
        <v/>
      </c>
      <c r="C1007" s="29"/>
      <c r="D1007" s="29"/>
      <c r="E1007" s="29" t="b">
        <v>0</v>
      </c>
      <c r="F1007" s="29"/>
      <c r="G1007" s="21" t="str">
        <f>IFERROR(VLOOKUP(A1007, 'Price Sheet'!$A$2:$B1010, 2, false), "")</f>
        <v/>
      </c>
      <c r="J1007" s="21" t="str">
        <f t="shared" si="3"/>
        <v/>
      </c>
      <c r="K1007" s="29"/>
      <c r="L1007" s="29" t="b">
        <v>0</v>
      </c>
      <c r="M1007" s="29"/>
      <c r="N1007" s="21" t="str">
        <f>IFERROR(VLOOKUP(I1007, 'Price Sheet'!$A$2:$B1010, 2, false), "")</f>
        <v/>
      </c>
    </row>
    <row r="1008">
      <c r="B1008" s="21" t="str">
        <f t="shared" si="4"/>
        <v/>
      </c>
      <c r="C1008" s="29"/>
      <c r="D1008" s="29"/>
      <c r="E1008" s="29" t="b">
        <v>0</v>
      </c>
      <c r="F1008" s="29"/>
      <c r="G1008" s="21" t="str">
        <f>IFERROR(VLOOKUP(A1008, 'Price Sheet'!$A$2:$B1010, 2, false), "")</f>
        <v/>
      </c>
      <c r="J1008" s="21" t="str">
        <f t="shared" si="3"/>
        <v/>
      </c>
      <c r="K1008" s="29"/>
      <c r="L1008" s="29" t="b">
        <v>0</v>
      </c>
      <c r="M1008" s="29"/>
      <c r="N1008" s="21" t="str">
        <f>IFERROR(VLOOKUP(I1008, 'Price Sheet'!$A$2:$B1010, 2, false), "")</f>
        <v/>
      </c>
    </row>
    <row r="1009">
      <c r="B1009" s="21" t="str">
        <f t="shared" si="4"/>
        <v/>
      </c>
      <c r="C1009" s="29"/>
      <c r="D1009" s="29"/>
      <c r="E1009" s="29" t="b">
        <v>0</v>
      </c>
      <c r="F1009" s="29"/>
      <c r="G1009" s="21" t="str">
        <f>IFERROR(VLOOKUP(A1009, 'Price Sheet'!$A$2:$B1010, 2, false), "")</f>
        <v/>
      </c>
      <c r="J1009" s="21" t="str">
        <f t="shared" si="3"/>
        <v/>
      </c>
      <c r="K1009" s="29"/>
      <c r="L1009" s="29" t="b">
        <v>0</v>
      </c>
      <c r="M1009" s="29"/>
      <c r="N1009" s="21" t="str">
        <f>IFERROR(VLOOKUP(I1009, 'Price Sheet'!$A$2:$B1010, 2, false), "")</f>
        <v/>
      </c>
    </row>
    <row r="1010">
      <c r="B1010" s="21" t="str">
        <f t="shared" si="4"/>
        <v/>
      </c>
      <c r="C1010" s="29"/>
      <c r="D1010" s="29"/>
      <c r="E1010" s="29" t="b">
        <v>0</v>
      </c>
      <c r="F1010" s="29"/>
      <c r="G1010" s="21" t="str">
        <f>IFERROR(VLOOKUP(A1010, 'Price Sheet'!$A$2:$B1010, 2, false), "")</f>
        <v/>
      </c>
      <c r="J1010" s="21" t="str">
        <f t="shared" si="3"/>
        <v/>
      </c>
      <c r="K1010" s="29"/>
      <c r="L1010" s="29" t="b">
        <v>0</v>
      </c>
      <c r="M1010" s="29"/>
      <c r="N1010" s="21" t="str">
        <f>IFERROR(VLOOKUP(I1010, 'Price Sheet'!$A$2:$B1010, 2, false), "")</f>
        <v/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30.13"/>
    <col customWidth="1" min="2" max="2" width="11.88"/>
    <col customWidth="1" min="3" max="3" width="15.5"/>
    <col customWidth="1" min="4" max="4" width="17.63"/>
    <col customWidth="1" min="5" max="5" width="9.25"/>
    <col customWidth="1" min="6" max="6" width="6.0"/>
    <col customWidth="1" min="7" max="7" width="16.38"/>
    <col customWidth="1" min="8" max="8" width="7.13"/>
    <col customWidth="1" min="9" max="10" width="9.25"/>
    <col customWidth="1" min="11" max="11" width="10.38"/>
    <col customWidth="1" min="12" max="12" width="19.25"/>
    <col customWidth="1" min="13" max="13" width="4.75"/>
    <col customWidth="1" min="14" max="14" width="8.0"/>
    <col customWidth="1" min="15" max="15" width="4.13"/>
    <col customWidth="1" min="16" max="16" width="16.38"/>
    <col customWidth="1" min="17" max="17" width="6.63"/>
    <col customWidth="1" min="18" max="18" width="7.75"/>
    <col customWidth="1" min="19" max="19" width="7.25"/>
    <col customWidth="1" min="20" max="20" width="9.75"/>
    <col customWidth="1" min="21" max="21" width="7.63"/>
    <col customWidth="1" min="23" max="23" width="4.13"/>
    <col customWidth="1" min="24" max="24" width="9.25"/>
    <col customWidth="1" min="25" max="25" width="6.75"/>
    <col customWidth="1" min="26" max="26" width="6.63"/>
    <col customWidth="1" min="27" max="27" width="6.75"/>
    <col customWidth="1" min="29" max="29" width="5.63"/>
    <col customWidth="1" min="30" max="30" width="5.88"/>
    <col customWidth="1" min="31" max="31" width="4.75"/>
    <col customWidth="1" min="32" max="32" width="7.13"/>
    <col customWidth="1" min="33" max="33" width="6.5"/>
    <col customWidth="1" min="35" max="35" width="5.63"/>
    <col customWidth="1" min="36" max="36" width="6.0"/>
    <col customWidth="1" min="37" max="37" width="6.75"/>
    <col customWidth="1" min="38" max="38" width="7.38"/>
    <col customWidth="1" min="39" max="39" width="6.63"/>
    <col customWidth="1" min="41" max="41" width="5.63"/>
    <col customWidth="1" min="42" max="42" width="6.0"/>
    <col customWidth="1" min="43" max="43" width="6.75"/>
    <col customWidth="1" min="44" max="44" width="7.38"/>
    <col customWidth="1" min="45" max="45" width="6.63"/>
    <col customWidth="1" min="47" max="47" width="5.63"/>
    <col customWidth="1" min="48" max="48" width="6.0"/>
    <col customWidth="1" min="49" max="49" width="6.75"/>
    <col customWidth="1" min="50" max="50" width="7.38"/>
    <col customWidth="1" min="51" max="51" width="6.63"/>
    <col customWidth="1" min="53" max="53" width="5.63"/>
    <col customWidth="1" min="54" max="54" width="6.0"/>
    <col customWidth="1" min="55" max="55" width="6.75"/>
    <col customWidth="1" min="56" max="56" width="7.38"/>
    <col customWidth="1" min="57" max="57" width="6.63"/>
    <col customWidth="1" min="59" max="59" width="5.63"/>
    <col customWidth="1" min="60" max="60" width="6.0"/>
    <col customWidth="1" min="61" max="61" width="6.75"/>
    <col customWidth="1" min="62" max="62" width="7.38"/>
    <col customWidth="1" min="63" max="63" width="6.63"/>
    <col customWidth="1" min="65" max="65" width="5.63"/>
    <col customWidth="1" min="66" max="66" width="6.0"/>
    <col customWidth="1" min="67" max="67" width="6.75"/>
    <col customWidth="1" min="68" max="68" width="7.38"/>
    <col customWidth="1" min="69" max="75" width="6.63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9" t="s">
        <v>13</v>
      </c>
      <c r="O1" s="11"/>
      <c r="P1" s="13" t="s">
        <v>20</v>
      </c>
      <c r="Q1" s="14"/>
      <c r="R1" s="14"/>
      <c r="S1" s="14"/>
      <c r="T1" s="14"/>
      <c r="U1" s="16"/>
      <c r="V1" s="13" t="s">
        <v>25</v>
      </c>
      <c r="W1" s="14"/>
      <c r="X1" s="14"/>
      <c r="Y1" s="14"/>
      <c r="Z1" s="14"/>
      <c r="AA1" s="16"/>
      <c r="AB1" s="13" t="s">
        <v>31</v>
      </c>
      <c r="AC1" s="14"/>
      <c r="AD1" s="14"/>
      <c r="AE1" s="14"/>
      <c r="AF1" s="14"/>
      <c r="AG1" s="16"/>
      <c r="AH1" s="13" t="s">
        <v>33</v>
      </c>
      <c r="AI1" s="14"/>
      <c r="AJ1" s="14"/>
      <c r="AK1" s="14"/>
      <c r="AL1" s="14"/>
      <c r="AM1" s="16"/>
      <c r="AN1" s="13" t="s">
        <v>34</v>
      </c>
      <c r="AO1" s="14"/>
      <c r="AP1" s="14"/>
      <c r="AQ1" s="14"/>
      <c r="AR1" s="14"/>
      <c r="AS1" s="16"/>
      <c r="AT1" s="13" t="s">
        <v>35</v>
      </c>
      <c r="AU1" s="14"/>
      <c r="AV1" s="14"/>
      <c r="AW1" s="14"/>
      <c r="AX1" s="14"/>
      <c r="AY1" s="16"/>
      <c r="AZ1" s="13" t="s">
        <v>36</v>
      </c>
      <c r="BA1" s="14"/>
      <c r="BB1" s="14"/>
      <c r="BC1" s="14"/>
      <c r="BD1" s="14"/>
      <c r="BE1" s="16"/>
      <c r="BF1" s="13" t="s">
        <v>37</v>
      </c>
      <c r="BG1" s="14"/>
      <c r="BH1" s="14"/>
      <c r="BI1" s="14"/>
      <c r="BJ1" s="14"/>
      <c r="BK1" s="16"/>
      <c r="BL1" s="13" t="s">
        <v>38</v>
      </c>
      <c r="BM1" s="14"/>
      <c r="BN1" s="14"/>
      <c r="BO1" s="14"/>
      <c r="BP1" s="14"/>
      <c r="BQ1" s="16"/>
      <c r="BR1" s="3"/>
      <c r="BS1" s="3"/>
      <c r="BT1" s="3"/>
      <c r="BU1" s="3"/>
      <c r="BV1" s="3"/>
      <c r="BW1" s="3"/>
    </row>
    <row r="2" ht="50.25" customHeight="1">
      <c r="A2" s="23" t="s">
        <v>41</v>
      </c>
      <c r="B2" s="23" t="s">
        <v>44</v>
      </c>
      <c r="C2" s="23" t="s">
        <v>45</v>
      </c>
      <c r="D2" s="23" t="s">
        <v>46</v>
      </c>
      <c r="E2" s="23" t="s">
        <v>47</v>
      </c>
      <c r="F2" s="23" t="s">
        <v>50</v>
      </c>
      <c r="G2" s="23" t="s">
        <v>52</v>
      </c>
      <c r="H2" s="23" t="s">
        <v>54</v>
      </c>
      <c r="I2" s="23" t="s">
        <v>57</v>
      </c>
      <c r="J2" s="23" t="s">
        <v>59</v>
      </c>
      <c r="K2" s="23" t="s">
        <v>61</v>
      </c>
      <c r="L2" s="26" t="s">
        <v>64</v>
      </c>
      <c r="M2" s="23" t="s">
        <v>69</v>
      </c>
      <c r="N2" s="27" t="s">
        <v>70</v>
      </c>
      <c r="O2" s="23" t="s">
        <v>71</v>
      </c>
      <c r="P2" s="26" t="s">
        <v>72</v>
      </c>
      <c r="Q2" s="23" t="s">
        <v>73</v>
      </c>
      <c r="R2" s="23" t="s">
        <v>74</v>
      </c>
      <c r="S2" s="23" t="s">
        <v>76</v>
      </c>
      <c r="T2" s="23" t="s">
        <v>77</v>
      </c>
      <c r="U2" s="28" t="s">
        <v>78</v>
      </c>
      <c r="V2" s="26" t="s">
        <v>72</v>
      </c>
      <c r="W2" s="23" t="s">
        <v>73</v>
      </c>
      <c r="X2" s="23" t="s">
        <v>74</v>
      </c>
      <c r="Y2" s="23" t="s">
        <v>76</v>
      </c>
      <c r="Z2" s="23" t="s">
        <v>77</v>
      </c>
      <c r="AA2" s="28" t="s">
        <v>78</v>
      </c>
      <c r="AB2" s="26" t="s">
        <v>72</v>
      </c>
      <c r="AC2" s="23" t="s">
        <v>73</v>
      </c>
      <c r="AD2" s="23" t="s">
        <v>74</v>
      </c>
      <c r="AE2" s="23" t="s">
        <v>76</v>
      </c>
      <c r="AF2" s="23" t="s">
        <v>77</v>
      </c>
      <c r="AG2" s="28" t="s">
        <v>78</v>
      </c>
      <c r="AH2" s="26" t="s">
        <v>72</v>
      </c>
      <c r="AI2" s="23" t="s">
        <v>73</v>
      </c>
      <c r="AJ2" s="23" t="s">
        <v>74</v>
      </c>
      <c r="AK2" s="23" t="s">
        <v>76</v>
      </c>
      <c r="AL2" s="23" t="s">
        <v>77</v>
      </c>
      <c r="AM2" s="28" t="s">
        <v>78</v>
      </c>
      <c r="AN2" s="26" t="s">
        <v>72</v>
      </c>
      <c r="AO2" s="23" t="s">
        <v>73</v>
      </c>
      <c r="AP2" s="23" t="s">
        <v>74</v>
      </c>
      <c r="AQ2" s="23" t="s">
        <v>76</v>
      </c>
      <c r="AR2" s="23" t="s">
        <v>77</v>
      </c>
      <c r="AS2" s="28" t="s">
        <v>78</v>
      </c>
      <c r="AT2" s="26" t="s">
        <v>72</v>
      </c>
      <c r="AU2" s="23" t="s">
        <v>73</v>
      </c>
      <c r="AV2" s="23" t="s">
        <v>74</v>
      </c>
      <c r="AW2" s="23" t="s">
        <v>76</v>
      </c>
      <c r="AX2" s="23" t="s">
        <v>77</v>
      </c>
      <c r="AY2" s="28" t="s">
        <v>78</v>
      </c>
      <c r="AZ2" s="26" t="s">
        <v>72</v>
      </c>
      <c r="BA2" s="23" t="s">
        <v>73</v>
      </c>
      <c r="BB2" s="23" t="s">
        <v>74</v>
      </c>
      <c r="BC2" s="23" t="s">
        <v>76</v>
      </c>
      <c r="BD2" s="23" t="s">
        <v>77</v>
      </c>
      <c r="BE2" s="28" t="s">
        <v>78</v>
      </c>
      <c r="BF2" s="26" t="s">
        <v>72</v>
      </c>
      <c r="BG2" s="23" t="s">
        <v>73</v>
      </c>
      <c r="BH2" s="23" t="s">
        <v>74</v>
      </c>
      <c r="BI2" s="23" t="s">
        <v>76</v>
      </c>
      <c r="BJ2" s="23" t="s">
        <v>77</v>
      </c>
      <c r="BK2" s="28" t="s">
        <v>78</v>
      </c>
      <c r="BL2" s="26" t="s">
        <v>72</v>
      </c>
      <c r="BM2" s="23" t="s">
        <v>73</v>
      </c>
      <c r="BN2" s="23" t="s">
        <v>74</v>
      </c>
      <c r="BO2" s="23" t="s">
        <v>76</v>
      </c>
      <c r="BP2" s="23" t="s">
        <v>77</v>
      </c>
      <c r="BQ2" s="28" t="s">
        <v>78</v>
      </c>
      <c r="BR2" s="31"/>
      <c r="BS2" s="31"/>
      <c r="BT2" s="31"/>
      <c r="BU2" s="31"/>
      <c r="BV2" s="31"/>
      <c r="BW2" s="31"/>
    </row>
    <row r="3">
      <c r="A3" s="7" t="s">
        <v>86</v>
      </c>
      <c r="B3" s="19">
        <f t="shared" ref="B3:B299" si="1">H3+U3+AA3+AG3+AM3+AS3+AY3+BE3+BK3+J3+BQ3</f>
        <v>2.15</v>
      </c>
      <c r="C3" s="8" t="s">
        <v>82</v>
      </c>
      <c r="D3" s="8" t="s">
        <v>93</v>
      </c>
      <c r="E3" s="7" t="str">
        <f>IF(ISBLANK(D3), "", VLOOKUP(D3,'Crafting Tables'!$A$2:$B1015, 2, false))</f>
        <v>Basic</v>
      </c>
      <c r="F3" s="7">
        <f>IFERROR(IF(E3 = "None", 1, VLOOKUP(C3,General!$A$5:$L$35, SWITCH(E3, "Basic", 8, "Advanced", 10, "Modern", 12), false)),"")</f>
        <v>0.55</v>
      </c>
      <c r="G3" s="8">
        <v>40.0</v>
      </c>
      <c r="H3" s="7">
        <f>IFERROR(VLOOKUP(C3, General!$A$5:$L$35, 6, false) * G3 / 1000, 0)</f>
        <v>1.6</v>
      </c>
      <c r="I3" s="8">
        <f>0.4*60</f>
        <v>24</v>
      </c>
      <c r="J3" s="22">
        <f>IFERROR(I3*VLOOKUP(D3,'Crafting Tables'!$1:$1000, 4, false)*F3,"")</f>
        <v>0</v>
      </c>
      <c r="K3" s="8" t="b">
        <v>1</v>
      </c>
      <c r="L3" s="32" t="s">
        <v>86</v>
      </c>
      <c r="M3" s="8">
        <v>16.0</v>
      </c>
      <c r="N3" s="21">
        <f t="shared" ref="N3:N1015" si="2">IF(ISBLANK(M3), "", $B3 / M3)</f>
        <v>0.134375</v>
      </c>
      <c r="P3" s="32" t="s">
        <v>23</v>
      </c>
      <c r="Q3" s="8">
        <v>2.0</v>
      </c>
      <c r="R3" s="8" t="b">
        <v>0</v>
      </c>
      <c r="S3" s="22">
        <f t="shared" ref="S3:S1015" si="3">IF(ISBLANK(Q3), 
  "",
  IF(R3,
    Q3,
    Q3*$F3
  ) 
)</f>
        <v>1.1</v>
      </c>
      <c r="T3" s="19">
        <f>IF(ISBLANK(P3), 0, VLOOKUP(P3, 'Price Sheet'!$A$2:$B1015, 2, false))</f>
        <v>0.5</v>
      </c>
      <c r="U3" s="33">
        <f t="shared" ref="U3:U1015" si="4">IF(OR(ISBLANK(Q3), ISBLANK(T3)), "", T3*S3)</f>
        <v>0.55</v>
      </c>
      <c r="V3" s="32"/>
      <c r="W3" s="8"/>
      <c r="X3" s="8" t="b">
        <v>0</v>
      </c>
      <c r="Y3" s="22" t="str">
        <f t="shared" ref="Y3:Y1015" si="5">IF(ISBLANK(W3), 
  "",
  IF(X3,
    W3,
    W3*$F3
  ) 
)</f>
        <v/>
      </c>
      <c r="Z3" s="7">
        <f>IF(ISBLANK(V3), 0, VLOOKUP(V3, 'Price Sheet'!$A$2:$B1015, 2, false))</f>
        <v>0</v>
      </c>
      <c r="AA3" s="33" t="str">
        <f t="shared" ref="AA3:AA1015" si="6">IF(OR(ISBLANK(W3), ISBLANK(Z3)), "", Z3*Y3)</f>
        <v/>
      </c>
      <c r="AB3" s="32"/>
      <c r="AC3" s="8"/>
      <c r="AD3" s="8" t="b">
        <v>0</v>
      </c>
      <c r="AE3" s="22" t="str">
        <f t="shared" ref="AE3:AE1015" si="7">IF(ISBLANK(AC3), 
  "",
  IF(AD3,
    AC3,
    AC3*$F3
  ) 
)</f>
        <v/>
      </c>
      <c r="AF3" s="7">
        <f>IF(ISBLANK(AB3), 0, VLOOKUP(AB3, 'Price Sheet'!$A$2:$B1015, 2, false))</f>
        <v>0</v>
      </c>
      <c r="AG3" s="33" t="str">
        <f t="shared" ref="AG3:AG1015" si="8">IF(OR(ISBLANK(AC3), ISBLANK(AF3)), "", AF3*AE3)</f>
        <v/>
      </c>
      <c r="AH3" s="32"/>
      <c r="AI3" s="8"/>
      <c r="AJ3" s="8" t="b">
        <v>0</v>
      </c>
      <c r="AK3" s="22" t="str">
        <f t="shared" ref="AK3:AK1015" si="9">IF(ISBLANK(AI3), 
  "",
  IF(AJ3,
    AI3,
    AI3*$F3
  ) 
)</f>
        <v/>
      </c>
      <c r="AL3" s="7">
        <f>IF(ISBLANK(AH3), 0, VLOOKUP(AH3, 'Price Sheet'!$A$2:$B1015, 2, false))</f>
        <v>0</v>
      </c>
      <c r="AM3" s="33" t="str">
        <f t="shared" ref="AM3:AM1015" si="10">IF(OR(ISBLANK(AI3), ISBLANK(AL3)), "", AL3*AK3)</f>
        <v/>
      </c>
      <c r="AN3" s="32"/>
      <c r="AO3" s="8"/>
      <c r="AP3" s="8" t="b">
        <v>0</v>
      </c>
      <c r="AQ3" s="22" t="str">
        <f t="shared" ref="AQ3:AQ1015" si="11">IF(ISBLANK(AO3), 
  "",
  IF(AP3,
    AO3,
    AO3*$F3
  ) 
)</f>
        <v/>
      </c>
      <c r="AR3" s="7">
        <f>IF(ISBLANK(AN3), 0, VLOOKUP(AN3, 'Price Sheet'!$A$2:$B1015, 2, false))</f>
        <v>0</v>
      </c>
      <c r="AS3" s="33" t="str">
        <f t="shared" ref="AS3:AS1015" si="12">IF(OR(ISBLANK(AO3), ISBLANK(AR3)), "", AR3*AQ3)</f>
        <v/>
      </c>
      <c r="AT3" s="32"/>
      <c r="AU3" s="8"/>
      <c r="AV3" s="8" t="b">
        <v>0</v>
      </c>
      <c r="AW3" s="22" t="str">
        <f t="shared" ref="AW3:AW1015" si="13">IF(ISBLANK(AU3), 
  "",
  IF(AV3,
    AU3,
    AU3*$F3
  ) 
)</f>
        <v/>
      </c>
      <c r="AX3" s="7">
        <f>IF(ISBLANK(AT3), 0, VLOOKUP(AT3, 'Price Sheet'!$A$2:$B1015, 2, false))</f>
        <v>0</v>
      </c>
      <c r="AY3" s="33" t="str">
        <f t="shared" ref="AY3:AY1015" si="14">IF(OR(ISBLANK(AU3), ISBLANK(AX3)), "", AX3*AW3)</f>
        <v/>
      </c>
      <c r="AZ3" s="32"/>
      <c r="BA3" s="8"/>
      <c r="BB3" s="8" t="b">
        <v>0</v>
      </c>
      <c r="BC3" s="22" t="str">
        <f t="shared" ref="BC3:BC1015" si="15">IF(ISBLANK(BA3), 
  "",
  IF(BB3,
    BA3,
    BA3*$F3
  ) 
)</f>
        <v/>
      </c>
      <c r="BD3" s="7">
        <f>IF(ISBLANK(AZ3), 0, VLOOKUP(AZ3, 'Price Sheet'!$A$2:$B1015, 2, false))</f>
        <v>0</v>
      </c>
      <c r="BE3" s="33" t="str">
        <f t="shared" ref="BE3:BE1015" si="16">IF(OR(ISBLANK(BA3), ISBLANK(BD3)), "", BD3*BC3)</f>
        <v/>
      </c>
      <c r="BF3" s="32"/>
      <c r="BG3" s="8"/>
      <c r="BH3" s="8" t="b">
        <v>0</v>
      </c>
      <c r="BI3" s="22" t="str">
        <f t="shared" ref="BI3:BI1015" si="17">IF(ISBLANK(BG3), 
  "",
  IF(BH3,
    BG3,
    BG3*$F3
  ) 
)</f>
        <v/>
      </c>
      <c r="BJ3" s="7">
        <f>IF(ISBLANK(BF3), 0, VLOOKUP(BF3, 'Price Sheet'!$A$2:$B1015, 2, false))</f>
        <v>0</v>
      </c>
      <c r="BK3" s="33" t="str">
        <f t="shared" ref="BK3:BK1015" si="18">IF(OR(ISBLANK(BG3), ISBLANK(BJ3)), "", BJ3*BI3)</f>
        <v/>
      </c>
      <c r="BL3" s="32"/>
      <c r="BM3" s="8"/>
      <c r="BN3" s="8" t="b">
        <v>0</v>
      </c>
      <c r="BO3" s="22" t="str">
        <f t="shared" ref="BO3:BO1015" si="19">IF(ISBLANK(BM3), 
  "",
  IF(BN3,
    BM3,
    BM3*$F3
  ) 
)</f>
        <v/>
      </c>
      <c r="BP3" s="7">
        <f>IF(ISBLANK(BL3), 0, VLOOKUP(BL3, 'Price Sheet'!$A$2:$B1015, 2, false))</f>
        <v>0</v>
      </c>
      <c r="BQ3" s="33" t="str">
        <f t="shared" ref="BQ3:BQ1015" si="20">IF(OR(ISBLANK(BM3), ISBLANK(BP3)), "", BP3*BO3)</f>
        <v/>
      </c>
    </row>
    <row r="4">
      <c r="A4" s="7" t="s">
        <v>81</v>
      </c>
      <c r="B4" s="19">
        <f t="shared" si="1"/>
        <v>1.4978125</v>
      </c>
      <c r="C4" s="8" t="s">
        <v>82</v>
      </c>
      <c r="D4" s="8" t="s">
        <v>93</v>
      </c>
      <c r="E4" s="7" t="str">
        <f>IF(ISBLANK(D4), "", VLOOKUP(D4,'Crafting Tables'!$A$2:$B1015, 2, false))</f>
        <v>Basic</v>
      </c>
      <c r="F4" s="7">
        <f>IFERROR(IF(E4 = "None", 1, VLOOKUP(C4,General!$A$5:$L$35, SWITCH(E4, "Basic", 8, "Advanced", 10, "Modern", 12), false)),"")</f>
        <v>0.55</v>
      </c>
      <c r="G4" s="8">
        <v>20.0</v>
      </c>
      <c r="H4" s="7">
        <f>IFERROR(VLOOKUP(C4, General!$A$5:$L$35, 6, false) * G4 / 1000, 0)</f>
        <v>0.8</v>
      </c>
      <c r="I4" s="8"/>
      <c r="J4" s="22">
        <f>IFERROR(I4*VLOOKUP(D4,'Crafting Tables'!$1:$1000, 4, false)*F4,"")</f>
        <v>0</v>
      </c>
      <c r="K4" s="8" t="b">
        <v>1</v>
      </c>
      <c r="L4" s="32" t="s">
        <v>81</v>
      </c>
      <c r="M4" s="8">
        <v>1.0</v>
      </c>
      <c r="N4" s="21">
        <f t="shared" si="2"/>
        <v>1.4978125</v>
      </c>
      <c r="P4" s="32" t="s">
        <v>23</v>
      </c>
      <c r="Q4" s="8">
        <v>2.0</v>
      </c>
      <c r="R4" s="8" t="b">
        <v>0</v>
      </c>
      <c r="S4" s="22">
        <f t="shared" si="3"/>
        <v>1.1</v>
      </c>
      <c r="T4" s="19">
        <f>IF(ISBLANK(P4), 0, VLOOKUP(P4, 'Price Sheet'!$A$2:$B1015, 2, false))</f>
        <v>0.5</v>
      </c>
      <c r="U4" s="33">
        <f t="shared" si="4"/>
        <v>0.55</v>
      </c>
      <c r="V4" s="32" t="s">
        <v>86</v>
      </c>
      <c r="W4" s="8">
        <v>2.0</v>
      </c>
      <c r="X4" s="8" t="b">
        <v>0</v>
      </c>
      <c r="Y4" s="22">
        <f t="shared" si="5"/>
        <v>1.1</v>
      </c>
      <c r="Z4" s="19">
        <f>IF(ISBLANK(V4), 0, VLOOKUP(V4, 'Price Sheet'!$A$2:$B1015, 2, false))</f>
        <v>0.134375</v>
      </c>
      <c r="AA4" s="33">
        <f t="shared" si="6"/>
        <v>0.1478125</v>
      </c>
      <c r="AB4" s="32"/>
      <c r="AC4" s="8"/>
      <c r="AD4" s="8" t="b">
        <v>0</v>
      </c>
      <c r="AE4" s="22" t="str">
        <f t="shared" si="7"/>
        <v/>
      </c>
      <c r="AF4" s="7">
        <f>IF(ISBLANK(AB4), 0, VLOOKUP(AB4, 'Price Sheet'!$A$2:$B1015, 2, false))</f>
        <v>0</v>
      </c>
      <c r="AG4" s="33" t="str">
        <f t="shared" si="8"/>
        <v/>
      </c>
      <c r="AH4" s="32"/>
      <c r="AI4" s="8"/>
      <c r="AJ4" s="8" t="b">
        <v>0</v>
      </c>
      <c r="AK4" s="22" t="str">
        <f t="shared" si="9"/>
        <v/>
      </c>
      <c r="AL4" s="7">
        <f>IF(ISBLANK(AH4), 0, VLOOKUP(AH4, 'Price Sheet'!$A$2:$B1015, 2, false))</f>
        <v>0</v>
      </c>
      <c r="AM4" s="33" t="str">
        <f t="shared" si="10"/>
        <v/>
      </c>
      <c r="AN4" s="32"/>
      <c r="AO4" s="8"/>
      <c r="AP4" s="8" t="b">
        <v>0</v>
      </c>
      <c r="AQ4" s="22" t="str">
        <f t="shared" si="11"/>
        <v/>
      </c>
      <c r="AR4" s="7">
        <f>IF(ISBLANK(AN4), 0, VLOOKUP(AN4, 'Price Sheet'!$A$2:$B1015, 2, false))</f>
        <v>0</v>
      </c>
      <c r="AS4" s="33" t="str">
        <f t="shared" si="12"/>
        <v/>
      </c>
      <c r="AT4" s="32"/>
      <c r="AU4" s="8"/>
      <c r="AV4" s="8" t="b">
        <v>0</v>
      </c>
      <c r="AW4" s="22" t="str">
        <f t="shared" si="13"/>
        <v/>
      </c>
      <c r="AX4" s="7">
        <f>IF(ISBLANK(AT4), 0, VLOOKUP(AT4, 'Price Sheet'!$A$2:$B1015, 2, false))</f>
        <v>0</v>
      </c>
      <c r="AY4" s="33" t="str">
        <f t="shared" si="14"/>
        <v/>
      </c>
      <c r="AZ4" s="32"/>
      <c r="BA4" s="8"/>
      <c r="BB4" s="8" t="b">
        <v>0</v>
      </c>
      <c r="BC4" s="22" t="str">
        <f t="shared" si="15"/>
        <v/>
      </c>
      <c r="BD4" s="7">
        <f>IF(ISBLANK(AZ4), 0, VLOOKUP(AZ4, 'Price Sheet'!$A$2:$B1015, 2, false))</f>
        <v>0</v>
      </c>
      <c r="BE4" s="33" t="str">
        <f t="shared" si="16"/>
        <v/>
      </c>
      <c r="BF4" s="32"/>
      <c r="BG4" s="8"/>
      <c r="BH4" s="8" t="b">
        <v>0</v>
      </c>
      <c r="BI4" s="22" t="str">
        <f t="shared" si="17"/>
        <v/>
      </c>
      <c r="BJ4" s="7">
        <f>IF(ISBLANK(BF4), 0, VLOOKUP(BF4, 'Price Sheet'!$A$2:$B1015, 2, false))</f>
        <v>0</v>
      </c>
      <c r="BK4" s="33" t="str">
        <f t="shared" si="18"/>
        <v/>
      </c>
      <c r="BL4" s="32"/>
      <c r="BM4" s="8"/>
      <c r="BN4" s="8" t="b">
        <v>0</v>
      </c>
      <c r="BO4" s="22" t="str">
        <f t="shared" si="19"/>
        <v/>
      </c>
      <c r="BP4" s="7">
        <f>IF(ISBLANK(BL4), 0, VLOOKUP(BL4, 'Price Sheet'!$A$2:$B1015, 2, false))</f>
        <v>0</v>
      </c>
      <c r="BQ4" s="33" t="str">
        <f t="shared" si="20"/>
        <v/>
      </c>
    </row>
    <row r="5">
      <c r="A5" s="7" t="s">
        <v>245</v>
      </c>
      <c r="B5" s="19">
        <f t="shared" si="1"/>
        <v>1.8</v>
      </c>
      <c r="C5" s="8" t="s">
        <v>212</v>
      </c>
      <c r="D5" s="8" t="s">
        <v>247</v>
      </c>
      <c r="E5" s="7" t="str">
        <f>IF(ISBLANK(D5), "", VLOOKUP(D5,'Crafting Tables'!$A$2:$B1015, 2, false))</f>
        <v>None</v>
      </c>
      <c r="F5" s="7">
        <f>IFERROR(IF(E5 = "None", 1, VLOOKUP(C5,General!$A$5:$L$35, SWITCH(E5, "Basic", 8, "Advanced", 10, "Modern", 12), false)),"")</f>
        <v>1</v>
      </c>
      <c r="G5" s="8">
        <v>20.0</v>
      </c>
      <c r="H5" s="7">
        <f>IFERROR(VLOOKUP(C5, General!$A$5:$L$35, 6, false) * G5 / 1000, 0)</f>
        <v>0.8</v>
      </c>
      <c r="I5" s="8"/>
      <c r="J5" s="22">
        <f>IFERROR(I5*VLOOKUP(D5,'Crafting Tables'!$1:$1000, 4, false)*F5,"")</f>
        <v>0</v>
      </c>
      <c r="K5" s="8" t="b">
        <v>1</v>
      </c>
      <c r="L5" s="32" t="s">
        <v>81</v>
      </c>
      <c r="M5" s="8">
        <v>1.0</v>
      </c>
      <c r="N5" s="21">
        <f t="shared" si="2"/>
        <v>1.8</v>
      </c>
      <c r="P5" s="32" t="s">
        <v>23</v>
      </c>
      <c r="Q5" s="8">
        <v>2.0</v>
      </c>
      <c r="R5" s="8" t="b">
        <v>1</v>
      </c>
      <c r="S5" s="22">
        <f t="shared" si="3"/>
        <v>2</v>
      </c>
      <c r="T5" s="19">
        <f>IF(ISBLANK(P5), 0, VLOOKUP(P5, 'Price Sheet'!$A$2:$B1015, 2, false))</f>
        <v>0.5</v>
      </c>
      <c r="U5" s="33">
        <f t="shared" si="4"/>
        <v>1</v>
      </c>
      <c r="V5" s="32"/>
      <c r="W5" s="8"/>
      <c r="X5" s="8" t="b">
        <v>0</v>
      </c>
      <c r="Y5" s="22" t="str">
        <f t="shared" si="5"/>
        <v/>
      </c>
      <c r="Z5" s="7">
        <f>IF(ISBLANK(V5), 0, VLOOKUP(V5, 'Price Sheet'!$A$2:$B1015, 2, false))</f>
        <v>0</v>
      </c>
      <c r="AA5" s="33" t="str">
        <f t="shared" si="6"/>
        <v/>
      </c>
      <c r="AB5" s="32"/>
      <c r="AC5" s="8"/>
      <c r="AD5" s="8" t="b">
        <v>0</v>
      </c>
      <c r="AE5" s="22" t="str">
        <f t="shared" si="7"/>
        <v/>
      </c>
      <c r="AF5" s="7">
        <f>IF(ISBLANK(AB5), 0, VLOOKUP(AB5, 'Price Sheet'!$A$2:$B1015, 2, false))</f>
        <v>0</v>
      </c>
      <c r="AG5" s="33" t="str">
        <f t="shared" si="8"/>
        <v/>
      </c>
      <c r="AH5" s="32"/>
      <c r="AI5" s="8"/>
      <c r="AJ5" s="8" t="b">
        <v>0</v>
      </c>
      <c r="AK5" s="22" t="str">
        <f t="shared" si="9"/>
        <v/>
      </c>
      <c r="AL5" s="7">
        <f>IF(ISBLANK(AH5), 0, VLOOKUP(AH5, 'Price Sheet'!$A$2:$B1015, 2, false))</f>
        <v>0</v>
      </c>
      <c r="AM5" s="33" t="str">
        <f t="shared" si="10"/>
        <v/>
      </c>
      <c r="AN5" s="32"/>
      <c r="AO5" s="8"/>
      <c r="AP5" s="8" t="b">
        <v>0</v>
      </c>
      <c r="AQ5" s="22" t="str">
        <f t="shared" si="11"/>
        <v/>
      </c>
      <c r="AR5" s="7">
        <f>IF(ISBLANK(AN5), 0, VLOOKUP(AN5, 'Price Sheet'!$A$2:$B1015, 2, false))</f>
        <v>0</v>
      </c>
      <c r="AS5" s="33" t="str">
        <f t="shared" si="12"/>
        <v/>
      </c>
      <c r="AT5" s="32"/>
      <c r="AU5" s="8"/>
      <c r="AV5" s="8" t="b">
        <v>0</v>
      </c>
      <c r="AW5" s="22" t="str">
        <f t="shared" si="13"/>
        <v/>
      </c>
      <c r="AX5" s="7">
        <f>IF(ISBLANK(AT5), 0, VLOOKUP(AT5, 'Price Sheet'!$A$2:$B1015, 2, false))</f>
        <v>0</v>
      </c>
      <c r="AY5" s="33" t="str">
        <f t="shared" si="14"/>
        <v/>
      </c>
      <c r="AZ5" s="32"/>
      <c r="BA5" s="8"/>
      <c r="BB5" s="8" t="b">
        <v>0</v>
      </c>
      <c r="BC5" s="22" t="str">
        <f t="shared" si="15"/>
        <v/>
      </c>
      <c r="BD5" s="7">
        <f>IF(ISBLANK(AZ5), 0, VLOOKUP(AZ5, 'Price Sheet'!$A$2:$B1015, 2, false))</f>
        <v>0</v>
      </c>
      <c r="BE5" s="33" t="str">
        <f t="shared" si="16"/>
        <v/>
      </c>
      <c r="BF5" s="32"/>
      <c r="BG5" s="8"/>
      <c r="BH5" s="8" t="b">
        <v>0</v>
      </c>
      <c r="BI5" s="22" t="str">
        <f t="shared" si="17"/>
        <v/>
      </c>
      <c r="BJ5" s="7">
        <f>IF(ISBLANK(BF5), 0, VLOOKUP(BF5, 'Price Sheet'!$A$2:$B1015, 2, false))</f>
        <v>0</v>
      </c>
      <c r="BK5" s="33" t="str">
        <f t="shared" si="18"/>
        <v/>
      </c>
      <c r="BL5" s="32"/>
      <c r="BM5" s="8"/>
      <c r="BN5" s="8" t="b">
        <v>0</v>
      </c>
      <c r="BO5" s="22" t="str">
        <f t="shared" si="19"/>
        <v/>
      </c>
      <c r="BP5" s="7">
        <f>IF(ISBLANK(BL5), 0, VLOOKUP(BL5, 'Price Sheet'!$A$2:$B1015, 2, false))</f>
        <v>0</v>
      </c>
      <c r="BQ5" s="33" t="str">
        <f t="shared" si="20"/>
        <v/>
      </c>
    </row>
    <row r="6">
      <c r="A6" s="7" t="s">
        <v>266</v>
      </c>
      <c r="B6" s="19">
        <f t="shared" si="1"/>
        <v>2.6</v>
      </c>
      <c r="C6" s="8" t="s">
        <v>212</v>
      </c>
      <c r="D6" s="8" t="s">
        <v>247</v>
      </c>
      <c r="E6" s="7" t="str">
        <f>IF(ISBLANK(D6), "", VLOOKUP(D6,'Crafting Tables'!$A$2:$B1015, 2, false))</f>
        <v>None</v>
      </c>
      <c r="F6" s="7">
        <f>IFERROR(IF(E6 = "None", 1, VLOOKUP(C6,General!$A$5:$L$35, SWITCH(E6, "Basic", 8, "Advanced", 10, "Modern", 12), false)),"")</f>
        <v>1</v>
      </c>
      <c r="G6" s="8">
        <v>40.0</v>
      </c>
      <c r="H6" s="7">
        <f>IFERROR(VLOOKUP(C6, General!$A$5:$L$35, 6, false) * G6 / 1000, 0)</f>
        <v>1.6</v>
      </c>
      <c r="I6" s="8"/>
      <c r="J6" s="22">
        <f>IFERROR(I6*VLOOKUP(D6,'Crafting Tables'!$1:$1000, 4, false)*F6,"")</f>
        <v>0</v>
      </c>
      <c r="K6" s="8" t="b">
        <v>1</v>
      </c>
      <c r="L6" s="32" t="s">
        <v>83</v>
      </c>
      <c r="M6" s="8">
        <v>1.0</v>
      </c>
      <c r="N6" s="21">
        <f t="shared" si="2"/>
        <v>2.6</v>
      </c>
      <c r="P6" s="32" t="s">
        <v>23</v>
      </c>
      <c r="Q6" s="8">
        <v>2.0</v>
      </c>
      <c r="R6" s="8" t="b">
        <v>1</v>
      </c>
      <c r="S6" s="22">
        <f t="shared" si="3"/>
        <v>2</v>
      </c>
      <c r="T6" s="19">
        <f>IF(ISBLANK(P6), 0, VLOOKUP(P6, 'Price Sheet'!$A$2:$B1015, 2, false))</f>
        <v>0.5</v>
      </c>
      <c r="U6" s="33">
        <f t="shared" si="4"/>
        <v>1</v>
      </c>
      <c r="V6" s="32"/>
      <c r="W6" s="8"/>
      <c r="X6" s="8" t="b">
        <v>0</v>
      </c>
      <c r="Y6" s="22" t="str">
        <f t="shared" si="5"/>
        <v/>
      </c>
      <c r="Z6" s="7">
        <f>IF(ISBLANK(V6), 0, VLOOKUP(V6, 'Price Sheet'!$A$2:$B1015, 2, false))</f>
        <v>0</v>
      </c>
      <c r="AA6" s="33" t="str">
        <f t="shared" si="6"/>
        <v/>
      </c>
      <c r="AB6" s="32"/>
      <c r="AC6" s="8"/>
      <c r="AD6" s="8" t="b">
        <v>0</v>
      </c>
      <c r="AE6" s="22" t="str">
        <f t="shared" si="7"/>
        <v/>
      </c>
      <c r="AF6" s="7">
        <f>IF(ISBLANK(AB6), 0, VLOOKUP(AB6, 'Price Sheet'!$A$2:$B1015, 2, false))</f>
        <v>0</v>
      </c>
      <c r="AG6" s="33" t="str">
        <f t="shared" si="8"/>
        <v/>
      </c>
      <c r="AH6" s="32"/>
      <c r="AI6" s="8"/>
      <c r="AJ6" s="8" t="b">
        <v>0</v>
      </c>
      <c r="AK6" s="22" t="str">
        <f t="shared" si="9"/>
        <v/>
      </c>
      <c r="AL6" s="7">
        <f>IF(ISBLANK(AH6), 0, VLOOKUP(AH6, 'Price Sheet'!$A$2:$B1015, 2, false))</f>
        <v>0</v>
      </c>
      <c r="AM6" s="33" t="str">
        <f t="shared" si="10"/>
        <v/>
      </c>
      <c r="AN6" s="32"/>
      <c r="AO6" s="8"/>
      <c r="AP6" s="8" t="b">
        <v>0</v>
      </c>
      <c r="AQ6" s="22" t="str">
        <f t="shared" si="11"/>
        <v/>
      </c>
      <c r="AR6" s="7">
        <f>IF(ISBLANK(AN6), 0, VLOOKUP(AN6, 'Price Sheet'!$A$2:$B1015, 2, false))</f>
        <v>0</v>
      </c>
      <c r="AS6" s="33" t="str">
        <f t="shared" si="12"/>
        <v/>
      </c>
      <c r="AT6" s="32"/>
      <c r="AU6" s="8"/>
      <c r="AV6" s="8" t="b">
        <v>0</v>
      </c>
      <c r="AW6" s="22" t="str">
        <f t="shared" si="13"/>
        <v/>
      </c>
      <c r="AX6" s="7">
        <f>IF(ISBLANK(AT6), 0, VLOOKUP(AT6, 'Price Sheet'!$A$2:$B1015, 2, false))</f>
        <v>0</v>
      </c>
      <c r="AY6" s="33" t="str">
        <f t="shared" si="14"/>
        <v/>
      </c>
      <c r="AZ6" s="32"/>
      <c r="BA6" s="8"/>
      <c r="BB6" s="8" t="b">
        <v>0</v>
      </c>
      <c r="BC6" s="22" t="str">
        <f t="shared" si="15"/>
        <v/>
      </c>
      <c r="BD6" s="7">
        <f>IF(ISBLANK(AZ6), 0, VLOOKUP(AZ6, 'Price Sheet'!$A$2:$B1015, 2, false))</f>
        <v>0</v>
      </c>
      <c r="BE6" s="33" t="str">
        <f t="shared" si="16"/>
        <v/>
      </c>
      <c r="BF6" s="32"/>
      <c r="BG6" s="8"/>
      <c r="BH6" s="8" t="b">
        <v>0</v>
      </c>
      <c r="BI6" s="22" t="str">
        <f t="shared" si="17"/>
        <v/>
      </c>
      <c r="BJ6" s="7">
        <f>IF(ISBLANK(BF6), 0, VLOOKUP(BF6, 'Price Sheet'!$A$2:$B1015, 2, false))</f>
        <v>0</v>
      </c>
      <c r="BK6" s="33" t="str">
        <f t="shared" si="18"/>
        <v/>
      </c>
      <c r="BL6" s="32"/>
      <c r="BM6" s="8"/>
      <c r="BN6" s="8" t="b">
        <v>0</v>
      </c>
      <c r="BO6" s="22" t="str">
        <f t="shared" si="19"/>
        <v/>
      </c>
      <c r="BP6" s="7">
        <f>IF(ISBLANK(BL6), 0, VLOOKUP(BL6, 'Price Sheet'!$A$2:$B1015, 2, false))</f>
        <v>0</v>
      </c>
      <c r="BQ6" s="33" t="str">
        <f t="shared" si="20"/>
        <v/>
      </c>
    </row>
    <row r="7">
      <c r="A7" s="7" t="s">
        <v>300</v>
      </c>
      <c r="B7" s="19">
        <f t="shared" si="1"/>
        <v>1.275</v>
      </c>
      <c r="C7" s="8" t="s">
        <v>82</v>
      </c>
      <c r="D7" s="8" t="s">
        <v>93</v>
      </c>
      <c r="E7" s="7" t="str">
        <f>IF(ISBLANK(D7), "", VLOOKUP(D7,'Crafting Tables'!$A$2:$B1015, 2, false))</f>
        <v>Basic</v>
      </c>
      <c r="F7" s="7">
        <f>IFERROR(IF(E7 = "None", 1, VLOOKUP(C7,General!$A$5:$L$35, SWITCH(E7, "Basic", 8, "Advanced", 10, "Modern", 12), false)),"")</f>
        <v>0.55</v>
      </c>
      <c r="G7" s="8">
        <v>25.0</v>
      </c>
      <c r="H7" s="7">
        <f>IFERROR(VLOOKUP(C7, General!$A$5:$L$35, 6, false) * G7 / 1000, 0)</f>
        <v>1</v>
      </c>
      <c r="I7" s="8"/>
      <c r="J7" s="22">
        <f>IFERROR(I7*VLOOKUP(D7,'Crafting Tables'!$1:$1000, 4, false)*F7,"")</f>
        <v>0</v>
      </c>
      <c r="K7" s="8" t="b">
        <v>1</v>
      </c>
      <c r="L7" s="32" t="s">
        <v>83</v>
      </c>
      <c r="M7" s="8">
        <v>1.0</v>
      </c>
      <c r="N7" s="21">
        <f t="shared" si="2"/>
        <v>1.275</v>
      </c>
      <c r="P7" s="32" t="s">
        <v>23</v>
      </c>
      <c r="Q7" s="8">
        <v>1.0</v>
      </c>
      <c r="R7" s="29" t="b">
        <v>0</v>
      </c>
      <c r="S7" s="22">
        <f t="shared" si="3"/>
        <v>0.55</v>
      </c>
      <c r="T7" s="19">
        <f>IF(ISBLANK(P7), 0, VLOOKUP(P7, 'Price Sheet'!$A$2:$B1015, 2, false))</f>
        <v>0.5</v>
      </c>
      <c r="U7" s="33">
        <f t="shared" si="4"/>
        <v>0.275</v>
      </c>
      <c r="V7" s="32"/>
      <c r="W7" s="8"/>
      <c r="X7" s="29" t="b">
        <v>0</v>
      </c>
      <c r="Y7" s="22" t="str">
        <f t="shared" si="5"/>
        <v/>
      </c>
      <c r="Z7" s="7">
        <f>IF(ISBLANK(V7), 0, VLOOKUP(V7, 'Price Sheet'!$A$2:$B1015, 2, false))</f>
        <v>0</v>
      </c>
      <c r="AA7" s="33" t="str">
        <f t="shared" si="6"/>
        <v/>
      </c>
      <c r="AB7" s="32"/>
      <c r="AC7" s="8"/>
      <c r="AD7" s="29" t="b">
        <v>0</v>
      </c>
      <c r="AE7" s="22" t="str">
        <f t="shared" si="7"/>
        <v/>
      </c>
      <c r="AF7" s="7">
        <f>IF(ISBLANK(AB7), 0, VLOOKUP(AB7, 'Price Sheet'!$A$2:$B1015, 2, false))</f>
        <v>0</v>
      </c>
      <c r="AG7" s="33" t="str">
        <f t="shared" si="8"/>
        <v/>
      </c>
      <c r="AH7" s="32"/>
      <c r="AI7" s="8"/>
      <c r="AJ7" s="29" t="b">
        <v>0</v>
      </c>
      <c r="AK7" s="22" t="str">
        <f t="shared" si="9"/>
        <v/>
      </c>
      <c r="AL7" s="7">
        <f>IF(ISBLANK(AH7), 0, VLOOKUP(AH7, 'Price Sheet'!$A$2:$B1015, 2, false))</f>
        <v>0</v>
      </c>
      <c r="AM7" s="33" t="str">
        <f t="shared" si="10"/>
        <v/>
      </c>
      <c r="AN7" s="32"/>
      <c r="AO7" s="8"/>
      <c r="AP7" s="29" t="b">
        <v>0</v>
      </c>
      <c r="AQ7" s="22" t="str">
        <f t="shared" si="11"/>
        <v/>
      </c>
      <c r="AR7" s="7">
        <f>IF(ISBLANK(AN7), 0, VLOOKUP(AN7, 'Price Sheet'!$A$2:$B1015, 2, false))</f>
        <v>0</v>
      </c>
      <c r="AS7" s="33" t="str">
        <f t="shared" si="12"/>
        <v/>
      </c>
      <c r="AT7" s="32"/>
      <c r="AU7" s="8"/>
      <c r="AV7" s="29" t="b">
        <v>0</v>
      </c>
      <c r="AW7" s="22" t="str">
        <f t="shared" si="13"/>
        <v/>
      </c>
      <c r="AX7" s="7">
        <f>IF(ISBLANK(AT7), 0, VLOOKUP(AT7, 'Price Sheet'!$A$2:$B1015, 2, false))</f>
        <v>0</v>
      </c>
      <c r="AY7" s="33" t="str">
        <f t="shared" si="14"/>
        <v/>
      </c>
      <c r="AZ7" s="32"/>
      <c r="BA7" s="8"/>
      <c r="BB7" s="29" t="b">
        <v>0</v>
      </c>
      <c r="BC7" s="22" t="str">
        <f t="shared" si="15"/>
        <v/>
      </c>
      <c r="BD7" s="7">
        <f>IF(ISBLANK(AZ7), 0, VLOOKUP(AZ7, 'Price Sheet'!$A$2:$B1015, 2, false))</f>
        <v>0</v>
      </c>
      <c r="BE7" s="33" t="str">
        <f t="shared" si="16"/>
        <v/>
      </c>
      <c r="BF7" s="32"/>
      <c r="BG7" s="8"/>
      <c r="BH7" s="29" t="b">
        <v>0</v>
      </c>
      <c r="BI7" s="22" t="str">
        <f t="shared" si="17"/>
        <v/>
      </c>
      <c r="BJ7" s="7">
        <f>IF(ISBLANK(BF7), 0, VLOOKUP(BF7, 'Price Sheet'!$A$2:$B1015, 2, false))</f>
        <v>0</v>
      </c>
      <c r="BK7" s="33" t="str">
        <f t="shared" si="18"/>
        <v/>
      </c>
      <c r="BL7" s="32"/>
      <c r="BM7" s="8"/>
      <c r="BN7" s="29" t="b">
        <v>0</v>
      </c>
      <c r="BO7" s="22" t="str">
        <f t="shared" si="19"/>
        <v/>
      </c>
      <c r="BP7" s="7">
        <f>IF(ISBLANK(BL7), 0, VLOOKUP(BL7, 'Price Sheet'!$A$2:$B1015, 2, false))</f>
        <v>0</v>
      </c>
      <c r="BQ7" s="33" t="str">
        <f t="shared" si="20"/>
        <v/>
      </c>
    </row>
    <row r="8">
      <c r="A8" s="7" t="s">
        <v>335</v>
      </c>
      <c r="B8" s="19">
        <f t="shared" si="1"/>
        <v>1.05</v>
      </c>
      <c r="C8" s="8" t="s">
        <v>82</v>
      </c>
      <c r="D8" s="8" t="s">
        <v>296</v>
      </c>
      <c r="E8" s="7" t="str">
        <f>IF(ISBLANK(D8), "", VLOOKUP(D8,'Crafting Tables'!$A$2:$B1015, 2, false))</f>
        <v>Advanced</v>
      </c>
      <c r="F8" s="7">
        <f>IFERROR(IF(E8 = "None", 1, VLOOKUP(C8,General!$A$5:$L$35, SWITCH(E8, "Basic", 8, "Advanced", 10, "Modern", 12), false)),"")</f>
        <v>1</v>
      </c>
      <c r="G8" s="8">
        <v>20.0</v>
      </c>
      <c r="H8" s="7">
        <f>IFERROR(VLOOKUP(C8, General!$A$5:$L$35, 6, false) * G8 / 1000, 0)</f>
        <v>0.8</v>
      </c>
      <c r="I8" s="8"/>
      <c r="J8" s="22">
        <f>IFERROR(I8*VLOOKUP(D8,'Crafting Tables'!$1:$1000, 4, false)*F8,"")</f>
        <v>0</v>
      </c>
      <c r="K8" s="8" t="b">
        <v>0</v>
      </c>
      <c r="L8" s="8" t="s">
        <v>83</v>
      </c>
      <c r="M8" s="8">
        <v>1.0</v>
      </c>
      <c r="N8" s="21">
        <f t="shared" si="2"/>
        <v>1.05</v>
      </c>
      <c r="P8" s="32" t="s">
        <v>128</v>
      </c>
      <c r="Q8" s="8">
        <v>5.0</v>
      </c>
      <c r="R8" s="29" t="b">
        <v>0</v>
      </c>
      <c r="S8" s="22">
        <f t="shared" si="3"/>
        <v>5</v>
      </c>
      <c r="T8" s="19">
        <f>IF(ISBLANK(P8), 0, VLOOKUP(P8, 'Price Sheet'!$A$2:$B1015, 2, false))</f>
        <v>0.05</v>
      </c>
      <c r="U8" s="33">
        <f t="shared" si="4"/>
        <v>0.25</v>
      </c>
      <c r="V8" s="32"/>
      <c r="W8" s="8"/>
      <c r="X8" s="29" t="b">
        <v>0</v>
      </c>
      <c r="Y8" s="22" t="str">
        <f t="shared" si="5"/>
        <v/>
      </c>
      <c r="Z8" s="7">
        <f>IF(ISBLANK(V8), 0, VLOOKUP(V8, 'Price Sheet'!$A$2:$B1015, 2, false))</f>
        <v>0</v>
      </c>
      <c r="AA8" s="33" t="str">
        <f t="shared" si="6"/>
        <v/>
      </c>
      <c r="AB8" s="32"/>
      <c r="AC8" s="8"/>
      <c r="AD8" s="29" t="b">
        <v>0</v>
      </c>
      <c r="AE8" s="22" t="str">
        <f t="shared" si="7"/>
        <v/>
      </c>
      <c r="AF8" s="7">
        <f>IF(ISBLANK(AB8), 0, VLOOKUP(AB8, 'Price Sheet'!$A$2:$B1015, 2, false))</f>
        <v>0</v>
      </c>
      <c r="AG8" s="33" t="str">
        <f t="shared" si="8"/>
        <v/>
      </c>
      <c r="AH8" s="32"/>
      <c r="AI8" s="8"/>
      <c r="AJ8" s="29" t="b">
        <v>0</v>
      </c>
      <c r="AK8" s="22" t="str">
        <f t="shared" si="9"/>
        <v/>
      </c>
      <c r="AL8" s="7">
        <f>IF(ISBLANK(AH8), 0, VLOOKUP(AH8, 'Price Sheet'!$A$2:$B1015, 2, false))</f>
        <v>0</v>
      </c>
      <c r="AM8" s="33" t="str">
        <f t="shared" si="10"/>
        <v/>
      </c>
      <c r="AN8" s="32"/>
      <c r="AO8" s="8"/>
      <c r="AP8" s="29" t="b">
        <v>0</v>
      </c>
      <c r="AQ8" s="22" t="str">
        <f t="shared" si="11"/>
        <v/>
      </c>
      <c r="AR8" s="7">
        <f>IF(ISBLANK(AN8), 0, VLOOKUP(AN8, 'Price Sheet'!$A$2:$B1015, 2, false))</f>
        <v>0</v>
      </c>
      <c r="AS8" s="33" t="str">
        <f t="shared" si="12"/>
        <v/>
      </c>
      <c r="AT8" s="32"/>
      <c r="AU8" s="8"/>
      <c r="AV8" s="29" t="b">
        <v>0</v>
      </c>
      <c r="AW8" s="22" t="str">
        <f t="shared" si="13"/>
        <v/>
      </c>
      <c r="AX8" s="7">
        <f>IF(ISBLANK(AT8), 0, VLOOKUP(AT8, 'Price Sheet'!$A$2:$B1015, 2, false))</f>
        <v>0</v>
      </c>
      <c r="AY8" s="33" t="str">
        <f t="shared" si="14"/>
        <v/>
      </c>
      <c r="AZ8" s="32"/>
      <c r="BA8" s="8"/>
      <c r="BB8" s="29" t="b">
        <v>0</v>
      </c>
      <c r="BC8" s="22" t="str">
        <f t="shared" si="15"/>
        <v/>
      </c>
      <c r="BD8" s="7">
        <f>IF(ISBLANK(AZ8), 0, VLOOKUP(AZ8, 'Price Sheet'!$A$2:$B1015, 2, false))</f>
        <v>0</v>
      </c>
      <c r="BE8" s="33" t="str">
        <f t="shared" si="16"/>
        <v/>
      </c>
      <c r="BF8" s="32"/>
      <c r="BG8" s="8"/>
      <c r="BH8" s="29" t="b">
        <v>0</v>
      </c>
      <c r="BI8" s="22" t="str">
        <f t="shared" si="17"/>
        <v/>
      </c>
      <c r="BJ8" s="7">
        <f>IF(ISBLANK(BF8), 0, VLOOKUP(BF8, 'Price Sheet'!$A$2:$B1015, 2, false))</f>
        <v>0</v>
      </c>
      <c r="BK8" s="33" t="str">
        <f t="shared" si="18"/>
        <v/>
      </c>
      <c r="BL8" s="32"/>
      <c r="BM8" s="8"/>
      <c r="BN8" s="29" t="b">
        <v>0</v>
      </c>
      <c r="BO8" s="22" t="str">
        <f t="shared" si="19"/>
        <v/>
      </c>
      <c r="BP8" s="7">
        <f>IF(ISBLANK(BL8), 0, VLOOKUP(BL8, 'Price Sheet'!$A$2:$B1015, 2, false))</f>
        <v>0</v>
      </c>
      <c r="BQ8" s="33" t="str">
        <f t="shared" si="20"/>
        <v/>
      </c>
    </row>
    <row r="9">
      <c r="A9" s="7" t="s">
        <v>366</v>
      </c>
      <c r="B9" s="19">
        <f t="shared" si="1"/>
        <v>1.8</v>
      </c>
      <c r="C9" s="8" t="s">
        <v>82</v>
      </c>
      <c r="D9" s="8" t="s">
        <v>296</v>
      </c>
      <c r="E9" s="7" t="str">
        <f>IF(ISBLANK(D9), "", VLOOKUP(D9,'Crafting Tables'!$A$2:$B1015, 2, false))</f>
        <v>Advanced</v>
      </c>
      <c r="F9" s="7">
        <f>IFERROR(IF(E9 = "None", 1, VLOOKUP(C9,General!$A$5:$L$35, SWITCH(E9, "Basic", 8, "Advanced", 10, "Modern", 12), false)),"")</f>
        <v>1</v>
      </c>
      <c r="G9" s="8">
        <v>20.0</v>
      </c>
      <c r="H9" s="7">
        <f>IFERROR(VLOOKUP(C9, General!$A$5:$L$35, 6, false) * G9 / 1000, 0)</f>
        <v>0.8</v>
      </c>
      <c r="I9" s="8"/>
      <c r="J9" s="22">
        <f>IFERROR(I9*VLOOKUP(D9,'Crafting Tables'!$1:$1000, 4, false)*F9,"")</f>
        <v>0</v>
      </c>
      <c r="K9" s="8" t="b">
        <v>1</v>
      </c>
      <c r="L9" s="8" t="s">
        <v>83</v>
      </c>
      <c r="M9" s="8">
        <v>3.0</v>
      </c>
      <c r="N9" s="21">
        <f t="shared" si="2"/>
        <v>0.6</v>
      </c>
      <c r="P9" s="32" t="s">
        <v>23</v>
      </c>
      <c r="Q9" s="8">
        <v>2.0</v>
      </c>
      <c r="R9" s="29" t="b">
        <v>0</v>
      </c>
      <c r="S9" s="22">
        <f t="shared" si="3"/>
        <v>2</v>
      </c>
      <c r="T9" s="19">
        <f>IF(ISBLANK(P9), 0, VLOOKUP(P9, 'Price Sheet'!$A$2:$B1015, 2, false))</f>
        <v>0.5</v>
      </c>
      <c r="U9" s="33">
        <f t="shared" si="4"/>
        <v>1</v>
      </c>
      <c r="V9" s="32"/>
      <c r="W9" s="8"/>
      <c r="X9" s="29" t="b">
        <v>0</v>
      </c>
      <c r="Y9" s="22" t="str">
        <f t="shared" si="5"/>
        <v/>
      </c>
      <c r="Z9" s="7">
        <f>IF(ISBLANK(V9), 0, VLOOKUP(V9, 'Price Sheet'!$A$2:$B1015, 2, false))</f>
        <v>0</v>
      </c>
      <c r="AA9" s="33" t="str">
        <f t="shared" si="6"/>
        <v/>
      </c>
      <c r="AB9" s="32"/>
      <c r="AC9" s="8"/>
      <c r="AD9" s="29" t="b">
        <v>0</v>
      </c>
      <c r="AE9" s="22" t="str">
        <f t="shared" si="7"/>
        <v/>
      </c>
      <c r="AF9" s="7">
        <f>IF(ISBLANK(AB9), 0, VLOOKUP(AB9, 'Price Sheet'!$A$2:$B1015, 2, false))</f>
        <v>0</v>
      </c>
      <c r="AG9" s="33" t="str">
        <f t="shared" si="8"/>
        <v/>
      </c>
      <c r="AH9" s="32"/>
      <c r="AI9" s="8"/>
      <c r="AJ9" s="29" t="b">
        <v>0</v>
      </c>
      <c r="AK9" s="22" t="str">
        <f t="shared" si="9"/>
        <v/>
      </c>
      <c r="AL9" s="7">
        <f>IF(ISBLANK(AH9), 0, VLOOKUP(AH9, 'Price Sheet'!$A$2:$B1015, 2, false))</f>
        <v>0</v>
      </c>
      <c r="AM9" s="33" t="str">
        <f t="shared" si="10"/>
        <v/>
      </c>
      <c r="AN9" s="32"/>
      <c r="AO9" s="8"/>
      <c r="AP9" s="29" t="b">
        <v>0</v>
      </c>
      <c r="AQ9" s="22" t="str">
        <f t="shared" si="11"/>
        <v/>
      </c>
      <c r="AR9" s="7">
        <f>IF(ISBLANK(AN9), 0, VLOOKUP(AN9, 'Price Sheet'!$A$2:$B1015, 2, false))</f>
        <v>0</v>
      </c>
      <c r="AS9" s="33" t="str">
        <f t="shared" si="12"/>
        <v/>
      </c>
      <c r="AT9" s="32"/>
      <c r="AU9" s="8"/>
      <c r="AV9" s="29" t="b">
        <v>0</v>
      </c>
      <c r="AW9" s="22" t="str">
        <f t="shared" si="13"/>
        <v/>
      </c>
      <c r="AX9" s="7">
        <f>IF(ISBLANK(AT9), 0, VLOOKUP(AT9, 'Price Sheet'!$A$2:$B1015, 2, false))</f>
        <v>0</v>
      </c>
      <c r="AY9" s="33" t="str">
        <f t="shared" si="14"/>
        <v/>
      </c>
      <c r="AZ9" s="32"/>
      <c r="BA9" s="8"/>
      <c r="BB9" s="29" t="b">
        <v>0</v>
      </c>
      <c r="BC9" s="22" t="str">
        <f t="shared" si="15"/>
        <v/>
      </c>
      <c r="BD9" s="7">
        <f>IF(ISBLANK(AZ9), 0, VLOOKUP(AZ9, 'Price Sheet'!$A$2:$B1015, 2, false))</f>
        <v>0</v>
      </c>
      <c r="BE9" s="33" t="str">
        <f t="shared" si="16"/>
        <v/>
      </c>
      <c r="BF9" s="32"/>
      <c r="BG9" s="8"/>
      <c r="BH9" s="29" t="b">
        <v>0</v>
      </c>
      <c r="BI9" s="22" t="str">
        <f t="shared" si="17"/>
        <v/>
      </c>
      <c r="BJ9" s="7">
        <f>IF(ISBLANK(BF9), 0, VLOOKUP(BF9, 'Price Sheet'!$A$2:$B1015, 2, false))</f>
        <v>0</v>
      </c>
      <c r="BK9" s="33" t="str">
        <f t="shared" si="18"/>
        <v/>
      </c>
      <c r="BL9" s="32"/>
      <c r="BM9" s="8"/>
      <c r="BN9" s="29" t="b">
        <v>0</v>
      </c>
      <c r="BO9" s="22" t="str">
        <f t="shared" si="19"/>
        <v/>
      </c>
      <c r="BP9" s="7">
        <f>IF(ISBLANK(BL9), 0, VLOOKUP(BL9, 'Price Sheet'!$A$2:$B1015, 2, false))</f>
        <v>0</v>
      </c>
      <c r="BQ9" s="33" t="str">
        <f t="shared" si="20"/>
        <v/>
      </c>
    </row>
    <row r="10">
      <c r="A10" s="7" t="s">
        <v>84</v>
      </c>
      <c r="B10" s="19">
        <f t="shared" si="1"/>
        <v>21.35</v>
      </c>
      <c r="C10" s="8" t="s">
        <v>82</v>
      </c>
      <c r="D10" s="8" t="s">
        <v>93</v>
      </c>
      <c r="E10" s="7" t="str">
        <f>IF(ISBLANK(D10), "", VLOOKUP(D10,'Crafting Tables'!$A$2:$B1015, 2, false))</f>
        <v>Basic</v>
      </c>
      <c r="F10" s="7">
        <f>IFERROR(IF(E10 = "None", 1, VLOOKUP(C10,General!$A$5:$L$35, SWITCH(E10, "Basic", 8, "Advanced", 10, "Modern", 12), false)),"")</f>
        <v>0.55</v>
      </c>
      <c r="G10" s="8">
        <v>300.0</v>
      </c>
      <c r="H10" s="7">
        <f>IFERROR(VLOOKUP(C10, General!$A$5:$L$35, 6, false) * G10 / 1000, 0)</f>
        <v>12</v>
      </c>
      <c r="I10" s="8"/>
      <c r="J10" s="22">
        <f>IFERROR(I10*VLOOKUP(D10,'Crafting Tables'!$1:$1000, 4, false)*F10,"")</f>
        <v>0</v>
      </c>
      <c r="K10" s="8" t="b">
        <v>1</v>
      </c>
      <c r="L10" s="8" t="s">
        <v>84</v>
      </c>
      <c r="M10" s="8">
        <v>1.0</v>
      </c>
      <c r="N10" s="21">
        <f t="shared" si="2"/>
        <v>21.35</v>
      </c>
      <c r="P10" s="32" t="s">
        <v>81</v>
      </c>
      <c r="Q10" s="8">
        <v>10.0</v>
      </c>
      <c r="R10" s="29" t="b">
        <v>0</v>
      </c>
      <c r="S10" s="22">
        <f t="shared" si="3"/>
        <v>5.5</v>
      </c>
      <c r="T10" s="19">
        <f>IF(ISBLANK(P10), 0, VLOOKUP(P10, 'Price Sheet'!$A$2:$B1015, 2, false))</f>
        <v>0.8</v>
      </c>
      <c r="U10" s="33">
        <f t="shared" si="4"/>
        <v>4.4</v>
      </c>
      <c r="V10" s="32" t="s">
        <v>83</v>
      </c>
      <c r="W10" s="8">
        <v>20.0</v>
      </c>
      <c r="X10" s="29" t="b">
        <v>0</v>
      </c>
      <c r="Y10" s="22">
        <f t="shared" si="5"/>
        <v>11</v>
      </c>
      <c r="Z10" s="19">
        <f>IF(ISBLANK(V10), 0, VLOOKUP(V10, 'Price Sheet'!$A$2:$B1015, 2, false))</f>
        <v>0.45</v>
      </c>
      <c r="AA10" s="33">
        <f t="shared" si="6"/>
        <v>4.95</v>
      </c>
      <c r="AB10" s="37"/>
      <c r="AC10" s="29"/>
      <c r="AD10" s="29" t="b">
        <v>0</v>
      </c>
      <c r="AE10" s="22" t="str">
        <f t="shared" si="7"/>
        <v/>
      </c>
      <c r="AF10" s="7">
        <f>IF(ISBLANK(AB10), 0, VLOOKUP(AB10, 'Price Sheet'!$A$2:$B1015, 2, false))</f>
        <v>0</v>
      </c>
      <c r="AG10" s="33" t="str">
        <f t="shared" si="8"/>
        <v/>
      </c>
      <c r="AH10" s="37"/>
      <c r="AI10" s="29"/>
      <c r="AJ10" s="29" t="b">
        <v>0</v>
      </c>
      <c r="AK10" s="22" t="str">
        <f t="shared" si="9"/>
        <v/>
      </c>
      <c r="AL10" s="7">
        <f>IF(ISBLANK(AH10), 0, VLOOKUP(AH10, 'Price Sheet'!$A$2:$B1015, 2, false))</f>
        <v>0</v>
      </c>
      <c r="AM10" s="33" t="str">
        <f t="shared" si="10"/>
        <v/>
      </c>
      <c r="AN10" s="37"/>
      <c r="AO10" s="29"/>
      <c r="AP10" s="29" t="b">
        <v>0</v>
      </c>
      <c r="AQ10" s="22" t="str">
        <f t="shared" si="11"/>
        <v/>
      </c>
      <c r="AR10" s="7">
        <f>IF(ISBLANK(AN10), 0, VLOOKUP(AN10, 'Price Sheet'!$A$2:$B1015, 2, false))</f>
        <v>0</v>
      </c>
      <c r="AS10" s="33" t="str">
        <f t="shared" si="12"/>
        <v/>
      </c>
      <c r="AT10" s="37"/>
      <c r="AU10" s="29"/>
      <c r="AV10" s="29" t="b">
        <v>0</v>
      </c>
      <c r="AW10" s="22" t="str">
        <f t="shared" si="13"/>
        <v/>
      </c>
      <c r="AX10" s="7">
        <f>IF(ISBLANK(AT10), 0, VLOOKUP(AT10, 'Price Sheet'!$A$2:$B1015, 2, false))</f>
        <v>0</v>
      </c>
      <c r="AY10" s="33" t="str">
        <f t="shared" si="14"/>
        <v/>
      </c>
      <c r="AZ10" s="37"/>
      <c r="BA10" s="29"/>
      <c r="BB10" s="29" t="b">
        <v>0</v>
      </c>
      <c r="BC10" s="22" t="str">
        <f t="shared" si="15"/>
        <v/>
      </c>
      <c r="BD10" s="7">
        <f>IF(ISBLANK(AZ10), 0, VLOOKUP(AZ10, 'Price Sheet'!$A$2:$B1015, 2, false))</f>
        <v>0</v>
      </c>
      <c r="BE10" s="33" t="str">
        <f t="shared" si="16"/>
        <v/>
      </c>
      <c r="BF10" s="37"/>
      <c r="BG10" s="29"/>
      <c r="BH10" s="29" t="b">
        <v>0</v>
      </c>
      <c r="BI10" s="22" t="str">
        <f t="shared" si="17"/>
        <v/>
      </c>
      <c r="BJ10" s="7">
        <f>IF(ISBLANK(BF10), 0, VLOOKUP(BF10, 'Price Sheet'!$A$2:$B1015, 2, false))</f>
        <v>0</v>
      </c>
      <c r="BK10" s="33" t="str">
        <f t="shared" si="18"/>
        <v/>
      </c>
      <c r="BL10" s="37"/>
      <c r="BM10" s="29"/>
      <c r="BN10" s="29" t="b">
        <v>0</v>
      </c>
      <c r="BO10" s="22" t="str">
        <f t="shared" si="19"/>
        <v/>
      </c>
      <c r="BP10" s="7">
        <f>IF(ISBLANK(BL10), 0, VLOOKUP(BL10, 'Price Sheet'!$A$2:$B1015, 2, false))</f>
        <v>0</v>
      </c>
      <c r="BQ10" s="33" t="str">
        <f t="shared" si="20"/>
        <v/>
      </c>
    </row>
    <row r="11">
      <c r="A11" s="7" t="s">
        <v>87</v>
      </c>
      <c r="B11" s="19">
        <f t="shared" si="1"/>
        <v>21.35</v>
      </c>
      <c r="C11" s="8" t="s">
        <v>82</v>
      </c>
      <c r="D11" s="8" t="s">
        <v>93</v>
      </c>
      <c r="E11" s="7" t="str">
        <f>IF(ISBLANK(D11), "", VLOOKUP(D11,'Crafting Tables'!$A$2:$B1015, 2, false))</f>
        <v>Basic</v>
      </c>
      <c r="F11" s="7">
        <f>IFERROR(IF(E11 = "None", 1, VLOOKUP(C11,General!$A$5:$L$35, SWITCH(E11, "Basic", 8, "Advanced", 10, "Modern", 12), false)),"")</f>
        <v>0.55</v>
      </c>
      <c r="G11" s="8">
        <v>300.0</v>
      </c>
      <c r="H11" s="7">
        <f>IFERROR(VLOOKUP(C11, General!$A$5:$L$35, 6, false) * G11 / 1000, 0)</f>
        <v>12</v>
      </c>
      <c r="I11" s="8"/>
      <c r="J11" s="22">
        <f>IFERROR(I11*VLOOKUP(D11,'Crafting Tables'!$1:$1000, 4, false)*F11,"")</f>
        <v>0</v>
      </c>
      <c r="K11" s="8" t="b">
        <v>1</v>
      </c>
      <c r="L11" s="8" t="s">
        <v>87</v>
      </c>
      <c r="M11" s="8">
        <v>1.0</v>
      </c>
      <c r="N11" s="21">
        <f t="shared" si="2"/>
        <v>21.35</v>
      </c>
      <c r="P11" s="32" t="s">
        <v>81</v>
      </c>
      <c r="Q11" s="8">
        <v>10.0</v>
      </c>
      <c r="R11" s="29" t="b">
        <v>0</v>
      </c>
      <c r="S11" s="22">
        <f t="shared" si="3"/>
        <v>5.5</v>
      </c>
      <c r="T11" s="19">
        <f>IF(ISBLANK(P11), 0, VLOOKUP(P11, 'Price Sheet'!$A$2:$B1015, 2, false))</f>
        <v>0.8</v>
      </c>
      <c r="U11" s="33">
        <f t="shared" si="4"/>
        <v>4.4</v>
      </c>
      <c r="V11" s="32" t="s">
        <v>83</v>
      </c>
      <c r="W11" s="8">
        <v>20.0</v>
      </c>
      <c r="X11" s="29" t="b">
        <v>0</v>
      </c>
      <c r="Y11" s="22">
        <f t="shared" si="5"/>
        <v>11</v>
      </c>
      <c r="Z11" s="19">
        <f>IF(ISBLANK(V11), 0, VLOOKUP(V11, 'Price Sheet'!$A$2:$B1015, 2, false))</f>
        <v>0.45</v>
      </c>
      <c r="AA11" s="33">
        <f t="shared" si="6"/>
        <v>4.95</v>
      </c>
      <c r="AB11" s="37"/>
      <c r="AC11" s="29"/>
      <c r="AD11" s="29" t="b">
        <v>0</v>
      </c>
      <c r="AE11" s="22" t="str">
        <f t="shared" si="7"/>
        <v/>
      </c>
      <c r="AF11" s="7">
        <f>IF(ISBLANK(AB11), 0, VLOOKUP(AB11, 'Price Sheet'!$A$2:$B1015, 2, false))</f>
        <v>0</v>
      </c>
      <c r="AG11" s="33" t="str">
        <f t="shared" si="8"/>
        <v/>
      </c>
      <c r="AH11" s="37"/>
      <c r="AI11" s="29"/>
      <c r="AJ11" s="29" t="b">
        <v>0</v>
      </c>
      <c r="AK11" s="22" t="str">
        <f t="shared" si="9"/>
        <v/>
      </c>
      <c r="AL11" s="7">
        <f>IF(ISBLANK(AH11), 0, VLOOKUP(AH11, 'Price Sheet'!$A$2:$B1015, 2, false))</f>
        <v>0</v>
      </c>
      <c r="AM11" s="33" t="str">
        <f t="shared" si="10"/>
        <v/>
      </c>
      <c r="AN11" s="37"/>
      <c r="AO11" s="29"/>
      <c r="AP11" s="29" t="b">
        <v>0</v>
      </c>
      <c r="AQ11" s="22" t="str">
        <f t="shared" si="11"/>
        <v/>
      </c>
      <c r="AR11" s="7">
        <f>IF(ISBLANK(AN11), 0, VLOOKUP(AN11, 'Price Sheet'!$A$2:$B1015, 2, false))</f>
        <v>0</v>
      </c>
      <c r="AS11" s="33" t="str">
        <f t="shared" si="12"/>
        <v/>
      </c>
      <c r="AT11" s="37"/>
      <c r="AU11" s="29"/>
      <c r="AV11" s="29" t="b">
        <v>0</v>
      </c>
      <c r="AW11" s="22" t="str">
        <f t="shared" si="13"/>
        <v/>
      </c>
      <c r="AX11" s="7">
        <f>IF(ISBLANK(AT11), 0, VLOOKUP(AT11, 'Price Sheet'!$A$2:$B1015, 2, false))</f>
        <v>0</v>
      </c>
      <c r="AY11" s="33" t="str">
        <f t="shared" si="14"/>
        <v/>
      </c>
      <c r="AZ11" s="37"/>
      <c r="BA11" s="29"/>
      <c r="BB11" s="29" t="b">
        <v>0</v>
      </c>
      <c r="BC11" s="22" t="str">
        <f t="shared" si="15"/>
        <v/>
      </c>
      <c r="BD11" s="7">
        <f>IF(ISBLANK(AZ11), 0, VLOOKUP(AZ11, 'Price Sheet'!$A$2:$B1015, 2, false))</f>
        <v>0</v>
      </c>
      <c r="BE11" s="33" t="str">
        <f t="shared" si="16"/>
        <v/>
      </c>
      <c r="BF11" s="37"/>
      <c r="BG11" s="29"/>
      <c r="BH11" s="29" t="b">
        <v>0</v>
      </c>
      <c r="BI11" s="22" t="str">
        <f t="shared" si="17"/>
        <v/>
      </c>
      <c r="BJ11" s="7">
        <f>IF(ISBLANK(BF11), 0, VLOOKUP(BF11, 'Price Sheet'!$A$2:$B1015, 2, false))</f>
        <v>0</v>
      </c>
      <c r="BK11" s="33" t="str">
        <f t="shared" si="18"/>
        <v/>
      </c>
      <c r="BL11" s="37"/>
      <c r="BM11" s="29"/>
      <c r="BN11" s="29" t="b">
        <v>0</v>
      </c>
      <c r="BO11" s="22" t="str">
        <f t="shared" si="19"/>
        <v/>
      </c>
      <c r="BP11" s="7">
        <f>IF(ISBLANK(BL11), 0, VLOOKUP(BL11, 'Price Sheet'!$A$2:$B1015, 2, false))</f>
        <v>0</v>
      </c>
      <c r="BQ11" s="33" t="str">
        <f t="shared" si="20"/>
        <v/>
      </c>
    </row>
    <row r="12">
      <c r="A12" s="7" t="s">
        <v>88</v>
      </c>
      <c r="B12" s="19">
        <f t="shared" si="1"/>
        <v>11.805</v>
      </c>
      <c r="C12" s="8" t="s">
        <v>82</v>
      </c>
      <c r="D12" s="8" t="s">
        <v>93</v>
      </c>
      <c r="E12" s="7" t="str">
        <f>IF(ISBLANK(D12), "", VLOOKUP(D12,'Crafting Tables'!$A$2:$B1015, 2, false))</f>
        <v>Basic</v>
      </c>
      <c r="F12" s="7">
        <f>IFERROR(IF(E12 = "None", 1, VLOOKUP(C12,General!$A$5:$L$35, SWITCH(E12, "Basic", 8, "Advanced", 10, "Modern", 12), false)),"")</f>
        <v>0.55</v>
      </c>
      <c r="G12" s="8">
        <v>60.0</v>
      </c>
      <c r="H12" s="7">
        <f>IFERROR(VLOOKUP(C12, General!$A$5:$L$35, 6, false) * G12 / 1000, 0)</f>
        <v>2.4</v>
      </c>
      <c r="I12" s="8"/>
      <c r="J12" s="22">
        <f>IFERROR(I12*VLOOKUP(D12,'Crafting Tables'!$1:$1000, 4, false)*F12,"")</f>
        <v>0</v>
      </c>
      <c r="K12" s="8" t="b">
        <v>1</v>
      </c>
      <c r="L12" s="8" t="s">
        <v>88</v>
      </c>
      <c r="M12" s="8">
        <v>1.0</v>
      </c>
      <c r="N12" s="21">
        <f t="shared" si="2"/>
        <v>11.805</v>
      </c>
      <c r="P12" s="32" t="s">
        <v>81</v>
      </c>
      <c r="Q12" s="8">
        <v>18.0</v>
      </c>
      <c r="R12" s="29" t="b">
        <v>0</v>
      </c>
      <c r="S12" s="22">
        <f t="shared" si="3"/>
        <v>9.9</v>
      </c>
      <c r="T12" s="19">
        <f>IF(ISBLANK(P12), 0, VLOOKUP(P12, 'Price Sheet'!$A$2:$B1015, 2, false))</f>
        <v>0.8</v>
      </c>
      <c r="U12" s="33">
        <f t="shared" si="4"/>
        <v>7.92</v>
      </c>
      <c r="V12" s="32" t="s">
        <v>83</v>
      </c>
      <c r="W12" s="8">
        <v>6.0</v>
      </c>
      <c r="X12" s="29" t="b">
        <v>0</v>
      </c>
      <c r="Y12" s="22">
        <f t="shared" si="5"/>
        <v>3.3</v>
      </c>
      <c r="Z12" s="19">
        <f>IF(ISBLANK(V12), 0, VLOOKUP(V12, 'Price Sheet'!$A$2:$B1015, 2, false))</f>
        <v>0.45</v>
      </c>
      <c r="AA12" s="33">
        <f t="shared" si="6"/>
        <v>1.485</v>
      </c>
      <c r="AB12" s="37"/>
      <c r="AC12" s="29"/>
      <c r="AD12" s="29" t="b">
        <v>0</v>
      </c>
      <c r="AE12" s="22" t="str">
        <f t="shared" si="7"/>
        <v/>
      </c>
      <c r="AF12" s="7">
        <f>IF(ISBLANK(AB12), 0, VLOOKUP(AB12, 'Price Sheet'!$A$2:$B1015, 2, false))</f>
        <v>0</v>
      </c>
      <c r="AG12" s="33" t="str">
        <f t="shared" si="8"/>
        <v/>
      </c>
      <c r="AH12" s="37"/>
      <c r="AI12" s="29"/>
      <c r="AJ12" s="29" t="b">
        <v>0</v>
      </c>
      <c r="AK12" s="22" t="str">
        <f t="shared" si="9"/>
        <v/>
      </c>
      <c r="AL12" s="7">
        <f>IF(ISBLANK(AH12), 0, VLOOKUP(AH12, 'Price Sheet'!$A$2:$B1015, 2, false))</f>
        <v>0</v>
      </c>
      <c r="AM12" s="33" t="str">
        <f t="shared" si="10"/>
        <v/>
      </c>
      <c r="AN12" s="37"/>
      <c r="AO12" s="29"/>
      <c r="AP12" s="29" t="b">
        <v>0</v>
      </c>
      <c r="AQ12" s="22" t="str">
        <f t="shared" si="11"/>
        <v/>
      </c>
      <c r="AR12" s="7">
        <f>IF(ISBLANK(AN12), 0, VLOOKUP(AN12, 'Price Sheet'!$A$2:$B1015, 2, false))</f>
        <v>0</v>
      </c>
      <c r="AS12" s="33" t="str">
        <f t="shared" si="12"/>
        <v/>
      </c>
      <c r="AT12" s="37"/>
      <c r="AU12" s="29"/>
      <c r="AV12" s="29" t="b">
        <v>0</v>
      </c>
      <c r="AW12" s="22" t="str">
        <f t="shared" si="13"/>
        <v/>
      </c>
      <c r="AX12" s="7">
        <f>IF(ISBLANK(AT12), 0, VLOOKUP(AT12, 'Price Sheet'!$A$2:$B1015, 2, false))</f>
        <v>0</v>
      </c>
      <c r="AY12" s="33" t="str">
        <f t="shared" si="14"/>
        <v/>
      </c>
      <c r="AZ12" s="37"/>
      <c r="BA12" s="29"/>
      <c r="BB12" s="29" t="b">
        <v>0</v>
      </c>
      <c r="BC12" s="22" t="str">
        <f t="shared" si="15"/>
        <v/>
      </c>
      <c r="BD12" s="7">
        <f>IF(ISBLANK(AZ12), 0, VLOOKUP(AZ12, 'Price Sheet'!$A$2:$B1015, 2, false))</f>
        <v>0</v>
      </c>
      <c r="BE12" s="33" t="str">
        <f t="shared" si="16"/>
        <v/>
      </c>
      <c r="BF12" s="37"/>
      <c r="BG12" s="29"/>
      <c r="BH12" s="29" t="b">
        <v>0</v>
      </c>
      <c r="BI12" s="22" t="str">
        <f t="shared" si="17"/>
        <v/>
      </c>
      <c r="BJ12" s="7">
        <f>IF(ISBLANK(BF12), 0, VLOOKUP(BF12, 'Price Sheet'!$A$2:$B1015, 2, false))</f>
        <v>0</v>
      </c>
      <c r="BK12" s="33" t="str">
        <f t="shared" si="18"/>
        <v/>
      </c>
      <c r="BL12" s="37"/>
      <c r="BM12" s="29"/>
      <c r="BN12" s="29" t="b">
        <v>0</v>
      </c>
      <c r="BO12" s="22" t="str">
        <f t="shared" si="19"/>
        <v/>
      </c>
      <c r="BP12" s="7">
        <f>IF(ISBLANK(BL12), 0, VLOOKUP(BL12, 'Price Sheet'!$A$2:$B1015, 2, false))</f>
        <v>0</v>
      </c>
      <c r="BQ12" s="33" t="str">
        <f t="shared" si="20"/>
        <v/>
      </c>
    </row>
    <row r="13">
      <c r="A13" s="7" t="s">
        <v>90</v>
      </c>
      <c r="B13" s="19">
        <f t="shared" si="1"/>
        <v>10.65</v>
      </c>
      <c r="C13" s="8" t="s">
        <v>82</v>
      </c>
      <c r="D13" s="8" t="s">
        <v>93</v>
      </c>
      <c r="E13" s="7" t="str">
        <f>IF(ISBLANK(D13), "", VLOOKUP(D13,'Crafting Tables'!$A$2:$B1015, 2, false))</f>
        <v>Basic</v>
      </c>
      <c r="F13" s="7">
        <f>IFERROR(IF(E13 = "None", 1, VLOOKUP(C13,General!$A$5:$L$35, SWITCH(E13, "Basic", 8, "Advanced", 10, "Modern", 12), false)),"")</f>
        <v>0.55</v>
      </c>
      <c r="G13" s="8">
        <v>60.0</v>
      </c>
      <c r="H13" s="7">
        <f>IFERROR(VLOOKUP(C13, General!$A$5:$L$35, 6, false) * G13 / 1000, 0)</f>
        <v>2.4</v>
      </c>
      <c r="I13" s="8"/>
      <c r="J13" s="22">
        <f>IFERROR(I13*VLOOKUP(D13,'Crafting Tables'!$1:$1000, 4, false)*F13,"")</f>
        <v>0</v>
      </c>
      <c r="K13" s="8" t="b">
        <v>1</v>
      </c>
      <c r="L13" s="8" t="s">
        <v>90</v>
      </c>
      <c r="M13" s="8">
        <v>1.0</v>
      </c>
      <c r="N13" s="21">
        <f t="shared" si="2"/>
        <v>10.65</v>
      </c>
      <c r="P13" s="32" t="s">
        <v>81</v>
      </c>
      <c r="Q13" s="8">
        <v>12.0</v>
      </c>
      <c r="R13" s="29" t="b">
        <v>0</v>
      </c>
      <c r="S13" s="22">
        <f t="shared" si="3"/>
        <v>6.6</v>
      </c>
      <c r="T13" s="19">
        <f>IF(ISBLANK(P13), 0, VLOOKUP(P13, 'Price Sheet'!$A$2:$B1015, 2, false))</f>
        <v>0.8</v>
      </c>
      <c r="U13" s="33">
        <f t="shared" si="4"/>
        <v>5.28</v>
      </c>
      <c r="V13" s="32" t="s">
        <v>83</v>
      </c>
      <c r="W13" s="8">
        <v>12.0</v>
      </c>
      <c r="X13" s="29" t="b">
        <v>0</v>
      </c>
      <c r="Y13" s="22">
        <f t="shared" si="5"/>
        <v>6.6</v>
      </c>
      <c r="Z13" s="19">
        <f>IF(ISBLANK(V13), 0, VLOOKUP(V13, 'Price Sheet'!$A$2:$B1015, 2, false))</f>
        <v>0.45</v>
      </c>
      <c r="AA13" s="33">
        <f t="shared" si="6"/>
        <v>2.97</v>
      </c>
      <c r="AB13" s="37"/>
      <c r="AC13" s="29"/>
      <c r="AD13" s="29" t="b">
        <v>0</v>
      </c>
      <c r="AE13" s="22" t="str">
        <f t="shared" si="7"/>
        <v/>
      </c>
      <c r="AF13" s="7">
        <f>IF(ISBLANK(AB13), 0, VLOOKUP(AB13, 'Price Sheet'!$A$2:$B1015, 2, false))</f>
        <v>0</v>
      </c>
      <c r="AG13" s="33" t="str">
        <f t="shared" si="8"/>
        <v/>
      </c>
      <c r="AH13" s="37"/>
      <c r="AI13" s="29"/>
      <c r="AJ13" s="29" t="b">
        <v>0</v>
      </c>
      <c r="AK13" s="22" t="str">
        <f t="shared" si="9"/>
        <v/>
      </c>
      <c r="AL13" s="7">
        <f>IF(ISBLANK(AH13), 0, VLOOKUP(AH13, 'Price Sheet'!$A$2:$B1015, 2, false))</f>
        <v>0</v>
      </c>
      <c r="AM13" s="33" t="str">
        <f t="shared" si="10"/>
        <v/>
      </c>
      <c r="AN13" s="37"/>
      <c r="AO13" s="29"/>
      <c r="AP13" s="29" t="b">
        <v>0</v>
      </c>
      <c r="AQ13" s="22" t="str">
        <f t="shared" si="11"/>
        <v/>
      </c>
      <c r="AR13" s="7">
        <f>IF(ISBLANK(AN13), 0, VLOOKUP(AN13, 'Price Sheet'!$A$2:$B1015, 2, false))</f>
        <v>0</v>
      </c>
      <c r="AS13" s="33" t="str">
        <f t="shared" si="12"/>
        <v/>
      </c>
      <c r="AT13" s="37"/>
      <c r="AU13" s="29"/>
      <c r="AV13" s="29" t="b">
        <v>0</v>
      </c>
      <c r="AW13" s="22" t="str">
        <f t="shared" si="13"/>
        <v/>
      </c>
      <c r="AX13" s="7">
        <f>IF(ISBLANK(AT13), 0, VLOOKUP(AT13, 'Price Sheet'!$A$2:$B1015, 2, false))</f>
        <v>0</v>
      </c>
      <c r="AY13" s="33" t="str">
        <f t="shared" si="14"/>
        <v/>
      </c>
      <c r="AZ13" s="37"/>
      <c r="BA13" s="29"/>
      <c r="BB13" s="29" t="b">
        <v>0</v>
      </c>
      <c r="BC13" s="22" t="str">
        <f t="shared" si="15"/>
        <v/>
      </c>
      <c r="BD13" s="7">
        <f>IF(ISBLANK(AZ13), 0, VLOOKUP(AZ13, 'Price Sheet'!$A$2:$B1015, 2, false))</f>
        <v>0</v>
      </c>
      <c r="BE13" s="33" t="str">
        <f t="shared" si="16"/>
        <v/>
      </c>
      <c r="BF13" s="37"/>
      <c r="BG13" s="29"/>
      <c r="BH13" s="29" t="b">
        <v>0</v>
      </c>
      <c r="BI13" s="22" t="str">
        <f t="shared" si="17"/>
        <v/>
      </c>
      <c r="BJ13" s="7">
        <f>IF(ISBLANK(BF13), 0, VLOOKUP(BF13, 'Price Sheet'!$A$2:$B1015, 2, false))</f>
        <v>0</v>
      </c>
      <c r="BK13" s="33" t="str">
        <f t="shared" si="18"/>
        <v/>
      </c>
      <c r="BL13" s="37"/>
      <c r="BM13" s="29"/>
      <c r="BN13" s="29" t="b">
        <v>0</v>
      </c>
      <c r="BO13" s="22" t="str">
        <f t="shared" si="19"/>
        <v/>
      </c>
      <c r="BP13" s="7">
        <f>IF(ISBLANK(BL13), 0, VLOOKUP(BL13, 'Price Sheet'!$A$2:$B1015, 2, false))</f>
        <v>0</v>
      </c>
      <c r="BQ13" s="33" t="str">
        <f t="shared" si="20"/>
        <v/>
      </c>
    </row>
    <row r="14">
      <c r="A14" s="7" t="s">
        <v>91</v>
      </c>
      <c r="B14" s="19">
        <f t="shared" si="1"/>
        <v>3.28</v>
      </c>
      <c r="C14" s="8" t="s">
        <v>82</v>
      </c>
      <c r="D14" s="8" t="s">
        <v>93</v>
      </c>
      <c r="E14" s="7" t="str">
        <f>IF(ISBLANK(D14), "", VLOOKUP(D14,'Crafting Tables'!$A$2:$B1015, 2, false))</f>
        <v>Basic</v>
      </c>
      <c r="F14" s="7">
        <f>IFERROR(IF(E14 = "None", 1, VLOOKUP(C14,General!$A$5:$L$35, SWITCH(E14, "Basic", 8, "Advanced", 10, "Modern", 12), false)),"")</f>
        <v>0.55</v>
      </c>
      <c r="G14" s="8">
        <v>60.0</v>
      </c>
      <c r="H14" s="7">
        <f>IFERROR(VLOOKUP(C14, General!$A$5:$L$35, 6, false) * G14 / 1000, 0)</f>
        <v>2.4</v>
      </c>
      <c r="I14" s="8"/>
      <c r="J14" s="22">
        <f>IFERROR(I14*VLOOKUP(D14,'Crafting Tables'!$1:$1000, 4, false)*F14,"")</f>
        <v>0</v>
      </c>
      <c r="K14" s="8" t="b">
        <v>1</v>
      </c>
      <c r="L14" s="8" t="s">
        <v>91</v>
      </c>
      <c r="M14" s="8">
        <v>1.0</v>
      </c>
      <c r="N14" s="21">
        <f t="shared" si="2"/>
        <v>3.28</v>
      </c>
      <c r="P14" s="32" t="s">
        <v>81</v>
      </c>
      <c r="Q14" s="8">
        <v>2.0</v>
      </c>
      <c r="R14" s="29" t="b">
        <v>0</v>
      </c>
      <c r="S14" s="22">
        <f t="shared" si="3"/>
        <v>1.1</v>
      </c>
      <c r="T14" s="19">
        <f>IF(ISBLANK(P14), 0, VLOOKUP(P14, 'Price Sheet'!$A$2:$B1015, 2, false))</f>
        <v>0.8</v>
      </c>
      <c r="U14" s="33">
        <f t="shared" si="4"/>
        <v>0.88</v>
      </c>
      <c r="V14" s="32"/>
      <c r="W14" s="29"/>
      <c r="X14" s="29" t="b">
        <v>0</v>
      </c>
      <c r="Y14" s="22" t="str">
        <f t="shared" si="5"/>
        <v/>
      </c>
      <c r="Z14" s="7">
        <f>IF(ISBLANK(V14), 0, VLOOKUP(V14, 'Price Sheet'!$A$2:$B1015, 2, false))</f>
        <v>0</v>
      </c>
      <c r="AA14" s="33" t="str">
        <f t="shared" si="6"/>
        <v/>
      </c>
      <c r="AB14" s="37"/>
      <c r="AC14" s="29"/>
      <c r="AD14" s="29" t="b">
        <v>0</v>
      </c>
      <c r="AE14" s="22" t="str">
        <f t="shared" si="7"/>
        <v/>
      </c>
      <c r="AF14" s="7">
        <f>IF(ISBLANK(AB14), 0, VLOOKUP(AB14, 'Price Sheet'!$A$2:$B1015, 2, false))</f>
        <v>0</v>
      </c>
      <c r="AG14" s="33" t="str">
        <f t="shared" si="8"/>
        <v/>
      </c>
      <c r="AH14" s="37"/>
      <c r="AI14" s="29"/>
      <c r="AJ14" s="29" t="b">
        <v>0</v>
      </c>
      <c r="AK14" s="22" t="str">
        <f t="shared" si="9"/>
        <v/>
      </c>
      <c r="AL14" s="7">
        <f>IF(ISBLANK(AH14), 0, VLOOKUP(AH14, 'Price Sheet'!$A$2:$B1015, 2, false))</f>
        <v>0</v>
      </c>
      <c r="AM14" s="33" t="str">
        <f t="shared" si="10"/>
        <v/>
      </c>
      <c r="AN14" s="37"/>
      <c r="AO14" s="29"/>
      <c r="AP14" s="29" t="b">
        <v>0</v>
      </c>
      <c r="AQ14" s="22" t="str">
        <f t="shared" si="11"/>
        <v/>
      </c>
      <c r="AR14" s="7">
        <f>IF(ISBLANK(AN14), 0, VLOOKUP(AN14, 'Price Sheet'!$A$2:$B1015, 2, false))</f>
        <v>0</v>
      </c>
      <c r="AS14" s="33" t="str">
        <f t="shared" si="12"/>
        <v/>
      </c>
      <c r="AT14" s="37"/>
      <c r="AU14" s="29"/>
      <c r="AV14" s="29" t="b">
        <v>0</v>
      </c>
      <c r="AW14" s="22" t="str">
        <f t="shared" si="13"/>
        <v/>
      </c>
      <c r="AX14" s="7">
        <f>IF(ISBLANK(AT14), 0, VLOOKUP(AT14, 'Price Sheet'!$A$2:$B1015, 2, false))</f>
        <v>0</v>
      </c>
      <c r="AY14" s="33" t="str">
        <f t="shared" si="14"/>
        <v/>
      </c>
      <c r="AZ14" s="37"/>
      <c r="BA14" s="29"/>
      <c r="BB14" s="29" t="b">
        <v>0</v>
      </c>
      <c r="BC14" s="22" t="str">
        <f t="shared" si="15"/>
        <v/>
      </c>
      <c r="BD14" s="7">
        <f>IF(ISBLANK(AZ14), 0, VLOOKUP(AZ14, 'Price Sheet'!$A$2:$B1015, 2, false))</f>
        <v>0</v>
      </c>
      <c r="BE14" s="33" t="str">
        <f t="shared" si="16"/>
        <v/>
      </c>
      <c r="BF14" s="37"/>
      <c r="BG14" s="29"/>
      <c r="BH14" s="29" t="b">
        <v>0</v>
      </c>
      <c r="BI14" s="22" t="str">
        <f t="shared" si="17"/>
        <v/>
      </c>
      <c r="BJ14" s="7">
        <f>IF(ISBLANK(BF14), 0, VLOOKUP(BF14, 'Price Sheet'!$A$2:$B1015, 2, false))</f>
        <v>0</v>
      </c>
      <c r="BK14" s="33" t="str">
        <f t="shared" si="18"/>
        <v/>
      </c>
      <c r="BL14" s="37"/>
      <c r="BM14" s="29"/>
      <c r="BN14" s="29" t="b">
        <v>0</v>
      </c>
      <c r="BO14" s="22" t="str">
        <f t="shared" si="19"/>
        <v/>
      </c>
      <c r="BP14" s="7">
        <f>IF(ISBLANK(BL14), 0, VLOOKUP(BL14, 'Price Sheet'!$A$2:$B1015, 2, false))</f>
        <v>0</v>
      </c>
      <c r="BQ14" s="33" t="str">
        <f t="shared" si="20"/>
        <v/>
      </c>
    </row>
    <row r="15">
      <c r="A15" s="7" t="s">
        <v>92</v>
      </c>
      <c r="B15" s="19">
        <f t="shared" si="1"/>
        <v>11.805</v>
      </c>
      <c r="C15" s="8" t="s">
        <v>82</v>
      </c>
      <c r="D15" s="8" t="s">
        <v>93</v>
      </c>
      <c r="E15" s="7" t="str">
        <f>IF(ISBLANK(D15), "", VLOOKUP(D15,'Crafting Tables'!$A$2:$B1015, 2, false))</f>
        <v>Basic</v>
      </c>
      <c r="F15" s="7">
        <f>IFERROR(IF(E15 = "None", 1, VLOOKUP(C15,General!$A$5:$L$35, SWITCH(E15, "Basic", 8, "Advanced", 10, "Modern", 12), false)),"")</f>
        <v>0.55</v>
      </c>
      <c r="G15" s="8">
        <v>60.0</v>
      </c>
      <c r="H15" s="7">
        <f>IFERROR(VLOOKUP(C15, General!$A$5:$L$35, 6, false) * G15 / 1000, 0)</f>
        <v>2.4</v>
      </c>
      <c r="I15" s="8"/>
      <c r="J15" s="22">
        <f>IFERROR(I15*VLOOKUP(D15,'Crafting Tables'!$1:$1000, 4, false)*F15,"")</f>
        <v>0</v>
      </c>
      <c r="K15" s="8" t="b">
        <v>1</v>
      </c>
      <c r="L15" s="8" t="s">
        <v>92</v>
      </c>
      <c r="M15" s="8">
        <v>1.0</v>
      </c>
      <c r="N15" s="21">
        <f t="shared" si="2"/>
        <v>11.805</v>
      </c>
      <c r="P15" s="32" t="s">
        <v>81</v>
      </c>
      <c r="Q15" s="8">
        <v>18.0</v>
      </c>
      <c r="R15" s="29" t="b">
        <v>0</v>
      </c>
      <c r="S15" s="22">
        <f t="shared" si="3"/>
        <v>9.9</v>
      </c>
      <c r="T15" s="19">
        <f>IF(ISBLANK(P15), 0, VLOOKUP(P15, 'Price Sheet'!$A$2:$B1015, 2, false))</f>
        <v>0.8</v>
      </c>
      <c r="U15" s="33">
        <f t="shared" si="4"/>
        <v>7.92</v>
      </c>
      <c r="V15" s="32" t="s">
        <v>83</v>
      </c>
      <c r="W15" s="8">
        <v>6.0</v>
      </c>
      <c r="X15" s="29" t="b">
        <v>0</v>
      </c>
      <c r="Y15" s="22">
        <f t="shared" si="5"/>
        <v>3.3</v>
      </c>
      <c r="Z15" s="19">
        <f>IF(ISBLANK(V15), 0, VLOOKUP(V15, 'Price Sheet'!$A$2:$B1015, 2, false))</f>
        <v>0.45</v>
      </c>
      <c r="AA15" s="33">
        <f t="shared" si="6"/>
        <v>1.485</v>
      </c>
      <c r="AB15" s="37"/>
      <c r="AC15" s="29"/>
      <c r="AD15" s="29" t="b">
        <v>0</v>
      </c>
      <c r="AE15" s="22" t="str">
        <f t="shared" si="7"/>
        <v/>
      </c>
      <c r="AF15" s="7">
        <f>IF(ISBLANK(AB15), 0, VLOOKUP(AB15, 'Price Sheet'!$A$2:$B1015, 2, false))</f>
        <v>0</v>
      </c>
      <c r="AG15" s="33" t="str">
        <f t="shared" si="8"/>
        <v/>
      </c>
      <c r="AH15" s="37"/>
      <c r="AI15" s="29"/>
      <c r="AJ15" s="29" t="b">
        <v>0</v>
      </c>
      <c r="AK15" s="22" t="str">
        <f t="shared" si="9"/>
        <v/>
      </c>
      <c r="AL15" s="7">
        <f>IF(ISBLANK(AH15), 0, VLOOKUP(AH15, 'Price Sheet'!$A$2:$B1015, 2, false))</f>
        <v>0</v>
      </c>
      <c r="AM15" s="33" t="str">
        <f t="shared" si="10"/>
        <v/>
      </c>
      <c r="AN15" s="37"/>
      <c r="AO15" s="29"/>
      <c r="AP15" s="29" t="b">
        <v>0</v>
      </c>
      <c r="AQ15" s="22" t="str">
        <f t="shared" si="11"/>
        <v/>
      </c>
      <c r="AR15" s="7">
        <f>IF(ISBLANK(AN15), 0, VLOOKUP(AN15, 'Price Sheet'!$A$2:$B1015, 2, false))</f>
        <v>0</v>
      </c>
      <c r="AS15" s="33" t="str">
        <f t="shared" si="12"/>
        <v/>
      </c>
      <c r="AT15" s="37"/>
      <c r="AU15" s="29"/>
      <c r="AV15" s="29" t="b">
        <v>0</v>
      </c>
      <c r="AW15" s="22" t="str">
        <f t="shared" si="13"/>
        <v/>
      </c>
      <c r="AX15" s="7">
        <f>IF(ISBLANK(AT15), 0, VLOOKUP(AT15, 'Price Sheet'!$A$2:$B1015, 2, false))</f>
        <v>0</v>
      </c>
      <c r="AY15" s="33" t="str">
        <f t="shared" si="14"/>
        <v/>
      </c>
      <c r="AZ15" s="37"/>
      <c r="BA15" s="29"/>
      <c r="BB15" s="29" t="b">
        <v>0</v>
      </c>
      <c r="BC15" s="22" t="str">
        <f t="shared" si="15"/>
        <v/>
      </c>
      <c r="BD15" s="7">
        <f>IF(ISBLANK(AZ15), 0, VLOOKUP(AZ15, 'Price Sheet'!$A$2:$B1015, 2, false))</f>
        <v>0</v>
      </c>
      <c r="BE15" s="33" t="str">
        <f t="shared" si="16"/>
        <v/>
      </c>
      <c r="BF15" s="37"/>
      <c r="BG15" s="29"/>
      <c r="BH15" s="29" t="b">
        <v>0</v>
      </c>
      <c r="BI15" s="22" t="str">
        <f t="shared" si="17"/>
        <v/>
      </c>
      <c r="BJ15" s="7">
        <f>IF(ISBLANK(BF15), 0, VLOOKUP(BF15, 'Price Sheet'!$A$2:$B1015, 2, false))</f>
        <v>0</v>
      </c>
      <c r="BK15" s="33" t="str">
        <f t="shared" si="18"/>
        <v/>
      </c>
      <c r="BL15" s="37"/>
      <c r="BM15" s="29"/>
      <c r="BN15" s="29" t="b">
        <v>0</v>
      </c>
      <c r="BO15" s="22" t="str">
        <f t="shared" si="19"/>
        <v/>
      </c>
      <c r="BP15" s="7">
        <f>IF(ISBLANK(BL15), 0, VLOOKUP(BL15, 'Price Sheet'!$A$2:$B1015, 2, false))</f>
        <v>0</v>
      </c>
      <c r="BQ15" s="33" t="str">
        <f t="shared" si="20"/>
        <v/>
      </c>
    </row>
    <row r="16">
      <c r="A16" s="7" t="s">
        <v>285</v>
      </c>
      <c r="B16" s="19">
        <f t="shared" si="1"/>
        <v>10.54</v>
      </c>
      <c r="C16" s="8" t="s">
        <v>82</v>
      </c>
      <c r="D16" s="8" t="s">
        <v>93</v>
      </c>
      <c r="E16" s="7" t="str">
        <f>IF(ISBLANK(D16), "", VLOOKUP(D16,'Crafting Tables'!$A$2:$B1015, 2, false))</f>
        <v>Basic</v>
      </c>
      <c r="F16" s="7">
        <f>IFERROR(IF(E16 = "None", 1, VLOOKUP(C16,General!$A$5:$L$35, SWITCH(E16, "Basic", 8, "Advanced", 10, "Modern", 12), false)),"")</f>
        <v>0.55</v>
      </c>
      <c r="G16" s="8">
        <v>60.0</v>
      </c>
      <c r="H16" s="7">
        <f>IFERROR(VLOOKUP(C16, General!$A$5:$L$35, 6, false) * G16 / 1000, 0)</f>
        <v>2.4</v>
      </c>
      <c r="I16" s="8">
        <v>240.0</v>
      </c>
      <c r="J16" s="22">
        <f>IFERROR(I16*VLOOKUP(D16,'Crafting Tables'!$1:$1000, 4, false)*F16,"")</f>
        <v>0</v>
      </c>
      <c r="K16" s="8" t="b">
        <v>1</v>
      </c>
      <c r="L16" s="32" t="s">
        <v>285</v>
      </c>
      <c r="M16" s="8">
        <v>1.0</v>
      </c>
      <c r="N16" s="21">
        <f t="shared" si="2"/>
        <v>10.54</v>
      </c>
      <c r="P16" s="32" t="s">
        <v>81</v>
      </c>
      <c r="Q16" s="8">
        <v>14.0</v>
      </c>
      <c r="R16" s="29" t="b">
        <v>0</v>
      </c>
      <c r="S16" s="22">
        <f t="shared" si="3"/>
        <v>7.7</v>
      </c>
      <c r="T16" s="19">
        <f>IF(ISBLANK(P16), 0, VLOOKUP(P16, 'Price Sheet'!$A$2:$B1015, 2, false))</f>
        <v>0.8</v>
      </c>
      <c r="U16" s="33">
        <f t="shared" si="4"/>
        <v>6.16</v>
      </c>
      <c r="V16" s="32" t="s">
        <v>83</v>
      </c>
      <c r="W16" s="8">
        <v>8.0</v>
      </c>
      <c r="X16" s="29" t="b">
        <v>0</v>
      </c>
      <c r="Y16" s="22">
        <f t="shared" si="5"/>
        <v>4.4</v>
      </c>
      <c r="Z16" s="19">
        <f>IF(ISBLANK(V16), 0, VLOOKUP(V16, 'Price Sheet'!$A$2:$B1015, 2, false))</f>
        <v>0.45</v>
      </c>
      <c r="AA16" s="33">
        <f t="shared" si="6"/>
        <v>1.98</v>
      </c>
      <c r="AB16" s="37"/>
      <c r="AC16" s="29"/>
      <c r="AD16" s="29" t="b">
        <v>0</v>
      </c>
      <c r="AE16" s="22" t="str">
        <f t="shared" si="7"/>
        <v/>
      </c>
      <c r="AF16" s="7">
        <f>IF(ISBLANK(AB16), 0, VLOOKUP(AB16, 'Price Sheet'!$A$2:$B1015, 2, false))</f>
        <v>0</v>
      </c>
      <c r="AG16" s="33" t="str">
        <f t="shared" si="8"/>
        <v/>
      </c>
      <c r="AH16" s="37"/>
      <c r="AI16" s="29"/>
      <c r="AJ16" s="29" t="b">
        <v>0</v>
      </c>
      <c r="AK16" s="22" t="str">
        <f t="shared" si="9"/>
        <v/>
      </c>
      <c r="AL16" s="7">
        <f>IF(ISBLANK(AH16), 0, VLOOKUP(AH16, 'Price Sheet'!$A$2:$B1015, 2, false))</f>
        <v>0</v>
      </c>
      <c r="AM16" s="33" t="str">
        <f t="shared" si="10"/>
        <v/>
      </c>
      <c r="AN16" s="37"/>
      <c r="AO16" s="29"/>
      <c r="AP16" s="29" t="b">
        <v>0</v>
      </c>
      <c r="AQ16" s="22" t="str">
        <f t="shared" si="11"/>
        <v/>
      </c>
      <c r="AR16" s="7">
        <f>IF(ISBLANK(AN16), 0, VLOOKUP(AN16, 'Price Sheet'!$A$2:$B1015, 2, false))</f>
        <v>0</v>
      </c>
      <c r="AS16" s="33" t="str">
        <f t="shared" si="12"/>
        <v/>
      </c>
      <c r="AT16" s="37"/>
      <c r="AU16" s="29"/>
      <c r="AV16" s="29" t="b">
        <v>0</v>
      </c>
      <c r="AW16" s="22" t="str">
        <f t="shared" si="13"/>
        <v/>
      </c>
      <c r="AX16" s="7">
        <f>IF(ISBLANK(AT16), 0, VLOOKUP(AT16, 'Price Sheet'!$A$2:$B1015, 2, false))</f>
        <v>0</v>
      </c>
      <c r="AY16" s="33" t="str">
        <f t="shared" si="14"/>
        <v/>
      </c>
      <c r="AZ16" s="37"/>
      <c r="BA16" s="29"/>
      <c r="BB16" s="29" t="b">
        <v>0</v>
      </c>
      <c r="BC16" s="22" t="str">
        <f t="shared" si="15"/>
        <v/>
      </c>
      <c r="BD16" s="7">
        <f>IF(ISBLANK(AZ16), 0, VLOOKUP(AZ16, 'Price Sheet'!$A$2:$B1015, 2, false))</f>
        <v>0</v>
      </c>
      <c r="BE16" s="33" t="str">
        <f t="shared" si="16"/>
        <v/>
      </c>
      <c r="BF16" s="37"/>
      <c r="BG16" s="29"/>
      <c r="BH16" s="29" t="b">
        <v>0</v>
      </c>
      <c r="BI16" s="22" t="str">
        <f t="shared" si="17"/>
        <v/>
      </c>
      <c r="BJ16" s="7">
        <f>IF(ISBLANK(BF16), 0, VLOOKUP(BF16, 'Price Sheet'!$A$2:$B1015, 2, false))</f>
        <v>0</v>
      </c>
      <c r="BK16" s="33" t="str">
        <f t="shared" si="18"/>
        <v/>
      </c>
      <c r="BL16" s="37"/>
      <c r="BM16" s="29"/>
      <c r="BN16" s="29" t="b">
        <v>0</v>
      </c>
      <c r="BO16" s="22" t="str">
        <f t="shared" si="19"/>
        <v/>
      </c>
      <c r="BP16" s="7">
        <f>IF(ISBLANK(BL16), 0, VLOOKUP(BL16, 'Price Sheet'!$A$2:$B1015, 2, false))</f>
        <v>0</v>
      </c>
      <c r="BQ16" s="33" t="str">
        <f t="shared" si="20"/>
        <v/>
      </c>
    </row>
    <row r="17">
      <c r="A17" s="7" t="s">
        <v>94</v>
      </c>
      <c r="B17" s="19">
        <f t="shared" si="1"/>
        <v>10.485</v>
      </c>
      <c r="C17" s="8" t="s">
        <v>82</v>
      </c>
      <c r="D17" s="8" t="s">
        <v>93</v>
      </c>
      <c r="E17" s="7" t="str">
        <f>IF(ISBLANK(D17), "", VLOOKUP(D17,'Crafting Tables'!$A$2:$B1015, 2, false))</f>
        <v>Basic</v>
      </c>
      <c r="F17" s="7">
        <f>IFERROR(IF(E17 = "None", 1, VLOOKUP(C17,General!$A$5:$L$35, SWITCH(E17, "Basic", 8, "Advanced", 10, "Modern", 12), false)),"")</f>
        <v>0.55</v>
      </c>
      <c r="G17" s="8">
        <v>60.0</v>
      </c>
      <c r="H17" s="7">
        <f>IFERROR(VLOOKUP(C17, General!$A$5:$L$35, 6, false) * G17 / 1000, 0)</f>
        <v>2.4</v>
      </c>
      <c r="I17" s="8"/>
      <c r="J17" s="22">
        <f>IFERROR(I17*VLOOKUP(D17,'Crafting Tables'!$1:$1000, 4, false)*F17,"")</f>
        <v>0</v>
      </c>
      <c r="K17" s="8" t="b">
        <v>1</v>
      </c>
      <c r="L17" s="8" t="s">
        <v>94</v>
      </c>
      <c r="M17" s="8">
        <v>1.0</v>
      </c>
      <c r="N17" s="21">
        <f t="shared" si="2"/>
        <v>10.485</v>
      </c>
      <c r="P17" s="32" t="s">
        <v>81</v>
      </c>
      <c r="Q17" s="8">
        <v>15.0</v>
      </c>
      <c r="R17" s="29" t="b">
        <v>0</v>
      </c>
      <c r="S17" s="22">
        <f t="shared" si="3"/>
        <v>8.25</v>
      </c>
      <c r="T17" s="19">
        <f>IF(ISBLANK(P17), 0, VLOOKUP(P17, 'Price Sheet'!$A$2:$B1015, 2, false))</f>
        <v>0.8</v>
      </c>
      <c r="U17" s="33">
        <f t="shared" si="4"/>
        <v>6.6</v>
      </c>
      <c r="V17" s="32" t="s">
        <v>83</v>
      </c>
      <c r="W17" s="8">
        <v>6.0</v>
      </c>
      <c r="X17" s="29" t="b">
        <v>0</v>
      </c>
      <c r="Y17" s="22">
        <f t="shared" si="5"/>
        <v>3.3</v>
      </c>
      <c r="Z17" s="19">
        <f>IF(ISBLANK(V17), 0, VLOOKUP(V17, 'Price Sheet'!$A$2:$B1015, 2, false))</f>
        <v>0.45</v>
      </c>
      <c r="AA17" s="33">
        <f t="shared" si="6"/>
        <v>1.485</v>
      </c>
      <c r="AB17" s="37"/>
      <c r="AC17" s="29"/>
      <c r="AD17" s="29" t="b">
        <v>0</v>
      </c>
      <c r="AE17" s="22" t="str">
        <f t="shared" si="7"/>
        <v/>
      </c>
      <c r="AF17" s="7">
        <f>IF(ISBLANK(AB17), 0, VLOOKUP(AB17, 'Price Sheet'!$A$2:$B1015, 2, false))</f>
        <v>0</v>
      </c>
      <c r="AG17" s="33" t="str">
        <f t="shared" si="8"/>
        <v/>
      </c>
      <c r="AH17" s="37"/>
      <c r="AI17" s="29"/>
      <c r="AJ17" s="29" t="b">
        <v>0</v>
      </c>
      <c r="AK17" s="22" t="str">
        <f t="shared" si="9"/>
        <v/>
      </c>
      <c r="AL17" s="7">
        <f>IF(ISBLANK(AH17), 0, VLOOKUP(AH17, 'Price Sheet'!$A$2:$B1015, 2, false))</f>
        <v>0</v>
      </c>
      <c r="AM17" s="33" t="str">
        <f t="shared" si="10"/>
        <v/>
      </c>
      <c r="AN17" s="37"/>
      <c r="AO17" s="29"/>
      <c r="AP17" s="29" t="b">
        <v>0</v>
      </c>
      <c r="AQ17" s="22" t="str">
        <f t="shared" si="11"/>
        <v/>
      </c>
      <c r="AR17" s="7">
        <f>IF(ISBLANK(AN17), 0, VLOOKUP(AN17, 'Price Sheet'!$A$2:$B1015, 2, false))</f>
        <v>0</v>
      </c>
      <c r="AS17" s="33" t="str">
        <f t="shared" si="12"/>
        <v/>
      </c>
      <c r="AT17" s="37"/>
      <c r="AU17" s="29"/>
      <c r="AV17" s="29" t="b">
        <v>0</v>
      </c>
      <c r="AW17" s="22" t="str">
        <f t="shared" si="13"/>
        <v/>
      </c>
      <c r="AX17" s="7">
        <f>IF(ISBLANK(AT17), 0, VLOOKUP(AT17, 'Price Sheet'!$A$2:$B1015, 2, false))</f>
        <v>0</v>
      </c>
      <c r="AY17" s="33" t="str">
        <f t="shared" si="14"/>
        <v/>
      </c>
      <c r="AZ17" s="37"/>
      <c r="BA17" s="29"/>
      <c r="BB17" s="29" t="b">
        <v>0</v>
      </c>
      <c r="BC17" s="22" t="str">
        <f t="shared" si="15"/>
        <v/>
      </c>
      <c r="BD17" s="7">
        <f>IF(ISBLANK(AZ17), 0, VLOOKUP(AZ17, 'Price Sheet'!$A$2:$B1015, 2, false))</f>
        <v>0</v>
      </c>
      <c r="BE17" s="33" t="str">
        <f t="shared" si="16"/>
        <v/>
      </c>
      <c r="BF17" s="37"/>
      <c r="BG17" s="29"/>
      <c r="BH17" s="29" t="b">
        <v>0</v>
      </c>
      <c r="BI17" s="22" t="str">
        <f t="shared" si="17"/>
        <v/>
      </c>
      <c r="BJ17" s="7">
        <f>IF(ISBLANK(BF17), 0, VLOOKUP(BF17, 'Price Sheet'!$A$2:$B1015, 2, false))</f>
        <v>0</v>
      </c>
      <c r="BK17" s="33" t="str">
        <f t="shared" si="18"/>
        <v/>
      </c>
      <c r="BL17" s="37"/>
      <c r="BM17" s="29"/>
      <c r="BN17" s="29" t="b">
        <v>0</v>
      </c>
      <c r="BO17" s="22" t="str">
        <f t="shared" si="19"/>
        <v/>
      </c>
      <c r="BP17" s="7">
        <f>IF(ISBLANK(BL17), 0, VLOOKUP(BL17, 'Price Sheet'!$A$2:$B1015, 2, false))</f>
        <v>0</v>
      </c>
      <c r="BQ17" s="33" t="str">
        <f t="shared" si="20"/>
        <v/>
      </c>
    </row>
    <row r="18">
      <c r="A18" s="7" t="s">
        <v>96</v>
      </c>
      <c r="B18" s="19">
        <f t="shared" si="1"/>
        <v>7</v>
      </c>
      <c r="C18" s="8" t="s">
        <v>82</v>
      </c>
      <c r="D18" s="8" t="s">
        <v>93</v>
      </c>
      <c r="E18" s="7" t="str">
        <f>IF(ISBLANK(D18), "", VLOOKUP(D18,'Crafting Tables'!$A$2:$B1015, 2, false))</f>
        <v>Basic</v>
      </c>
      <c r="F18" s="7">
        <f>IFERROR(IF(E18 = "None", 1, VLOOKUP(C18,General!$A$5:$L$35, SWITCH(E18, "Basic", 8, "Advanced", 10, "Modern", 12), false)),"")</f>
        <v>0.55</v>
      </c>
      <c r="G18" s="8">
        <v>120.0</v>
      </c>
      <c r="H18" s="7">
        <f>IFERROR(VLOOKUP(C18, General!$A$5:$L$35, 6, false) * G18 / 1000, 0)</f>
        <v>4.8</v>
      </c>
      <c r="I18" s="8"/>
      <c r="J18" s="22">
        <f>IFERROR(I18*VLOOKUP(D18,'Crafting Tables'!$1:$1000, 4, false)*F18,"")</f>
        <v>0</v>
      </c>
      <c r="K18" s="8" t="b">
        <v>1</v>
      </c>
      <c r="L18" s="8" t="s">
        <v>96</v>
      </c>
      <c r="M18" s="8">
        <v>4.0</v>
      </c>
      <c r="N18" s="21">
        <f t="shared" si="2"/>
        <v>1.75</v>
      </c>
      <c r="P18" s="32" t="s">
        <v>95</v>
      </c>
      <c r="Q18" s="8">
        <v>2.0</v>
      </c>
      <c r="R18" s="29" t="b">
        <v>0</v>
      </c>
      <c r="S18" s="22">
        <f t="shared" si="3"/>
        <v>1.1</v>
      </c>
      <c r="T18" s="19">
        <f>IF(ISBLANK(P18), 0, VLOOKUP(P18, 'Price Sheet'!$A$2:$B1015, 2, false))</f>
        <v>0.2</v>
      </c>
      <c r="U18" s="33">
        <f t="shared" si="4"/>
        <v>0.22</v>
      </c>
      <c r="V18" s="32" t="s">
        <v>83</v>
      </c>
      <c r="W18" s="8">
        <v>8.0</v>
      </c>
      <c r="X18" s="29" t="b">
        <v>0</v>
      </c>
      <c r="Y18" s="22">
        <f t="shared" si="5"/>
        <v>4.4</v>
      </c>
      <c r="Z18" s="19">
        <f>IF(ISBLANK(V18), 0, VLOOKUP(V18, 'Price Sheet'!$A$2:$B1015, 2, false))</f>
        <v>0.45</v>
      </c>
      <c r="AA18" s="33">
        <f t="shared" si="6"/>
        <v>1.98</v>
      </c>
      <c r="AB18" s="37"/>
      <c r="AC18" s="29"/>
      <c r="AD18" s="29" t="b">
        <v>0</v>
      </c>
      <c r="AE18" s="22" t="str">
        <f t="shared" si="7"/>
        <v/>
      </c>
      <c r="AF18" s="7">
        <f>IF(ISBLANK(AB18), 0, VLOOKUP(AB18, 'Price Sheet'!$A$2:$B1015, 2, false))</f>
        <v>0</v>
      </c>
      <c r="AG18" s="33" t="str">
        <f t="shared" si="8"/>
        <v/>
      </c>
      <c r="AH18" s="37"/>
      <c r="AI18" s="29"/>
      <c r="AJ18" s="29" t="b">
        <v>0</v>
      </c>
      <c r="AK18" s="22" t="str">
        <f t="shared" si="9"/>
        <v/>
      </c>
      <c r="AL18" s="7">
        <f>IF(ISBLANK(AH18), 0, VLOOKUP(AH18, 'Price Sheet'!$A$2:$B1015, 2, false))</f>
        <v>0</v>
      </c>
      <c r="AM18" s="33" t="str">
        <f t="shared" si="10"/>
        <v/>
      </c>
      <c r="AN18" s="37"/>
      <c r="AO18" s="29"/>
      <c r="AP18" s="29" t="b">
        <v>0</v>
      </c>
      <c r="AQ18" s="22" t="str">
        <f t="shared" si="11"/>
        <v/>
      </c>
      <c r="AR18" s="7">
        <f>IF(ISBLANK(AN18), 0, VLOOKUP(AN18, 'Price Sheet'!$A$2:$B1015, 2, false))</f>
        <v>0</v>
      </c>
      <c r="AS18" s="33" t="str">
        <f t="shared" si="12"/>
        <v/>
      </c>
      <c r="AT18" s="37"/>
      <c r="AU18" s="29"/>
      <c r="AV18" s="29" t="b">
        <v>0</v>
      </c>
      <c r="AW18" s="22" t="str">
        <f t="shared" si="13"/>
        <v/>
      </c>
      <c r="AX18" s="7">
        <f>IF(ISBLANK(AT18), 0, VLOOKUP(AT18, 'Price Sheet'!$A$2:$B1015, 2, false))</f>
        <v>0</v>
      </c>
      <c r="AY18" s="33" t="str">
        <f t="shared" si="14"/>
        <v/>
      </c>
      <c r="AZ18" s="37"/>
      <c r="BA18" s="29"/>
      <c r="BB18" s="29" t="b">
        <v>0</v>
      </c>
      <c r="BC18" s="22" t="str">
        <f t="shared" si="15"/>
        <v/>
      </c>
      <c r="BD18" s="7">
        <f>IF(ISBLANK(AZ18), 0, VLOOKUP(AZ18, 'Price Sheet'!$A$2:$B1015, 2, false))</f>
        <v>0</v>
      </c>
      <c r="BE18" s="33" t="str">
        <f t="shared" si="16"/>
        <v/>
      </c>
      <c r="BF18" s="37"/>
      <c r="BG18" s="29"/>
      <c r="BH18" s="29" t="b">
        <v>0</v>
      </c>
      <c r="BI18" s="22" t="str">
        <f t="shared" si="17"/>
        <v/>
      </c>
      <c r="BJ18" s="7">
        <f>IF(ISBLANK(BF18), 0, VLOOKUP(BF18, 'Price Sheet'!$A$2:$B1015, 2, false))</f>
        <v>0</v>
      </c>
      <c r="BK18" s="33" t="str">
        <f t="shared" si="18"/>
        <v/>
      </c>
      <c r="BL18" s="37"/>
      <c r="BM18" s="29"/>
      <c r="BN18" s="29" t="b">
        <v>0</v>
      </c>
      <c r="BO18" s="22" t="str">
        <f t="shared" si="19"/>
        <v/>
      </c>
      <c r="BP18" s="7">
        <f>IF(ISBLANK(BL18), 0, VLOOKUP(BL18, 'Price Sheet'!$A$2:$B1015, 2, false))</f>
        <v>0</v>
      </c>
      <c r="BQ18" s="33" t="str">
        <f t="shared" si="20"/>
        <v/>
      </c>
    </row>
    <row r="19">
      <c r="A19" s="7" t="s">
        <v>97</v>
      </c>
      <c r="B19" s="19">
        <f t="shared" si="1"/>
        <v>4.6</v>
      </c>
      <c r="C19" s="8" t="s">
        <v>82</v>
      </c>
      <c r="D19" s="8" t="s">
        <v>93</v>
      </c>
      <c r="E19" s="7" t="str">
        <f>IF(ISBLANK(D19), "", VLOOKUP(D19,'Crafting Tables'!$A$2:$B1015, 2, false))</f>
        <v>Basic</v>
      </c>
      <c r="F19" s="7">
        <f>IFERROR(IF(E19 = "None", 1, VLOOKUP(C19,General!$A$5:$L$35, SWITCH(E19, "Basic", 8, "Advanced", 10, "Modern", 12), false)),"")</f>
        <v>0.55</v>
      </c>
      <c r="G19" s="8">
        <v>60.0</v>
      </c>
      <c r="H19" s="7">
        <f>IFERROR(VLOOKUP(C19, General!$A$5:$L$35, 6, false) * G19 / 1000, 0)</f>
        <v>2.4</v>
      </c>
      <c r="I19" s="8"/>
      <c r="J19" s="22">
        <f>IFERROR(I19*VLOOKUP(D19,'Crafting Tables'!$1:$1000, 4, false)*F19,"")</f>
        <v>0</v>
      </c>
      <c r="K19" s="8" t="b">
        <v>1</v>
      </c>
      <c r="L19" s="8" t="s">
        <v>97</v>
      </c>
      <c r="M19" s="8">
        <v>1.0</v>
      </c>
      <c r="N19" s="21">
        <f t="shared" si="2"/>
        <v>4.6</v>
      </c>
      <c r="P19" s="32" t="s">
        <v>23</v>
      </c>
      <c r="Q19" s="8">
        <v>8.0</v>
      </c>
      <c r="R19" s="29" t="b">
        <v>0</v>
      </c>
      <c r="S19" s="22">
        <f t="shared" si="3"/>
        <v>4.4</v>
      </c>
      <c r="T19" s="19">
        <f>IF(ISBLANK(P19), 0, VLOOKUP(P19, 'Price Sheet'!$A$2:$B1015, 2, false))</f>
        <v>0.5</v>
      </c>
      <c r="U19" s="33">
        <f t="shared" si="4"/>
        <v>2.2</v>
      </c>
      <c r="V19" s="37"/>
      <c r="W19" s="29"/>
      <c r="X19" s="29" t="b">
        <v>0</v>
      </c>
      <c r="Y19" s="22" t="str">
        <f t="shared" si="5"/>
        <v/>
      </c>
      <c r="Z19" s="7">
        <f>IF(ISBLANK(V19), 0, VLOOKUP(V19, 'Price Sheet'!$A$2:$B1015, 2, false))</f>
        <v>0</v>
      </c>
      <c r="AA19" s="33" t="str">
        <f t="shared" si="6"/>
        <v/>
      </c>
      <c r="AB19" s="37"/>
      <c r="AC19" s="29"/>
      <c r="AD19" s="29" t="b">
        <v>0</v>
      </c>
      <c r="AE19" s="22" t="str">
        <f t="shared" si="7"/>
        <v/>
      </c>
      <c r="AF19" s="7">
        <f>IF(ISBLANK(AB19), 0, VLOOKUP(AB19, 'Price Sheet'!$A$2:$B1015, 2, false))</f>
        <v>0</v>
      </c>
      <c r="AG19" s="33" t="str">
        <f t="shared" si="8"/>
        <v/>
      </c>
      <c r="AH19" s="37"/>
      <c r="AI19" s="29"/>
      <c r="AJ19" s="29" t="b">
        <v>0</v>
      </c>
      <c r="AK19" s="22" t="str">
        <f t="shared" si="9"/>
        <v/>
      </c>
      <c r="AL19" s="7">
        <f>IF(ISBLANK(AH19), 0, VLOOKUP(AH19, 'Price Sheet'!$A$2:$B1015, 2, false))</f>
        <v>0</v>
      </c>
      <c r="AM19" s="33" t="str">
        <f t="shared" si="10"/>
        <v/>
      </c>
      <c r="AN19" s="37"/>
      <c r="AO19" s="29"/>
      <c r="AP19" s="29" t="b">
        <v>0</v>
      </c>
      <c r="AQ19" s="22" t="str">
        <f t="shared" si="11"/>
        <v/>
      </c>
      <c r="AR19" s="7">
        <f>IF(ISBLANK(AN19), 0, VLOOKUP(AN19, 'Price Sheet'!$A$2:$B1015, 2, false))</f>
        <v>0</v>
      </c>
      <c r="AS19" s="33" t="str">
        <f t="shared" si="12"/>
        <v/>
      </c>
      <c r="AT19" s="37"/>
      <c r="AU19" s="29"/>
      <c r="AV19" s="29" t="b">
        <v>0</v>
      </c>
      <c r="AW19" s="22" t="str">
        <f t="shared" si="13"/>
        <v/>
      </c>
      <c r="AX19" s="7">
        <f>IF(ISBLANK(AT19), 0, VLOOKUP(AT19, 'Price Sheet'!$A$2:$B1015, 2, false))</f>
        <v>0</v>
      </c>
      <c r="AY19" s="33" t="str">
        <f t="shared" si="14"/>
        <v/>
      </c>
      <c r="AZ19" s="37"/>
      <c r="BA19" s="29"/>
      <c r="BB19" s="29" t="b">
        <v>0</v>
      </c>
      <c r="BC19" s="22" t="str">
        <f t="shared" si="15"/>
        <v/>
      </c>
      <c r="BD19" s="7">
        <f>IF(ISBLANK(AZ19), 0, VLOOKUP(AZ19, 'Price Sheet'!$A$2:$B1015, 2, false))</f>
        <v>0</v>
      </c>
      <c r="BE19" s="33" t="str">
        <f t="shared" si="16"/>
        <v/>
      </c>
      <c r="BF19" s="37"/>
      <c r="BG19" s="29"/>
      <c r="BH19" s="29" t="b">
        <v>0</v>
      </c>
      <c r="BI19" s="22" t="str">
        <f t="shared" si="17"/>
        <v/>
      </c>
      <c r="BJ19" s="7">
        <f>IF(ISBLANK(BF19), 0, VLOOKUP(BF19, 'Price Sheet'!$A$2:$B1015, 2, false))</f>
        <v>0</v>
      </c>
      <c r="BK19" s="33" t="str">
        <f t="shared" si="18"/>
        <v/>
      </c>
      <c r="BL19" s="37"/>
      <c r="BM19" s="29"/>
      <c r="BN19" s="29" t="b">
        <v>0</v>
      </c>
      <c r="BO19" s="22" t="str">
        <f t="shared" si="19"/>
        <v/>
      </c>
      <c r="BP19" s="7">
        <f>IF(ISBLANK(BL19), 0, VLOOKUP(BL19, 'Price Sheet'!$A$2:$B1015, 2, false))</f>
        <v>0</v>
      </c>
      <c r="BQ19" s="33" t="str">
        <f t="shared" si="20"/>
        <v/>
      </c>
    </row>
    <row r="20">
      <c r="A20" s="7" t="s">
        <v>99</v>
      </c>
      <c r="B20" s="19">
        <f t="shared" si="1"/>
        <v>4.16</v>
      </c>
      <c r="C20" s="8" t="s">
        <v>82</v>
      </c>
      <c r="D20" s="8" t="s">
        <v>93</v>
      </c>
      <c r="E20" s="7" t="str">
        <f>IF(ISBLANK(D20), "", VLOOKUP(D20,'Crafting Tables'!$A$2:$B1015, 2, false))</f>
        <v>Basic</v>
      </c>
      <c r="F20" s="7">
        <f>IFERROR(IF(E20 = "None", 1, VLOOKUP(C20,General!$A$5:$L$35, SWITCH(E20, "Basic", 8, "Advanced", 10, "Modern", 12), false)),"")</f>
        <v>0.55</v>
      </c>
      <c r="G20" s="8">
        <v>60.0</v>
      </c>
      <c r="H20" s="7">
        <f>IFERROR(VLOOKUP(C20, General!$A$5:$L$35, 6, false) * G20 / 1000, 0)</f>
        <v>2.4</v>
      </c>
      <c r="I20" s="8"/>
      <c r="J20" s="22">
        <f>IFERROR(I20*VLOOKUP(D20,'Crafting Tables'!$1:$1000, 4, false)*F20,"")</f>
        <v>0</v>
      </c>
      <c r="K20" s="8" t="b">
        <v>1</v>
      </c>
      <c r="L20" s="8" t="s">
        <v>99</v>
      </c>
      <c r="M20" s="8">
        <v>1.0</v>
      </c>
      <c r="N20" s="21">
        <f t="shared" si="2"/>
        <v>4.16</v>
      </c>
      <c r="P20" s="32" t="s">
        <v>81</v>
      </c>
      <c r="Q20" s="8">
        <v>4.0</v>
      </c>
      <c r="R20" s="29" t="b">
        <v>0</v>
      </c>
      <c r="S20" s="22">
        <f t="shared" si="3"/>
        <v>2.2</v>
      </c>
      <c r="T20" s="19">
        <f>IF(ISBLANK(P20), 0, VLOOKUP(P20, 'Price Sheet'!$A$2:$B1015, 2, false))</f>
        <v>0.8</v>
      </c>
      <c r="U20" s="33">
        <f t="shared" si="4"/>
        <v>1.76</v>
      </c>
      <c r="V20" s="37"/>
      <c r="W20" s="29"/>
      <c r="X20" s="29" t="b">
        <v>0</v>
      </c>
      <c r="Y20" s="22" t="str">
        <f t="shared" si="5"/>
        <v/>
      </c>
      <c r="Z20" s="7">
        <f>IF(ISBLANK(V20), 0, VLOOKUP(V20, 'Price Sheet'!$A$2:$B1015, 2, false))</f>
        <v>0</v>
      </c>
      <c r="AA20" s="33" t="str">
        <f t="shared" si="6"/>
        <v/>
      </c>
      <c r="AB20" s="37"/>
      <c r="AC20" s="29"/>
      <c r="AD20" s="29" t="b">
        <v>0</v>
      </c>
      <c r="AE20" s="22" t="str">
        <f t="shared" si="7"/>
        <v/>
      </c>
      <c r="AF20" s="7">
        <f>IF(ISBLANK(AB20), 0, VLOOKUP(AB20, 'Price Sheet'!$A$2:$B1015, 2, false))</f>
        <v>0</v>
      </c>
      <c r="AG20" s="33" t="str">
        <f t="shared" si="8"/>
        <v/>
      </c>
      <c r="AH20" s="37"/>
      <c r="AI20" s="29"/>
      <c r="AJ20" s="29" t="b">
        <v>0</v>
      </c>
      <c r="AK20" s="22" t="str">
        <f t="shared" si="9"/>
        <v/>
      </c>
      <c r="AL20" s="7">
        <f>IF(ISBLANK(AH20), 0, VLOOKUP(AH20, 'Price Sheet'!$A$2:$B1015, 2, false))</f>
        <v>0</v>
      </c>
      <c r="AM20" s="33" t="str">
        <f t="shared" si="10"/>
        <v/>
      </c>
      <c r="AN20" s="37"/>
      <c r="AO20" s="29"/>
      <c r="AP20" s="29" t="b">
        <v>0</v>
      </c>
      <c r="AQ20" s="22" t="str">
        <f t="shared" si="11"/>
        <v/>
      </c>
      <c r="AR20" s="7">
        <f>IF(ISBLANK(AN20), 0, VLOOKUP(AN20, 'Price Sheet'!$A$2:$B1015, 2, false))</f>
        <v>0</v>
      </c>
      <c r="AS20" s="33" t="str">
        <f t="shared" si="12"/>
        <v/>
      </c>
      <c r="AT20" s="37"/>
      <c r="AU20" s="29"/>
      <c r="AV20" s="29" t="b">
        <v>0</v>
      </c>
      <c r="AW20" s="22" t="str">
        <f t="shared" si="13"/>
        <v/>
      </c>
      <c r="AX20" s="7">
        <f>IF(ISBLANK(AT20), 0, VLOOKUP(AT20, 'Price Sheet'!$A$2:$B1015, 2, false))</f>
        <v>0</v>
      </c>
      <c r="AY20" s="33" t="str">
        <f t="shared" si="14"/>
        <v/>
      </c>
      <c r="AZ20" s="37"/>
      <c r="BA20" s="29"/>
      <c r="BB20" s="29" t="b">
        <v>0</v>
      </c>
      <c r="BC20" s="22" t="str">
        <f t="shared" si="15"/>
        <v/>
      </c>
      <c r="BD20" s="7">
        <f>IF(ISBLANK(AZ20), 0, VLOOKUP(AZ20, 'Price Sheet'!$A$2:$B1015, 2, false))</f>
        <v>0</v>
      </c>
      <c r="BE20" s="33" t="str">
        <f t="shared" si="16"/>
        <v/>
      </c>
      <c r="BF20" s="37"/>
      <c r="BG20" s="29"/>
      <c r="BH20" s="29" t="b">
        <v>0</v>
      </c>
      <c r="BI20" s="22" t="str">
        <f t="shared" si="17"/>
        <v/>
      </c>
      <c r="BJ20" s="7">
        <f>IF(ISBLANK(BF20), 0, VLOOKUP(BF20, 'Price Sheet'!$A$2:$B1015, 2, false))</f>
        <v>0</v>
      </c>
      <c r="BK20" s="33" t="str">
        <f t="shared" si="18"/>
        <v/>
      </c>
      <c r="BL20" s="37"/>
      <c r="BM20" s="29"/>
      <c r="BN20" s="29" t="b">
        <v>0</v>
      </c>
      <c r="BO20" s="22" t="str">
        <f t="shared" si="19"/>
        <v/>
      </c>
      <c r="BP20" s="7">
        <f>IF(ISBLANK(BL20), 0, VLOOKUP(BL20, 'Price Sheet'!$A$2:$B1015, 2, false))</f>
        <v>0</v>
      </c>
      <c r="BQ20" s="33" t="str">
        <f t="shared" si="20"/>
        <v/>
      </c>
    </row>
    <row r="21">
      <c r="A21" s="7" t="s">
        <v>100</v>
      </c>
      <c r="B21" s="19">
        <f t="shared" si="1"/>
        <v>20.78</v>
      </c>
      <c r="C21" s="8" t="s">
        <v>82</v>
      </c>
      <c r="D21" s="8" t="s">
        <v>93</v>
      </c>
      <c r="E21" s="7" t="str">
        <f>IF(ISBLANK(D21), "", VLOOKUP(D21,'Crafting Tables'!$A$2:$B1015, 2, false))</f>
        <v>Basic</v>
      </c>
      <c r="F21" s="7">
        <f>IFERROR(IF(E21 = "None", 1, VLOOKUP(C21,General!$A$5:$L$35, SWITCH(E21, "Basic", 8, "Advanced", 10, "Modern", 12), false)),"")</f>
        <v>0.55</v>
      </c>
      <c r="G21" s="8">
        <v>360.0</v>
      </c>
      <c r="H21" s="7">
        <f>IFERROR(VLOOKUP(C21, General!$A$5:$L$35, 6, false) * G21 / 1000, 0)</f>
        <v>14.4</v>
      </c>
      <c r="I21" s="8"/>
      <c r="J21" s="22">
        <f>IFERROR(I21*VLOOKUP(D21,'Crafting Tables'!$1:$1000, 4, false)*F21,"")</f>
        <v>0</v>
      </c>
      <c r="K21" s="8" t="b">
        <v>1</v>
      </c>
      <c r="L21" s="8" t="s">
        <v>100</v>
      </c>
      <c r="M21" s="8">
        <v>1.0</v>
      </c>
      <c r="N21" s="21">
        <f t="shared" si="2"/>
        <v>20.78</v>
      </c>
      <c r="P21" s="32" t="s">
        <v>81</v>
      </c>
      <c r="Q21" s="8">
        <v>10.0</v>
      </c>
      <c r="R21" s="29" t="b">
        <v>0</v>
      </c>
      <c r="S21" s="22">
        <f t="shared" si="3"/>
        <v>5.5</v>
      </c>
      <c r="T21" s="19">
        <f>IF(ISBLANK(P21), 0, VLOOKUP(P21, 'Price Sheet'!$A$2:$B1015, 2, false))</f>
        <v>0.8</v>
      </c>
      <c r="U21" s="33">
        <f t="shared" si="4"/>
        <v>4.4</v>
      </c>
      <c r="V21" s="32" t="s">
        <v>83</v>
      </c>
      <c r="W21" s="8">
        <v>8.0</v>
      </c>
      <c r="X21" s="29" t="b">
        <v>0</v>
      </c>
      <c r="Y21" s="22">
        <f t="shared" si="5"/>
        <v>4.4</v>
      </c>
      <c r="Z21" s="19">
        <f>IF(ISBLANK(V21), 0, VLOOKUP(V21, 'Price Sheet'!$A$2:$B1015, 2, false))</f>
        <v>0.45</v>
      </c>
      <c r="AA21" s="33">
        <f t="shared" si="6"/>
        <v>1.98</v>
      </c>
      <c r="AB21" s="37"/>
      <c r="AC21" s="29"/>
      <c r="AD21" s="29" t="b">
        <v>0</v>
      </c>
      <c r="AE21" s="22" t="str">
        <f t="shared" si="7"/>
        <v/>
      </c>
      <c r="AF21" s="7">
        <f>IF(ISBLANK(AB21), 0, VLOOKUP(AB21, 'Price Sheet'!$A$2:$B1015, 2, false))</f>
        <v>0</v>
      </c>
      <c r="AG21" s="33" t="str">
        <f t="shared" si="8"/>
        <v/>
      </c>
      <c r="AH21" s="37"/>
      <c r="AI21" s="29"/>
      <c r="AJ21" s="29" t="b">
        <v>0</v>
      </c>
      <c r="AK21" s="22" t="str">
        <f t="shared" si="9"/>
        <v/>
      </c>
      <c r="AL21" s="7">
        <f>IF(ISBLANK(AH21), 0, VLOOKUP(AH21, 'Price Sheet'!$A$2:$B1015, 2, false))</f>
        <v>0</v>
      </c>
      <c r="AM21" s="33" t="str">
        <f t="shared" si="10"/>
        <v/>
      </c>
      <c r="AN21" s="37"/>
      <c r="AO21" s="29"/>
      <c r="AP21" s="29" t="b">
        <v>0</v>
      </c>
      <c r="AQ21" s="22" t="str">
        <f t="shared" si="11"/>
        <v/>
      </c>
      <c r="AR21" s="7">
        <f>IF(ISBLANK(AN21), 0, VLOOKUP(AN21, 'Price Sheet'!$A$2:$B1015, 2, false))</f>
        <v>0</v>
      </c>
      <c r="AS21" s="33" t="str">
        <f t="shared" si="12"/>
        <v/>
      </c>
      <c r="AT21" s="37"/>
      <c r="AU21" s="29"/>
      <c r="AV21" s="29" t="b">
        <v>0</v>
      </c>
      <c r="AW21" s="22" t="str">
        <f t="shared" si="13"/>
        <v/>
      </c>
      <c r="AX21" s="7">
        <f>IF(ISBLANK(AT21), 0, VLOOKUP(AT21, 'Price Sheet'!$A$2:$B1015, 2, false))</f>
        <v>0</v>
      </c>
      <c r="AY21" s="33" t="str">
        <f t="shared" si="14"/>
        <v/>
      </c>
      <c r="AZ21" s="37"/>
      <c r="BA21" s="29"/>
      <c r="BB21" s="29" t="b">
        <v>0</v>
      </c>
      <c r="BC21" s="22" t="str">
        <f t="shared" si="15"/>
        <v/>
      </c>
      <c r="BD21" s="7">
        <f>IF(ISBLANK(AZ21), 0, VLOOKUP(AZ21, 'Price Sheet'!$A$2:$B1015, 2, false))</f>
        <v>0</v>
      </c>
      <c r="BE21" s="33" t="str">
        <f t="shared" si="16"/>
        <v/>
      </c>
      <c r="BF21" s="37"/>
      <c r="BG21" s="29"/>
      <c r="BH21" s="29" t="b">
        <v>0</v>
      </c>
      <c r="BI21" s="22" t="str">
        <f t="shared" si="17"/>
        <v/>
      </c>
      <c r="BJ21" s="7">
        <f>IF(ISBLANK(BF21), 0, VLOOKUP(BF21, 'Price Sheet'!$A$2:$B1015, 2, false))</f>
        <v>0</v>
      </c>
      <c r="BK21" s="33" t="str">
        <f t="shared" si="18"/>
        <v/>
      </c>
      <c r="BL21" s="37"/>
      <c r="BM21" s="29"/>
      <c r="BN21" s="29" t="b">
        <v>0</v>
      </c>
      <c r="BO21" s="22" t="str">
        <f t="shared" si="19"/>
        <v/>
      </c>
      <c r="BP21" s="7">
        <f>IF(ISBLANK(BL21), 0, VLOOKUP(BL21, 'Price Sheet'!$A$2:$B1015, 2, false))</f>
        <v>0</v>
      </c>
      <c r="BQ21" s="33" t="str">
        <f t="shared" si="20"/>
        <v/>
      </c>
    </row>
    <row r="22">
      <c r="A22" s="7" t="s">
        <v>101</v>
      </c>
      <c r="B22" s="19">
        <f t="shared" si="1"/>
        <v>10.52</v>
      </c>
      <c r="C22" s="8" t="s">
        <v>205</v>
      </c>
      <c r="D22" s="8" t="s">
        <v>100</v>
      </c>
      <c r="E22" s="7" t="str">
        <f>IF(ISBLANK(D22), "", VLOOKUP(D22,'Crafting Tables'!$A$2:$B1015, 2, false))</f>
        <v>Basic</v>
      </c>
      <c r="F22" s="7">
        <f>IFERROR(IF(E22 = "None", 1, VLOOKUP(C22,General!$A$5:$L$35, SWITCH(E22, "Basic", 8, "Advanced", 10, "Modern", 12), false)),"")</f>
        <v>0.55</v>
      </c>
      <c r="G22" s="8">
        <v>60.0</v>
      </c>
      <c r="H22" s="7">
        <f>IFERROR(VLOOKUP(C22, General!$A$5:$L$35, 6, false) * G22 / 1000, 0)</f>
        <v>2.4</v>
      </c>
      <c r="I22" s="8"/>
      <c r="J22" s="22">
        <f>IFERROR(I22*VLOOKUP(D22,'Crafting Tables'!$1:$1000, 4, false)*F22,"")</f>
        <v>0</v>
      </c>
      <c r="K22" s="8" t="b">
        <v>1</v>
      </c>
      <c r="L22" s="8" t="s">
        <v>101</v>
      </c>
      <c r="M22" s="8">
        <v>1.0</v>
      </c>
      <c r="N22" s="21">
        <f t="shared" si="2"/>
        <v>10.52</v>
      </c>
      <c r="P22" s="32" t="s">
        <v>81</v>
      </c>
      <c r="Q22" s="8">
        <v>8.0</v>
      </c>
      <c r="R22" s="29" t="b">
        <v>0</v>
      </c>
      <c r="S22" s="22">
        <f t="shared" si="3"/>
        <v>4.4</v>
      </c>
      <c r="T22" s="19">
        <f>IF(ISBLANK(P22), 0, VLOOKUP(P22, 'Price Sheet'!$A$2:$B1015, 2, false))</f>
        <v>0.8</v>
      </c>
      <c r="U22" s="33">
        <f t="shared" si="4"/>
        <v>3.52</v>
      </c>
      <c r="V22" s="32" t="s">
        <v>97</v>
      </c>
      <c r="W22" s="8">
        <v>1.0</v>
      </c>
      <c r="X22" s="8" t="b">
        <v>1</v>
      </c>
      <c r="Y22" s="22">
        <f t="shared" si="5"/>
        <v>1</v>
      </c>
      <c r="Z22" s="19">
        <f>IF(ISBLANK(V22), 0, VLOOKUP(V22, 'Price Sheet'!$A$2:$B1015, 2, false))</f>
        <v>4.6</v>
      </c>
      <c r="AA22" s="33">
        <f t="shared" si="6"/>
        <v>4.6</v>
      </c>
      <c r="AB22" s="37"/>
      <c r="AC22" s="29"/>
      <c r="AD22" s="29" t="b">
        <v>0</v>
      </c>
      <c r="AE22" s="22" t="str">
        <f t="shared" si="7"/>
        <v/>
      </c>
      <c r="AF22" s="7">
        <f>IF(ISBLANK(AB22), 0, VLOOKUP(AB22, 'Price Sheet'!$A$2:$B1015, 2, false))</f>
        <v>0</v>
      </c>
      <c r="AG22" s="33" t="str">
        <f t="shared" si="8"/>
        <v/>
      </c>
      <c r="AH22" s="37"/>
      <c r="AI22" s="29"/>
      <c r="AJ22" s="29" t="b">
        <v>0</v>
      </c>
      <c r="AK22" s="22" t="str">
        <f t="shared" si="9"/>
        <v/>
      </c>
      <c r="AL22" s="7">
        <f>IF(ISBLANK(AH22), 0, VLOOKUP(AH22, 'Price Sheet'!$A$2:$B1015, 2, false))</f>
        <v>0</v>
      </c>
      <c r="AM22" s="33" t="str">
        <f t="shared" si="10"/>
        <v/>
      </c>
      <c r="AN22" s="37"/>
      <c r="AO22" s="29"/>
      <c r="AP22" s="29" t="b">
        <v>0</v>
      </c>
      <c r="AQ22" s="22" t="str">
        <f t="shared" si="11"/>
        <v/>
      </c>
      <c r="AR22" s="7">
        <f>IF(ISBLANK(AN22), 0, VLOOKUP(AN22, 'Price Sheet'!$A$2:$B1015, 2, false))</f>
        <v>0</v>
      </c>
      <c r="AS22" s="33" t="str">
        <f t="shared" si="12"/>
        <v/>
      </c>
      <c r="AT22" s="37"/>
      <c r="AU22" s="29"/>
      <c r="AV22" s="29" t="b">
        <v>0</v>
      </c>
      <c r="AW22" s="22" t="str">
        <f t="shared" si="13"/>
        <v/>
      </c>
      <c r="AX22" s="7">
        <f>IF(ISBLANK(AT22), 0, VLOOKUP(AT22, 'Price Sheet'!$A$2:$B1015, 2, false))</f>
        <v>0</v>
      </c>
      <c r="AY22" s="33" t="str">
        <f t="shared" si="14"/>
        <v/>
      </c>
      <c r="AZ22" s="37"/>
      <c r="BA22" s="29"/>
      <c r="BB22" s="29" t="b">
        <v>0</v>
      </c>
      <c r="BC22" s="22" t="str">
        <f t="shared" si="15"/>
        <v/>
      </c>
      <c r="BD22" s="7">
        <f>IF(ISBLANK(AZ22), 0, VLOOKUP(AZ22, 'Price Sheet'!$A$2:$B1015, 2, false))</f>
        <v>0</v>
      </c>
      <c r="BE22" s="33" t="str">
        <f t="shared" si="16"/>
        <v/>
      </c>
      <c r="BF22" s="37"/>
      <c r="BG22" s="29"/>
      <c r="BH22" s="29" t="b">
        <v>0</v>
      </c>
      <c r="BI22" s="22" t="str">
        <f t="shared" si="17"/>
        <v/>
      </c>
      <c r="BJ22" s="7">
        <f>IF(ISBLANK(BF22), 0, VLOOKUP(BF22, 'Price Sheet'!$A$2:$B1015, 2, false))</f>
        <v>0</v>
      </c>
      <c r="BK22" s="33" t="str">
        <f t="shared" si="18"/>
        <v/>
      </c>
      <c r="BL22" s="37"/>
      <c r="BM22" s="29"/>
      <c r="BN22" s="29" t="b">
        <v>0</v>
      </c>
      <c r="BO22" s="22" t="str">
        <f t="shared" si="19"/>
        <v/>
      </c>
      <c r="BP22" s="7">
        <f>IF(ISBLANK(BL22), 0, VLOOKUP(BL22, 'Price Sheet'!$A$2:$B1015, 2, false))</f>
        <v>0</v>
      </c>
      <c r="BQ22" s="33" t="str">
        <f t="shared" si="20"/>
        <v/>
      </c>
    </row>
    <row r="23">
      <c r="A23" s="7" t="s">
        <v>102</v>
      </c>
      <c r="B23" s="19">
        <f t="shared" si="1"/>
        <v>4.16</v>
      </c>
      <c r="C23" s="8" t="s">
        <v>205</v>
      </c>
      <c r="D23" s="8" t="s">
        <v>100</v>
      </c>
      <c r="E23" s="7" t="str">
        <f>IF(ISBLANK(D23), "", VLOOKUP(D23,'Crafting Tables'!$A$2:$B1015, 2, false))</f>
        <v>Basic</v>
      </c>
      <c r="F23" s="7">
        <f>IFERROR(IF(E23 = "None", 1, VLOOKUP(C23,General!$A$5:$L$35, SWITCH(E23, "Basic", 8, "Advanced", 10, "Modern", 12), false)),"")</f>
        <v>0.55</v>
      </c>
      <c r="G23" s="8">
        <v>60.0</v>
      </c>
      <c r="H23" s="7">
        <f>IFERROR(VLOOKUP(C23, General!$A$5:$L$35, 6, false) * G23 / 1000, 0)</f>
        <v>2.4</v>
      </c>
      <c r="I23" s="8"/>
      <c r="J23" s="22">
        <f>IFERROR(I23*VLOOKUP(D23,'Crafting Tables'!$1:$1000, 4, false)*F23,"")</f>
        <v>0</v>
      </c>
      <c r="K23" s="8" t="b">
        <v>1</v>
      </c>
      <c r="L23" s="8" t="s">
        <v>102</v>
      </c>
      <c r="M23" s="8">
        <v>1.0</v>
      </c>
      <c r="N23" s="21">
        <f t="shared" si="2"/>
        <v>4.16</v>
      </c>
      <c r="P23" s="32" t="s">
        <v>81</v>
      </c>
      <c r="Q23" s="8">
        <v>4.0</v>
      </c>
      <c r="R23" s="29" t="b">
        <v>0</v>
      </c>
      <c r="S23" s="22">
        <f t="shared" si="3"/>
        <v>2.2</v>
      </c>
      <c r="T23" s="19">
        <f>IF(ISBLANK(P23), 0, VLOOKUP(P23, 'Price Sheet'!$A$2:$B1015, 2, false))</f>
        <v>0.8</v>
      </c>
      <c r="U23" s="33">
        <f t="shared" si="4"/>
        <v>1.76</v>
      </c>
      <c r="V23" s="37"/>
      <c r="W23" s="29"/>
      <c r="X23" s="29" t="b">
        <v>0</v>
      </c>
      <c r="Y23" s="22" t="str">
        <f t="shared" si="5"/>
        <v/>
      </c>
      <c r="Z23" s="7">
        <f>IF(ISBLANK(V23), 0, VLOOKUP(V23, 'Price Sheet'!$A$2:$B1015, 2, false))</f>
        <v>0</v>
      </c>
      <c r="AA23" s="33" t="str">
        <f t="shared" si="6"/>
        <v/>
      </c>
      <c r="AB23" s="37"/>
      <c r="AC23" s="29"/>
      <c r="AD23" s="29" t="b">
        <v>0</v>
      </c>
      <c r="AE23" s="22" t="str">
        <f t="shared" si="7"/>
        <v/>
      </c>
      <c r="AF23" s="7">
        <f>IF(ISBLANK(AB23), 0, VLOOKUP(AB23, 'Price Sheet'!$A$2:$B1015, 2, false))</f>
        <v>0</v>
      </c>
      <c r="AG23" s="33" t="str">
        <f t="shared" si="8"/>
        <v/>
      </c>
      <c r="AH23" s="37"/>
      <c r="AI23" s="29"/>
      <c r="AJ23" s="29" t="b">
        <v>0</v>
      </c>
      <c r="AK23" s="22" t="str">
        <f t="shared" si="9"/>
        <v/>
      </c>
      <c r="AL23" s="7">
        <f>IF(ISBLANK(AH23), 0, VLOOKUP(AH23, 'Price Sheet'!$A$2:$B1015, 2, false))</f>
        <v>0</v>
      </c>
      <c r="AM23" s="33" t="str">
        <f t="shared" si="10"/>
        <v/>
      </c>
      <c r="AN23" s="37"/>
      <c r="AO23" s="29"/>
      <c r="AP23" s="29" t="b">
        <v>0</v>
      </c>
      <c r="AQ23" s="22" t="str">
        <f t="shared" si="11"/>
        <v/>
      </c>
      <c r="AR23" s="7">
        <f>IF(ISBLANK(AN23), 0, VLOOKUP(AN23, 'Price Sheet'!$A$2:$B1015, 2, false))</f>
        <v>0</v>
      </c>
      <c r="AS23" s="33" t="str">
        <f t="shared" si="12"/>
        <v/>
      </c>
      <c r="AT23" s="37"/>
      <c r="AU23" s="29"/>
      <c r="AV23" s="29" t="b">
        <v>0</v>
      </c>
      <c r="AW23" s="22" t="str">
        <f t="shared" si="13"/>
        <v/>
      </c>
      <c r="AX23" s="7">
        <f>IF(ISBLANK(AT23), 0, VLOOKUP(AT23, 'Price Sheet'!$A$2:$B1015, 2, false))</f>
        <v>0</v>
      </c>
      <c r="AY23" s="33" t="str">
        <f t="shared" si="14"/>
        <v/>
      </c>
      <c r="AZ23" s="37"/>
      <c r="BA23" s="29"/>
      <c r="BB23" s="29" t="b">
        <v>0</v>
      </c>
      <c r="BC23" s="22" t="str">
        <f t="shared" si="15"/>
        <v/>
      </c>
      <c r="BD23" s="7">
        <f>IF(ISBLANK(AZ23), 0, VLOOKUP(AZ23, 'Price Sheet'!$A$2:$B1015, 2, false))</f>
        <v>0</v>
      </c>
      <c r="BE23" s="33" t="str">
        <f t="shared" si="16"/>
        <v/>
      </c>
      <c r="BF23" s="37"/>
      <c r="BG23" s="29"/>
      <c r="BH23" s="29" t="b">
        <v>0</v>
      </c>
      <c r="BI23" s="22" t="str">
        <f t="shared" si="17"/>
        <v/>
      </c>
      <c r="BJ23" s="7">
        <f>IF(ISBLANK(BF23), 0, VLOOKUP(BF23, 'Price Sheet'!$A$2:$B1015, 2, false))</f>
        <v>0</v>
      </c>
      <c r="BK23" s="33" t="str">
        <f t="shared" si="18"/>
        <v/>
      </c>
      <c r="BL23" s="37"/>
      <c r="BM23" s="29"/>
      <c r="BN23" s="29" t="b">
        <v>0</v>
      </c>
      <c r="BO23" s="22" t="str">
        <f t="shared" si="19"/>
        <v/>
      </c>
      <c r="BP23" s="7">
        <f>IF(ISBLANK(BL23), 0, VLOOKUP(BL23, 'Price Sheet'!$A$2:$B1015, 2, false))</f>
        <v>0</v>
      </c>
      <c r="BQ23" s="33" t="str">
        <f t="shared" si="20"/>
        <v/>
      </c>
    </row>
    <row r="24">
      <c r="A24" s="7" t="s">
        <v>103</v>
      </c>
      <c r="B24" s="19">
        <f t="shared" si="1"/>
        <v>30.48</v>
      </c>
      <c r="C24" s="8" t="s">
        <v>205</v>
      </c>
      <c r="D24" s="8" t="s">
        <v>100</v>
      </c>
      <c r="E24" s="7" t="str">
        <f>IF(ISBLANK(D24), "", VLOOKUP(D24,'Crafting Tables'!$A$2:$B1015, 2, false))</f>
        <v>Basic</v>
      </c>
      <c r="F24" s="7">
        <f>IFERROR(IF(E24 = "None", 1, VLOOKUP(C24,General!$A$5:$L$35, SWITCH(E24, "Basic", 8, "Advanced", 10, "Modern", 12), false)),"")</f>
        <v>0.55</v>
      </c>
      <c r="G24" s="8">
        <v>120.0</v>
      </c>
      <c r="H24" s="7">
        <f>IFERROR(VLOOKUP(C24, General!$A$5:$L$35, 6, false) * G24 / 1000, 0)</f>
        <v>4.8</v>
      </c>
      <c r="I24" s="8"/>
      <c r="J24" s="22">
        <f>IFERROR(I24*VLOOKUP(D24,'Crafting Tables'!$1:$1000, 4, false)*F24,"")</f>
        <v>0</v>
      </c>
      <c r="K24" s="8" t="b">
        <v>1</v>
      </c>
      <c r="L24" s="8" t="s">
        <v>103</v>
      </c>
      <c r="M24" s="8">
        <v>1.0</v>
      </c>
      <c r="N24" s="21">
        <f t="shared" si="2"/>
        <v>30.48</v>
      </c>
      <c r="P24" s="32" t="s">
        <v>102</v>
      </c>
      <c r="Q24" s="8">
        <v>4.0</v>
      </c>
      <c r="R24" s="29" t="b">
        <v>0</v>
      </c>
      <c r="S24" s="22">
        <f t="shared" si="3"/>
        <v>2.2</v>
      </c>
      <c r="T24" s="19">
        <f>IF(ISBLANK(P24), 0, VLOOKUP(P24, 'Price Sheet'!$A$2:$B1015, 2, false))</f>
        <v>5</v>
      </c>
      <c r="U24" s="33">
        <f t="shared" si="4"/>
        <v>11</v>
      </c>
      <c r="V24" s="32" t="s">
        <v>99</v>
      </c>
      <c r="W24" s="8">
        <v>1.0</v>
      </c>
      <c r="X24" s="8" t="b">
        <v>1</v>
      </c>
      <c r="Y24" s="22">
        <f t="shared" si="5"/>
        <v>1</v>
      </c>
      <c r="Z24" s="19">
        <f>IF(ISBLANK(V24), 0, VLOOKUP(V24, 'Price Sheet'!$A$2:$B1015, 2, false))</f>
        <v>4.16</v>
      </c>
      <c r="AA24" s="33">
        <f t="shared" si="6"/>
        <v>4.16</v>
      </c>
      <c r="AB24" s="32" t="s">
        <v>101</v>
      </c>
      <c r="AC24" s="8">
        <v>1.0</v>
      </c>
      <c r="AD24" s="8" t="b">
        <v>1</v>
      </c>
      <c r="AE24" s="22">
        <f t="shared" si="7"/>
        <v>1</v>
      </c>
      <c r="AF24" s="19">
        <f>IF(ISBLANK(AB24), 0, VLOOKUP(AB24, 'Price Sheet'!$A$2:$B1015, 2, false))</f>
        <v>10.52</v>
      </c>
      <c r="AG24" s="33">
        <f t="shared" si="8"/>
        <v>10.52</v>
      </c>
      <c r="AH24" s="37"/>
      <c r="AI24" s="29"/>
      <c r="AJ24" s="29" t="b">
        <v>0</v>
      </c>
      <c r="AK24" s="22" t="str">
        <f t="shared" si="9"/>
        <v/>
      </c>
      <c r="AL24" s="7">
        <f>IF(ISBLANK(AH24), 0, VLOOKUP(AH24, 'Price Sheet'!$A$2:$B1015, 2, false))</f>
        <v>0</v>
      </c>
      <c r="AM24" s="33" t="str">
        <f t="shared" si="10"/>
        <v/>
      </c>
      <c r="AN24" s="37"/>
      <c r="AO24" s="29"/>
      <c r="AP24" s="29" t="b">
        <v>0</v>
      </c>
      <c r="AQ24" s="22" t="str">
        <f t="shared" si="11"/>
        <v/>
      </c>
      <c r="AR24" s="7">
        <f>IF(ISBLANK(AN24), 0, VLOOKUP(AN24, 'Price Sheet'!$A$2:$B1015, 2, false))</f>
        <v>0</v>
      </c>
      <c r="AS24" s="33" t="str">
        <f t="shared" si="12"/>
        <v/>
      </c>
      <c r="AT24" s="37"/>
      <c r="AU24" s="29"/>
      <c r="AV24" s="29" t="b">
        <v>0</v>
      </c>
      <c r="AW24" s="22" t="str">
        <f t="shared" si="13"/>
        <v/>
      </c>
      <c r="AX24" s="7">
        <f>IF(ISBLANK(AT24), 0, VLOOKUP(AT24, 'Price Sheet'!$A$2:$B1015, 2, false))</f>
        <v>0</v>
      </c>
      <c r="AY24" s="33" t="str">
        <f t="shared" si="14"/>
        <v/>
      </c>
      <c r="AZ24" s="37"/>
      <c r="BA24" s="29"/>
      <c r="BB24" s="29" t="b">
        <v>0</v>
      </c>
      <c r="BC24" s="22" t="str">
        <f t="shared" si="15"/>
        <v/>
      </c>
      <c r="BD24" s="7">
        <f>IF(ISBLANK(AZ24), 0, VLOOKUP(AZ24, 'Price Sheet'!$A$2:$B1015, 2, false))</f>
        <v>0</v>
      </c>
      <c r="BE24" s="33" t="str">
        <f t="shared" si="16"/>
        <v/>
      </c>
      <c r="BF24" s="37"/>
      <c r="BG24" s="29"/>
      <c r="BH24" s="29" t="b">
        <v>0</v>
      </c>
      <c r="BI24" s="22" t="str">
        <f t="shared" si="17"/>
        <v/>
      </c>
      <c r="BJ24" s="7">
        <f>IF(ISBLANK(BF24), 0, VLOOKUP(BF24, 'Price Sheet'!$A$2:$B1015, 2, false))</f>
        <v>0</v>
      </c>
      <c r="BK24" s="33" t="str">
        <f t="shared" si="18"/>
        <v/>
      </c>
      <c r="BL24" s="37"/>
      <c r="BM24" s="29"/>
      <c r="BN24" s="29" t="b">
        <v>0</v>
      </c>
      <c r="BO24" s="22" t="str">
        <f t="shared" si="19"/>
        <v/>
      </c>
      <c r="BP24" s="7">
        <f>IF(ISBLANK(BL24), 0, VLOOKUP(BL24, 'Price Sheet'!$A$2:$B1015, 2, false))</f>
        <v>0</v>
      </c>
      <c r="BQ24" s="33" t="str">
        <f t="shared" si="20"/>
        <v/>
      </c>
    </row>
    <row r="25">
      <c r="A25" s="7" t="s">
        <v>106</v>
      </c>
      <c r="B25" s="19">
        <f t="shared" si="1"/>
        <v>51.08</v>
      </c>
      <c r="C25" s="8" t="s">
        <v>205</v>
      </c>
      <c r="D25" s="8" t="s">
        <v>100</v>
      </c>
      <c r="E25" s="7" t="str">
        <f>IF(ISBLANK(D25), "", VLOOKUP(D25,'Crafting Tables'!$A$2:$B1015, 2, false))</f>
        <v>Basic</v>
      </c>
      <c r="F25" s="7">
        <f>IFERROR(IF(E25 = "None", 1, VLOOKUP(C25,General!$A$5:$L$35, SWITCH(E25, "Basic", 8, "Advanced", 10, "Modern", 12), false)),"")</f>
        <v>0.55</v>
      </c>
      <c r="G25" s="8">
        <v>360.0</v>
      </c>
      <c r="H25" s="7">
        <f>IFERROR(VLOOKUP(C25, General!$A$5:$L$35, 6, false) * G25 / 1000, 0)</f>
        <v>14.4</v>
      </c>
      <c r="I25" s="8"/>
      <c r="J25" s="22">
        <f>IFERROR(I25*VLOOKUP(D25,'Crafting Tables'!$1:$1000, 4, false)*F25,"")</f>
        <v>0</v>
      </c>
      <c r="K25" s="8" t="b">
        <v>1</v>
      </c>
      <c r="L25" s="8" t="s">
        <v>106</v>
      </c>
      <c r="M25" s="8">
        <v>1.0</v>
      </c>
      <c r="N25" s="21">
        <f t="shared" si="2"/>
        <v>51.08</v>
      </c>
      <c r="P25" s="32" t="s">
        <v>102</v>
      </c>
      <c r="Q25" s="8">
        <v>8.0</v>
      </c>
      <c r="R25" s="29" t="b">
        <v>0</v>
      </c>
      <c r="S25" s="22">
        <f t="shared" si="3"/>
        <v>4.4</v>
      </c>
      <c r="T25" s="19">
        <f>IF(ISBLANK(P25), 0, VLOOKUP(P25, 'Price Sheet'!$A$2:$B1015, 2, false))</f>
        <v>5</v>
      </c>
      <c r="U25" s="33">
        <f t="shared" si="4"/>
        <v>22</v>
      </c>
      <c r="V25" s="32" t="s">
        <v>99</v>
      </c>
      <c r="W25" s="8">
        <v>1.0</v>
      </c>
      <c r="X25" s="8" t="b">
        <v>1</v>
      </c>
      <c r="Y25" s="22">
        <f t="shared" si="5"/>
        <v>1</v>
      </c>
      <c r="Z25" s="19">
        <f>IF(ISBLANK(V25), 0, VLOOKUP(V25, 'Price Sheet'!$A$2:$B1015, 2, false))</f>
        <v>4.16</v>
      </c>
      <c r="AA25" s="33">
        <f t="shared" si="6"/>
        <v>4.16</v>
      </c>
      <c r="AB25" s="32" t="s">
        <v>101</v>
      </c>
      <c r="AC25" s="8">
        <v>1.0</v>
      </c>
      <c r="AD25" s="8" t="b">
        <v>1</v>
      </c>
      <c r="AE25" s="22">
        <f t="shared" si="7"/>
        <v>1</v>
      </c>
      <c r="AF25" s="19">
        <f>IF(ISBLANK(AB25), 0, VLOOKUP(AB25, 'Price Sheet'!$A$2:$B1015, 2, false))</f>
        <v>10.52</v>
      </c>
      <c r="AG25" s="33">
        <f t="shared" si="8"/>
        <v>10.52</v>
      </c>
      <c r="AH25" s="37"/>
      <c r="AI25" s="29"/>
      <c r="AJ25" s="29" t="b">
        <v>0</v>
      </c>
      <c r="AK25" s="22" t="str">
        <f t="shared" si="9"/>
        <v/>
      </c>
      <c r="AL25" s="7">
        <f>IF(ISBLANK(AH25), 0, VLOOKUP(AH25, 'Price Sheet'!$A$2:$B1015, 2, false))</f>
        <v>0</v>
      </c>
      <c r="AM25" s="33" t="str">
        <f t="shared" si="10"/>
        <v/>
      </c>
      <c r="AN25" s="37"/>
      <c r="AO25" s="29"/>
      <c r="AP25" s="29" t="b">
        <v>0</v>
      </c>
      <c r="AQ25" s="22" t="str">
        <f t="shared" si="11"/>
        <v/>
      </c>
      <c r="AR25" s="7">
        <f>IF(ISBLANK(AN25), 0, VLOOKUP(AN25, 'Price Sheet'!$A$2:$B1015, 2, false))</f>
        <v>0</v>
      </c>
      <c r="AS25" s="33" t="str">
        <f t="shared" si="12"/>
        <v/>
      </c>
      <c r="AT25" s="37"/>
      <c r="AU25" s="29"/>
      <c r="AV25" s="29" t="b">
        <v>0</v>
      </c>
      <c r="AW25" s="22" t="str">
        <f t="shared" si="13"/>
        <v/>
      </c>
      <c r="AX25" s="7">
        <f>IF(ISBLANK(AT25), 0, VLOOKUP(AT25, 'Price Sheet'!$A$2:$B1015, 2, false))</f>
        <v>0</v>
      </c>
      <c r="AY25" s="33" t="str">
        <f t="shared" si="14"/>
        <v/>
      </c>
      <c r="AZ25" s="37"/>
      <c r="BA25" s="29"/>
      <c r="BB25" s="29" t="b">
        <v>0</v>
      </c>
      <c r="BC25" s="22" t="str">
        <f t="shared" si="15"/>
        <v/>
      </c>
      <c r="BD25" s="7">
        <f>IF(ISBLANK(AZ25), 0, VLOOKUP(AZ25, 'Price Sheet'!$A$2:$B1015, 2, false))</f>
        <v>0</v>
      </c>
      <c r="BE25" s="33" t="str">
        <f t="shared" si="16"/>
        <v/>
      </c>
      <c r="BF25" s="37"/>
      <c r="BG25" s="29"/>
      <c r="BH25" s="29" t="b">
        <v>0</v>
      </c>
      <c r="BI25" s="22" t="str">
        <f t="shared" si="17"/>
        <v/>
      </c>
      <c r="BJ25" s="7">
        <f>IF(ISBLANK(BF25), 0, VLOOKUP(BF25, 'Price Sheet'!$A$2:$B1015, 2, false))</f>
        <v>0</v>
      </c>
      <c r="BK25" s="33" t="str">
        <f t="shared" si="18"/>
        <v/>
      </c>
      <c r="BL25" s="37"/>
      <c r="BM25" s="29"/>
      <c r="BN25" s="29" t="b">
        <v>0</v>
      </c>
      <c r="BO25" s="22" t="str">
        <f t="shared" si="19"/>
        <v/>
      </c>
      <c r="BP25" s="7">
        <f>IF(ISBLANK(BL25), 0, VLOOKUP(BL25, 'Price Sheet'!$A$2:$B1015, 2, false))</f>
        <v>0</v>
      </c>
      <c r="BQ25" s="33" t="str">
        <f t="shared" si="20"/>
        <v/>
      </c>
    </row>
    <row r="26">
      <c r="A26" s="7" t="s">
        <v>107</v>
      </c>
      <c r="B26" s="19">
        <f t="shared" si="1"/>
        <v>43.72</v>
      </c>
      <c r="C26" s="8" t="s">
        <v>205</v>
      </c>
      <c r="D26" s="8" t="s">
        <v>100</v>
      </c>
      <c r="E26" s="7" t="str">
        <f>IF(ISBLANK(D26), "", VLOOKUP(D26,'Crafting Tables'!$A$2:$B1015, 2, false))</f>
        <v>Basic</v>
      </c>
      <c r="F26" s="7">
        <f>IFERROR(IF(E26 = "None", 1, VLOOKUP(C26,General!$A$5:$L$35, SWITCH(E26, "Basic", 8, "Advanced", 10, "Modern", 12), false)),"")</f>
        <v>0.55</v>
      </c>
      <c r="G26" s="8">
        <v>180.0</v>
      </c>
      <c r="H26" s="7">
        <f>IFERROR(VLOOKUP(C26, General!$A$5:$L$35, 6, false) * G26 / 1000, 0)</f>
        <v>7.2</v>
      </c>
      <c r="I26" s="8"/>
      <c r="J26" s="22">
        <f>IFERROR(I26*VLOOKUP(D26,'Crafting Tables'!$1:$1000, 4, false)*F26,"")</f>
        <v>0</v>
      </c>
      <c r="K26" s="8" t="b">
        <v>1</v>
      </c>
      <c r="L26" s="8" t="s">
        <v>107</v>
      </c>
      <c r="M26" s="8">
        <v>1.0</v>
      </c>
      <c r="N26" s="21">
        <f t="shared" si="2"/>
        <v>43.72</v>
      </c>
      <c r="P26" s="32" t="s">
        <v>111</v>
      </c>
      <c r="Q26" s="8">
        <v>6.0</v>
      </c>
      <c r="R26" s="29" t="b">
        <v>0</v>
      </c>
      <c r="S26" s="22">
        <f t="shared" si="3"/>
        <v>3.3</v>
      </c>
      <c r="T26" s="19">
        <f>IF(ISBLANK(P26), 0, VLOOKUP(P26, 'Price Sheet'!$A$2:$B1015, 2, false))</f>
        <v>10</v>
      </c>
      <c r="U26" s="33">
        <f t="shared" si="4"/>
        <v>33</v>
      </c>
      <c r="V26" s="32" t="s">
        <v>81</v>
      </c>
      <c r="W26" s="8">
        <v>8.0</v>
      </c>
      <c r="X26" s="29" t="b">
        <v>0</v>
      </c>
      <c r="Y26" s="22">
        <f t="shared" si="5"/>
        <v>4.4</v>
      </c>
      <c r="Z26" s="19">
        <f>IF(ISBLANK(V26), 0, VLOOKUP(V26, 'Price Sheet'!$A$2:$B1015, 2, false))</f>
        <v>0.8</v>
      </c>
      <c r="AA26" s="33">
        <f t="shared" si="6"/>
        <v>3.52</v>
      </c>
      <c r="AB26" s="37"/>
      <c r="AC26" s="29"/>
      <c r="AD26" s="29" t="b">
        <v>0</v>
      </c>
      <c r="AE26" s="22" t="str">
        <f t="shared" si="7"/>
        <v/>
      </c>
      <c r="AF26" s="7">
        <f>IF(ISBLANK(AB26), 0, VLOOKUP(AB26, 'Price Sheet'!$A$2:$B1015, 2, false))</f>
        <v>0</v>
      </c>
      <c r="AG26" s="33" t="str">
        <f t="shared" si="8"/>
        <v/>
      </c>
      <c r="AH26" s="37"/>
      <c r="AI26" s="29"/>
      <c r="AJ26" s="29" t="b">
        <v>0</v>
      </c>
      <c r="AK26" s="22" t="str">
        <f t="shared" si="9"/>
        <v/>
      </c>
      <c r="AL26" s="7">
        <f>IF(ISBLANK(AH26), 0, VLOOKUP(AH26, 'Price Sheet'!$A$2:$B1015, 2, false))</f>
        <v>0</v>
      </c>
      <c r="AM26" s="33" t="str">
        <f t="shared" si="10"/>
        <v/>
      </c>
      <c r="AN26" s="37"/>
      <c r="AO26" s="29"/>
      <c r="AP26" s="29" t="b">
        <v>0</v>
      </c>
      <c r="AQ26" s="22" t="str">
        <f t="shared" si="11"/>
        <v/>
      </c>
      <c r="AR26" s="7">
        <f>IF(ISBLANK(AN26), 0, VLOOKUP(AN26, 'Price Sheet'!$A$2:$B1015, 2, false))</f>
        <v>0</v>
      </c>
      <c r="AS26" s="33" t="str">
        <f t="shared" si="12"/>
        <v/>
      </c>
      <c r="AT26" s="37"/>
      <c r="AU26" s="29"/>
      <c r="AV26" s="29" t="b">
        <v>0</v>
      </c>
      <c r="AW26" s="22" t="str">
        <f t="shared" si="13"/>
        <v/>
      </c>
      <c r="AX26" s="7">
        <f>IF(ISBLANK(AT26), 0, VLOOKUP(AT26, 'Price Sheet'!$A$2:$B1015, 2, false))</f>
        <v>0</v>
      </c>
      <c r="AY26" s="33" t="str">
        <f t="shared" si="14"/>
        <v/>
      </c>
      <c r="AZ26" s="37"/>
      <c r="BA26" s="29"/>
      <c r="BB26" s="29" t="b">
        <v>0</v>
      </c>
      <c r="BC26" s="22" t="str">
        <f t="shared" si="15"/>
        <v/>
      </c>
      <c r="BD26" s="7">
        <f>IF(ISBLANK(AZ26), 0, VLOOKUP(AZ26, 'Price Sheet'!$A$2:$B1015, 2, false))</f>
        <v>0</v>
      </c>
      <c r="BE26" s="33" t="str">
        <f t="shared" si="16"/>
        <v/>
      </c>
      <c r="BF26" s="37"/>
      <c r="BG26" s="29"/>
      <c r="BH26" s="29" t="b">
        <v>0</v>
      </c>
      <c r="BI26" s="22" t="str">
        <f t="shared" si="17"/>
        <v/>
      </c>
      <c r="BJ26" s="7">
        <f>IF(ISBLANK(BF26), 0, VLOOKUP(BF26, 'Price Sheet'!$A$2:$B1015, 2, false))</f>
        <v>0</v>
      </c>
      <c r="BK26" s="33" t="str">
        <f t="shared" si="18"/>
        <v/>
      </c>
      <c r="BL26" s="37"/>
      <c r="BM26" s="29"/>
      <c r="BN26" s="29" t="b">
        <v>0</v>
      </c>
      <c r="BO26" s="22" t="str">
        <f t="shared" si="19"/>
        <v/>
      </c>
      <c r="BP26" s="7">
        <f>IF(ISBLANK(BL26), 0, VLOOKUP(BL26, 'Price Sheet'!$A$2:$B1015, 2, false))</f>
        <v>0</v>
      </c>
      <c r="BQ26" s="33" t="str">
        <f t="shared" si="20"/>
        <v/>
      </c>
    </row>
    <row r="27">
      <c r="A27" s="7" t="s">
        <v>108</v>
      </c>
      <c r="B27" s="19">
        <f t="shared" si="1"/>
        <v>30.67</v>
      </c>
      <c r="C27" s="8" t="s">
        <v>205</v>
      </c>
      <c r="D27" s="8" t="s">
        <v>100</v>
      </c>
      <c r="E27" s="7" t="str">
        <f>IF(ISBLANK(D27), "", VLOOKUP(D27,'Crafting Tables'!$A$2:$B1015, 2, false))</f>
        <v>Basic</v>
      </c>
      <c r="F27" s="7">
        <f>IFERROR(IF(E27 = "None", 1, VLOOKUP(C27,General!$A$5:$L$35, SWITCH(E27, "Basic", 8, "Advanced", 10, "Modern", 12), false)),"")</f>
        <v>0.55</v>
      </c>
      <c r="G27" s="8">
        <v>60.0</v>
      </c>
      <c r="H27" s="7">
        <f>IFERROR(VLOOKUP(C27, General!$A$5:$L$35, 6, false) * G27 / 1000, 0)</f>
        <v>2.4</v>
      </c>
      <c r="I27" s="8"/>
      <c r="J27" s="22">
        <f>IFERROR(I27*VLOOKUP(D27,'Crafting Tables'!$1:$1000, 4, false)*F27,"")</f>
        <v>0</v>
      </c>
      <c r="K27" s="8" t="b">
        <v>1</v>
      </c>
      <c r="L27" s="8" t="s">
        <v>108</v>
      </c>
      <c r="M27" s="8">
        <v>1.0</v>
      </c>
      <c r="N27" s="21">
        <f t="shared" si="2"/>
        <v>30.67</v>
      </c>
      <c r="P27" s="32" t="s">
        <v>81</v>
      </c>
      <c r="Q27" s="8">
        <v>12.0</v>
      </c>
      <c r="R27" s="29" t="b">
        <v>0</v>
      </c>
      <c r="S27" s="22">
        <f t="shared" si="3"/>
        <v>6.6</v>
      </c>
      <c r="T27" s="19">
        <f>IF(ISBLANK(P27), 0, VLOOKUP(P27, 'Price Sheet'!$A$2:$B1015, 2, false))</f>
        <v>0.8</v>
      </c>
      <c r="U27" s="33">
        <f t="shared" si="4"/>
        <v>5.28</v>
      </c>
      <c r="V27" s="32" t="s">
        <v>83</v>
      </c>
      <c r="W27" s="8">
        <v>4.0</v>
      </c>
      <c r="X27" s="29" t="b">
        <v>0</v>
      </c>
      <c r="Y27" s="22">
        <f t="shared" si="5"/>
        <v>2.2</v>
      </c>
      <c r="Z27" s="19">
        <f>IF(ISBLANK(V27), 0, VLOOKUP(V27, 'Price Sheet'!$A$2:$B1015, 2, false))</f>
        <v>0.45</v>
      </c>
      <c r="AA27" s="33">
        <f t="shared" si="6"/>
        <v>0.99</v>
      </c>
      <c r="AB27" s="32" t="s">
        <v>111</v>
      </c>
      <c r="AC27" s="8">
        <v>4.0</v>
      </c>
      <c r="AD27" s="29" t="b">
        <v>0</v>
      </c>
      <c r="AE27" s="22">
        <f t="shared" si="7"/>
        <v>2.2</v>
      </c>
      <c r="AF27" s="19">
        <f>IF(ISBLANK(AB27), 0, VLOOKUP(AB27, 'Price Sheet'!$A$2:$B1015, 2, false))</f>
        <v>10</v>
      </c>
      <c r="AG27" s="33">
        <f t="shared" si="8"/>
        <v>22</v>
      </c>
      <c r="AH27" s="37"/>
      <c r="AI27" s="29"/>
      <c r="AJ27" s="29" t="b">
        <v>0</v>
      </c>
      <c r="AK27" s="22" t="str">
        <f t="shared" si="9"/>
        <v/>
      </c>
      <c r="AL27" s="7">
        <f>IF(ISBLANK(AH27), 0, VLOOKUP(AH27, 'Price Sheet'!$A$2:$B1015, 2, false))</f>
        <v>0</v>
      </c>
      <c r="AM27" s="33" t="str">
        <f t="shared" si="10"/>
        <v/>
      </c>
      <c r="AN27" s="37"/>
      <c r="AO27" s="29"/>
      <c r="AP27" s="29" t="b">
        <v>0</v>
      </c>
      <c r="AQ27" s="22" t="str">
        <f t="shared" si="11"/>
        <v/>
      </c>
      <c r="AR27" s="7">
        <f>IF(ISBLANK(AN27), 0, VLOOKUP(AN27, 'Price Sheet'!$A$2:$B1015, 2, false))</f>
        <v>0</v>
      </c>
      <c r="AS27" s="33" t="str">
        <f t="shared" si="12"/>
        <v/>
      </c>
      <c r="AT27" s="37"/>
      <c r="AU27" s="29"/>
      <c r="AV27" s="29" t="b">
        <v>0</v>
      </c>
      <c r="AW27" s="22" t="str">
        <f t="shared" si="13"/>
        <v/>
      </c>
      <c r="AX27" s="7">
        <f>IF(ISBLANK(AT27), 0, VLOOKUP(AT27, 'Price Sheet'!$A$2:$B1015, 2, false))</f>
        <v>0</v>
      </c>
      <c r="AY27" s="33" t="str">
        <f t="shared" si="14"/>
        <v/>
      </c>
      <c r="AZ27" s="37"/>
      <c r="BA27" s="29"/>
      <c r="BB27" s="29" t="b">
        <v>0</v>
      </c>
      <c r="BC27" s="22" t="str">
        <f t="shared" si="15"/>
        <v/>
      </c>
      <c r="BD27" s="7">
        <f>IF(ISBLANK(AZ27), 0, VLOOKUP(AZ27, 'Price Sheet'!$A$2:$B1015, 2, false))</f>
        <v>0</v>
      </c>
      <c r="BE27" s="33" t="str">
        <f t="shared" si="16"/>
        <v/>
      </c>
      <c r="BF27" s="37"/>
      <c r="BG27" s="29"/>
      <c r="BH27" s="29" t="b">
        <v>0</v>
      </c>
      <c r="BI27" s="22" t="str">
        <f t="shared" si="17"/>
        <v/>
      </c>
      <c r="BJ27" s="7">
        <f>IF(ISBLANK(BF27), 0, VLOOKUP(BF27, 'Price Sheet'!$A$2:$B1015, 2, false))</f>
        <v>0</v>
      </c>
      <c r="BK27" s="33" t="str">
        <f t="shared" si="18"/>
        <v/>
      </c>
      <c r="BL27" s="37"/>
      <c r="BM27" s="29"/>
      <c r="BN27" s="29" t="b">
        <v>0</v>
      </c>
      <c r="BO27" s="22" t="str">
        <f t="shared" si="19"/>
        <v/>
      </c>
      <c r="BP27" s="7">
        <f>IF(ISBLANK(BL27), 0, VLOOKUP(BL27, 'Price Sheet'!$A$2:$B1015, 2, false))</f>
        <v>0</v>
      </c>
      <c r="BQ27" s="33" t="str">
        <f t="shared" si="20"/>
        <v/>
      </c>
    </row>
    <row r="28">
      <c r="A28" s="7" t="s">
        <v>110</v>
      </c>
      <c r="B28" s="19">
        <f t="shared" si="1"/>
        <v>0</v>
      </c>
      <c r="C28" s="8" t="s">
        <v>205</v>
      </c>
      <c r="D28" s="8"/>
      <c r="E28" s="7" t="str">
        <f>IF(ISBLANK(D28), "", VLOOKUP(D28,'Crafting Tables'!$A$2:$B1015, 2, false))</f>
        <v/>
      </c>
      <c r="F28" s="7" t="str">
        <f>IFERROR(IF(E28 = "None", 1, VLOOKUP(C28,General!$A$5:$L$35, SWITCH(E28, "Basic", 8, "Advanced", 10, "Modern", 12), false)),"")</f>
        <v/>
      </c>
      <c r="G28" s="29"/>
      <c r="H28" s="7">
        <f>IFERROR(VLOOKUP(C28, General!$A$5:$L$35, 6, false) * G28 / 1000, 0)</f>
        <v>0</v>
      </c>
      <c r="I28" s="29"/>
      <c r="J28" s="22" t="str">
        <f>IFERROR(I28*VLOOKUP(D28,'Crafting Tables'!$1:$1000, 4, false)*F28,"")</f>
        <v/>
      </c>
      <c r="K28" s="8" t="b">
        <v>1</v>
      </c>
      <c r="L28" s="8" t="s">
        <v>110</v>
      </c>
      <c r="M28" s="8">
        <v>1.0</v>
      </c>
      <c r="N28" s="21">
        <f t="shared" si="2"/>
        <v>0</v>
      </c>
      <c r="P28" s="37"/>
      <c r="Q28" s="29"/>
      <c r="R28" s="29" t="b">
        <v>0</v>
      </c>
      <c r="S28" s="22" t="str">
        <f t="shared" si="3"/>
        <v/>
      </c>
      <c r="T28" s="7">
        <f>IF(ISBLANK(P28), 0, VLOOKUP(P28, 'Price Sheet'!$A$2:$B1015, 2, false))</f>
        <v>0</v>
      </c>
      <c r="U28" s="33" t="str">
        <f t="shared" si="4"/>
        <v/>
      </c>
      <c r="V28" s="37"/>
      <c r="W28" s="29"/>
      <c r="X28" s="29" t="b">
        <v>0</v>
      </c>
      <c r="Y28" s="22" t="str">
        <f t="shared" si="5"/>
        <v/>
      </c>
      <c r="Z28" s="7">
        <f>IF(ISBLANK(V28), 0, VLOOKUP(V28, 'Price Sheet'!$A$2:$B1015, 2, false))</f>
        <v>0</v>
      </c>
      <c r="AA28" s="33" t="str">
        <f t="shared" si="6"/>
        <v/>
      </c>
      <c r="AB28" s="37"/>
      <c r="AC28" s="29"/>
      <c r="AD28" s="29" t="b">
        <v>0</v>
      </c>
      <c r="AE28" s="22" t="str">
        <f t="shared" si="7"/>
        <v/>
      </c>
      <c r="AF28" s="7">
        <f>IF(ISBLANK(AB28), 0, VLOOKUP(AB28, 'Price Sheet'!$A$2:$B1015, 2, false))</f>
        <v>0</v>
      </c>
      <c r="AG28" s="33" t="str">
        <f t="shared" si="8"/>
        <v/>
      </c>
      <c r="AH28" s="37"/>
      <c r="AI28" s="29"/>
      <c r="AJ28" s="29" t="b">
        <v>0</v>
      </c>
      <c r="AK28" s="22" t="str">
        <f t="shared" si="9"/>
        <v/>
      </c>
      <c r="AL28" s="7">
        <f>IF(ISBLANK(AH28), 0, VLOOKUP(AH28, 'Price Sheet'!$A$2:$B1015, 2, false))</f>
        <v>0</v>
      </c>
      <c r="AM28" s="33" t="str">
        <f t="shared" si="10"/>
        <v/>
      </c>
      <c r="AN28" s="37"/>
      <c r="AO28" s="29"/>
      <c r="AP28" s="29" t="b">
        <v>0</v>
      </c>
      <c r="AQ28" s="22" t="str">
        <f t="shared" si="11"/>
        <v/>
      </c>
      <c r="AR28" s="7">
        <f>IF(ISBLANK(AN28), 0, VLOOKUP(AN28, 'Price Sheet'!$A$2:$B1015, 2, false))</f>
        <v>0</v>
      </c>
      <c r="AS28" s="33" t="str">
        <f t="shared" si="12"/>
        <v/>
      </c>
      <c r="AT28" s="37"/>
      <c r="AU28" s="29"/>
      <c r="AV28" s="29" t="b">
        <v>0</v>
      </c>
      <c r="AW28" s="22" t="str">
        <f t="shared" si="13"/>
        <v/>
      </c>
      <c r="AX28" s="7">
        <f>IF(ISBLANK(AT28), 0, VLOOKUP(AT28, 'Price Sheet'!$A$2:$B1015, 2, false))</f>
        <v>0</v>
      </c>
      <c r="AY28" s="33" t="str">
        <f t="shared" si="14"/>
        <v/>
      </c>
      <c r="AZ28" s="37"/>
      <c r="BA28" s="29"/>
      <c r="BB28" s="29" t="b">
        <v>0</v>
      </c>
      <c r="BC28" s="22" t="str">
        <f t="shared" si="15"/>
        <v/>
      </c>
      <c r="BD28" s="7">
        <f>IF(ISBLANK(AZ28), 0, VLOOKUP(AZ28, 'Price Sheet'!$A$2:$B1015, 2, false))</f>
        <v>0</v>
      </c>
      <c r="BE28" s="33" t="str">
        <f t="shared" si="16"/>
        <v/>
      </c>
      <c r="BF28" s="37"/>
      <c r="BG28" s="29"/>
      <c r="BH28" s="29" t="b">
        <v>0</v>
      </c>
      <c r="BI28" s="22" t="str">
        <f t="shared" si="17"/>
        <v/>
      </c>
      <c r="BJ28" s="7">
        <f>IF(ISBLANK(BF28), 0, VLOOKUP(BF28, 'Price Sheet'!$A$2:$B1015, 2, false))</f>
        <v>0</v>
      </c>
      <c r="BK28" s="33" t="str">
        <f t="shared" si="18"/>
        <v/>
      </c>
      <c r="BL28" s="37"/>
      <c r="BM28" s="29"/>
      <c r="BN28" s="29" t="b">
        <v>0</v>
      </c>
      <c r="BO28" s="22" t="str">
        <f t="shared" si="19"/>
        <v/>
      </c>
      <c r="BP28" s="7">
        <f>IF(ISBLANK(BL28), 0, VLOOKUP(BL28, 'Price Sheet'!$A$2:$B1015, 2, false))</f>
        <v>0</v>
      </c>
      <c r="BQ28" s="33" t="str">
        <f t="shared" si="20"/>
        <v/>
      </c>
    </row>
    <row r="29">
      <c r="A29" s="7" t="s">
        <v>32</v>
      </c>
      <c r="B29" s="19">
        <f t="shared" si="1"/>
        <v>69</v>
      </c>
      <c r="C29" s="8" t="s">
        <v>212</v>
      </c>
      <c r="D29" s="8" t="s">
        <v>247</v>
      </c>
      <c r="E29" s="7" t="str">
        <f>IF(ISBLANK(D29), "", VLOOKUP(D29,'Crafting Tables'!$A$2:$B1015, 2, false))</f>
        <v>None</v>
      </c>
      <c r="F29" s="7">
        <f>IFERROR(IF(E29 = "None", 1, VLOOKUP(C29,General!$A$5:$L$35, SWITCH(E29, "Basic", 8, "Advanced", 10, "Modern", 12), false)),"")</f>
        <v>1</v>
      </c>
      <c r="G29" s="8">
        <v>200.0</v>
      </c>
      <c r="H29" s="7">
        <f>IFERROR(VLOOKUP(C29, General!$A$5:$L$35, 6, false) * G29 / 1000, 0)</f>
        <v>8</v>
      </c>
      <c r="I29" s="8">
        <v>120.0</v>
      </c>
      <c r="J29" s="22">
        <f>IFERROR(I29*VLOOKUP(D29,'Crafting Tables'!$1:$1000, 4, false)*F29,"")</f>
        <v>0</v>
      </c>
      <c r="K29" s="8" t="b">
        <v>1</v>
      </c>
      <c r="L29" s="8" t="s">
        <v>32</v>
      </c>
      <c r="M29" s="8">
        <v>1.0</v>
      </c>
      <c r="N29" s="21">
        <f t="shared" si="2"/>
        <v>69</v>
      </c>
      <c r="P29" s="32" t="s">
        <v>187</v>
      </c>
      <c r="Q29" s="8">
        <v>1.0</v>
      </c>
      <c r="R29" s="8" t="b">
        <v>1</v>
      </c>
      <c r="S29" s="22">
        <f t="shared" si="3"/>
        <v>1</v>
      </c>
      <c r="T29" s="19">
        <f>IF(ISBLANK(P29), 0, VLOOKUP(P29, 'Price Sheet'!$A$2:$B1015, 2, false))</f>
        <v>25</v>
      </c>
      <c r="U29" s="33">
        <f t="shared" si="4"/>
        <v>25</v>
      </c>
      <c r="V29" s="32" t="s">
        <v>188</v>
      </c>
      <c r="W29" s="8">
        <v>3.0</v>
      </c>
      <c r="X29" s="8" t="b">
        <v>1</v>
      </c>
      <c r="Y29" s="22">
        <f t="shared" si="5"/>
        <v>3</v>
      </c>
      <c r="Z29" s="19">
        <f>IF(ISBLANK(V29), 0, VLOOKUP(V29, 'Price Sheet'!$A$2:$B1015, 2, false))</f>
        <v>8</v>
      </c>
      <c r="AA29" s="33">
        <f t="shared" si="6"/>
        <v>24</v>
      </c>
      <c r="AB29" s="32" t="s">
        <v>184</v>
      </c>
      <c r="AC29" s="8">
        <v>1.0</v>
      </c>
      <c r="AD29" s="8" t="b">
        <v>1</v>
      </c>
      <c r="AE29" s="22">
        <f t="shared" si="7"/>
        <v>1</v>
      </c>
      <c r="AF29" s="19">
        <f>IF(ISBLANK(AB29), 0, VLOOKUP(AB29, 'Price Sheet'!$A$2:$B1015, 2, false))</f>
        <v>12</v>
      </c>
      <c r="AG29" s="33">
        <f t="shared" si="8"/>
        <v>12</v>
      </c>
      <c r="AH29" s="32"/>
      <c r="AI29" s="8"/>
      <c r="AJ29" s="8" t="b">
        <v>1</v>
      </c>
      <c r="AK29" s="22" t="str">
        <f t="shared" si="9"/>
        <v/>
      </c>
      <c r="AL29" s="7">
        <f>IF(ISBLANK(AH29), 0, VLOOKUP(AH29, 'Price Sheet'!$A$2:$B1015, 2, false))</f>
        <v>0</v>
      </c>
      <c r="AM29" s="33" t="str">
        <f t="shared" si="10"/>
        <v/>
      </c>
      <c r="AN29" s="37"/>
      <c r="AO29" s="29"/>
      <c r="AP29" s="29" t="b">
        <v>0</v>
      </c>
      <c r="AQ29" s="22" t="str">
        <f t="shared" si="11"/>
        <v/>
      </c>
      <c r="AR29" s="7">
        <f>IF(ISBLANK(AN29), 0, VLOOKUP(AN29, 'Price Sheet'!$A$2:$B1015, 2, false))</f>
        <v>0</v>
      </c>
      <c r="AS29" s="33" t="str">
        <f t="shared" si="12"/>
        <v/>
      </c>
      <c r="AT29" s="37"/>
      <c r="AU29" s="29"/>
      <c r="AV29" s="29" t="b">
        <v>0</v>
      </c>
      <c r="AW29" s="22" t="str">
        <f t="shared" si="13"/>
        <v/>
      </c>
      <c r="AX29" s="7">
        <f>IF(ISBLANK(AT29), 0, VLOOKUP(AT29, 'Price Sheet'!$A$2:$B1015, 2, false))</f>
        <v>0</v>
      </c>
      <c r="AY29" s="33" t="str">
        <f t="shared" si="14"/>
        <v/>
      </c>
      <c r="AZ29" s="37"/>
      <c r="BA29" s="29"/>
      <c r="BB29" s="29" t="b">
        <v>0</v>
      </c>
      <c r="BC29" s="22" t="str">
        <f t="shared" si="15"/>
        <v/>
      </c>
      <c r="BD29" s="7">
        <f>IF(ISBLANK(AZ29), 0, VLOOKUP(AZ29, 'Price Sheet'!$A$2:$B1015, 2, false))</f>
        <v>0</v>
      </c>
      <c r="BE29" s="33" t="str">
        <f t="shared" si="16"/>
        <v/>
      </c>
      <c r="BF29" s="37"/>
      <c r="BG29" s="29"/>
      <c r="BH29" s="29" t="b">
        <v>0</v>
      </c>
      <c r="BI29" s="22" t="str">
        <f t="shared" si="17"/>
        <v/>
      </c>
      <c r="BJ29" s="7">
        <f>IF(ISBLANK(BF29), 0, VLOOKUP(BF29, 'Price Sheet'!$A$2:$B1015, 2, false))</f>
        <v>0</v>
      </c>
      <c r="BK29" s="33" t="str">
        <f t="shared" si="18"/>
        <v/>
      </c>
      <c r="BL29" s="37"/>
      <c r="BM29" s="29"/>
      <c r="BN29" s="29" t="b">
        <v>0</v>
      </c>
      <c r="BO29" s="22" t="str">
        <f t="shared" si="19"/>
        <v/>
      </c>
      <c r="BP29" s="7">
        <f>IF(ISBLANK(BL29), 0, VLOOKUP(BL29, 'Price Sheet'!$A$2:$B1015, 2, false))</f>
        <v>0</v>
      </c>
      <c r="BQ29" s="33" t="str">
        <f t="shared" si="20"/>
        <v/>
      </c>
    </row>
    <row r="30">
      <c r="A30" s="7" t="s">
        <v>80</v>
      </c>
      <c r="B30" s="19">
        <f t="shared" si="1"/>
        <v>127</v>
      </c>
      <c r="C30" s="8" t="s">
        <v>212</v>
      </c>
      <c r="D30" s="8" t="s">
        <v>247</v>
      </c>
      <c r="E30" s="7" t="str">
        <f>IF(ISBLANK(D30), "", VLOOKUP(D30,'Crafting Tables'!$A$2:$B1015, 2, false))</f>
        <v>None</v>
      </c>
      <c r="F30" s="7">
        <f>IFERROR(IF(E30 = "None", 1, VLOOKUP(C30,General!$A$5:$L$35, SWITCH(E30, "Basic", 8, "Advanced", 10, "Modern", 12), false)),"")</f>
        <v>1</v>
      </c>
      <c r="G30" s="8">
        <v>200.0</v>
      </c>
      <c r="H30" s="7">
        <f>IFERROR(VLOOKUP(C30, General!$A$5:$L$35, 6, false) * G30 / 1000, 0)</f>
        <v>8</v>
      </c>
      <c r="I30" s="8">
        <v>240.0</v>
      </c>
      <c r="J30" s="22">
        <f>IFERROR(I30*VLOOKUP(D30,'Crafting Tables'!$1:$1000, 4, false)*F30,"")</f>
        <v>0</v>
      </c>
      <c r="K30" s="8" t="b">
        <v>1</v>
      </c>
      <c r="L30" s="8" t="s">
        <v>80</v>
      </c>
      <c r="M30" s="8">
        <v>1.0</v>
      </c>
      <c r="N30" s="21">
        <f t="shared" si="2"/>
        <v>127</v>
      </c>
      <c r="P30" s="32" t="s">
        <v>32</v>
      </c>
      <c r="Q30" s="8">
        <v>1.0</v>
      </c>
      <c r="R30" s="8" t="b">
        <v>1</v>
      </c>
      <c r="S30" s="22">
        <f t="shared" si="3"/>
        <v>1</v>
      </c>
      <c r="T30" s="19">
        <f>IF(ISBLANK(P30), 0, VLOOKUP(P30, 'Price Sheet'!$A$2:$B1015, 2, false))</f>
        <v>69</v>
      </c>
      <c r="U30" s="33">
        <f t="shared" si="4"/>
        <v>69</v>
      </c>
      <c r="V30" s="32" t="s">
        <v>183</v>
      </c>
      <c r="W30" s="8">
        <v>1.0</v>
      </c>
      <c r="X30" s="8" t="b">
        <v>1</v>
      </c>
      <c r="Y30" s="22">
        <f t="shared" si="5"/>
        <v>1</v>
      </c>
      <c r="Z30" s="19">
        <f>IF(ISBLANK(V30), 0, VLOOKUP(V30, 'Price Sheet'!$A$2:$B1015, 2, false))</f>
        <v>25</v>
      </c>
      <c r="AA30" s="33">
        <f t="shared" si="6"/>
        <v>25</v>
      </c>
      <c r="AB30" s="32" t="s">
        <v>225</v>
      </c>
      <c r="AC30" s="8">
        <v>1.0</v>
      </c>
      <c r="AD30" s="8" t="b">
        <v>1</v>
      </c>
      <c r="AE30" s="22">
        <f t="shared" si="7"/>
        <v>1</v>
      </c>
      <c r="AF30" s="19">
        <f>IF(ISBLANK(AB30), 0, VLOOKUP(AB30, 'Price Sheet'!$A$2:$B1015, 2, false))</f>
        <v>5</v>
      </c>
      <c r="AG30" s="33">
        <f t="shared" si="8"/>
        <v>5</v>
      </c>
      <c r="AH30" s="32" t="s">
        <v>102</v>
      </c>
      <c r="AI30" s="8">
        <v>4.0</v>
      </c>
      <c r="AJ30" s="8" t="b">
        <v>1</v>
      </c>
      <c r="AK30" s="22">
        <f t="shared" si="9"/>
        <v>4</v>
      </c>
      <c r="AL30" s="19">
        <f>IF(ISBLANK(AH30), 0, VLOOKUP(AH30, 'Price Sheet'!$A$2:$B1015, 2, false))</f>
        <v>5</v>
      </c>
      <c r="AM30" s="33">
        <f t="shared" si="10"/>
        <v>20</v>
      </c>
      <c r="AN30" s="32" t="s">
        <v>164</v>
      </c>
      <c r="AO30" s="29"/>
      <c r="AP30" s="8" t="b">
        <v>1</v>
      </c>
      <c r="AQ30" s="22" t="str">
        <f t="shared" si="11"/>
        <v/>
      </c>
      <c r="AR30" s="19">
        <f>IF(ISBLANK(AN30), 0, VLOOKUP(AN30, 'Price Sheet'!$A$2:$B1015, 2, false))</f>
        <v>25.95</v>
      </c>
      <c r="AS30" s="33" t="str">
        <f t="shared" si="12"/>
        <v/>
      </c>
      <c r="AT30" s="37"/>
      <c r="AU30" s="29"/>
      <c r="AV30" s="29" t="b">
        <v>0</v>
      </c>
      <c r="AW30" s="22" t="str">
        <f t="shared" si="13"/>
        <v/>
      </c>
      <c r="AX30" s="7">
        <f>IF(ISBLANK(AT30), 0, VLOOKUP(AT30, 'Price Sheet'!$A$2:$B1015, 2, false))</f>
        <v>0</v>
      </c>
      <c r="AY30" s="33" t="str">
        <f t="shared" si="14"/>
        <v/>
      </c>
      <c r="AZ30" s="37"/>
      <c r="BA30" s="29"/>
      <c r="BB30" s="29" t="b">
        <v>0</v>
      </c>
      <c r="BC30" s="22" t="str">
        <f t="shared" si="15"/>
        <v/>
      </c>
      <c r="BD30" s="7">
        <f>IF(ISBLANK(AZ30), 0, VLOOKUP(AZ30, 'Price Sheet'!$A$2:$B1015, 2, false))</f>
        <v>0</v>
      </c>
      <c r="BE30" s="33" t="str">
        <f t="shared" si="16"/>
        <v/>
      </c>
      <c r="BF30" s="37"/>
      <c r="BG30" s="29"/>
      <c r="BH30" s="29" t="b">
        <v>0</v>
      </c>
      <c r="BI30" s="22" t="str">
        <f t="shared" si="17"/>
        <v/>
      </c>
      <c r="BJ30" s="7">
        <f>IF(ISBLANK(BF30), 0, VLOOKUP(BF30, 'Price Sheet'!$A$2:$B1015, 2, false))</f>
        <v>0</v>
      </c>
      <c r="BK30" s="33" t="str">
        <f t="shared" si="18"/>
        <v/>
      </c>
      <c r="BL30" s="37"/>
      <c r="BM30" s="29"/>
      <c r="BN30" s="29" t="b">
        <v>0</v>
      </c>
      <c r="BO30" s="22" t="str">
        <f t="shared" si="19"/>
        <v/>
      </c>
      <c r="BP30" s="7">
        <f>IF(ISBLANK(BL30), 0, VLOOKUP(BL30, 'Price Sheet'!$A$2:$B1015, 2, false))</f>
        <v>0</v>
      </c>
      <c r="BQ30" s="33" t="str">
        <f t="shared" si="20"/>
        <v/>
      </c>
    </row>
    <row r="31">
      <c r="A31" s="7" t="s">
        <v>85</v>
      </c>
      <c r="B31" s="19">
        <f t="shared" si="1"/>
        <v>465</v>
      </c>
      <c r="C31" s="8" t="s">
        <v>212</v>
      </c>
      <c r="D31" s="8" t="s">
        <v>247</v>
      </c>
      <c r="E31" s="7" t="str">
        <f>IF(ISBLANK(D31), "", VLOOKUP(D31,'Crafting Tables'!$A$2:$B1015, 2, false))</f>
        <v>None</v>
      </c>
      <c r="F31" s="7">
        <f>IFERROR(IF(E31 = "None", 1, VLOOKUP(C31,General!$A$5:$L$35, SWITCH(E31, "Basic", 8, "Advanced", 10, "Modern", 12), false)),"")</f>
        <v>1</v>
      </c>
      <c r="G31" s="8">
        <v>200.0</v>
      </c>
      <c r="H31" s="7">
        <f>IFERROR(VLOOKUP(C31, General!$A$5:$L$35, 6, false) * G31 / 1000, 0)</f>
        <v>8</v>
      </c>
      <c r="I31" s="8">
        <v>360.0</v>
      </c>
      <c r="J31" s="22">
        <f>IFERROR(I31*VLOOKUP(D31,'Crafting Tables'!$1:$1000, 4, false)*F31,"")</f>
        <v>0</v>
      </c>
      <c r="K31" s="8" t="b">
        <v>1</v>
      </c>
      <c r="L31" s="8" t="s">
        <v>85</v>
      </c>
      <c r="M31" s="8">
        <v>1.0</v>
      </c>
      <c r="N31" s="21">
        <f t="shared" si="2"/>
        <v>465</v>
      </c>
      <c r="P31" s="32" t="s">
        <v>80</v>
      </c>
      <c r="Q31" s="8">
        <v>1.0</v>
      </c>
      <c r="R31" s="8" t="b">
        <v>1</v>
      </c>
      <c r="S31" s="22">
        <f t="shared" si="3"/>
        <v>1</v>
      </c>
      <c r="T31" s="19">
        <f>IF(ISBLANK(P31), 0, VLOOKUP(P31, 'Price Sheet'!$A$2:$B1015, 2, false))</f>
        <v>127</v>
      </c>
      <c r="U31" s="33">
        <f t="shared" si="4"/>
        <v>127</v>
      </c>
      <c r="V31" s="32" t="s">
        <v>227</v>
      </c>
      <c r="W31" s="8">
        <v>1.0</v>
      </c>
      <c r="X31" s="8" t="b">
        <v>1</v>
      </c>
      <c r="Y31" s="22">
        <f t="shared" si="5"/>
        <v>1</v>
      </c>
      <c r="Z31" s="19">
        <f>IF(ISBLANK(V31), 0, VLOOKUP(V31, 'Price Sheet'!$A$2:$B1015, 2, false))</f>
        <v>250</v>
      </c>
      <c r="AA31" s="33">
        <f t="shared" si="6"/>
        <v>250</v>
      </c>
      <c r="AB31" s="32" t="s">
        <v>230</v>
      </c>
      <c r="AC31" s="8">
        <v>1.0</v>
      </c>
      <c r="AD31" s="8" t="b">
        <v>1</v>
      </c>
      <c r="AE31" s="22">
        <f t="shared" si="7"/>
        <v>1</v>
      </c>
      <c r="AF31" s="19">
        <f>IF(ISBLANK(AB31), 0, VLOOKUP(AB31, 'Price Sheet'!$A$2:$B1015, 2, false))</f>
        <v>30</v>
      </c>
      <c r="AG31" s="33">
        <f t="shared" si="8"/>
        <v>30</v>
      </c>
      <c r="AH31" s="32" t="s">
        <v>231</v>
      </c>
      <c r="AI31" s="8">
        <v>1.0</v>
      </c>
      <c r="AJ31" s="8" t="b">
        <v>1</v>
      </c>
      <c r="AK31" s="22">
        <f t="shared" si="9"/>
        <v>1</v>
      </c>
      <c r="AL31" s="19">
        <f>IF(ISBLANK(AH31), 0, VLOOKUP(AH31, 'Price Sheet'!$A$2:$B1015, 2, false))</f>
        <v>50</v>
      </c>
      <c r="AM31" s="33">
        <f t="shared" si="10"/>
        <v>50</v>
      </c>
      <c r="AN31" s="32"/>
      <c r="AO31" s="29"/>
      <c r="AP31" s="8" t="b">
        <v>0</v>
      </c>
      <c r="AQ31" s="22" t="str">
        <f t="shared" si="11"/>
        <v/>
      </c>
      <c r="AR31" s="7">
        <f>IF(ISBLANK(AN31), 0, VLOOKUP(AN31, 'Price Sheet'!$A$2:$B1015, 2, false))</f>
        <v>0</v>
      </c>
      <c r="AS31" s="33" t="str">
        <f t="shared" si="12"/>
        <v/>
      </c>
      <c r="AT31" s="37"/>
      <c r="AU31" s="29"/>
      <c r="AV31" s="29" t="b">
        <v>0</v>
      </c>
      <c r="AW31" s="22" t="str">
        <f t="shared" si="13"/>
        <v/>
      </c>
      <c r="AX31" s="7">
        <f>IF(ISBLANK(AT31), 0, VLOOKUP(AT31, 'Price Sheet'!$A$2:$B1015, 2, false))</f>
        <v>0</v>
      </c>
      <c r="AY31" s="33" t="str">
        <f t="shared" si="14"/>
        <v/>
      </c>
      <c r="AZ31" s="37"/>
      <c r="BA31" s="29"/>
      <c r="BB31" s="29" t="b">
        <v>0</v>
      </c>
      <c r="BC31" s="22" t="str">
        <f t="shared" si="15"/>
        <v/>
      </c>
      <c r="BD31" s="7">
        <f>IF(ISBLANK(AZ31), 0, VLOOKUP(AZ31, 'Price Sheet'!$A$2:$B1015, 2, false))</f>
        <v>0</v>
      </c>
      <c r="BE31" s="33" t="str">
        <f t="shared" si="16"/>
        <v/>
      </c>
      <c r="BF31" s="37"/>
      <c r="BG31" s="29"/>
      <c r="BH31" s="29" t="b">
        <v>0</v>
      </c>
      <c r="BI31" s="22" t="str">
        <f t="shared" si="17"/>
        <v/>
      </c>
      <c r="BJ31" s="7">
        <f>IF(ISBLANK(BF31), 0, VLOOKUP(BF31, 'Price Sheet'!$A$2:$B1015, 2, false))</f>
        <v>0</v>
      </c>
      <c r="BK31" s="33" t="str">
        <f t="shared" si="18"/>
        <v/>
      </c>
      <c r="BL31" s="37"/>
      <c r="BM31" s="29"/>
      <c r="BN31" s="29" t="b">
        <v>0</v>
      </c>
      <c r="BO31" s="22" t="str">
        <f t="shared" si="19"/>
        <v/>
      </c>
      <c r="BP31" s="7">
        <f>IF(ISBLANK(BL31), 0, VLOOKUP(BL31, 'Price Sheet'!$A$2:$B1015, 2, false))</f>
        <v>0</v>
      </c>
      <c r="BQ31" s="33" t="str">
        <f t="shared" si="20"/>
        <v/>
      </c>
    </row>
    <row r="32">
      <c r="A32" s="7" t="s">
        <v>89</v>
      </c>
      <c r="B32" s="19">
        <f t="shared" si="1"/>
        <v>655.55</v>
      </c>
      <c r="C32" s="8" t="s">
        <v>212</v>
      </c>
      <c r="D32" s="8" t="s">
        <v>247</v>
      </c>
      <c r="E32" s="7" t="str">
        <f>IF(ISBLANK(D32), "", VLOOKUP(D32,'Crafting Tables'!$A$2:$B1015, 2, false))</f>
        <v>None</v>
      </c>
      <c r="F32" s="7">
        <f>IFERROR(IF(E32 = "None", 1, VLOOKUP(C32,General!$A$5:$L$35, SWITCH(E32, "Basic", 8, "Advanced", 10, "Modern", 12), false)),"")</f>
        <v>1</v>
      </c>
      <c r="G32" s="8">
        <v>200.0</v>
      </c>
      <c r="H32" s="7">
        <f>IFERROR(VLOOKUP(C32, General!$A$5:$L$35, 6, false) * G32 / 1000, 0)</f>
        <v>8</v>
      </c>
      <c r="I32" s="29">
        <f>8*60</f>
        <v>480</v>
      </c>
      <c r="J32" s="22">
        <f>IFERROR(I32*VLOOKUP(D32,'Crafting Tables'!$1:$1000, 4, false)*F32,"")</f>
        <v>0</v>
      </c>
      <c r="K32" s="8" t="b">
        <v>1</v>
      </c>
      <c r="L32" s="32" t="s">
        <v>89</v>
      </c>
      <c r="M32" s="8">
        <v>1.0</v>
      </c>
      <c r="N32" s="21">
        <f t="shared" si="2"/>
        <v>655.55</v>
      </c>
      <c r="P32" s="32" t="s">
        <v>85</v>
      </c>
      <c r="Q32" s="8">
        <v>1.0</v>
      </c>
      <c r="R32" s="8" t="b">
        <v>1</v>
      </c>
      <c r="S32" s="22">
        <f t="shared" si="3"/>
        <v>1</v>
      </c>
      <c r="T32" s="19">
        <f>IF(ISBLANK(P32), 0, VLOOKUP(P32, 'Price Sheet'!$A$2:$B1015, 2, false))</f>
        <v>465</v>
      </c>
      <c r="U32" s="33">
        <f t="shared" si="4"/>
        <v>465</v>
      </c>
      <c r="V32" s="32" t="s">
        <v>164</v>
      </c>
      <c r="W32" s="8">
        <v>1.0</v>
      </c>
      <c r="X32" s="8" t="b">
        <v>1</v>
      </c>
      <c r="Y32" s="22">
        <f t="shared" si="5"/>
        <v>1</v>
      </c>
      <c r="Z32" s="19">
        <f>IF(ISBLANK(V32), 0, VLOOKUP(V32, 'Price Sheet'!$A$2:$B1015, 2, false))</f>
        <v>25.95</v>
      </c>
      <c r="AA32" s="33">
        <f t="shared" si="6"/>
        <v>25.95</v>
      </c>
      <c r="AB32" s="32" t="s">
        <v>240</v>
      </c>
      <c r="AC32" s="8">
        <v>1.0</v>
      </c>
      <c r="AD32" s="8" t="b">
        <v>1</v>
      </c>
      <c r="AE32" s="22">
        <f t="shared" si="7"/>
        <v>1</v>
      </c>
      <c r="AF32" s="19">
        <f>IF(ISBLANK(AB32), 0, VLOOKUP(AB32, 'Price Sheet'!$A$2:$B1015, 2, false))</f>
        <v>132.6</v>
      </c>
      <c r="AG32" s="33">
        <f t="shared" si="8"/>
        <v>132.6</v>
      </c>
      <c r="AH32" s="32" t="s">
        <v>188</v>
      </c>
      <c r="AI32" s="8">
        <v>3.0</v>
      </c>
      <c r="AJ32" s="8" t="b">
        <v>1</v>
      </c>
      <c r="AK32" s="22">
        <f t="shared" si="9"/>
        <v>3</v>
      </c>
      <c r="AL32" s="19">
        <f>IF(ISBLANK(AH32), 0, VLOOKUP(AH32, 'Price Sheet'!$A$2:$B1015, 2, false))</f>
        <v>8</v>
      </c>
      <c r="AM32" s="33">
        <f t="shared" si="10"/>
        <v>24</v>
      </c>
      <c r="AN32" s="37"/>
      <c r="AO32" s="29"/>
      <c r="AP32" s="29" t="b">
        <v>0</v>
      </c>
      <c r="AQ32" s="22" t="str">
        <f t="shared" si="11"/>
        <v/>
      </c>
      <c r="AR32" s="7">
        <f>IF(ISBLANK(AN32), 0, VLOOKUP(AN32, 'Price Sheet'!$A$2:$B1015, 2, false))</f>
        <v>0</v>
      </c>
      <c r="AS32" s="33" t="str">
        <f t="shared" si="12"/>
        <v/>
      </c>
      <c r="AT32" s="37"/>
      <c r="AU32" s="29"/>
      <c r="AV32" s="29" t="b">
        <v>0</v>
      </c>
      <c r="AW32" s="22" t="str">
        <f t="shared" si="13"/>
        <v/>
      </c>
      <c r="AX32" s="7">
        <f>IF(ISBLANK(AT32), 0, VLOOKUP(AT32, 'Price Sheet'!$A$2:$B1015, 2, false))</f>
        <v>0</v>
      </c>
      <c r="AY32" s="33" t="str">
        <f t="shared" si="14"/>
        <v/>
      </c>
      <c r="AZ32" s="37"/>
      <c r="BA32" s="29"/>
      <c r="BB32" s="29" t="b">
        <v>0</v>
      </c>
      <c r="BC32" s="22" t="str">
        <f t="shared" si="15"/>
        <v/>
      </c>
      <c r="BD32" s="7">
        <f>IF(ISBLANK(AZ32), 0, VLOOKUP(AZ32, 'Price Sheet'!$A$2:$B1015, 2, false))</f>
        <v>0</v>
      </c>
      <c r="BE32" s="33" t="str">
        <f t="shared" si="16"/>
        <v/>
      </c>
      <c r="BF32" s="37"/>
      <c r="BG32" s="29"/>
      <c r="BH32" s="29" t="b">
        <v>0</v>
      </c>
      <c r="BI32" s="22" t="str">
        <f t="shared" si="17"/>
        <v/>
      </c>
      <c r="BJ32" s="7">
        <f>IF(ISBLANK(BF32), 0, VLOOKUP(BF32, 'Price Sheet'!$A$2:$B1015, 2, false))</f>
        <v>0</v>
      </c>
      <c r="BK32" s="33" t="str">
        <f t="shared" si="18"/>
        <v/>
      </c>
      <c r="BL32" s="37"/>
      <c r="BM32" s="29"/>
      <c r="BN32" s="29" t="b">
        <v>0</v>
      </c>
      <c r="BO32" s="22" t="str">
        <f t="shared" si="19"/>
        <v/>
      </c>
      <c r="BP32" s="7">
        <f>IF(ISBLANK(BL32), 0, VLOOKUP(BL32, 'Price Sheet'!$A$2:$B1015, 2, false))</f>
        <v>0</v>
      </c>
      <c r="BQ32" s="33" t="str">
        <f t="shared" si="20"/>
        <v/>
      </c>
    </row>
    <row r="33">
      <c r="A33" s="7" t="s">
        <v>121</v>
      </c>
      <c r="B33" s="19">
        <f t="shared" si="1"/>
        <v>4.635</v>
      </c>
      <c r="C33" s="8" t="s">
        <v>82</v>
      </c>
      <c r="D33" s="8" t="s">
        <v>289</v>
      </c>
      <c r="E33" s="7" t="str">
        <f>IF(ISBLANK(D33), "", VLOOKUP(D33,'Crafting Tables'!$A$2:$B1015, 2, false))</f>
        <v>Advanced</v>
      </c>
      <c r="F33" s="7">
        <f>IFERROR(IF(E33 = "None", 1, VLOOKUP(C33,General!$A$5:$L$35, SWITCH(E33, "Basic", 8, "Advanced", 10, "Modern", 12), false)),"")</f>
        <v>1</v>
      </c>
      <c r="G33" s="8">
        <v>25.0</v>
      </c>
      <c r="H33" s="7">
        <f>IFERROR(VLOOKUP(C33, General!$A$5:$L$35, 6, false) * G33 / 1000, 0)</f>
        <v>1</v>
      </c>
      <c r="I33" s="8">
        <v>72.0</v>
      </c>
      <c r="J33" s="22">
        <f>IFERROR(I33*VLOOKUP(D33,'Crafting Tables'!$1:$1000, 4, false)*F33,"")</f>
        <v>0.135</v>
      </c>
      <c r="K33" s="8" t="b">
        <v>1</v>
      </c>
      <c r="L33" s="8" t="s">
        <v>121</v>
      </c>
      <c r="M33" s="8">
        <v>2.0</v>
      </c>
      <c r="N33" s="21">
        <f t="shared" si="2"/>
        <v>2.3175</v>
      </c>
      <c r="P33" s="32" t="s">
        <v>23</v>
      </c>
      <c r="Q33" s="8">
        <v>7.0</v>
      </c>
      <c r="R33" s="29" t="b">
        <v>0</v>
      </c>
      <c r="S33" s="22">
        <f t="shared" si="3"/>
        <v>7</v>
      </c>
      <c r="T33" s="19">
        <f>IF(ISBLANK(P33), 0, VLOOKUP(P33, 'Price Sheet'!$A$2:$B1015, 2, false))</f>
        <v>0.5</v>
      </c>
      <c r="U33" s="33">
        <f t="shared" si="4"/>
        <v>3.5</v>
      </c>
      <c r="V33" s="37"/>
      <c r="W33" s="29"/>
      <c r="X33" s="29" t="b">
        <v>0</v>
      </c>
      <c r="Y33" s="22" t="str">
        <f t="shared" si="5"/>
        <v/>
      </c>
      <c r="Z33" s="7">
        <f>IF(ISBLANK(V33), 0, VLOOKUP(V33, 'Price Sheet'!$A$2:$B1015, 2, false))</f>
        <v>0</v>
      </c>
      <c r="AA33" s="33" t="str">
        <f t="shared" si="6"/>
        <v/>
      </c>
      <c r="AB33" s="37"/>
      <c r="AC33" s="29"/>
      <c r="AD33" s="29" t="b">
        <v>0</v>
      </c>
      <c r="AE33" s="22" t="str">
        <f t="shared" si="7"/>
        <v/>
      </c>
      <c r="AF33" s="7">
        <f>IF(ISBLANK(AB33), 0, VLOOKUP(AB33, 'Price Sheet'!$A$2:$B1015, 2, false))</f>
        <v>0</v>
      </c>
      <c r="AG33" s="33" t="str">
        <f t="shared" si="8"/>
        <v/>
      </c>
      <c r="AH33" s="37"/>
      <c r="AI33" s="29"/>
      <c r="AJ33" s="29" t="b">
        <v>0</v>
      </c>
      <c r="AK33" s="22" t="str">
        <f t="shared" si="9"/>
        <v/>
      </c>
      <c r="AL33" s="7">
        <f>IF(ISBLANK(AH33), 0, VLOOKUP(AH33, 'Price Sheet'!$A$2:$B1015, 2, false))</f>
        <v>0</v>
      </c>
      <c r="AM33" s="33" t="str">
        <f t="shared" si="10"/>
        <v/>
      </c>
      <c r="AN33" s="37"/>
      <c r="AO33" s="29"/>
      <c r="AP33" s="29" t="b">
        <v>0</v>
      </c>
      <c r="AQ33" s="22" t="str">
        <f t="shared" si="11"/>
        <v/>
      </c>
      <c r="AR33" s="7">
        <f>IF(ISBLANK(AN33), 0, VLOOKUP(AN33, 'Price Sheet'!$A$2:$B1015, 2, false))</f>
        <v>0</v>
      </c>
      <c r="AS33" s="33" t="str">
        <f t="shared" si="12"/>
        <v/>
      </c>
      <c r="AT33" s="37"/>
      <c r="AU33" s="29"/>
      <c r="AV33" s="29" t="b">
        <v>0</v>
      </c>
      <c r="AW33" s="22" t="str">
        <f t="shared" si="13"/>
        <v/>
      </c>
      <c r="AX33" s="7">
        <f>IF(ISBLANK(AT33), 0, VLOOKUP(AT33, 'Price Sheet'!$A$2:$B1015, 2, false))</f>
        <v>0</v>
      </c>
      <c r="AY33" s="33" t="str">
        <f t="shared" si="14"/>
        <v/>
      </c>
      <c r="AZ33" s="37"/>
      <c r="BA33" s="29"/>
      <c r="BB33" s="29" t="b">
        <v>0</v>
      </c>
      <c r="BC33" s="22" t="str">
        <f t="shared" si="15"/>
        <v/>
      </c>
      <c r="BD33" s="7">
        <f>IF(ISBLANK(AZ33), 0, VLOOKUP(AZ33, 'Price Sheet'!$A$2:$B1015, 2, false))</f>
        <v>0</v>
      </c>
      <c r="BE33" s="33" t="str">
        <f t="shared" si="16"/>
        <v/>
      </c>
      <c r="BF33" s="37"/>
      <c r="BG33" s="29"/>
      <c r="BH33" s="29" t="b">
        <v>0</v>
      </c>
      <c r="BI33" s="22" t="str">
        <f t="shared" si="17"/>
        <v/>
      </c>
      <c r="BJ33" s="7">
        <f>IF(ISBLANK(BF33), 0, VLOOKUP(BF33, 'Price Sheet'!$A$2:$B1015, 2, false))</f>
        <v>0</v>
      </c>
      <c r="BK33" s="33" t="str">
        <f t="shared" si="18"/>
        <v/>
      </c>
      <c r="BL33" s="37"/>
      <c r="BM33" s="29"/>
      <c r="BN33" s="29" t="b">
        <v>0</v>
      </c>
      <c r="BO33" s="22" t="str">
        <f t="shared" si="19"/>
        <v/>
      </c>
      <c r="BP33" s="7">
        <f>IF(ISBLANK(BL33), 0, VLOOKUP(BL33, 'Price Sheet'!$A$2:$B1015, 2, false))</f>
        <v>0</v>
      </c>
      <c r="BQ33" s="33" t="str">
        <f t="shared" si="20"/>
        <v/>
      </c>
    </row>
    <row r="34">
      <c r="A34" s="7" t="s">
        <v>123</v>
      </c>
      <c r="B34" s="19">
        <f t="shared" si="1"/>
        <v>14.80625</v>
      </c>
      <c r="C34" s="8" t="s">
        <v>134</v>
      </c>
      <c r="D34" s="8" t="s">
        <v>289</v>
      </c>
      <c r="E34" s="7" t="str">
        <f>IF(ISBLANK(D34), "", VLOOKUP(D34,'Crafting Tables'!$A$2:$B1015, 2, false))</f>
        <v>Advanced</v>
      </c>
      <c r="F34" s="7">
        <f>IFERROR(IF(E34 = "None", 1, VLOOKUP(C34,General!$A$5:$L$35, SWITCH(E34, "Basic", 8, "Advanced", 10, "Modern", 12), false)),"")</f>
        <v>1</v>
      </c>
      <c r="G34" s="8">
        <v>100.0</v>
      </c>
      <c r="H34" s="7">
        <f>IFERROR(VLOOKUP(C34, General!$A$5:$L$35, 6, false) * G34 / 1000, 0)</f>
        <v>4</v>
      </c>
      <c r="I34" s="8">
        <v>30.0</v>
      </c>
      <c r="J34" s="22">
        <f>IFERROR(I34*VLOOKUP(D34,'Crafting Tables'!$1:$1000, 4, false)*F34,"")</f>
        <v>0.05625</v>
      </c>
      <c r="K34" s="8" t="b">
        <v>1</v>
      </c>
      <c r="L34" s="32" t="s">
        <v>123</v>
      </c>
      <c r="M34" s="8">
        <v>4.0</v>
      </c>
      <c r="N34" s="21">
        <f t="shared" si="2"/>
        <v>3.7015625</v>
      </c>
      <c r="P34" s="32" t="s">
        <v>75</v>
      </c>
      <c r="Q34" s="8">
        <v>3.0</v>
      </c>
      <c r="R34" s="29" t="b">
        <v>0</v>
      </c>
      <c r="S34" s="22">
        <f t="shared" si="3"/>
        <v>3</v>
      </c>
      <c r="T34" s="19">
        <f>IF(ISBLANK(P34), 0, VLOOKUP(P34, 'Price Sheet'!$A$2:$B1015, 2, false))</f>
        <v>0.25</v>
      </c>
      <c r="U34" s="33">
        <f t="shared" si="4"/>
        <v>0.75</v>
      </c>
      <c r="V34" s="32" t="s">
        <v>79</v>
      </c>
      <c r="W34" s="8">
        <v>12.0</v>
      </c>
      <c r="X34" s="29" t="b">
        <v>0</v>
      </c>
      <c r="Y34" s="22">
        <f t="shared" si="5"/>
        <v>12</v>
      </c>
      <c r="Z34" s="19">
        <f>IF(ISBLANK(V34), 0, VLOOKUP(V34, 'Price Sheet'!$A$2:$B1015, 2, false))</f>
        <v>0.5</v>
      </c>
      <c r="AA34" s="33">
        <f t="shared" si="6"/>
        <v>6</v>
      </c>
      <c r="AB34" s="32" t="s">
        <v>96</v>
      </c>
      <c r="AC34" s="8">
        <v>4.0</v>
      </c>
      <c r="AD34" s="29" t="b">
        <v>0</v>
      </c>
      <c r="AE34" s="22">
        <f t="shared" si="7"/>
        <v>4</v>
      </c>
      <c r="AF34" s="19">
        <f>IF(ISBLANK(AB34), 0, VLOOKUP(AB34, 'Price Sheet'!$A$2:$B1015, 2, false))</f>
        <v>1</v>
      </c>
      <c r="AG34" s="33">
        <f t="shared" si="8"/>
        <v>4</v>
      </c>
      <c r="AH34" s="37"/>
      <c r="AI34" s="29"/>
      <c r="AJ34" s="29" t="b">
        <v>0</v>
      </c>
      <c r="AK34" s="22" t="str">
        <f t="shared" si="9"/>
        <v/>
      </c>
      <c r="AL34" s="7">
        <f>IF(ISBLANK(AH34), 0, VLOOKUP(AH34, 'Price Sheet'!$A$2:$B1015, 2, false))</f>
        <v>0</v>
      </c>
      <c r="AM34" s="33" t="str">
        <f t="shared" si="10"/>
        <v/>
      </c>
      <c r="AN34" s="37"/>
      <c r="AO34" s="29"/>
      <c r="AP34" s="29" t="b">
        <v>0</v>
      </c>
      <c r="AQ34" s="22" t="str">
        <f t="shared" si="11"/>
        <v/>
      </c>
      <c r="AR34" s="7">
        <f>IF(ISBLANK(AN34), 0, VLOOKUP(AN34, 'Price Sheet'!$A$2:$B1015, 2, false))</f>
        <v>0</v>
      </c>
      <c r="AS34" s="33" t="str">
        <f t="shared" si="12"/>
        <v/>
      </c>
      <c r="AT34" s="37"/>
      <c r="AU34" s="29"/>
      <c r="AV34" s="29" t="b">
        <v>0</v>
      </c>
      <c r="AW34" s="22" t="str">
        <f t="shared" si="13"/>
        <v/>
      </c>
      <c r="AX34" s="7">
        <f>IF(ISBLANK(AT34), 0, VLOOKUP(AT34, 'Price Sheet'!$A$2:$B1015, 2, false))</f>
        <v>0</v>
      </c>
      <c r="AY34" s="33" t="str">
        <f t="shared" si="14"/>
        <v/>
      </c>
      <c r="AZ34" s="37"/>
      <c r="BA34" s="29"/>
      <c r="BB34" s="29" t="b">
        <v>0</v>
      </c>
      <c r="BC34" s="22" t="str">
        <f t="shared" si="15"/>
        <v/>
      </c>
      <c r="BD34" s="7">
        <f>IF(ISBLANK(AZ34), 0, VLOOKUP(AZ34, 'Price Sheet'!$A$2:$B1015, 2, false))</f>
        <v>0</v>
      </c>
      <c r="BE34" s="33" t="str">
        <f t="shared" si="16"/>
        <v/>
      </c>
      <c r="BF34" s="37"/>
      <c r="BG34" s="29"/>
      <c r="BH34" s="29" t="b">
        <v>0</v>
      </c>
      <c r="BI34" s="22" t="str">
        <f t="shared" si="17"/>
        <v/>
      </c>
      <c r="BJ34" s="7">
        <f>IF(ISBLANK(BF34), 0, VLOOKUP(BF34, 'Price Sheet'!$A$2:$B1015, 2, false))</f>
        <v>0</v>
      </c>
      <c r="BK34" s="33" t="str">
        <f t="shared" si="18"/>
        <v/>
      </c>
      <c r="BL34" s="37"/>
      <c r="BM34" s="29"/>
      <c r="BN34" s="29" t="b">
        <v>0</v>
      </c>
      <c r="BO34" s="22" t="str">
        <f t="shared" si="19"/>
        <v/>
      </c>
      <c r="BP34" s="7">
        <f>IF(ISBLANK(BL34), 0, VLOOKUP(BL34, 'Price Sheet'!$A$2:$B1015, 2, false))</f>
        <v>0</v>
      </c>
      <c r="BQ34" s="33" t="str">
        <f t="shared" si="20"/>
        <v/>
      </c>
    </row>
    <row r="35">
      <c r="A35" s="7" t="s">
        <v>471</v>
      </c>
      <c r="B35" s="19">
        <f t="shared" si="1"/>
        <v>24.0125</v>
      </c>
      <c r="C35" s="8" t="s">
        <v>134</v>
      </c>
      <c r="D35" s="8" t="s">
        <v>289</v>
      </c>
      <c r="E35" s="7" t="str">
        <f>IF(ISBLANK(D35), "", VLOOKUP(D35,'Crafting Tables'!$A$2:$B1015, 2, false))</f>
        <v>Advanced</v>
      </c>
      <c r="F35" s="7">
        <f>IFERROR(IF(E35 = "None", 1, VLOOKUP(C35,General!$A$5:$L$35, SWITCH(E35, "Basic", 8, "Advanced", 10, "Modern", 12), false)),"")</f>
        <v>1</v>
      </c>
      <c r="G35" s="8">
        <v>200.0</v>
      </c>
      <c r="H35" s="7">
        <f>IFERROR(VLOOKUP(C35, General!$A$5:$L$35, 6, false) * G35 / 1000, 0)</f>
        <v>8</v>
      </c>
      <c r="I35" s="8">
        <v>60.0</v>
      </c>
      <c r="J35" s="22">
        <f>IFERROR(I35*VLOOKUP(D35,'Crafting Tables'!$1:$1000, 4, false)*F35,"")</f>
        <v>0.1125</v>
      </c>
      <c r="K35" s="8" t="b">
        <v>1</v>
      </c>
      <c r="L35" s="32" t="s">
        <v>123</v>
      </c>
      <c r="M35" s="8">
        <v>8.0</v>
      </c>
      <c r="N35" s="21">
        <f t="shared" si="2"/>
        <v>3.0015625</v>
      </c>
      <c r="P35" s="32" t="s">
        <v>75</v>
      </c>
      <c r="Q35" s="8">
        <v>6.0</v>
      </c>
      <c r="R35" s="29" t="b">
        <v>0</v>
      </c>
      <c r="S35" s="22">
        <f t="shared" si="3"/>
        <v>6</v>
      </c>
      <c r="T35" s="19">
        <f>IF(ISBLANK(P35), 0, VLOOKUP(P35, 'Price Sheet'!$A$2:$B1015, 2, false))</f>
        <v>0.25</v>
      </c>
      <c r="U35" s="33">
        <f t="shared" si="4"/>
        <v>1.5</v>
      </c>
      <c r="V35" s="32" t="s">
        <v>79</v>
      </c>
      <c r="W35" s="8">
        <v>12.0</v>
      </c>
      <c r="X35" s="29" t="b">
        <v>0</v>
      </c>
      <c r="Y35" s="22">
        <f t="shared" si="5"/>
        <v>12</v>
      </c>
      <c r="Z35" s="19">
        <f>IF(ISBLANK(V35), 0, VLOOKUP(V35, 'Price Sheet'!$A$2:$B1015, 2, false))</f>
        <v>0.5</v>
      </c>
      <c r="AA35" s="33">
        <f t="shared" si="6"/>
        <v>6</v>
      </c>
      <c r="AB35" s="32" t="s">
        <v>96</v>
      </c>
      <c r="AC35" s="8">
        <v>8.0</v>
      </c>
      <c r="AD35" s="29" t="b">
        <v>0</v>
      </c>
      <c r="AE35" s="22">
        <f t="shared" si="7"/>
        <v>8</v>
      </c>
      <c r="AF35" s="19">
        <f>IF(ISBLANK(AB35), 0, VLOOKUP(AB35, 'Price Sheet'!$A$2:$B1015, 2, false))</f>
        <v>1</v>
      </c>
      <c r="AG35" s="33">
        <f t="shared" si="8"/>
        <v>8</v>
      </c>
      <c r="AH35" s="32" t="s">
        <v>49</v>
      </c>
      <c r="AI35" s="8">
        <v>4.0</v>
      </c>
      <c r="AJ35" s="29" t="b">
        <v>0</v>
      </c>
      <c r="AK35" s="22">
        <f t="shared" si="9"/>
        <v>4</v>
      </c>
      <c r="AL35" s="19">
        <f>IF(ISBLANK(AH35), 0, VLOOKUP(AH35, 'Price Sheet'!$A$2:$B1015, 2, false))</f>
        <v>0.1</v>
      </c>
      <c r="AM35" s="33">
        <f t="shared" si="10"/>
        <v>0.4</v>
      </c>
      <c r="AN35" s="37"/>
      <c r="AO35" s="29"/>
      <c r="AP35" s="29" t="b">
        <v>0</v>
      </c>
      <c r="AQ35" s="22" t="str">
        <f t="shared" si="11"/>
        <v/>
      </c>
      <c r="AR35" s="7">
        <f>IF(ISBLANK(AN35), 0, VLOOKUP(AN35, 'Price Sheet'!$A$2:$B1015, 2, false))</f>
        <v>0</v>
      </c>
      <c r="AS35" s="33" t="str">
        <f t="shared" si="12"/>
        <v/>
      </c>
      <c r="AT35" s="37"/>
      <c r="AU35" s="29"/>
      <c r="AV35" s="29" t="b">
        <v>0</v>
      </c>
      <c r="AW35" s="22" t="str">
        <f t="shared" si="13"/>
        <v/>
      </c>
      <c r="AX35" s="7">
        <f>IF(ISBLANK(AT35), 0, VLOOKUP(AT35, 'Price Sheet'!$A$2:$B1015, 2, false))</f>
        <v>0</v>
      </c>
      <c r="AY35" s="33" t="str">
        <f t="shared" si="14"/>
        <v/>
      </c>
      <c r="AZ35" s="37"/>
      <c r="BA35" s="29"/>
      <c r="BB35" s="29" t="b">
        <v>0</v>
      </c>
      <c r="BC35" s="22" t="str">
        <f t="shared" si="15"/>
        <v/>
      </c>
      <c r="BD35" s="7">
        <f>IF(ISBLANK(AZ35), 0, VLOOKUP(AZ35, 'Price Sheet'!$A$2:$B1015, 2, false))</f>
        <v>0</v>
      </c>
      <c r="BE35" s="33" t="str">
        <f t="shared" si="16"/>
        <v/>
      </c>
      <c r="BF35" s="37"/>
      <c r="BG35" s="29"/>
      <c r="BH35" s="29" t="b">
        <v>0</v>
      </c>
      <c r="BI35" s="22" t="str">
        <f t="shared" si="17"/>
        <v/>
      </c>
      <c r="BJ35" s="7">
        <f>IF(ISBLANK(BF35), 0, VLOOKUP(BF35, 'Price Sheet'!$A$2:$B1015, 2, false))</f>
        <v>0</v>
      </c>
      <c r="BK35" s="33" t="str">
        <f t="shared" si="18"/>
        <v/>
      </c>
      <c r="BL35" s="37"/>
      <c r="BM35" s="29"/>
      <c r="BN35" s="29" t="b">
        <v>0</v>
      </c>
      <c r="BO35" s="22" t="str">
        <f t="shared" si="19"/>
        <v/>
      </c>
      <c r="BP35" s="7">
        <f>IF(ISBLANK(BL35), 0, VLOOKUP(BL35, 'Price Sheet'!$A$2:$B1015, 2, false))</f>
        <v>0</v>
      </c>
      <c r="BQ35" s="33" t="str">
        <f t="shared" si="20"/>
        <v/>
      </c>
    </row>
    <row r="36">
      <c r="A36" s="7" t="s">
        <v>126</v>
      </c>
      <c r="B36" s="19">
        <f t="shared" si="1"/>
        <v>4.6203125</v>
      </c>
      <c r="C36" s="8" t="s">
        <v>134</v>
      </c>
      <c r="D36" s="8" t="s">
        <v>289</v>
      </c>
      <c r="E36" s="7" t="str">
        <f>IF(ISBLANK(D36), "", VLOOKUP(D36,'Crafting Tables'!$A$2:$B1015, 2, false))</f>
        <v>Advanced</v>
      </c>
      <c r="F36" s="7">
        <f>IFERROR(IF(E36 = "None", 1, VLOOKUP(C36,General!$A$5:$L$35, SWITCH(E36, "Basic", 8, "Advanced", 10, "Modern", 12), false)),"")</f>
        <v>1</v>
      </c>
      <c r="G36" s="8">
        <v>15.0</v>
      </c>
      <c r="H36" s="7">
        <f>IFERROR(VLOOKUP(C36, General!$A$5:$L$35, 6, false) * G36 / 1000, 0)</f>
        <v>0.6</v>
      </c>
      <c r="I36" s="8">
        <v>10.0</v>
      </c>
      <c r="J36" s="22">
        <f>IFERROR(I36*VLOOKUP(D36,'Crafting Tables'!$1:$1000, 4, false)*F36,"")</f>
        <v>0.01875</v>
      </c>
      <c r="K36" s="8" t="b">
        <v>1</v>
      </c>
      <c r="L36" s="32" t="s">
        <v>126</v>
      </c>
      <c r="M36" s="8">
        <v>1.0</v>
      </c>
      <c r="N36" s="21">
        <f t="shared" si="2"/>
        <v>4.6203125</v>
      </c>
      <c r="P36" s="32" t="s">
        <v>123</v>
      </c>
      <c r="Q36" s="8">
        <v>1.0</v>
      </c>
      <c r="R36" s="29" t="b">
        <v>0</v>
      </c>
      <c r="S36" s="22">
        <f t="shared" si="3"/>
        <v>1</v>
      </c>
      <c r="T36" s="19">
        <f>IF(ISBLANK(P36), 0, VLOOKUP(P36, 'Price Sheet'!$A$2:$B1015, 2, false))</f>
        <v>3.0015625</v>
      </c>
      <c r="U36" s="33">
        <f t="shared" si="4"/>
        <v>3.0015625</v>
      </c>
      <c r="V36" s="32" t="s">
        <v>119</v>
      </c>
      <c r="W36" s="8">
        <v>4.0</v>
      </c>
      <c r="X36" s="29" t="b">
        <v>0</v>
      </c>
      <c r="Y36" s="22">
        <f t="shared" si="5"/>
        <v>4</v>
      </c>
      <c r="Z36" s="19">
        <f>IF(ISBLANK(V36), 0, VLOOKUP(V36, 'Price Sheet'!$A$2:$B1015, 2, false))</f>
        <v>0.25</v>
      </c>
      <c r="AA36" s="33">
        <f t="shared" si="6"/>
        <v>1</v>
      </c>
      <c r="AB36" s="37"/>
      <c r="AC36" s="29"/>
      <c r="AD36" s="29" t="b">
        <v>0</v>
      </c>
      <c r="AE36" s="22" t="str">
        <f t="shared" si="7"/>
        <v/>
      </c>
      <c r="AF36" s="7">
        <f>IF(ISBLANK(AB36), 0, VLOOKUP(AB36, 'Price Sheet'!$A$2:$B1015, 2, false))</f>
        <v>0</v>
      </c>
      <c r="AG36" s="33" t="str">
        <f t="shared" si="8"/>
        <v/>
      </c>
      <c r="AH36" s="37"/>
      <c r="AI36" s="29"/>
      <c r="AJ36" s="29" t="b">
        <v>0</v>
      </c>
      <c r="AK36" s="22" t="str">
        <f t="shared" si="9"/>
        <v/>
      </c>
      <c r="AL36" s="7">
        <f>IF(ISBLANK(AH36), 0, VLOOKUP(AH36, 'Price Sheet'!$A$2:$B1015, 2, false))</f>
        <v>0</v>
      </c>
      <c r="AM36" s="33" t="str">
        <f t="shared" si="10"/>
        <v/>
      </c>
      <c r="AN36" s="37"/>
      <c r="AO36" s="29"/>
      <c r="AP36" s="29" t="b">
        <v>0</v>
      </c>
      <c r="AQ36" s="22" t="str">
        <f t="shared" si="11"/>
        <v/>
      </c>
      <c r="AR36" s="7">
        <f>IF(ISBLANK(AN36), 0, VLOOKUP(AN36, 'Price Sheet'!$A$2:$B1015, 2, false))</f>
        <v>0</v>
      </c>
      <c r="AS36" s="33" t="str">
        <f t="shared" si="12"/>
        <v/>
      </c>
      <c r="AT36" s="37"/>
      <c r="AU36" s="29"/>
      <c r="AV36" s="29" t="b">
        <v>0</v>
      </c>
      <c r="AW36" s="22" t="str">
        <f t="shared" si="13"/>
        <v/>
      </c>
      <c r="AX36" s="7">
        <f>IF(ISBLANK(AT36), 0, VLOOKUP(AT36, 'Price Sheet'!$A$2:$B1015, 2, false))</f>
        <v>0</v>
      </c>
      <c r="AY36" s="33" t="str">
        <f t="shared" si="14"/>
        <v/>
      </c>
      <c r="AZ36" s="37"/>
      <c r="BA36" s="29"/>
      <c r="BB36" s="29" t="b">
        <v>0</v>
      </c>
      <c r="BC36" s="22" t="str">
        <f t="shared" si="15"/>
        <v/>
      </c>
      <c r="BD36" s="7">
        <f>IF(ISBLANK(AZ36), 0, VLOOKUP(AZ36, 'Price Sheet'!$A$2:$B1015, 2, false))</f>
        <v>0</v>
      </c>
      <c r="BE36" s="33" t="str">
        <f t="shared" si="16"/>
        <v/>
      </c>
      <c r="BF36" s="37"/>
      <c r="BG36" s="29"/>
      <c r="BH36" s="29" t="b">
        <v>0</v>
      </c>
      <c r="BI36" s="22" t="str">
        <f t="shared" si="17"/>
        <v/>
      </c>
      <c r="BJ36" s="7">
        <f>IF(ISBLANK(BF36), 0, VLOOKUP(BF36, 'Price Sheet'!$A$2:$B1015, 2, false))</f>
        <v>0</v>
      </c>
      <c r="BK36" s="33" t="str">
        <f t="shared" si="18"/>
        <v/>
      </c>
      <c r="BL36" s="37"/>
      <c r="BM36" s="29"/>
      <c r="BN36" s="29" t="b">
        <v>0</v>
      </c>
      <c r="BO36" s="22" t="str">
        <f t="shared" si="19"/>
        <v/>
      </c>
      <c r="BP36" s="7">
        <f>IF(ISBLANK(BL36), 0, VLOOKUP(BL36, 'Price Sheet'!$A$2:$B1015, 2, false))</f>
        <v>0</v>
      </c>
      <c r="BQ36" s="33" t="str">
        <f t="shared" si="20"/>
        <v/>
      </c>
    </row>
    <row r="37">
      <c r="A37" s="7" t="s">
        <v>472</v>
      </c>
      <c r="B37" s="19">
        <f t="shared" si="1"/>
        <v>0.85</v>
      </c>
      <c r="C37" s="8" t="s">
        <v>212</v>
      </c>
      <c r="D37" s="8" t="s">
        <v>294</v>
      </c>
      <c r="E37" s="7" t="str">
        <f>IF(ISBLANK(D37), "", VLOOKUP(D37,'Crafting Tables'!$A$2:$B1015, 2, false))</f>
        <v>Basic</v>
      </c>
      <c r="F37" s="7">
        <f>IFERROR(IF(E37 = "None", 1, VLOOKUP(C37,General!$A$5:$L$35, SWITCH(E37, "Basic", 8, "Advanced", 10, "Modern", 12), false)),"")</f>
        <v>0.55</v>
      </c>
      <c r="G37" s="8">
        <v>15.0</v>
      </c>
      <c r="H37" s="7">
        <f>IFERROR(VLOOKUP(C37, General!$A$5:$L$35, 6, false) * G37 / 1000, 0)</f>
        <v>0.6</v>
      </c>
      <c r="I37" s="8"/>
      <c r="J37" s="22">
        <f>IFERROR(I37*VLOOKUP(D37,'Crafting Tables'!$1:$1000, 4, false)*F37,"")</f>
        <v>0</v>
      </c>
      <c r="K37" s="8" t="b">
        <v>1</v>
      </c>
      <c r="L37" s="32" t="s">
        <v>119</v>
      </c>
      <c r="M37" s="8">
        <v>1.0</v>
      </c>
      <c r="N37" s="21">
        <f t="shared" si="2"/>
        <v>0.85</v>
      </c>
      <c r="P37" s="32" t="s">
        <v>124</v>
      </c>
      <c r="Q37" s="8">
        <v>5.0</v>
      </c>
      <c r="R37" s="8" t="b">
        <v>1</v>
      </c>
      <c r="S37" s="22">
        <f t="shared" si="3"/>
        <v>5</v>
      </c>
      <c r="T37" s="19">
        <f>IF(ISBLANK(P37), 0, VLOOKUP(P37, 'Price Sheet'!$A$2:$B1015, 2, false))</f>
        <v>0.05</v>
      </c>
      <c r="U37" s="33">
        <f t="shared" si="4"/>
        <v>0.25</v>
      </c>
      <c r="V37" s="37"/>
      <c r="W37" s="29"/>
      <c r="X37" s="29" t="b">
        <v>0</v>
      </c>
      <c r="Y37" s="22" t="str">
        <f t="shared" si="5"/>
        <v/>
      </c>
      <c r="Z37" s="7">
        <f>IF(ISBLANK(V37), 0, VLOOKUP(V37, 'Price Sheet'!$A$2:$B1015, 2, false))</f>
        <v>0</v>
      </c>
      <c r="AA37" s="33" t="str">
        <f t="shared" si="6"/>
        <v/>
      </c>
      <c r="AB37" s="37"/>
      <c r="AC37" s="29"/>
      <c r="AD37" s="29" t="b">
        <v>0</v>
      </c>
      <c r="AE37" s="22" t="str">
        <f t="shared" si="7"/>
        <v/>
      </c>
      <c r="AF37" s="7">
        <f>IF(ISBLANK(AB37), 0, VLOOKUP(AB37, 'Price Sheet'!$A$2:$B1015, 2, false))</f>
        <v>0</v>
      </c>
      <c r="AG37" s="33" t="str">
        <f t="shared" si="8"/>
        <v/>
      </c>
      <c r="AH37" s="37"/>
      <c r="AI37" s="29"/>
      <c r="AJ37" s="29" t="b">
        <v>0</v>
      </c>
      <c r="AK37" s="22" t="str">
        <f t="shared" si="9"/>
        <v/>
      </c>
      <c r="AL37" s="7">
        <f>IF(ISBLANK(AH37), 0, VLOOKUP(AH37, 'Price Sheet'!$A$2:$B1015, 2, false))</f>
        <v>0</v>
      </c>
      <c r="AM37" s="33" t="str">
        <f t="shared" si="10"/>
        <v/>
      </c>
      <c r="AN37" s="37"/>
      <c r="AO37" s="29"/>
      <c r="AP37" s="29" t="b">
        <v>0</v>
      </c>
      <c r="AQ37" s="22" t="str">
        <f t="shared" si="11"/>
        <v/>
      </c>
      <c r="AR37" s="7">
        <f>IF(ISBLANK(AN37), 0, VLOOKUP(AN37, 'Price Sheet'!$A$2:$B1015, 2, false))</f>
        <v>0</v>
      </c>
      <c r="AS37" s="33" t="str">
        <f t="shared" si="12"/>
        <v/>
      </c>
      <c r="AT37" s="37"/>
      <c r="AU37" s="29"/>
      <c r="AV37" s="29" t="b">
        <v>0</v>
      </c>
      <c r="AW37" s="22" t="str">
        <f t="shared" si="13"/>
        <v/>
      </c>
      <c r="AX37" s="7">
        <f>IF(ISBLANK(AT37), 0, VLOOKUP(AT37, 'Price Sheet'!$A$2:$B1015, 2, false))</f>
        <v>0</v>
      </c>
      <c r="AY37" s="33" t="str">
        <f t="shared" si="14"/>
        <v/>
      </c>
      <c r="AZ37" s="37"/>
      <c r="BA37" s="29"/>
      <c r="BB37" s="29" t="b">
        <v>0</v>
      </c>
      <c r="BC37" s="22" t="str">
        <f t="shared" si="15"/>
        <v/>
      </c>
      <c r="BD37" s="7">
        <f>IF(ISBLANK(AZ37), 0, VLOOKUP(AZ37, 'Price Sheet'!$A$2:$B1015, 2, false))</f>
        <v>0</v>
      </c>
      <c r="BE37" s="33" t="str">
        <f t="shared" si="16"/>
        <v/>
      </c>
      <c r="BF37" s="37"/>
      <c r="BG37" s="29"/>
      <c r="BH37" s="29" t="b">
        <v>0</v>
      </c>
      <c r="BI37" s="22" t="str">
        <f t="shared" si="17"/>
        <v/>
      </c>
      <c r="BJ37" s="7">
        <f>IF(ISBLANK(BF37), 0, VLOOKUP(BF37, 'Price Sheet'!$A$2:$B1015, 2, false))</f>
        <v>0</v>
      </c>
      <c r="BK37" s="33" t="str">
        <f t="shared" si="18"/>
        <v/>
      </c>
      <c r="BL37" s="37"/>
      <c r="BM37" s="29"/>
      <c r="BN37" s="29" t="b">
        <v>0</v>
      </c>
      <c r="BO37" s="22" t="str">
        <f t="shared" si="19"/>
        <v/>
      </c>
      <c r="BP37" s="7">
        <f>IF(ISBLANK(BL37), 0, VLOOKUP(BL37, 'Price Sheet'!$A$2:$B1015, 2, false))</f>
        <v>0</v>
      </c>
      <c r="BQ37" s="33" t="str">
        <f t="shared" si="20"/>
        <v/>
      </c>
    </row>
    <row r="38">
      <c r="A38" s="7" t="s">
        <v>473</v>
      </c>
      <c r="B38" s="19">
        <f t="shared" si="1"/>
        <v>1.1375</v>
      </c>
      <c r="C38" s="8" t="s">
        <v>114</v>
      </c>
      <c r="D38" s="8" t="s">
        <v>287</v>
      </c>
      <c r="E38" s="7" t="str">
        <f>IF(ISBLANK(D38), "", VLOOKUP(D38,'Crafting Tables'!$A$2:$B1015, 2, false))</f>
        <v>Basic</v>
      </c>
      <c r="F38" s="7">
        <f>IFERROR(IF(E38 = "None", 1, VLOOKUP(C38,General!$A$5:$L$35, SWITCH(E38, "Basic", 8, "Advanced", 10, "Modern", 12), false)),"")</f>
        <v>0.55</v>
      </c>
      <c r="G38" s="8">
        <v>25.0</v>
      </c>
      <c r="H38" s="7">
        <f>IFERROR(VLOOKUP(C38, General!$A$5:$L$35, 6, false) * G38 / 1000, 0)</f>
        <v>1</v>
      </c>
      <c r="I38" s="8"/>
      <c r="J38" s="22">
        <f>IFERROR(I38*VLOOKUP(D38,'Crafting Tables'!$1:$1000, 4, false)*F38,"")</f>
        <v>0</v>
      </c>
      <c r="K38" s="8" t="b">
        <v>1</v>
      </c>
      <c r="L38" s="32" t="s">
        <v>119</v>
      </c>
      <c r="M38" s="8">
        <v>3.0</v>
      </c>
      <c r="N38" s="21">
        <f t="shared" si="2"/>
        <v>0.3791666667</v>
      </c>
      <c r="P38" s="32" t="s">
        <v>75</v>
      </c>
      <c r="Q38" s="8">
        <v>1.0</v>
      </c>
      <c r="R38" s="29" t="b">
        <v>0</v>
      </c>
      <c r="S38" s="22">
        <f t="shared" si="3"/>
        <v>0.55</v>
      </c>
      <c r="T38" s="19">
        <f>IF(ISBLANK(P38), 0, VLOOKUP(P38, 'Price Sheet'!$A$2:$B1015, 2, false))</f>
        <v>0.25</v>
      </c>
      <c r="U38" s="33">
        <f t="shared" si="4"/>
        <v>0.1375</v>
      </c>
      <c r="V38" s="37"/>
      <c r="W38" s="29"/>
      <c r="X38" s="29" t="b">
        <v>0</v>
      </c>
      <c r="Y38" s="22" t="str">
        <f t="shared" si="5"/>
        <v/>
      </c>
      <c r="Z38" s="7">
        <f>IF(ISBLANK(V38), 0, VLOOKUP(V38, 'Price Sheet'!$A$2:$B1015, 2, false))</f>
        <v>0</v>
      </c>
      <c r="AA38" s="33" t="str">
        <f t="shared" si="6"/>
        <v/>
      </c>
      <c r="AB38" s="37"/>
      <c r="AC38" s="29"/>
      <c r="AD38" s="29" t="b">
        <v>0</v>
      </c>
      <c r="AE38" s="22" t="str">
        <f t="shared" si="7"/>
        <v/>
      </c>
      <c r="AF38" s="7">
        <f>IF(ISBLANK(AB38), 0, VLOOKUP(AB38, 'Price Sheet'!$A$2:$B1015, 2, false))</f>
        <v>0</v>
      </c>
      <c r="AG38" s="33" t="str">
        <f t="shared" si="8"/>
        <v/>
      </c>
      <c r="AH38" s="37"/>
      <c r="AI38" s="29"/>
      <c r="AJ38" s="29" t="b">
        <v>0</v>
      </c>
      <c r="AK38" s="22" t="str">
        <f t="shared" si="9"/>
        <v/>
      </c>
      <c r="AL38" s="7">
        <f>IF(ISBLANK(AH38), 0, VLOOKUP(AH38, 'Price Sheet'!$A$2:$B1015, 2, false))</f>
        <v>0</v>
      </c>
      <c r="AM38" s="33" t="str">
        <f t="shared" si="10"/>
        <v/>
      </c>
      <c r="AN38" s="37"/>
      <c r="AO38" s="29"/>
      <c r="AP38" s="29" t="b">
        <v>0</v>
      </c>
      <c r="AQ38" s="22" t="str">
        <f t="shared" si="11"/>
        <v/>
      </c>
      <c r="AR38" s="7">
        <f>IF(ISBLANK(AN38), 0, VLOOKUP(AN38, 'Price Sheet'!$A$2:$B1015, 2, false))</f>
        <v>0</v>
      </c>
      <c r="AS38" s="33" t="str">
        <f t="shared" si="12"/>
        <v/>
      </c>
      <c r="AT38" s="37"/>
      <c r="AU38" s="29"/>
      <c r="AV38" s="29" t="b">
        <v>0</v>
      </c>
      <c r="AW38" s="22" t="str">
        <f t="shared" si="13"/>
        <v/>
      </c>
      <c r="AX38" s="7">
        <f>IF(ISBLANK(AT38), 0, VLOOKUP(AT38, 'Price Sheet'!$A$2:$B1015, 2, false))</f>
        <v>0</v>
      </c>
      <c r="AY38" s="33" t="str">
        <f t="shared" si="14"/>
        <v/>
      </c>
      <c r="AZ38" s="37"/>
      <c r="BA38" s="29"/>
      <c r="BB38" s="29" t="b">
        <v>0</v>
      </c>
      <c r="BC38" s="22" t="str">
        <f t="shared" si="15"/>
        <v/>
      </c>
      <c r="BD38" s="7">
        <f>IF(ISBLANK(AZ38), 0, VLOOKUP(AZ38, 'Price Sheet'!$A$2:$B1015, 2, false))</f>
        <v>0</v>
      </c>
      <c r="BE38" s="33" t="str">
        <f t="shared" si="16"/>
        <v/>
      </c>
      <c r="BF38" s="37"/>
      <c r="BG38" s="29"/>
      <c r="BH38" s="29" t="b">
        <v>0</v>
      </c>
      <c r="BI38" s="22" t="str">
        <f t="shared" si="17"/>
        <v/>
      </c>
      <c r="BJ38" s="7">
        <f>IF(ISBLANK(BF38), 0, VLOOKUP(BF38, 'Price Sheet'!$A$2:$B1015, 2, false))</f>
        <v>0</v>
      </c>
      <c r="BK38" s="33" t="str">
        <f t="shared" si="18"/>
        <v/>
      </c>
      <c r="BL38" s="37"/>
      <c r="BM38" s="29"/>
      <c r="BN38" s="29" t="b">
        <v>0</v>
      </c>
      <c r="BO38" s="22" t="str">
        <f t="shared" si="19"/>
        <v/>
      </c>
      <c r="BP38" s="7">
        <f>IF(ISBLANK(BL38), 0, VLOOKUP(BL38, 'Price Sheet'!$A$2:$B1015, 2, false))</f>
        <v>0</v>
      </c>
      <c r="BQ38" s="33" t="str">
        <f t="shared" si="20"/>
        <v/>
      </c>
    </row>
    <row r="39">
      <c r="A39" s="7" t="s">
        <v>127</v>
      </c>
      <c r="B39" s="19">
        <f t="shared" si="1"/>
        <v>89.9375</v>
      </c>
      <c r="C39" s="8" t="s">
        <v>134</v>
      </c>
      <c r="D39" s="8" t="s">
        <v>289</v>
      </c>
      <c r="E39" s="7" t="str">
        <f>IF(ISBLANK(D39), "", VLOOKUP(D39,'Crafting Tables'!$A$2:$B1015, 2, false))</f>
        <v>Advanced</v>
      </c>
      <c r="F39" s="7">
        <f>IFERROR(IF(E39 = "None", 1, VLOOKUP(C39,General!$A$5:$L$35, SWITCH(E39, "Basic", 8, "Advanced", 10, "Modern", 12), false)),"")</f>
        <v>1</v>
      </c>
      <c r="G39" s="8">
        <v>90.0</v>
      </c>
      <c r="H39" s="7">
        <f>IFERROR(VLOOKUP(C39, General!$A$5:$L$35, 6, false) * G39 / 1000, 0)</f>
        <v>3.6</v>
      </c>
      <c r="I39" s="8">
        <f>60*3</f>
        <v>180</v>
      </c>
      <c r="J39" s="22">
        <f>IFERROR(I39*VLOOKUP(D39,'Crafting Tables'!$1:$1000, 4, false)*F39,"")</f>
        <v>0.3375</v>
      </c>
      <c r="K39" s="8" t="b">
        <v>1</v>
      </c>
      <c r="L39" s="32" t="s">
        <v>127</v>
      </c>
      <c r="M39" s="8">
        <v>1.0</v>
      </c>
      <c r="N39" s="21">
        <f t="shared" si="2"/>
        <v>89.9375</v>
      </c>
      <c r="P39" s="32" t="s">
        <v>79</v>
      </c>
      <c r="Q39" s="8">
        <v>12.0</v>
      </c>
      <c r="R39" s="29" t="b">
        <v>0</v>
      </c>
      <c r="S39" s="22">
        <f t="shared" si="3"/>
        <v>12</v>
      </c>
      <c r="T39" s="19">
        <f>IF(ISBLANK(P39), 0, VLOOKUP(P39, 'Price Sheet'!$A$2:$B1015, 2, false))</f>
        <v>0.5</v>
      </c>
      <c r="U39" s="33">
        <f t="shared" si="4"/>
        <v>6</v>
      </c>
      <c r="V39" s="32" t="s">
        <v>126</v>
      </c>
      <c r="W39" s="8">
        <v>20.0</v>
      </c>
      <c r="X39" s="29" t="b">
        <v>0</v>
      </c>
      <c r="Y39" s="22">
        <f t="shared" si="5"/>
        <v>20</v>
      </c>
      <c r="Z39" s="19">
        <f>IF(ISBLANK(V39), 0, VLOOKUP(V39, 'Price Sheet'!$A$2:$B1015, 2, false))</f>
        <v>4</v>
      </c>
      <c r="AA39" s="33">
        <f t="shared" si="6"/>
        <v>80</v>
      </c>
      <c r="AB39" s="37"/>
      <c r="AC39" s="29"/>
      <c r="AD39" s="29" t="b">
        <v>0</v>
      </c>
      <c r="AE39" s="22" t="str">
        <f t="shared" si="7"/>
        <v/>
      </c>
      <c r="AF39" s="7">
        <f>IF(ISBLANK(AB39), 0, VLOOKUP(AB39, 'Price Sheet'!$A$2:$B1015, 2, false))</f>
        <v>0</v>
      </c>
      <c r="AG39" s="33" t="str">
        <f t="shared" si="8"/>
        <v/>
      </c>
      <c r="AH39" s="37"/>
      <c r="AI39" s="29"/>
      <c r="AJ39" s="29" t="b">
        <v>0</v>
      </c>
      <c r="AK39" s="22" t="str">
        <f t="shared" si="9"/>
        <v/>
      </c>
      <c r="AL39" s="7">
        <f>IF(ISBLANK(AH39), 0, VLOOKUP(AH39, 'Price Sheet'!$A$2:$B1015, 2, false))</f>
        <v>0</v>
      </c>
      <c r="AM39" s="33" t="str">
        <f t="shared" si="10"/>
        <v/>
      </c>
      <c r="AN39" s="37"/>
      <c r="AO39" s="29"/>
      <c r="AP39" s="29" t="b">
        <v>0</v>
      </c>
      <c r="AQ39" s="22" t="str">
        <f t="shared" si="11"/>
        <v/>
      </c>
      <c r="AR39" s="7">
        <f>IF(ISBLANK(AN39), 0, VLOOKUP(AN39, 'Price Sheet'!$A$2:$B1015, 2, false))</f>
        <v>0</v>
      </c>
      <c r="AS39" s="33" t="str">
        <f t="shared" si="12"/>
        <v/>
      </c>
      <c r="AT39" s="37"/>
      <c r="AU39" s="29"/>
      <c r="AV39" s="29" t="b">
        <v>0</v>
      </c>
      <c r="AW39" s="22" t="str">
        <f t="shared" si="13"/>
        <v/>
      </c>
      <c r="AX39" s="7">
        <f>IF(ISBLANK(AT39), 0, VLOOKUP(AT39, 'Price Sheet'!$A$2:$B1015, 2, false))</f>
        <v>0</v>
      </c>
      <c r="AY39" s="33" t="str">
        <f t="shared" si="14"/>
        <v/>
      </c>
      <c r="AZ39" s="37"/>
      <c r="BA39" s="29"/>
      <c r="BB39" s="29" t="b">
        <v>0</v>
      </c>
      <c r="BC39" s="22" t="str">
        <f t="shared" si="15"/>
        <v/>
      </c>
      <c r="BD39" s="7">
        <f>IF(ISBLANK(AZ39), 0, VLOOKUP(AZ39, 'Price Sheet'!$A$2:$B1015, 2, false))</f>
        <v>0</v>
      </c>
      <c r="BE39" s="33" t="str">
        <f t="shared" si="16"/>
        <v/>
      </c>
      <c r="BF39" s="37"/>
      <c r="BG39" s="29"/>
      <c r="BH39" s="29" t="b">
        <v>0</v>
      </c>
      <c r="BI39" s="22" t="str">
        <f t="shared" si="17"/>
        <v/>
      </c>
      <c r="BJ39" s="7">
        <f>IF(ISBLANK(BF39), 0, VLOOKUP(BF39, 'Price Sheet'!$A$2:$B1015, 2, false))</f>
        <v>0</v>
      </c>
      <c r="BK39" s="33" t="str">
        <f t="shared" si="18"/>
        <v/>
      </c>
      <c r="BL39" s="37"/>
      <c r="BM39" s="29"/>
      <c r="BN39" s="29" t="b">
        <v>0</v>
      </c>
      <c r="BO39" s="22" t="str">
        <f t="shared" si="19"/>
        <v/>
      </c>
      <c r="BP39" s="7">
        <f>IF(ISBLANK(BL39), 0, VLOOKUP(BL39, 'Price Sheet'!$A$2:$B1015, 2, false))</f>
        <v>0</v>
      </c>
      <c r="BQ39" s="33" t="str">
        <f t="shared" si="20"/>
        <v/>
      </c>
    </row>
    <row r="40">
      <c r="A40" s="7" t="s">
        <v>474</v>
      </c>
      <c r="B40" s="19">
        <f t="shared" si="1"/>
        <v>1.68</v>
      </c>
      <c r="C40" s="8" t="s">
        <v>82</v>
      </c>
      <c r="D40" s="8" t="s">
        <v>93</v>
      </c>
      <c r="E40" s="7" t="str">
        <f>IF(ISBLANK(D40), "", VLOOKUP(D40,'Crafting Tables'!$A$2:$B1015, 2, false))</f>
        <v>Basic</v>
      </c>
      <c r="F40" s="7">
        <f>IFERROR(IF(E40 = "None", 1, VLOOKUP(C40,General!$A$5:$L$35, SWITCH(E40, "Basic", 8, "Advanced", 10, "Modern", 12), false)),"")</f>
        <v>0.55</v>
      </c>
      <c r="G40" s="8">
        <v>20.0</v>
      </c>
      <c r="H40" s="7">
        <f>IFERROR(VLOOKUP(C40, General!$A$5:$L$35, 6, false) * G40 / 1000, 0)</f>
        <v>0.8</v>
      </c>
      <c r="I40" s="8"/>
      <c r="J40" s="22">
        <f>IFERROR(I40*VLOOKUP(D40,'Crafting Tables'!$1:$1000, 4, false)*F40,"")</f>
        <v>0</v>
      </c>
      <c r="K40" s="8" t="b">
        <v>1</v>
      </c>
      <c r="L40" s="32" t="s">
        <v>128</v>
      </c>
      <c r="M40" s="8">
        <v>10.0</v>
      </c>
      <c r="N40" s="21">
        <f t="shared" si="2"/>
        <v>0.168</v>
      </c>
      <c r="P40" s="32" t="s">
        <v>81</v>
      </c>
      <c r="Q40" s="8">
        <v>2.0</v>
      </c>
      <c r="R40" s="29" t="b">
        <v>0</v>
      </c>
      <c r="S40" s="22">
        <f t="shared" si="3"/>
        <v>1.1</v>
      </c>
      <c r="T40" s="19">
        <f>IF(ISBLANK(P40), 0, VLOOKUP(P40, 'Price Sheet'!$A$2:$B1015, 2, false))</f>
        <v>0.8</v>
      </c>
      <c r="U40" s="33">
        <f t="shared" si="4"/>
        <v>0.88</v>
      </c>
      <c r="V40" s="37"/>
      <c r="W40" s="29"/>
      <c r="X40" s="29" t="b">
        <v>0</v>
      </c>
      <c r="Y40" s="22" t="str">
        <f t="shared" si="5"/>
        <v/>
      </c>
      <c r="Z40" s="7">
        <f>IF(ISBLANK(V40), 0, VLOOKUP(V40, 'Price Sheet'!$A$2:$B1015, 2, false))</f>
        <v>0</v>
      </c>
      <c r="AA40" s="33" t="str">
        <f t="shared" si="6"/>
        <v/>
      </c>
      <c r="AB40" s="37"/>
      <c r="AC40" s="29"/>
      <c r="AD40" s="29" t="b">
        <v>0</v>
      </c>
      <c r="AE40" s="22" t="str">
        <f t="shared" si="7"/>
        <v/>
      </c>
      <c r="AF40" s="7">
        <f>IF(ISBLANK(AB40), 0, VLOOKUP(AB40, 'Price Sheet'!$A$2:$B1015, 2, false))</f>
        <v>0</v>
      </c>
      <c r="AG40" s="33" t="str">
        <f t="shared" si="8"/>
        <v/>
      </c>
      <c r="AH40" s="37"/>
      <c r="AI40" s="29"/>
      <c r="AJ40" s="29" t="b">
        <v>0</v>
      </c>
      <c r="AK40" s="22" t="str">
        <f t="shared" si="9"/>
        <v/>
      </c>
      <c r="AL40" s="7">
        <f>IF(ISBLANK(AH40), 0, VLOOKUP(AH40, 'Price Sheet'!$A$2:$B1015, 2, false))</f>
        <v>0</v>
      </c>
      <c r="AM40" s="33" t="str">
        <f t="shared" si="10"/>
        <v/>
      </c>
      <c r="AN40" s="37"/>
      <c r="AO40" s="29"/>
      <c r="AP40" s="29" t="b">
        <v>0</v>
      </c>
      <c r="AQ40" s="22" t="str">
        <f t="shared" si="11"/>
        <v/>
      </c>
      <c r="AR40" s="7">
        <f>IF(ISBLANK(AN40), 0, VLOOKUP(AN40, 'Price Sheet'!$A$2:$B1015, 2, false))</f>
        <v>0</v>
      </c>
      <c r="AS40" s="33" t="str">
        <f t="shared" si="12"/>
        <v/>
      </c>
      <c r="AT40" s="37"/>
      <c r="AU40" s="29"/>
      <c r="AV40" s="29" t="b">
        <v>0</v>
      </c>
      <c r="AW40" s="22" t="str">
        <f t="shared" si="13"/>
        <v/>
      </c>
      <c r="AX40" s="7">
        <f>IF(ISBLANK(AT40), 0, VLOOKUP(AT40, 'Price Sheet'!$A$2:$B1015, 2, false))</f>
        <v>0</v>
      </c>
      <c r="AY40" s="33" t="str">
        <f t="shared" si="14"/>
        <v/>
      </c>
      <c r="AZ40" s="37"/>
      <c r="BA40" s="29"/>
      <c r="BB40" s="29" t="b">
        <v>0</v>
      </c>
      <c r="BC40" s="22" t="str">
        <f t="shared" si="15"/>
        <v/>
      </c>
      <c r="BD40" s="7">
        <f>IF(ISBLANK(AZ40), 0, VLOOKUP(AZ40, 'Price Sheet'!$A$2:$B1015, 2, false))</f>
        <v>0</v>
      </c>
      <c r="BE40" s="33" t="str">
        <f t="shared" si="16"/>
        <v/>
      </c>
      <c r="BF40" s="37"/>
      <c r="BG40" s="29"/>
      <c r="BH40" s="29" t="b">
        <v>0</v>
      </c>
      <c r="BI40" s="22" t="str">
        <f t="shared" si="17"/>
        <v/>
      </c>
      <c r="BJ40" s="7">
        <f>IF(ISBLANK(BF40), 0, VLOOKUP(BF40, 'Price Sheet'!$A$2:$B1015, 2, false))</f>
        <v>0</v>
      </c>
      <c r="BK40" s="33" t="str">
        <f t="shared" si="18"/>
        <v/>
      </c>
      <c r="BL40" s="37"/>
      <c r="BM40" s="29"/>
      <c r="BN40" s="29" t="b">
        <v>0</v>
      </c>
      <c r="BO40" s="22" t="str">
        <f t="shared" si="19"/>
        <v/>
      </c>
      <c r="BP40" s="7">
        <f>IF(ISBLANK(BL40), 0, VLOOKUP(BL40, 'Price Sheet'!$A$2:$B1015, 2, false))</f>
        <v>0</v>
      </c>
      <c r="BQ40" s="33" t="str">
        <f t="shared" si="20"/>
        <v/>
      </c>
    </row>
    <row r="41">
      <c r="A41" s="7" t="s">
        <v>129</v>
      </c>
      <c r="B41" s="19">
        <f t="shared" si="1"/>
        <v>111.5625</v>
      </c>
      <c r="C41" s="8" t="s">
        <v>134</v>
      </c>
      <c r="D41" s="8" t="s">
        <v>289</v>
      </c>
      <c r="E41" s="7" t="str">
        <f>IF(ISBLANK(D41), "", VLOOKUP(D41,'Crafting Tables'!$A$2:$B1015, 2, false))</f>
        <v>Advanced</v>
      </c>
      <c r="F41" s="7">
        <f>IFERROR(IF(E41 = "None", 1, VLOOKUP(C41,General!$A$5:$L$35, SWITCH(E41, "Basic", 8, "Advanced", 10, "Modern", 12), false)),"")</f>
        <v>1</v>
      </c>
      <c r="G41" s="8">
        <v>150.0</v>
      </c>
      <c r="H41" s="7">
        <f>IFERROR(VLOOKUP(C41, General!$A$5:$L$35, 6, false) * G41 / 1000, 0)</f>
        <v>6</v>
      </c>
      <c r="I41" s="29">
        <f>5*60</f>
        <v>300</v>
      </c>
      <c r="J41" s="22">
        <f>IFERROR(I41*VLOOKUP(D41,'Crafting Tables'!$1:$1000, 4, false)*F41,"")</f>
        <v>0.5625</v>
      </c>
      <c r="K41" s="8" t="b">
        <v>1</v>
      </c>
      <c r="L41" s="32" t="s">
        <v>129</v>
      </c>
      <c r="M41" s="8">
        <v>1.0</v>
      </c>
      <c r="N41" s="21">
        <f t="shared" si="2"/>
        <v>111.5625</v>
      </c>
      <c r="P41" s="32" t="s">
        <v>126</v>
      </c>
      <c r="Q41" s="8">
        <v>16.0</v>
      </c>
      <c r="R41" s="29" t="b">
        <v>0</v>
      </c>
      <c r="S41" s="22">
        <f t="shared" si="3"/>
        <v>16</v>
      </c>
      <c r="T41" s="19">
        <f>IF(ISBLANK(P41), 0, VLOOKUP(P41, 'Price Sheet'!$A$2:$B1015, 2, false))</f>
        <v>4</v>
      </c>
      <c r="U41" s="33">
        <f t="shared" si="4"/>
        <v>64</v>
      </c>
      <c r="V41" s="32" t="s">
        <v>83</v>
      </c>
      <c r="W41" s="8">
        <v>20.0</v>
      </c>
      <c r="X41" s="29" t="b">
        <v>0</v>
      </c>
      <c r="Y41" s="22">
        <f t="shared" si="5"/>
        <v>20</v>
      </c>
      <c r="Z41" s="19">
        <f>IF(ISBLANK(V41), 0, VLOOKUP(V41, 'Price Sheet'!$A$2:$B1015, 2, false))</f>
        <v>0.45</v>
      </c>
      <c r="AA41" s="33">
        <f t="shared" si="6"/>
        <v>9</v>
      </c>
      <c r="AB41" s="32" t="s">
        <v>199</v>
      </c>
      <c r="AC41" s="8">
        <v>8.0</v>
      </c>
      <c r="AD41" s="29" t="b">
        <v>0</v>
      </c>
      <c r="AE41" s="22">
        <f t="shared" si="7"/>
        <v>8</v>
      </c>
      <c r="AF41" s="19">
        <f>IF(ISBLANK(AB41), 0, VLOOKUP(AB41, 'Price Sheet'!$A$2:$B1015, 2, false))</f>
        <v>4</v>
      </c>
      <c r="AG41" s="33">
        <f t="shared" si="8"/>
        <v>32</v>
      </c>
      <c r="AH41" s="37"/>
      <c r="AI41" s="29"/>
      <c r="AJ41" s="29" t="b">
        <v>0</v>
      </c>
      <c r="AK41" s="22" t="str">
        <f t="shared" si="9"/>
        <v/>
      </c>
      <c r="AL41" s="7">
        <f>IF(ISBLANK(AH41), 0, VLOOKUP(AH41, 'Price Sheet'!$A$2:$B1015, 2, false))</f>
        <v>0</v>
      </c>
      <c r="AM41" s="33" t="str">
        <f t="shared" si="10"/>
        <v/>
      </c>
      <c r="AN41" s="37"/>
      <c r="AO41" s="29"/>
      <c r="AP41" s="29" t="b">
        <v>0</v>
      </c>
      <c r="AQ41" s="22" t="str">
        <f t="shared" si="11"/>
        <v/>
      </c>
      <c r="AR41" s="7">
        <f>IF(ISBLANK(AN41), 0, VLOOKUP(AN41, 'Price Sheet'!$A$2:$B1015, 2, false))</f>
        <v>0</v>
      </c>
      <c r="AS41" s="33" t="str">
        <f t="shared" si="12"/>
        <v/>
      </c>
      <c r="AT41" s="37"/>
      <c r="AU41" s="29"/>
      <c r="AV41" s="29" t="b">
        <v>0</v>
      </c>
      <c r="AW41" s="22" t="str">
        <f t="shared" si="13"/>
        <v/>
      </c>
      <c r="AX41" s="7">
        <f>IF(ISBLANK(AT41), 0, VLOOKUP(AT41, 'Price Sheet'!$A$2:$B1015, 2, false))</f>
        <v>0</v>
      </c>
      <c r="AY41" s="33" t="str">
        <f t="shared" si="14"/>
        <v/>
      </c>
      <c r="AZ41" s="37"/>
      <c r="BA41" s="29"/>
      <c r="BB41" s="29" t="b">
        <v>0</v>
      </c>
      <c r="BC41" s="22" t="str">
        <f t="shared" si="15"/>
        <v/>
      </c>
      <c r="BD41" s="7">
        <f>IF(ISBLANK(AZ41), 0, VLOOKUP(AZ41, 'Price Sheet'!$A$2:$B1015, 2, false))</f>
        <v>0</v>
      </c>
      <c r="BE41" s="33" t="str">
        <f t="shared" si="16"/>
        <v/>
      </c>
      <c r="BF41" s="37"/>
      <c r="BG41" s="29"/>
      <c r="BH41" s="29" t="b">
        <v>0</v>
      </c>
      <c r="BI41" s="22" t="str">
        <f t="shared" si="17"/>
        <v/>
      </c>
      <c r="BJ41" s="7">
        <f>IF(ISBLANK(BF41), 0, VLOOKUP(BF41, 'Price Sheet'!$A$2:$B1015, 2, false))</f>
        <v>0</v>
      </c>
      <c r="BK41" s="33" t="str">
        <f t="shared" si="18"/>
        <v/>
      </c>
      <c r="BL41" s="37"/>
      <c r="BM41" s="29"/>
      <c r="BN41" s="29" t="b">
        <v>0</v>
      </c>
      <c r="BO41" s="22" t="str">
        <f t="shared" si="19"/>
        <v/>
      </c>
      <c r="BP41" s="7">
        <f>IF(ISBLANK(BL41), 0, VLOOKUP(BL41, 'Price Sheet'!$A$2:$B1015, 2, false))</f>
        <v>0</v>
      </c>
      <c r="BQ41" s="33" t="str">
        <f t="shared" si="20"/>
        <v/>
      </c>
    </row>
    <row r="42">
      <c r="A42" s="7" t="s">
        <v>132</v>
      </c>
      <c r="B42" s="19">
        <f t="shared" si="1"/>
        <v>128.1</v>
      </c>
      <c r="C42" s="8" t="s">
        <v>134</v>
      </c>
      <c r="D42" s="8" t="s">
        <v>289</v>
      </c>
      <c r="E42" s="7" t="str">
        <f>IF(ISBLANK(D42), "", VLOOKUP(D42,'Crafting Tables'!$A$2:$B1015, 2, false))</f>
        <v>Advanced</v>
      </c>
      <c r="F42" s="7">
        <f>IFERROR(IF(E42 = "None", 1, VLOOKUP(C42,General!$A$5:$L$35, SWITCH(E42, "Basic", 8, "Advanced", 10, "Modern", 12), false)),"")</f>
        <v>1</v>
      </c>
      <c r="G42" s="8">
        <v>180.0</v>
      </c>
      <c r="H42" s="7">
        <f>IFERROR(VLOOKUP(C42, General!$A$5:$L$35, 6, false) * G42 / 1000, 0)</f>
        <v>7.2</v>
      </c>
      <c r="I42" s="29">
        <f>8*60</f>
        <v>480</v>
      </c>
      <c r="J42" s="22">
        <f>IFERROR(I42*VLOOKUP(D42,'Crafting Tables'!$1:$1000, 4, false)*F42,"")</f>
        <v>0.9</v>
      </c>
      <c r="K42" s="8" t="b">
        <v>1</v>
      </c>
      <c r="L42" s="32" t="s">
        <v>132</v>
      </c>
      <c r="M42" s="8">
        <v>1.0</v>
      </c>
      <c r="N42" s="21">
        <f t="shared" si="2"/>
        <v>128.1</v>
      </c>
      <c r="P42" s="32" t="s">
        <v>199</v>
      </c>
      <c r="Q42" s="8">
        <v>10.0</v>
      </c>
      <c r="R42" s="29" t="b">
        <v>0</v>
      </c>
      <c r="S42" s="22">
        <f t="shared" si="3"/>
        <v>10</v>
      </c>
      <c r="T42" s="19">
        <f>IF(ISBLANK(P42), 0, VLOOKUP(P42, 'Price Sheet'!$A$2:$B1015, 2, false))</f>
        <v>4</v>
      </c>
      <c r="U42" s="33">
        <f t="shared" si="4"/>
        <v>40</v>
      </c>
      <c r="V42" s="32" t="s">
        <v>126</v>
      </c>
      <c r="W42" s="8">
        <v>20.0</v>
      </c>
      <c r="X42" s="29" t="b">
        <v>0</v>
      </c>
      <c r="Y42" s="22">
        <f t="shared" si="5"/>
        <v>20</v>
      </c>
      <c r="Z42" s="19">
        <f>IF(ISBLANK(V42), 0, VLOOKUP(V42, 'Price Sheet'!$A$2:$B1015, 2, false))</f>
        <v>4</v>
      </c>
      <c r="AA42" s="33">
        <f t="shared" si="6"/>
        <v>80</v>
      </c>
      <c r="AB42" s="37"/>
      <c r="AC42" s="29"/>
      <c r="AD42" s="29" t="b">
        <v>0</v>
      </c>
      <c r="AE42" s="22" t="str">
        <f t="shared" si="7"/>
        <v/>
      </c>
      <c r="AF42" s="7">
        <f>IF(ISBLANK(AB42), 0, VLOOKUP(AB42, 'Price Sheet'!$A$2:$B1015, 2, false))</f>
        <v>0</v>
      </c>
      <c r="AG42" s="33" t="str">
        <f t="shared" si="8"/>
        <v/>
      </c>
      <c r="AH42" s="37"/>
      <c r="AI42" s="29"/>
      <c r="AJ42" s="29" t="b">
        <v>0</v>
      </c>
      <c r="AK42" s="22" t="str">
        <f t="shared" si="9"/>
        <v/>
      </c>
      <c r="AL42" s="7">
        <f>IF(ISBLANK(AH42), 0, VLOOKUP(AH42, 'Price Sheet'!$A$2:$B1015, 2, false))</f>
        <v>0</v>
      </c>
      <c r="AM42" s="33" t="str">
        <f t="shared" si="10"/>
        <v/>
      </c>
      <c r="AN42" s="37"/>
      <c r="AO42" s="29"/>
      <c r="AP42" s="29" t="b">
        <v>0</v>
      </c>
      <c r="AQ42" s="22" t="str">
        <f t="shared" si="11"/>
        <v/>
      </c>
      <c r="AR42" s="7">
        <f>IF(ISBLANK(AN42), 0, VLOOKUP(AN42, 'Price Sheet'!$A$2:$B1015, 2, false))</f>
        <v>0</v>
      </c>
      <c r="AS42" s="33" t="str">
        <f t="shared" si="12"/>
        <v/>
      </c>
      <c r="AT42" s="37"/>
      <c r="AU42" s="29"/>
      <c r="AV42" s="29" t="b">
        <v>0</v>
      </c>
      <c r="AW42" s="22" t="str">
        <f t="shared" si="13"/>
        <v/>
      </c>
      <c r="AX42" s="7">
        <f>IF(ISBLANK(AT42), 0, VLOOKUP(AT42, 'Price Sheet'!$A$2:$B1015, 2, false))</f>
        <v>0</v>
      </c>
      <c r="AY42" s="33" t="str">
        <f t="shared" si="14"/>
        <v/>
      </c>
      <c r="AZ42" s="37"/>
      <c r="BA42" s="29"/>
      <c r="BB42" s="29" t="b">
        <v>0</v>
      </c>
      <c r="BC42" s="22" t="str">
        <f t="shared" si="15"/>
        <v/>
      </c>
      <c r="BD42" s="7">
        <f>IF(ISBLANK(AZ42), 0, VLOOKUP(AZ42, 'Price Sheet'!$A$2:$B1015, 2, false))</f>
        <v>0</v>
      </c>
      <c r="BE42" s="33" t="str">
        <f t="shared" si="16"/>
        <v/>
      </c>
      <c r="BF42" s="37"/>
      <c r="BG42" s="29"/>
      <c r="BH42" s="29" t="b">
        <v>0</v>
      </c>
      <c r="BI42" s="22" t="str">
        <f t="shared" si="17"/>
        <v/>
      </c>
      <c r="BJ42" s="7">
        <f>IF(ISBLANK(BF42), 0, VLOOKUP(BF42, 'Price Sheet'!$A$2:$B1015, 2, false))</f>
        <v>0</v>
      </c>
      <c r="BK42" s="33" t="str">
        <f t="shared" si="18"/>
        <v/>
      </c>
      <c r="BL42" s="37"/>
      <c r="BM42" s="29"/>
      <c r="BN42" s="29" t="b">
        <v>0</v>
      </c>
      <c r="BO42" s="22" t="str">
        <f t="shared" si="19"/>
        <v/>
      </c>
      <c r="BP42" s="7">
        <f>IF(ISBLANK(BL42), 0, VLOOKUP(BL42, 'Price Sheet'!$A$2:$B1015, 2, false))</f>
        <v>0</v>
      </c>
      <c r="BQ42" s="33" t="str">
        <f t="shared" si="20"/>
        <v/>
      </c>
    </row>
    <row r="43">
      <c r="A43" s="7" t="s">
        <v>133</v>
      </c>
      <c r="B43" s="19">
        <f t="shared" si="1"/>
        <v>60.025</v>
      </c>
      <c r="C43" s="8" t="s">
        <v>134</v>
      </c>
      <c r="D43" s="8" t="s">
        <v>289</v>
      </c>
      <c r="E43" s="7" t="str">
        <f>IF(ISBLANK(D43), "", VLOOKUP(D43,'Crafting Tables'!$A$2:$B1015, 2, false))</f>
        <v>Advanced</v>
      </c>
      <c r="F43" s="7">
        <f>IFERROR(IF(E43 = "None", 1, VLOOKUP(C43,General!$A$5:$L$35, SWITCH(E43, "Basic", 8, "Advanced", 10, "Modern", 12), false)),"")</f>
        <v>1</v>
      </c>
      <c r="G43" s="8">
        <v>120.0</v>
      </c>
      <c r="H43" s="7">
        <f>IFERROR(VLOOKUP(C43, General!$A$5:$L$35, 6, false) * G43 / 1000, 0)</f>
        <v>4.8</v>
      </c>
      <c r="I43" s="8">
        <v>120.0</v>
      </c>
      <c r="J43" s="22">
        <f>IFERROR(I43*VLOOKUP(D43,'Crafting Tables'!$1:$1000, 4, false)*F43,"")</f>
        <v>0.225</v>
      </c>
      <c r="K43" s="8" t="b">
        <v>1</v>
      </c>
      <c r="L43" s="32" t="s">
        <v>133</v>
      </c>
      <c r="M43" s="8">
        <v>1.0</v>
      </c>
      <c r="N43" s="21">
        <f t="shared" si="2"/>
        <v>60.025</v>
      </c>
      <c r="P43" s="32" t="s">
        <v>79</v>
      </c>
      <c r="Q43" s="8">
        <v>30.0</v>
      </c>
      <c r="R43" s="29" t="b">
        <v>0</v>
      </c>
      <c r="S43" s="22">
        <f t="shared" si="3"/>
        <v>30</v>
      </c>
      <c r="T43" s="19">
        <f>IF(ISBLANK(P43), 0, VLOOKUP(P43, 'Price Sheet'!$A$2:$B1015, 2, false))</f>
        <v>0.5</v>
      </c>
      <c r="U43" s="33">
        <f t="shared" si="4"/>
        <v>15</v>
      </c>
      <c r="V43" s="32" t="s">
        <v>199</v>
      </c>
      <c r="W43" s="8">
        <v>10.0</v>
      </c>
      <c r="X43" s="29" t="b">
        <v>0</v>
      </c>
      <c r="Y43" s="22">
        <f t="shared" si="5"/>
        <v>10</v>
      </c>
      <c r="Z43" s="19">
        <f>IF(ISBLANK(V43), 0, VLOOKUP(V43, 'Price Sheet'!$A$2:$B1015, 2, false))</f>
        <v>4</v>
      </c>
      <c r="AA43" s="33">
        <f t="shared" si="6"/>
        <v>40</v>
      </c>
      <c r="AB43" s="37"/>
      <c r="AC43" s="29"/>
      <c r="AD43" s="29" t="b">
        <v>0</v>
      </c>
      <c r="AE43" s="22" t="str">
        <f t="shared" si="7"/>
        <v/>
      </c>
      <c r="AF43" s="7">
        <f>IF(ISBLANK(AB43), 0, VLOOKUP(AB43, 'Price Sheet'!$A$2:$B1015, 2, false))</f>
        <v>0</v>
      </c>
      <c r="AG43" s="33" t="str">
        <f t="shared" si="8"/>
        <v/>
      </c>
      <c r="AH43" s="37"/>
      <c r="AI43" s="29"/>
      <c r="AJ43" s="29" t="b">
        <v>0</v>
      </c>
      <c r="AK43" s="22" t="str">
        <f t="shared" si="9"/>
        <v/>
      </c>
      <c r="AL43" s="7">
        <f>IF(ISBLANK(AH43), 0, VLOOKUP(AH43, 'Price Sheet'!$A$2:$B1015, 2, false))</f>
        <v>0</v>
      </c>
      <c r="AM43" s="33" t="str">
        <f t="shared" si="10"/>
        <v/>
      </c>
      <c r="AN43" s="37"/>
      <c r="AO43" s="29"/>
      <c r="AP43" s="29" t="b">
        <v>0</v>
      </c>
      <c r="AQ43" s="22" t="str">
        <f t="shared" si="11"/>
        <v/>
      </c>
      <c r="AR43" s="7">
        <f>IF(ISBLANK(AN43), 0, VLOOKUP(AN43, 'Price Sheet'!$A$2:$B1015, 2, false))</f>
        <v>0</v>
      </c>
      <c r="AS43" s="33" t="str">
        <f t="shared" si="12"/>
        <v/>
      </c>
      <c r="AT43" s="37"/>
      <c r="AU43" s="29"/>
      <c r="AV43" s="29" t="b">
        <v>0</v>
      </c>
      <c r="AW43" s="22" t="str">
        <f t="shared" si="13"/>
        <v/>
      </c>
      <c r="AX43" s="7">
        <f>IF(ISBLANK(AT43), 0, VLOOKUP(AT43, 'Price Sheet'!$A$2:$B1015, 2, false))</f>
        <v>0</v>
      </c>
      <c r="AY43" s="33" t="str">
        <f t="shared" si="14"/>
        <v/>
      </c>
      <c r="AZ43" s="37"/>
      <c r="BA43" s="29"/>
      <c r="BB43" s="29" t="b">
        <v>0</v>
      </c>
      <c r="BC43" s="22" t="str">
        <f t="shared" si="15"/>
        <v/>
      </c>
      <c r="BD43" s="7">
        <f>IF(ISBLANK(AZ43), 0, VLOOKUP(AZ43, 'Price Sheet'!$A$2:$B1015, 2, false))</f>
        <v>0</v>
      </c>
      <c r="BE43" s="33" t="str">
        <f t="shared" si="16"/>
        <v/>
      </c>
      <c r="BF43" s="37"/>
      <c r="BG43" s="29"/>
      <c r="BH43" s="29" t="b">
        <v>0</v>
      </c>
      <c r="BI43" s="22" t="str">
        <f t="shared" si="17"/>
        <v/>
      </c>
      <c r="BJ43" s="7">
        <f>IF(ISBLANK(BF43), 0, VLOOKUP(BF43, 'Price Sheet'!$A$2:$B1015, 2, false))</f>
        <v>0</v>
      </c>
      <c r="BK43" s="33" t="str">
        <f t="shared" si="18"/>
        <v/>
      </c>
      <c r="BL43" s="37"/>
      <c r="BM43" s="29"/>
      <c r="BN43" s="29" t="b">
        <v>0</v>
      </c>
      <c r="BO43" s="22" t="str">
        <f t="shared" si="19"/>
        <v/>
      </c>
      <c r="BP43" s="7">
        <f>IF(ISBLANK(BL43), 0, VLOOKUP(BL43, 'Price Sheet'!$A$2:$B1015, 2, false))</f>
        <v>0</v>
      </c>
      <c r="BQ43" s="33" t="str">
        <f t="shared" si="20"/>
        <v/>
      </c>
    </row>
    <row r="44">
      <c r="A44" s="7" t="s">
        <v>135</v>
      </c>
      <c r="B44" s="19">
        <f t="shared" si="1"/>
        <v>60.025</v>
      </c>
      <c r="C44" s="8" t="s">
        <v>134</v>
      </c>
      <c r="D44" s="8" t="s">
        <v>289</v>
      </c>
      <c r="E44" s="7" t="str">
        <f>IF(ISBLANK(D44), "", VLOOKUP(D44,'Crafting Tables'!$A$2:$B1015, 2, false))</f>
        <v>Advanced</v>
      </c>
      <c r="F44" s="7">
        <f>IFERROR(IF(E44 = "None", 1, VLOOKUP(C44,General!$A$5:$L$35, SWITCH(E44, "Basic", 8, "Advanced", 10, "Modern", 12), false)),"")</f>
        <v>1</v>
      </c>
      <c r="G44" s="8">
        <v>120.0</v>
      </c>
      <c r="H44" s="7">
        <f>IFERROR(VLOOKUP(C44, General!$A$5:$L$35, 6, false) * G44 / 1000, 0)</f>
        <v>4.8</v>
      </c>
      <c r="I44" s="8">
        <v>120.0</v>
      </c>
      <c r="J44" s="22">
        <f>IFERROR(I44*VLOOKUP(D44,'Crafting Tables'!$1:$1000, 4, false)*F44,"")</f>
        <v>0.225</v>
      </c>
      <c r="K44" s="8" t="b">
        <v>1</v>
      </c>
      <c r="L44" s="32" t="s">
        <v>135</v>
      </c>
      <c r="M44" s="8">
        <v>1.0</v>
      </c>
      <c r="N44" s="21">
        <f t="shared" si="2"/>
        <v>60.025</v>
      </c>
      <c r="P44" s="32" t="s">
        <v>79</v>
      </c>
      <c r="Q44" s="8">
        <v>30.0</v>
      </c>
      <c r="R44" s="29" t="b">
        <v>0</v>
      </c>
      <c r="S44" s="22">
        <f t="shared" si="3"/>
        <v>30</v>
      </c>
      <c r="T44" s="19">
        <f>IF(ISBLANK(P44), 0, VLOOKUP(P44, 'Price Sheet'!$A$2:$B1015, 2, false))</f>
        <v>0.5</v>
      </c>
      <c r="U44" s="33">
        <f t="shared" si="4"/>
        <v>15</v>
      </c>
      <c r="V44" s="32" t="s">
        <v>199</v>
      </c>
      <c r="W44" s="8">
        <v>10.0</v>
      </c>
      <c r="X44" s="29" t="b">
        <v>0</v>
      </c>
      <c r="Y44" s="22">
        <f t="shared" si="5"/>
        <v>10</v>
      </c>
      <c r="Z44" s="19">
        <f>IF(ISBLANK(V44), 0, VLOOKUP(V44, 'Price Sheet'!$A$2:$B1015, 2, false))</f>
        <v>4</v>
      </c>
      <c r="AA44" s="33">
        <f t="shared" si="6"/>
        <v>40</v>
      </c>
      <c r="AB44" s="37"/>
      <c r="AC44" s="29"/>
      <c r="AD44" s="29" t="b">
        <v>0</v>
      </c>
      <c r="AE44" s="22" t="str">
        <f t="shared" si="7"/>
        <v/>
      </c>
      <c r="AF44" s="7">
        <f>IF(ISBLANK(AB44), 0, VLOOKUP(AB44, 'Price Sheet'!$A$2:$B1015, 2, false))</f>
        <v>0</v>
      </c>
      <c r="AG44" s="33" t="str">
        <f t="shared" si="8"/>
        <v/>
      </c>
      <c r="AH44" s="37"/>
      <c r="AI44" s="29"/>
      <c r="AJ44" s="29" t="b">
        <v>0</v>
      </c>
      <c r="AK44" s="22" t="str">
        <f t="shared" si="9"/>
        <v/>
      </c>
      <c r="AL44" s="7">
        <f>IF(ISBLANK(AH44), 0, VLOOKUP(AH44, 'Price Sheet'!$A$2:$B1015, 2, false))</f>
        <v>0</v>
      </c>
      <c r="AM44" s="33" t="str">
        <f t="shared" si="10"/>
        <v/>
      </c>
      <c r="AN44" s="37"/>
      <c r="AO44" s="29"/>
      <c r="AP44" s="29" t="b">
        <v>0</v>
      </c>
      <c r="AQ44" s="22" t="str">
        <f t="shared" si="11"/>
        <v/>
      </c>
      <c r="AR44" s="7">
        <f>IF(ISBLANK(AN44), 0, VLOOKUP(AN44, 'Price Sheet'!$A$2:$B1015, 2, false))</f>
        <v>0</v>
      </c>
      <c r="AS44" s="33" t="str">
        <f t="shared" si="12"/>
        <v/>
      </c>
      <c r="AT44" s="37"/>
      <c r="AU44" s="29"/>
      <c r="AV44" s="29" t="b">
        <v>0</v>
      </c>
      <c r="AW44" s="22" t="str">
        <f t="shared" si="13"/>
        <v/>
      </c>
      <c r="AX44" s="7">
        <f>IF(ISBLANK(AT44), 0, VLOOKUP(AT44, 'Price Sheet'!$A$2:$B1015, 2, false))</f>
        <v>0</v>
      </c>
      <c r="AY44" s="33" t="str">
        <f t="shared" si="14"/>
        <v/>
      </c>
      <c r="AZ44" s="37"/>
      <c r="BA44" s="29"/>
      <c r="BB44" s="29" t="b">
        <v>0</v>
      </c>
      <c r="BC44" s="22" t="str">
        <f t="shared" si="15"/>
        <v/>
      </c>
      <c r="BD44" s="7">
        <f>IF(ISBLANK(AZ44), 0, VLOOKUP(AZ44, 'Price Sheet'!$A$2:$B1015, 2, false))</f>
        <v>0</v>
      </c>
      <c r="BE44" s="33" t="str">
        <f t="shared" si="16"/>
        <v/>
      </c>
      <c r="BF44" s="37"/>
      <c r="BG44" s="29"/>
      <c r="BH44" s="29" t="b">
        <v>0</v>
      </c>
      <c r="BI44" s="22" t="str">
        <f t="shared" si="17"/>
        <v/>
      </c>
      <c r="BJ44" s="7">
        <f>IF(ISBLANK(BF44), 0, VLOOKUP(BF44, 'Price Sheet'!$A$2:$B1015, 2, false))</f>
        <v>0</v>
      </c>
      <c r="BK44" s="33" t="str">
        <f t="shared" si="18"/>
        <v/>
      </c>
      <c r="BL44" s="37"/>
      <c r="BM44" s="29"/>
      <c r="BN44" s="29" t="b">
        <v>0</v>
      </c>
      <c r="BO44" s="22" t="str">
        <f t="shared" si="19"/>
        <v/>
      </c>
      <c r="BP44" s="7">
        <f>IF(ISBLANK(BL44), 0, VLOOKUP(BL44, 'Price Sheet'!$A$2:$B1015, 2, false))</f>
        <v>0</v>
      </c>
      <c r="BQ44" s="33" t="str">
        <f t="shared" si="20"/>
        <v/>
      </c>
    </row>
    <row r="45">
      <c r="A45" s="7" t="s">
        <v>136</v>
      </c>
      <c r="B45" s="19">
        <f t="shared" si="1"/>
        <v>4.025</v>
      </c>
      <c r="C45" s="8" t="s">
        <v>134</v>
      </c>
      <c r="D45" s="8" t="s">
        <v>289</v>
      </c>
      <c r="E45" s="7" t="str">
        <f>IF(ISBLANK(D45), "", VLOOKUP(D45,'Crafting Tables'!$A$2:$B1015, 2, false))</f>
        <v>Advanced</v>
      </c>
      <c r="F45" s="7">
        <f>IFERROR(IF(E45 = "None", 1, VLOOKUP(C45,General!$A$5:$L$35, SWITCH(E45, "Basic", 8, "Advanced", 10, "Modern", 12), false)),"")</f>
        <v>1</v>
      </c>
      <c r="G45" s="8">
        <v>45.0</v>
      </c>
      <c r="H45" s="7">
        <f>IFERROR(VLOOKUP(C45, General!$A$5:$L$35, 6, false) * G45 / 1000, 0)</f>
        <v>1.8</v>
      </c>
      <c r="I45" s="8">
        <v>120.0</v>
      </c>
      <c r="J45" s="22">
        <f>IFERROR(I45*VLOOKUP(D45,'Crafting Tables'!$1:$1000, 4, false)*F45,"")</f>
        <v>0.225</v>
      </c>
      <c r="K45" s="8" t="b">
        <v>1</v>
      </c>
      <c r="L45" s="32" t="s">
        <v>141</v>
      </c>
      <c r="M45" s="8">
        <v>1.0</v>
      </c>
      <c r="N45" s="21">
        <f t="shared" si="2"/>
        <v>4.025</v>
      </c>
      <c r="P45" s="32" t="s">
        <v>79</v>
      </c>
      <c r="Q45" s="8">
        <v>4.0</v>
      </c>
      <c r="R45" s="29" t="b">
        <v>0</v>
      </c>
      <c r="S45" s="22">
        <f t="shared" si="3"/>
        <v>4</v>
      </c>
      <c r="T45" s="19">
        <f>IF(ISBLANK(P45), 0, VLOOKUP(P45, 'Price Sheet'!$A$2:$B1015, 2, false))</f>
        <v>0.5</v>
      </c>
      <c r="U45" s="33">
        <f t="shared" si="4"/>
        <v>2</v>
      </c>
      <c r="V45" s="37"/>
      <c r="W45" s="29"/>
      <c r="X45" s="29" t="b">
        <v>0</v>
      </c>
      <c r="Y45" s="22" t="str">
        <f t="shared" si="5"/>
        <v/>
      </c>
      <c r="Z45" s="7">
        <f>IF(ISBLANK(V45), 0, VLOOKUP(V45, 'Price Sheet'!$A$2:$B1015, 2, false))</f>
        <v>0</v>
      </c>
      <c r="AA45" s="33" t="str">
        <f t="shared" si="6"/>
        <v/>
      </c>
      <c r="AB45" s="37"/>
      <c r="AC45" s="29"/>
      <c r="AD45" s="29" t="b">
        <v>0</v>
      </c>
      <c r="AE45" s="22" t="str">
        <f t="shared" si="7"/>
        <v/>
      </c>
      <c r="AF45" s="7">
        <f>IF(ISBLANK(AB45), 0, VLOOKUP(AB45, 'Price Sheet'!$A$2:$B1015, 2, false))</f>
        <v>0</v>
      </c>
      <c r="AG45" s="33" t="str">
        <f t="shared" si="8"/>
        <v/>
      </c>
      <c r="AH45" s="37"/>
      <c r="AI45" s="29"/>
      <c r="AJ45" s="29" t="b">
        <v>0</v>
      </c>
      <c r="AK45" s="22" t="str">
        <f t="shared" si="9"/>
        <v/>
      </c>
      <c r="AL45" s="7">
        <f>IF(ISBLANK(AH45), 0, VLOOKUP(AH45, 'Price Sheet'!$A$2:$B1015, 2, false))</f>
        <v>0</v>
      </c>
      <c r="AM45" s="33" t="str">
        <f t="shared" si="10"/>
        <v/>
      </c>
      <c r="AN45" s="37"/>
      <c r="AO45" s="29"/>
      <c r="AP45" s="29" t="b">
        <v>0</v>
      </c>
      <c r="AQ45" s="22" t="str">
        <f t="shared" si="11"/>
        <v/>
      </c>
      <c r="AR45" s="7">
        <f>IF(ISBLANK(AN45), 0, VLOOKUP(AN45, 'Price Sheet'!$A$2:$B1015, 2, false))</f>
        <v>0</v>
      </c>
      <c r="AS45" s="33" t="str">
        <f t="shared" si="12"/>
        <v/>
      </c>
      <c r="AT45" s="37"/>
      <c r="AU45" s="29"/>
      <c r="AV45" s="29" t="b">
        <v>0</v>
      </c>
      <c r="AW45" s="22" t="str">
        <f t="shared" si="13"/>
        <v/>
      </c>
      <c r="AX45" s="7">
        <f>IF(ISBLANK(AT45), 0, VLOOKUP(AT45, 'Price Sheet'!$A$2:$B1015, 2, false))</f>
        <v>0</v>
      </c>
      <c r="AY45" s="33" t="str">
        <f t="shared" si="14"/>
        <v/>
      </c>
      <c r="AZ45" s="37"/>
      <c r="BA45" s="29"/>
      <c r="BB45" s="29" t="b">
        <v>0</v>
      </c>
      <c r="BC45" s="22" t="str">
        <f t="shared" si="15"/>
        <v/>
      </c>
      <c r="BD45" s="7">
        <f>IF(ISBLANK(AZ45), 0, VLOOKUP(AZ45, 'Price Sheet'!$A$2:$B1015, 2, false))</f>
        <v>0</v>
      </c>
      <c r="BE45" s="33" t="str">
        <f t="shared" si="16"/>
        <v/>
      </c>
      <c r="BF45" s="37"/>
      <c r="BG45" s="29"/>
      <c r="BH45" s="29" t="b">
        <v>0</v>
      </c>
      <c r="BI45" s="22" t="str">
        <f t="shared" si="17"/>
        <v/>
      </c>
      <c r="BJ45" s="7">
        <f>IF(ISBLANK(BF45), 0, VLOOKUP(BF45, 'Price Sheet'!$A$2:$B1015, 2, false))</f>
        <v>0</v>
      </c>
      <c r="BK45" s="33" t="str">
        <f t="shared" si="18"/>
        <v/>
      </c>
      <c r="BL45" s="37"/>
      <c r="BM45" s="29"/>
      <c r="BN45" s="29" t="b">
        <v>0</v>
      </c>
      <c r="BO45" s="22" t="str">
        <f t="shared" si="19"/>
        <v/>
      </c>
      <c r="BP45" s="7">
        <f>IF(ISBLANK(BL45), 0, VLOOKUP(BL45, 'Price Sheet'!$A$2:$B1015, 2, false))</f>
        <v>0</v>
      </c>
      <c r="BQ45" s="33" t="str">
        <f t="shared" si="20"/>
        <v/>
      </c>
    </row>
    <row r="46">
      <c r="A46" s="7" t="s">
        <v>138</v>
      </c>
      <c r="B46" s="19">
        <f t="shared" si="1"/>
        <v>292.5625</v>
      </c>
      <c r="C46" s="8" t="s">
        <v>134</v>
      </c>
      <c r="D46" s="8" t="s">
        <v>289</v>
      </c>
      <c r="E46" s="7" t="str">
        <f>IF(ISBLANK(D46), "", VLOOKUP(D46,'Crafting Tables'!$A$2:$B1015, 2, false))</f>
        <v>Advanced</v>
      </c>
      <c r="F46" s="7">
        <f>IFERROR(IF(E46 = "None", 1, VLOOKUP(C46,General!$A$5:$L$35, SWITCH(E46, "Basic", 8, "Advanced", 10, "Modern", 12), false)),"")</f>
        <v>1</v>
      </c>
      <c r="G46" s="8">
        <v>300.0</v>
      </c>
      <c r="H46" s="7">
        <f>IFERROR(VLOOKUP(C46, General!$A$5:$L$35, 6, false) * G46 / 1000, 0)</f>
        <v>12</v>
      </c>
      <c r="I46" s="8">
        <v>300.0</v>
      </c>
      <c r="J46" s="22">
        <f>IFERROR(I46*VLOOKUP(D46,'Crafting Tables'!$1:$1000, 4, false)*F46,"")</f>
        <v>0.5625</v>
      </c>
      <c r="K46" s="8" t="b">
        <v>1</v>
      </c>
      <c r="L46" s="32" t="s">
        <v>138</v>
      </c>
      <c r="M46" s="8">
        <v>1.0</v>
      </c>
      <c r="N46" s="21">
        <f t="shared" si="2"/>
        <v>292.5625</v>
      </c>
      <c r="P46" s="32" t="s">
        <v>126</v>
      </c>
      <c r="Q46" s="8">
        <v>50.0</v>
      </c>
      <c r="R46" s="29" t="b">
        <v>0</v>
      </c>
      <c r="S46" s="22">
        <f t="shared" si="3"/>
        <v>50</v>
      </c>
      <c r="T46" s="19">
        <f>IF(ISBLANK(P46), 0, VLOOKUP(P46, 'Price Sheet'!$A$2:$B1015, 2, false))</f>
        <v>4</v>
      </c>
      <c r="U46" s="33">
        <f t="shared" si="4"/>
        <v>200</v>
      </c>
      <c r="V46" s="32" t="s">
        <v>199</v>
      </c>
      <c r="W46" s="8">
        <v>20.0</v>
      </c>
      <c r="X46" s="29" t="b">
        <v>0</v>
      </c>
      <c r="Y46" s="22">
        <f t="shared" si="5"/>
        <v>20</v>
      </c>
      <c r="Z46" s="19">
        <f>IF(ISBLANK(V46), 0, VLOOKUP(V46, 'Price Sheet'!$A$2:$B1015, 2, false))</f>
        <v>4</v>
      </c>
      <c r="AA46" s="33">
        <f t="shared" si="6"/>
        <v>80</v>
      </c>
      <c r="AB46" s="37"/>
      <c r="AC46" s="29"/>
      <c r="AD46" s="29" t="b">
        <v>0</v>
      </c>
      <c r="AE46" s="22" t="str">
        <f t="shared" si="7"/>
        <v/>
      </c>
      <c r="AF46" s="7">
        <f>IF(ISBLANK(AB46), 0, VLOOKUP(AB46, 'Price Sheet'!$A$2:$B1015, 2, false))</f>
        <v>0</v>
      </c>
      <c r="AG46" s="33" t="str">
        <f t="shared" si="8"/>
        <v/>
      </c>
      <c r="AH46" s="37"/>
      <c r="AI46" s="29"/>
      <c r="AJ46" s="29" t="b">
        <v>0</v>
      </c>
      <c r="AK46" s="22" t="str">
        <f t="shared" si="9"/>
        <v/>
      </c>
      <c r="AL46" s="7">
        <f>IF(ISBLANK(AH46), 0, VLOOKUP(AH46, 'Price Sheet'!$A$2:$B1015, 2, false))</f>
        <v>0</v>
      </c>
      <c r="AM46" s="33" t="str">
        <f t="shared" si="10"/>
        <v/>
      </c>
      <c r="AN46" s="37"/>
      <c r="AO46" s="29"/>
      <c r="AP46" s="29" t="b">
        <v>0</v>
      </c>
      <c r="AQ46" s="22" t="str">
        <f t="shared" si="11"/>
        <v/>
      </c>
      <c r="AR46" s="7">
        <f>IF(ISBLANK(AN46), 0, VLOOKUP(AN46, 'Price Sheet'!$A$2:$B1015, 2, false))</f>
        <v>0</v>
      </c>
      <c r="AS46" s="33" t="str">
        <f t="shared" si="12"/>
        <v/>
      </c>
      <c r="AT46" s="37"/>
      <c r="AU46" s="29"/>
      <c r="AV46" s="29" t="b">
        <v>0</v>
      </c>
      <c r="AW46" s="22" t="str">
        <f t="shared" si="13"/>
        <v/>
      </c>
      <c r="AX46" s="7">
        <f>IF(ISBLANK(AT46), 0, VLOOKUP(AT46, 'Price Sheet'!$A$2:$B1015, 2, false))</f>
        <v>0</v>
      </c>
      <c r="AY46" s="33" t="str">
        <f t="shared" si="14"/>
        <v/>
      </c>
      <c r="AZ46" s="37"/>
      <c r="BA46" s="29"/>
      <c r="BB46" s="29" t="b">
        <v>0</v>
      </c>
      <c r="BC46" s="22" t="str">
        <f t="shared" si="15"/>
        <v/>
      </c>
      <c r="BD46" s="7">
        <f>IF(ISBLANK(AZ46), 0, VLOOKUP(AZ46, 'Price Sheet'!$A$2:$B1015, 2, false))</f>
        <v>0</v>
      </c>
      <c r="BE46" s="33" t="str">
        <f t="shared" si="16"/>
        <v/>
      </c>
      <c r="BF46" s="37"/>
      <c r="BG46" s="29"/>
      <c r="BH46" s="29" t="b">
        <v>0</v>
      </c>
      <c r="BI46" s="22" t="str">
        <f t="shared" si="17"/>
        <v/>
      </c>
      <c r="BJ46" s="7">
        <f>IF(ISBLANK(BF46), 0, VLOOKUP(BF46, 'Price Sheet'!$A$2:$B1015, 2, false))</f>
        <v>0</v>
      </c>
      <c r="BK46" s="33" t="str">
        <f t="shared" si="18"/>
        <v/>
      </c>
      <c r="BL46" s="37"/>
      <c r="BM46" s="29"/>
      <c r="BN46" s="29" t="b">
        <v>0</v>
      </c>
      <c r="BO46" s="22" t="str">
        <f t="shared" si="19"/>
        <v/>
      </c>
      <c r="BP46" s="7">
        <f>IF(ISBLANK(BL46), 0, VLOOKUP(BL46, 'Price Sheet'!$A$2:$B1015, 2, false))</f>
        <v>0</v>
      </c>
      <c r="BQ46" s="33" t="str">
        <f t="shared" si="20"/>
        <v/>
      </c>
    </row>
    <row r="47">
      <c r="A47" s="7" t="s">
        <v>140</v>
      </c>
      <c r="B47" s="19">
        <f t="shared" si="1"/>
        <v>109.9375</v>
      </c>
      <c r="C47" s="8" t="s">
        <v>134</v>
      </c>
      <c r="D47" s="8" t="s">
        <v>289</v>
      </c>
      <c r="E47" s="7" t="str">
        <f>IF(ISBLANK(D47), "", VLOOKUP(D47,'Crafting Tables'!$A$2:$B1015, 2, false))</f>
        <v>Advanced</v>
      </c>
      <c r="F47" s="7">
        <f>IFERROR(IF(E47 = "None", 1, VLOOKUP(C47,General!$A$5:$L$35, SWITCH(E47, "Basic", 8, "Advanced", 10, "Modern", 12), false)),"")</f>
        <v>1</v>
      </c>
      <c r="G47" s="8">
        <v>240.0</v>
      </c>
      <c r="H47" s="7">
        <f>IFERROR(VLOOKUP(C47, General!$A$5:$L$35, 6, false) * G47 / 1000, 0)</f>
        <v>9.6</v>
      </c>
      <c r="I47" s="8">
        <v>180.0</v>
      </c>
      <c r="J47" s="22">
        <f>IFERROR(I47*VLOOKUP(D47,'Crafting Tables'!$1:$1000, 4, false)*F47,"")</f>
        <v>0.3375</v>
      </c>
      <c r="K47" s="8" t="b">
        <v>1</v>
      </c>
      <c r="L47" s="32" t="s">
        <v>140</v>
      </c>
      <c r="M47" s="8">
        <v>1.0</v>
      </c>
      <c r="N47" s="21">
        <f t="shared" si="2"/>
        <v>109.9375</v>
      </c>
      <c r="P47" s="32" t="s">
        <v>79</v>
      </c>
      <c r="Q47" s="8">
        <v>40.0</v>
      </c>
      <c r="R47" s="29" t="b">
        <v>0</v>
      </c>
      <c r="S47" s="22">
        <f t="shared" si="3"/>
        <v>40</v>
      </c>
      <c r="T47" s="19">
        <f>IF(ISBLANK(P47), 0, VLOOKUP(P47, 'Price Sheet'!$A$2:$B1015, 2, false))</f>
        <v>0.5</v>
      </c>
      <c r="U47" s="33">
        <f t="shared" si="4"/>
        <v>20</v>
      </c>
      <c r="V47" s="32" t="s">
        <v>199</v>
      </c>
      <c r="W47" s="8">
        <v>20.0</v>
      </c>
      <c r="X47" s="29" t="b">
        <v>0</v>
      </c>
      <c r="Y47" s="22">
        <f t="shared" si="5"/>
        <v>20</v>
      </c>
      <c r="Z47" s="19">
        <f>IF(ISBLANK(V47), 0, VLOOKUP(V47, 'Price Sheet'!$A$2:$B1015, 2, false))</f>
        <v>4</v>
      </c>
      <c r="AA47" s="33">
        <f t="shared" si="6"/>
        <v>80</v>
      </c>
      <c r="AB47" s="37"/>
      <c r="AC47" s="29"/>
      <c r="AD47" s="29" t="b">
        <v>0</v>
      </c>
      <c r="AE47" s="22" t="str">
        <f t="shared" si="7"/>
        <v/>
      </c>
      <c r="AF47" s="7">
        <f>IF(ISBLANK(AB47), 0, VLOOKUP(AB47, 'Price Sheet'!$A$2:$B1015, 2, false))</f>
        <v>0</v>
      </c>
      <c r="AG47" s="33" t="str">
        <f t="shared" si="8"/>
        <v/>
      </c>
      <c r="AH47" s="37"/>
      <c r="AI47" s="29"/>
      <c r="AJ47" s="29" t="b">
        <v>0</v>
      </c>
      <c r="AK47" s="22" t="str">
        <f t="shared" si="9"/>
        <v/>
      </c>
      <c r="AL47" s="7">
        <f>IF(ISBLANK(AH47), 0, VLOOKUP(AH47, 'Price Sheet'!$A$2:$B1015, 2, false))</f>
        <v>0</v>
      </c>
      <c r="AM47" s="33" t="str">
        <f t="shared" si="10"/>
        <v/>
      </c>
      <c r="AN47" s="37"/>
      <c r="AO47" s="29"/>
      <c r="AP47" s="29" t="b">
        <v>0</v>
      </c>
      <c r="AQ47" s="22" t="str">
        <f t="shared" si="11"/>
        <v/>
      </c>
      <c r="AR47" s="7">
        <f>IF(ISBLANK(AN47), 0, VLOOKUP(AN47, 'Price Sheet'!$A$2:$B1015, 2, false))</f>
        <v>0</v>
      </c>
      <c r="AS47" s="33" t="str">
        <f t="shared" si="12"/>
        <v/>
      </c>
      <c r="AT47" s="37"/>
      <c r="AU47" s="29"/>
      <c r="AV47" s="29" t="b">
        <v>0</v>
      </c>
      <c r="AW47" s="22" t="str">
        <f t="shared" si="13"/>
        <v/>
      </c>
      <c r="AX47" s="7">
        <f>IF(ISBLANK(AT47), 0, VLOOKUP(AT47, 'Price Sheet'!$A$2:$B1015, 2, false))</f>
        <v>0</v>
      </c>
      <c r="AY47" s="33" t="str">
        <f t="shared" si="14"/>
        <v/>
      </c>
      <c r="AZ47" s="37"/>
      <c r="BA47" s="29"/>
      <c r="BB47" s="29" t="b">
        <v>0</v>
      </c>
      <c r="BC47" s="22" t="str">
        <f t="shared" si="15"/>
        <v/>
      </c>
      <c r="BD47" s="7">
        <f>IF(ISBLANK(AZ47), 0, VLOOKUP(AZ47, 'Price Sheet'!$A$2:$B1015, 2, false))</f>
        <v>0</v>
      </c>
      <c r="BE47" s="33" t="str">
        <f t="shared" si="16"/>
        <v/>
      </c>
      <c r="BF47" s="37"/>
      <c r="BG47" s="29"/>
      <c r="BH47" s="29" t="b">
        <v>0</v>
      </c>
      <c r="BI47" s="22" t="str">
        <f t="shared" si="17"/>
        <v/>
      </c>
      <c r="BJ47" s="7">
        <f>IF(ISBLANK(BF47), 0, VLOOKUP(BF47, 'Price Sheet'!$A$2:$B1015, 2, false))</f>
        <v>0</v>
      </c>
      <c r="BK47" s="33" t="str">
        <f t="shared" si="18"/>
        <v/>
      </c>
      <c r="BL47" s="37"/>
      <c r="BM47" s="29"/>
      <c r="BN47" s="29" t="b">
        <v>0</v>
      </c>
      <c r="BO47" s="22" t="str">
        <f t="shared" si="19"/>
        <v/>
      </c>
      <c r="BP47" s="7">
        <f>IF(ISBLANK(BL47), 0, VLOOKUP(BL47, 'Price Sheet'!$A$2:$B1015, 2, false))</f>
        <v>0</v>
      </c>
      <c r="BQ47" s="33" t="str">
        <f t="shared" si="20"/>
        <v/>
      </c>
    </row>
    <row r="48">
      <c r="A48" s="7" t="s">
        <v>143</v>
      </c>
      <c r="B48" s="19">
        <f t="shared" si="1"/>
        <v>3.36</v>
      </c>
      <c r="C48" s="8" t="s">
        <v>155</v>
      </c>
      <c r="D48" s="8" t="s">
        <v>299</v>
      </c>
      <c r="E48" s="7" t="str">
        <f>IF(ISBLANK(D48), "", VLOOKUP(D48,'Crafting Tables'!$A$2:$B1015, 2, false))</f>
        <v>Basic</v>
      </c>
      <c r="F48" s="7">
        <f>IFERROR(IF(E48 = "None", 1, VLOOKUP(C48,General!$A$5:$L$35, SWITCH(E48, "Basic", 8, "Advanced", 10, "Modern", 12), false)),"")</f>
        <v>0.55</v>
      </c>
      <c r="G48" s="8">
        <v>40.0</v>
      </c>
      <c r="H48" s="7">
        <f>IFERROR(VLOOKUP(C48, General!$A$5:$L$35, 6, false) * G48 / 1000, 0)</f>
        <v>1.6</v>
      </c>
      <c r="I48" s="8">
        <v>120.0</v>
      </c>
      <c r="J48" s="22">
        <f>IFERROR(I48*VLOOKUP(D48,'Crafting Tables'!$1:$1000, 4, false)*F48,"")</f>
        <v>0</v>
      </c>
      <c r="K48" s="8" t="b">
        <v>1</v>
      </c>
      <c r="L48" s="32" t="s">
        <v>143</v>
      </c>
      <c r="M48" s="8">
        <v>1.0</v>
      </c>
      <c r="N48" s="21">
        <f t="shared" si="2"/>
        <v>3.36</v>
      </c>
      <c r="P48" s="32" t="s">
        <v>81</v>
      </c>
      <c r="Q48" s="8">
        <v>4.0</v>
      </c>
      <c r="R48" s="29" t="b">
        <v>0</v>
      </c>
      <c r="S48" s="22">
        <f t="shared" si="3"/>
        <v>2.2</v>
      </c>
      <c r="T48" s="19">
        <f>IF(ISBLANK(P48), 0, VLOOKUP(P48, 'Price Sheet'!$A$2:$B1015, 2, false))</f>
        <v>0.8</v>
      </c>
      <c r="U48" s="33">
        <f t="shared" si="4"/>
        <v>1.76</v>
      </c>
      <c r="V48" s="37"/>
      <c r="W48" s="29"/>
      <c r="X48" s="29" t="b">
        <v>0</v>
      </c>
      <c r="Y48" s="22" t="str">
        <f t="shared" si="5"/>
        <v/>
      </c>
      <c r="Z48" s="7">
        <f>IF(ISBLANK(V48), 0, VLOOKUP(V48, 'Price Sheet'!$A$2:$B1015, 2, false))</f>
        <v>0</v>
      </c>
      <c r="AA48" s="33" t="str">
        <f t="shared" si="6"/>
        <v/>
      </c>
      <c r="AB48" s="37"/>
      <c r="AC48" s="29"/>
      <c r="AD48" s="29" t="b">
        <v>0</v>
      </c>
      <c r="AE48" s="22" t="str">
        <f t="shared" si="7"/>
        <v/>
      </c>
      <c r="AF48" s="7">
        <f>IF(ISBLANK(AB48), 0, VLOOKUP(AB48, 'Price Sheet'!$A$2:$B1015, 2, false))</f>
        <v>0</v>
      </c>
      <c r="AG48" s="33" t="str">
        <f t="shared" si="8"/>
        <v/>
      </c>
      <c r="AH48" s="37"/>
      <c r="AI48" s="29"/>
      <c r="AJ48" s="29" t="b">
        <v>0</v>
      </c>
      <c r="AK48" s="22" t="str">
        <f t="shared" si="9"/>
        <v/>
      </c>
      <c r="AL48" s="7">
        <f>IF(ISBLANK(AH48), 0, VLOOKUP(AH48, 'Price Sheet'!$A$2:$B1015, 2, false))</f>
        <v>0</v>
      </c>
      <c r="AM48" s="33" t="str">
        <f t="shared" si="10"/>
        <v/>
      </c>
      <c r="AN48" s="37"/>
      <c r="AO48" s="29"/>
      <c r="AP48" s="29" t="b">
        <v>0</v>
      </c>
      <c r="AQ48" s="22" t="str">
        <f t="shared" si="11"/>
        <v/>
      </c>
      <c r="AR48" s="7">
        <f>IF(ISBLANK(AN48), 0, VLOOKUP(AN48, 'Price Sheet'!$A$2:$B1015, 2, false))</f>
        <v>0</v>
      </c>
      <c r="AS48" s="33" t="str">
        <f t="shared" si="12"/>
        <v/>
      </c>
      <c r="AT48" s="37"/>
      <c r="AU48" s="29"/>
      <c r="AV48" s="29" t="b">
        <v>0</v>
      </c>
      <c r="AW48" s="22" t="str">
        <f t="shared" si="13"/>
        <v/>
      </c>
      <c r="AX48" s="7">
        <f>IF(ISBLANK(AT48), 0, VLOOKUP(AT48, 'Price Sheet'!$A$2:$B1015, 2, false))</f>
        <v>0</v>
      </c>
      <c r="AY48" s="33" t="str">
        <f t="shared" si="14"/>
        <v/>
      </c>
      <c r="AZ48" s="37"/>
      <c r="BA48" s="29"/>
      <c r="BB48" s="29" t="b">
        <v>0</v>
      </c>
      <c r="BC48" s="22" t="str">
        <f t="shared" si="15"/>
        <v/>
      </c>
      <c r="BD48" s="7">
        <f>IF(ISBLANK(AZ48), 0, VLOOKUP(AZ48, 'Price Sheet'!$A$2:$B1015, 2, false))</f>
        <v>0</v>
      </c>
      <c r="BE48" s="33" t="str">
        <f t="shared" si="16"/>
        <v/>
      </c>
      <c r="BF48" s="37"/>
      <c r="BG48" s="29"/>
      <c r="BH48" s="29" t="b">
        <v>0</v>
      </c>
      <c r="BI48" s="22" t="str">
        <f t="shared" si="17"/>
        <v/>
      </c>
      <c r="BJ48" s="7">
        <f>IF(ISBLANK(BF48), 0, VLOOKUP(BF48, 'Price Sheet'!$A$2:$B1015, 2, false))</f>
        <v>0</v>
      </c>
      <c r="BK48" s="33" t="str">
        <f t="shared" si="18"/>
        <v/>
      </c>
      <c r="BL48" s="37"/>
      <c r="BM48" s="29"/>
      <c r="BN48" s="29" t="b">
        <v>0</v>
      </c>
      <c r="BO48" s="22" t="str">
        <f t="shared" si="19"/>
        <v/>
      </c>
      <c r="BP48" s="7">
        <f>IF(ISBLANK(BL48), 0, VLOOKUP(BL48, 'Price Sheet'!$A$2:$B1015, 2, false))</f>
        <v>0</v>
      </c>
      <c r="BQ48" s="33" t="str">
        <f t="shared" si="20"/>
        <v/>
      </c>
    </row>
    <row r="49">
      <c r="A49" s="7" t="s">
        <v>149</v>
      </c>
      <c r="B49" s="19">
        <f t="shared" si="1"/>
        <v>151.24</v>
      </c>
      <c r="C49" s="8" t="s">
        <v>205</v>
      </c>
      <c r="D49" s="8" t="s">
        <v>100</v>
      </c>
      <c r="E49" s="7" t="str">
        <f>IF(ISBLANK(D49), "", VLOOKUP(D49,'Crafting Tables'!$A$2:$B1015, 2, false))</f>
        <v>Basic</v>
      </c>
      <c r="F49" s="7">
        <f>IFERROR(IF(E49 = "None", 1, VLOOKUP(C49,General!$A$5:$L$35, SWITCH(E49, "Basic", 8, "Advanced", 10, "Modern", 12), false)),"")</f>
        <v>0.55</v>
      </c>
      <c r="G49" s="8">
        <v>680.0</v>
      </c>
      <c r="H49" s="7">
        <f>IFERROR(VLOOKUP(C49, General!$A$5:$L$35, 6, false) * G49 / 1000, 0)</f>
        <v>27.2</v>
      </c>
      <c r="I49" s="29">
        <f>6*60</f>
        <v>360</v>
      </c>
      <c r="J49" s="22">
        <f>IFERROR(I49*VLOOKUP(D49,'Crafting Tables'!$1:$1000, 4, false)*F49,"")</f>
        <v>0</v>
      </c>
      <c r="K49" s="8" t="b">
        <v>1</v>
      </c>
      <c r="L49" s="32" t="s">
        <v>149</v>
      </c>
      <c r="M49" s="8">
        <v>1.0</v>
      </c>
      <c r="N49" s="21">
        <f t="shared" si="2"/>
        <v>151.24</v>
      </c>
      <c r="P49" s="32" t="s">
        <v>102</v>
      </c>
      <c r="Q49" s="8">
        <v>8.0</v>
      </c>
      <c r="R49" s="29" t="b">
        <v>0</v>
      </c>
      <c r="S49" s="22">
        <f t="shared" si="3"/>
        <v>4.4</v>
      </c>
      <c r="T49" s="19">
        <f>IF(ISBLANK(P49), 0, VLOOKUP(P49, 'Price Sheet'!$A$2:$B1015, 2, false))</f>
        <v>5</v>
      </c>
      <c r="U49" s="33">
        <f t="shared" si="4"/>
        <v>22</v>
      </c>
      <c r="V49" s="32" t="s">
        <v>143</v>
      </c>
      <c r="W49" s="8">
        <v>2.0</v>
      </c>
      <c r="X49" s="8" t="b">
        <v>1</v>
      </c>
      <c r="Y49" s="22">
        <f t="shared" si="5"/>
        <v>2</v>
      </c>
      <c r="Z49" s="19">
        <f>IF(ISBLANK(V49), 0, VLOOKUP(V49, 'Price Sheet'!$A$2:$B1015, 2, false))</f>
        <v>5</v>
      </c>
      <c r="AA49" s="33">
        <f t="shared" si="6"/>
        <v>10</v>
      </c>
      <c r="AB49" s="32" t="s">
        <v>146</v>
      </c>
      <c r="AC49" s="8">
        <v>2.0</v>
      </c>
      <c r="AD49" s="8" t="b">
        <v>1</v>
      </c>
      <c r="AE49" s="22">
        <f t="shared" si="7"/>
        <v>2</v>
      </c>
      <c r="AF49" s="19">
        <f>IF(ISBLANK(AB49), 0, VLOOKUP(AB49, 'Price Sheet'!$A$2:$B1015, 2, false))</f>
        <v>37.8</v>
      </c>
      <c r="AG49" s="33">
        <f t="shared" si="8"/>
        <v>75.6</v>
      </c>
      <c r="AH49" s="32" t="s">
        <v>147</v>
      </c>
      <c r="AI49" s="8">
        <v>1.0</v>
      </c>
      <c r="AJ49" s="8" t="b">
        <v>1</v>
      </c>
      <c r="AK49" s="22">
        <f t="shared" si="9"/>
        <v>1</v>
      </c>
      <c r="AL49" s="19">
        <f>IF(ISBLANK(AH49), 0, VLOOKUP(AH49, 'Price Sheet'!$A$2:$B1015, 2, false))</f>
        <v>16.44</v>
      </c>
      <c r="AM49" s="33">
        <f t="shared" si="10"/>
        <v>16.44</v>
      </c>
      <c r="AN49" s="37"/>
      <c r="AO49" s="29"/>
      <c r="AP49" s="29" t="b">
        <v>0</v>
      </c>
      <c r="AQ49" s="22" t="str">
        <f t="shared" si="11"/>
        <v/>
      </c>
      <c r="AR49" s="7">
        <f>IF(ISBLANK(AN49), 0, VLOOKUP(AN49, 'Price Sheet'!$A$2:$B1015, 2, false))</f>
        <v>0</v>
      </c>
      <c r="AS49" s="33" t="str">
        <f t="shared" si="12"/>
        <v/>
      </c>
      <c r="AT49" s="37"/>
      <c r="AU49" s="29"/>
      <c r="AV49" s="29" t="b">
        <v>0</v>
      </c>
      <c r="AW49" s="22" t="str">
        <f t="shared" si="13"/>
        <v/>
      </c>
      <c r="AX49" s="7">
        <f>IF(ISBLANK(AT49), 0, VLOOKUP(AT49, 'Price Sheet'!$A$2:$B1015, 2, false))</f>
        <v>0</v>
      </c>
      <c r="AY49" s="33" t="str">
        <f t="shared" si="14"/>
        <v/>
      </c>
      <c r="AZ49" s="37"/>
      <c r="BA49" s="29"/>
      <c r="BB49" s="29" t="b">
        <v>0</v>
      </c>
      <c r="BC49" s="22" t="str">
        <f t="shared" si="15"/>
        <v/>
      </c>
      <c r="BD49" s="7">
        <f>IF(ISBLANK(AZ49), 0, VLOOKUP(AZ49, 'Price Sheet'!$A$2:$B1015, 2, false))</f>
        <v>0</v>
      </c>
      <c r="BE49" s="33" t="str">
        <f t="shared" si="16"/>
        <v/>
      </c>
      <c r="BF49" s="37"/>
      <c r="BG49" s="29"/>
      <c r="BH49" s="29" t="b">
        <v>0</v>
      </c>
      <c r="BI49" s="22" t="str">
        <f t="shared" si="17"/>
        <v/>
      </c>
      <c r="BJ49" s="7">
        <f>IF(ISBLANK(BF49), 0, VLOOKUP(BF49, 'Price Sheet'!$A$2:$B1015, 2, false))</f>
        <v>0</v>
      </c>
      <c r="BK49" s="33" t="str">
        <f t="shared" si="18"/>
        <v/>
      </c>
      <c r="BL49" s="37"/>
      <c r="BM49" s="29"/>
      <c r="BN49" s="29" t="b">
        <v>0</v>
      </c>
      <c r="BO49" s="22" t="str">
        <f t="shared" si="19"/>
        <v/>
      </c>
      <c r="BP49" s="7">
        <f>IF(ISBLANK(BL49), 0, VLOOKUP(BL49, 'Price Sheet'!$A$2:$B1015, 2, false))</f>
        <v>0</v>
      </c>
      <c r="BQ49" s="33" t="str">
        <f t="shared" si="20"/>
        <v/>
      </c>
    </row>
    <row r="50">
      <c r="A50" s="7" t="s">
        <v>475</v>
      </c>
      <c r="B50" s="19">
        <f t="shared" si="1"/>
        <v>0</v>
      </c>
      <c r="C50" s="29"/>
      <c r="D50" s="29"/>
      <c r="E50" s="7" t="str">
        <f>IF(ISBLANK(D50), "", VLOOKUP(D50,'Crafting Tables'!$A$2:$B1015, 2, false))</f>
        <v/>
      </c>
      <c r="F50" s="7" t="str">
        <f>IFERROR(IF(E50 = "None", 1, VLOOKUP(C50,General!$A$5:$L$35, SWITCH(E50, "Basic", 8, "Advanced", 10, "Modern", 12), false)),"")</f>
        <v/>
      </c>
      <c r="G50" s="29"/>
      <c r="H50" s="7">
        <f>IFERROR(VLOOKUP(C50, General!$A$5:$L$35, 6, false) * G50 / 1000, 0)</f>
        <v>0</v>
      </c>
      <c r="I50" s="29"/>
      <c r="J50" s="22" t="str">
        <f>IFERROR(I50*VLOOKUP(D50,'Crafting Tables'!$1:$1000, 4, false)*F50,"")</f>
        <v/>
      </c>
      <c r="K50" s="8" t="b">
        <v>1</v>
      </c>
      <c r="L50" s="37"/>
      <c r="M50" s="29"/>
      <c r="N50" s="21" t="str">
        <f t="shared" si="2"/>
        <v/>
      </c>
      <c r="P50" s="37"/>
      <c r="Q50" s="29"/>
      <c r="R50" s="29" t="b">
        <v>0</v>
      </c>
      <c r="S50" s="22" t="str">
        <f t="shared" si="3"/>
        <v/>
      </c>
      <c r="T50" s="7">
        <f>IF(ISBLANK(P50), 0, VLOOKUP(P50, 'Price Sheet'!$A$2:$B1015, 2, false))</f>
        <v>0</v>
      </c>
      <c r="U50" s="33" t="str">
        <f t="shared" si="4"/>
        <v/>
      </c>
      <c r="V50" s="37"/>
      <c r="W50" s="29"/>
      <c r="X50" s="29" t="b">
        <v>0</v>
      </c>
      <c r="Y50" s="22" t="str">
        <f t="shared" si="5"/>
        <v/>
      </c>
      <c r="Z50" s="7">
        <f>IF(ISBLANK(V50), 0, VLOOKUP(V50, 'Price Sheet'!$A$2:$B1015, 2, false))</f>
        <v>0</v>
      </c>
      <c r="AA50" s="33" t="str">
        <f t="shared" si="6"/>
        <v/>
      </c>
      <c r="AB50" s="37"/>
      <c r="AC50" s="29"/>
      <c r="AD50" s="29" t="b">
        <v>0</v>
      </c>
      <c r="AE50" s="22" t="str">
        <f t="shared" si="7"/>
        <v/>
      </c>
      <c r="AF50" s="7">
        <f>IF(ISBLANK(AB50), 0, VLOOKUP(AB50, 'Price Sheet'!$A$2:$B1015, 2, false))</f>
        <v>0</v>
      </c>
      <c r="AG50" s="33" t="str">
        <f t="shared" si="8"/>
        <v/>
      </c>
      <c r="AH50" s="37"/>
      <c r="AI50" s="29"/>
      <c r="AJ50" s="29" t="b">
        <v>0</v>
      </c>
      <c r="AK50" s="22" t="str">
        <f t="shared" si="9"/>
        <v/>
      </c>
      <c r="AL50" s="7">
        <f>IF(ISBLANK(AH50), 0, VLOOKUP(AH50, 'Price Sheet'!$A$2:$B1015, 2, false))</f>
        <v>0</v>
      </c>
      <c r="AM50" s="33" t="str">
        <f t="shared" si="10"/>
        <v/>
      </c>
      <c r="AN50" s="37"/>
      <c r="AO50" s="29"/>
      <c r="AP50" s="29" t="b">
        <v>0</v>
      </c>
      <c r="AQ50" s="22" t="str">
        <f t="shared" si="11"/>
        <v/>
      </c>
      <c r="AR50" s="7">
        <f>IF(ISBLANK(AN50), 0, VLOOKUP(AN50, 'Price Sheet'!$A$2:$B1015, 2, false))</f>
        <v>0</v>
      </c>
      <c r="AS50" s="33" t="str">
        <f t="shared" si="12"/>
        <v/>
      </c>
      <c r="AT50" s="37"/>
      <c r="AU50" s="29"/>
      <c r="AV50" s="29" t="b">
        <v>0</v>
      </c>
      <c r="AW50" s="22" t="str">
        <f t="shared" si="13"/>
        <v/>
      </c>
      <c r="AX50" s="7">
        <f>IF(ISBLANK(AT50), 0, VLOOKUP(AT50, 'Price Sheet'!$A$2:$B1015, 2, false))</f>
        <v>0</v>
      </c>
      <c r="AY50" s="33" t="str">
        <f t="shared" si="14"/>
        <v/>
      </c>
      <c r="AZ50" s="37"/>
      <c r="BA50" s="29"/>
      <c r="BB50" s="29" t="b">
        <v>0</v>
      </c>
      <c r="BC50" s="22" t="str">
        <f t="shared" si="15"/>
        <v/>
      </c>
      <c r="BD50" s="7">
        <f>IF(ISBLANK(AZ50), 0, VLOOKUP(AZ50, 'Price Sheet'!$A$2:$B1015, 2, false))</f>
        <v>0</v>
      </c>
      <c r="BE50" s="33" t="str">
        <f t="shared" si="16"/>
        <v/>
      </c>
      <c r="BF50" s="37"/>
      <c r="BG50" s="29"/>
      <c r="BH50" s="29" t="b">
        <v>0</v>
      </c>
      <c r="BI50" s="22" t="str">
        <f t="shared" si="17"/>
        <v/>
      </c>
      <c r="BJ50" s="7">
        <f>IF(ISBLANK(BF50), 0, VLOOKUP(BF50, 'Price Sheet'!$A$2:$B1015, 2, false))</f>
        <v>0</v>
      </c>
      <c r="BK50" s="33" t="str">
        <f t="shared" si="18"/>
        <v/>
      </c>
      <c r="BL50" s="37"/>
      <c r="BM50" s="29"/>
      <c r="BN50" s="29" t="b">
        <v>0</v>
      </c>
      <c r="BO50" s="22" t="str">
        <f t="shared" si="19"/>
        <v/>
      </c>
      <c r="BP50" s="7">
        <f>IF(ISBLANK(BL50), 0, VLOOKUP(BL50, 'Price Sheet'!$A$2:$B1015, 2, false))</f>
        <v>0</v>
      </c>
      <c r="BQ50" s="33" t="str">
        <f t="shared" si="20"/>
        <v/>
      </c>
    </row>
    <row r="51">
      <c r="A51" s="7" t="s">
        <v>147</v>
      </c>
      <c r="B51" s="19">
        <f t="shared" si="1"/>
        <v>16.44</v>
      </c>
      <c r="C51" s="8" t="s">
        <v>205</v>
      </c>
      <c r="D51" s="8" t="s">
        <v>100</v>
      </c>
      <c r="E51" s="7" t="str">
        <f>IF(ISBLANK(D51), "", VLOOKUP(D51,'Crafting Tables'!$A$2:$B1015, 2, false))</f>
        <v>Basic</v>
      </c>
      <c r="F51" s="7">
        <f>IFERROR(IF(E51 = "None", 1, VLOOKUP(C51,General!$A$5:$L$35, SWITCH(E51, "Basic", 8, "Advanced", 10, "Modern", 12), false)),"")</f>
        <v>0.55</v>
      </c>
      <c r="G51" s="8">
        <v>120.0</v>
      </c>
      <c r="H51" s="7">
        <f>IFERROR(VLOOKUP(C51, General!$A$5:$L$35, 6, false) * G51 / 1000, 0)</f>
        <v>4.8</v>
      </c>
      <c r="I51" s="29"/>
      <c r="J51" s="22">
        <f>IFERROR(I51*VLOOKUP(D51,'Crafting Tables'!$1:$1000, 4, false)*F51,"")</f>
        <v>0</v>
      </c>
      <c r="K51" s="8" t="b">
        <v>1</v>
      </c>
      <c r="L51" s="32" t="s">
        <v>147</v>
      </c>
      <c r="M51" s="8">
        <v>1.0</v>
      </c>
      <c r="N51" s="21">
        <f t="shared" si="2"/>
        <v>16.44</v>
      </c>
      <c r="P51" s="32" t="s">
        <v>81</v>
      </c>
      <c r="Q51" s="8">
        <v>16.0</v>
      </c>
      <c r="R51" s="29" t="b">
        <v>0</v>
      </c>
      <c r="S51" s="22">
        <f t="shared" si="3"/>
        <v>8.8</v>
      </c>
      <c r="T51" s="19">
        <f>IF(ISBLANK(P51), 0, VLOOKUP(P51, 'Price Sheet'!$A$2:$B1015, 2, false))</f>
        <v>0.8</v>
      </c>
      <c r="U51" s="33">
        <f t="shared" si="4"/>
        <v>7.04</v>
      </c>
      <c r="V51" s="32" t="s">
        <v>97</v>
      </c>
      <c r="W51" s="8">
        <v>1.0</v>
      </c>
      <c r="X51" s="8" t="b">
        <v>1</v>
      </c>
      <c r="Y51" s="22">
        <f t="shared" si="5"/>
        <v>1</v>
      </c>
      <c r="Z51" s="19">
        <f>IF(ISBLANK(V51), 0, VLOOKUP(V51, 'Price Sheet'!$A$2:$B1015, 2, false))</f>
        <v>4.6</v>
      </c>
      <c r="AA51" s="33">
        <f t="shared" si="6"/>
        <v>4.6</v>
      </c>
      <c r="AB51" s="37"/>
      <c r="AC51" s="29"/>
      <c r="AD51" s="29" t="b">
        <v>0</v>
      </c>
      <c r="AE51" s="22" t="str">
        <f t="shared" si="7"/>
        <v/>
      </c>
      <c r="AF51" s="7">
        <f>IF(ISBLANK(AB51), 0, VLOOKUP(AB51, 'Price Sheet'!$A$2:$B1015, 2, false))</f>
        <v>0</v>
      </c>
      <c r="AG51" s="33" t="str">
        <f t="shared" si="8"/>
        <v/>
      </c>
      <c r="AH51" s="37"/>
      <c r="AI51" s="29"/>
      <c r="AJ51" s="29" t="b">
        <v>0</v>
      </c>
      <c r="AK51" s="22" t="str">
        <f t="shared" si="9"/>
        <v/>
      </c>
      <c r="AL51" s="7">
        <f>IF(ISBLANK(AH51), 0, VLOOKUP(AH51, 'Price Sheet'!$A$2:$B1015, 2, false))</f>
        <v>0</v>
      </c>
      <c r="AM51" s="33" t="str">
        <f t="shared" si="10"/>
        <v/>
      </c>
      <c r="AN51" s="37"/>
      <c r="AO51" s="29"/>
      <c r="AP51" s="29" t="b">
        <v>0</v>
      </c>
      <c r="AQ51" s="22" t="str">
        <f t="shared" si="11"/>
        <v/>
      </c>
      <c r="AR51" s="7">
        <f>IF(ISBLANK(AN51), 0, VLOOKUP(AN51, 'Price Sheet'!$A$2:$B1015, 2, false))</f>
        <v>0</v>
      </c>
      <c r="AS51" s="33" t="str">
        <f t="shared" si="12"/>
        <v/>
      </c>
      <c r="AT51" s="37"/>
      <c r="AU51" s="29"/>
      <c r="AV51" s="29" t="b">
        <v>0</v>
      </c>
      <c r="AW51" s="22" t="str">
        <f t="shared" si="13"/>
        <v/>
      </c>
      <c r="AX51" s="7">
        <f>IF(ISBLANK(AT51), 0, VLOOKUP(AT51, 'Price Sheet'!$A$2:$B1015, 2, false))</f>
        <v>0</v>
      </c>
      <c r="AY51" s="33" t="str">
        <f t="shared" si="14"/>
        <v/>
      </c>
      <c r="AZ51" s="37"/>
      <c r="BA51" s="29"/>
      <c r="BB51" s="29" t="b">
        <v>0</v>
      </c>
      <c r="BC51" s="22" t="str">
        <f t="shared" si="15"/>
        <v/>
      </c>
      <c r="BD51" s="7">
        <f>IF(ISBLANK(AZ51), 0, VLOOKUP(AZ51, 'Price Sheet'!$A$2:$B1015, 2, false))</f>
        <v>0</v>
      </c>
      <c r="BE51" s="33" t="str">
        <f t="shared" si="16"/>
        <v/>
      </c>
      <c r="BF51" s="37"/>
      <c r="BG51" s="29"/>
      <c r="BH51" s="29" t="b">
        <v>0</v>
      </c>
      <c r="BI51" s="22" t="str">
        <f t="shared" si="17"/>
        <v/>
      </c>
      <c r="BJ51" s="7">
        <f>IF(ISBLANK(BF51), 0, VLOOKUP(BF51, 'Price Sheet'!$A$2:$B1015, 2, false))</f>
        <v>0</v>
      </c>
      <c r="BK51" s="33" t="str">
        <f t="shared" si="18"/>
        <v/>
      </c>
      <c r="BL51" s="37"/>
      <c r="BM51" s="29"/>
      <c r="BN51" s="29" t="b">
        <v>0</v>
      </c>
      <c r="BO51" s="22" t="str">
        <f t="shared" si="19"/>
        <v/>
      </c>
      <c r="BP51" s="7">
        <f>IF(ISBLANK(BL51), 0, VLOOKUP(BL51, 'Price Sheet'!$A$2:$B1015, 2, false))</f>
        <v>0</v>
      </c>
      <c r="BQ51" s="33" t="str">
        <f t="shared" si="20"/>
        <v/>
      </c>
    </row>
    <row r="52">
      <c r="A52" s="7" t="s">
        <v>152</v>
      </c>
      <c r="B52" s="19" t="str">
        <f t="shared" si="1"/>
        <v>#N/A</v>
      </c>
      <c r="C52" s="8" t="s">
        <v>68</v>
      </c>
      <c r="D52" s="8" t="s">
        <v>296</v>
      </c>
      <c r="E52" s="7" t="str">
        <f>IF(ISBLANK(D52), "", VLOOKUP(D52,'Crafting Tables'!$A$2:$B1015, 2, false))</f>
        <v>Advanced</v>
      </c>
      <c r="F52" s="7">
        <f>IFERROR(IF(E52 = "None", 1, VLOOKUP(C52,General!$A$5:$L$35, SWITCH(E52, "Basic", 8, "Advanced", 10, "Modern", 12), false)),"")</f>
        <v>1</v>
      </c>
      <c r="G52" s="8">
        <v>60.0</v>
      </c>
      <c r="H52" s="7">
        <f>IFERROR(VLOOKUP(C52, General!$A$5:$L$35, 6, false) * G52 / 1000, 0)</f>
        <v>2.4</v>
      </c>
      <c r="I52" s="8">
        <v>19.2</v>
      </c>
      <c r="J52" s="22">
        <f>IFERROR(I52*VLOOKUP(D52,'Crafting Tables'!$1:$1000, 4, false)*F52,"")</f>
        <v>0</v>
      </c>
      <c r="K52" s="8" t="b">
        <v>1</v>
      </c>
      <c r="L52" s="32" t="s">
        <v>152</v>
      </c>
      <c r="M52" s="8">
        <v>2.0</v>
      </c>
      <c r="N52" s="21" t="str">
        <f t="shared" si="2"/>
        <v>#N/A</v>
      </c>
      <c r="P52" s="32" t="s">
        <v>95</v>
      </c>
      <c r="Q52" s="8">
        <v>2.0</v>
      </c>
      <c r="R52" s="29" t="b">
        <v>0</v>
      </c>
      <c r="S52" s="22">
        <f t="shared" si="3"/>
        <v>2</v>
      </c>
      <c r="T52" s="19">
        <f>IF(ISBLANK(P52), 0, VLOOKUP(P52, 'Price Sheet'!$A$2:$B1015, 2, false))</f>
        <v>0.2</v>
      </c>
      <c r="U52" s="33">
        <f t="shared" si="4"/>
        <v>0.4</v>
      </c>
      <c r="V52" s="32" t="s">
        <v>476</v>
      </c>
      <c r="W52" s="8">
        <v>0.5</v>
      </c>
      <c r="X52" s="29" t="b">
        <v>0</v>
      </c>
      <c r="Y52" s="22">
        <f t="shared" si="5"/>
        <v>0.5</v>
      </c>
      <c r="Z52" s="7" t="str">
        <f>IF(ISBLANK(V52), 0, VLOOKUP(V52, 'Price Sheet'!$A$2:$B1015, 2, false))</f>
        <v>#N/A</v>
      </c>
      <c r="AA52" s="33" t="str">
        <f t="shared" si="6"/>
        <v>#N/A</v>
      </c>
      <c r="AB52" s="32" t="s">
        <v>83</v>
      </c>
      <c r="AC52" s="8">
        <v>10.0</v>
      </c>
      <c r="AD52" s="29" t="b">
        <v>0</v>
      </c>
      <c r="AE52" s="22">
        <f t="shared" si="7"/>
        <v>10</v>
      </c>
      <c r="AF52" s="19">
        <f>IF(ISBLANK(AB52), 0, VLOOKUP(AB52, 'Price Sheet'!$A$2:$B1015, 2, false))</f>
        <v>0.45</v>
      </c>
      <c r="AG52" s="33">
        <f t="shared" si="8"/>
        <v>4.5</v>
      </c>
      <c r="AH52" s="37"/>
      <c r="AI52" s="29"/>
      <c r="AJ52" s="29" t="b">
        <v>0</v>
      </c>
      <c r="AK52" s="22" t="str">
        <f t="shared" si="9"/>
        <v/>
      </c>
      <c r="AL52" s="7">
        <f>IF(ISBLANK(AH52), 0, VLOOKUP(AH52, 'Price Sheet'!$A$2:$B1015, 2, false))</f>
        <v>0</v>
      </c>
      <c r="AM52" s="33" t="str">
        <f t="shared" si="10"/>
        <v/>
      </c>
      <c r="AN52" s="37"/>
      <c r="AO52" s="29"/>
      <c r="AP52" s="29" t="b">
        <v>0</v>
      </c>
      <c r="AQ52" s="22" t="str">
        <f t="shared" si="11"/>
        <v/>
      </c>
      <c r="AR52" s="7">
        <f>IF(ISBLANK(AN52), 0, VLOOKUP(AN52, 'Price Sheet'!$A$2:$B1015, 2, false))</f>
        <v>0</v>
      </c>
      <c r="AS52" s="33" t="str">
        <f t="shared" si="12"/>
        <v/>
      </c>
      <c r="AT52" s="37"/>
      <c r="AU52" s="29"/>
      <c r="AV52" s="29" t="b">
        <v>0</v>
      </c>
      <c r="AW52" s="22" t="str">
        <f t="shared" si="13"/>
        <v/>
      </c>
      <c r="AX52" s="7">
        <f>IF(ISBLANK(AT52), 0, VLOOKUP(AT52, 'Price Sheet'!$A$2:$B1015, 2, false))</f>
        <v>0</v>
      </c>
      <c r="AY52" s="33" t="str">
        <f t="shared" si="14"/>
        <v/>
      </c>
      <c r="AZ52" s="37"/>
      <c r="BA52" s="29"/>
      <c r="BB52" s="29" t="b">
        <v>0</v>
      </c>
      <c r="BC52" s="22" t="str">
        <f t="shared" si="15"/>
        <v/>
      </c>
      <c r="BD52" s="7">
        <f>IF(ISBLANK(AZ52), 0, VLOOKUP(AZ52, 'Price Sheet'!$A$2:$B1015, 2, false))</f>
        <v>0</v>
      </c>
      <c r="BE52" s="33" t="str">
        <f t="shared" si="16"/>
        <v/>
      </c>
      <c r="BF52" s="37"/>
      <c r="BG52" s="29"/>
      <c r="BH52" s="29" t="b">
        <v>0</v>
      </c>
      <c r="BI52" s="22" t="str">
        <f t="shared" si="17"/>
        <v/>
      </c>
      <c r="BJ52" s="7">
        <f>IF(ISBLANK(BF52), 0, VLOOKUP(BF52, 'Price Sheet'!$A$2:$B1015, 2, false))</f>
        <v>0</v>
      </c>
      <c r="BK52" s="33" t="str">
        <f t="shared" si="18"/>
        <v/>
      </c>
      <c r="BL52" s="37"/>
      <c r="BM52" s="29"/>
      <c r="BN52" s="29" t="b">
        <v>0</v>
      </c>
      <c r="BO52" s="22" t="str">
        <f t="shared" si="19"/>
        <v/>
      </c>
      <c r="BP52" s="7">
        <f>IF(ISBLANK(BL52), 0, VLOOKUP(BL52, 'Price Sheet'!$A$2:$B1015, 2, false))</f>
        <v>0</v>
      </c>
      <c r="BQ52" s="33" t="str">
        <f t="shared" si="20"/>
        <v/>
      </c>
    </row>
    <row r="53">
      <c r="A53" s="7" t="s">
        <v>153</v>
      </c>
      <c r="B53" s="19">
        <f t="shared" si="1"/>
        <v>124.75</v>
      </c>
      <c r="C53" s="8" t="s">
        <v>68</v>
      </c>
      <c r="D53" s="8" t="s">
        <v>296</v>
      </c>
      <c r="E53" s="7" t="str">
        <f>IF(ISBLANK(D53), "", VLOOKUP(D53,'Crafting Tables'!$A$2:$B1015, 2, false))</f>
        <v>Advanced</v>
      </c>
      <c r="F53" s="7">
        <f>IFERROR(IF(E53 = "None", 1, VLOOKUP(C53,General!$A$5:$L$35, SWITCH(E53, "Basic", 8, "Advanced", 10, "Modern", 12), false)),"")</f>
        <v>1</v>
      </c>
      <c r="G53" s="8">
        <v>1200.0</v>
      </c>
      <c r="H53" s="7">
        <f>IFERROR(VLOOKUP(C53, General!$A$5:$L$35, 6, false) * G53 / 1000, 0)</f>
        <v>48</v>
      </c>
      <c r="I53" s="29"/>
      <c r="J53" s="22">
        <f>IFERROR(I53*VLOOKUP(D53,'Crafting Tables'!$1:$1000, 4, false)*F53,"")</f>
        <v>0</v>
      </c>
      <c r="K53" s="8" t="b">
        <v>1</v>
      </c>
      <c r="L53" s="32" t="s">
        <v>153</v>
      </c>
      <c r="M53" s="8">
        <v>1.0</v>
      </c>
      <c r="N53" s="21">
        <f t="shared" si="2"/>
        <v>124.75</v>
      </c>
      <c r="P53" s="32" t="s">
        <v>152</v>
      </c>
      <c r="Q53" s="8">
        <v>20.0</v>
      </c>
      <c r="R53" s="29" t="b">
        <v>0</v>
      </c>
      <c r="S53" s="22">
        <f t="shared" si="3"/>
        <v>20</v>
      </c>
      <c r="T53" s="19">
        <f>IF(ISBLANK(P53), 0, VLOOKUP(P53, 'Price Sheet'!$A$2:$B1015, 2, false))</f>
        <v>3.5</v>
      </c>
      <c r="U53" s="33">
        <f t="shared" si="4"/>
        <v>70</v>
      </c>
      <c r="V53" s="32" t="s">
        <v>83</v>
      </c>
      <c r="W53" s="8">
        <v>15.0</v>
      </c>
      <c r="X53" s="29" t="b">
        <v>0</v>
      </c>
      <c r="Y53" s="22">
        <f t="shared" si="5"/>
        <v>15</v>
      </c>
      <c r="Z53" s="19">
        <f>IF(ISBLANK(V53), 0, VLOOKUP(V53, 'Price Sheet'!$A$2:$B1015, 2, false))</f>
        <v>0.45</v>
      </c>
      <c r="AA53" s="33">
        <f t="shared" si="6"/>
        <v>6.75</v>
      </c>
      <c r="AB53" s="37"/>
      <c r="AC53" s="29"/>
      <c r="AD53" s="29" t="b">
        <v>0</v>
      </c>
      <c r="AE53" s="22" t="str">
        <f t="shared" si="7"/>
        <v/>
      </c>
      <c r="AF53" s="7">
        <f>IF(ISBLANK(AB53), 0, VLOOKUP(AB53, 'Price Sheet'!$A$2:$B1015, 2, false))</f>
        <v>0</v>
      </c>
      <c r="AG53" s="33" t="str">
        <f t="shared" si="8"/>
        <v/>
      </c>
      <c r="AH53" s="37"/>
      <c r="AI53" s="29"/>
      <c r="AJ53" s="29" t="b">
        <v>0</v>
      </c>
      <c r="AK53" s="22" t="str">
        <f t="shared" si="9"/>
        <v/>
      </c>
      <c r="AL53" s="7">
        <f>IF(ISBLANK(AH53), 0, VLOOKUP(AH53, 'Price Sheet'!$A$2:$B1015, 2, false))</f>
        <v>0</v>
      </c>
      <c r="AM53" s="33" t="str">
        <f t="shared" si="10"/>
        <v/>
      </c>
      <c r="AN53" s="37"/>
      <c r="AO53" s="29"/>
      <c r="AP53" s="29" t="b">
        <v>0</v>
      </c>
      <c r="AQ53" s="22" t="str">
        <f t="shared" si="11"/>
        <v/>
      </c>
      <c r="AR53" s="7">
        <f>IF(ISBLANK(AN53), 0, VLOOKUP(AN53, 'Price Sheet'!$A$2:$B1015, 2, false))</f>
        <v>0</v>
      </c>
      <c r="AS53" s="33" t="str">
        <f t="shared" si="12"/>
        <v/>
      </c>
      <c r="AT53" s="37"/>
      <c r="AU53" s="29"/>
      <c r="AV53" s="29" t="b">
        <v>0</v>
      </c>
      <c r="AW53" s="22" t="str">
        <f t="shared" si="13"/>
        <v/>
      </c>
      <c r="AX53" s="7">
        <f>IF(ISBLANK(AT53), 0, VLOOKUP(AT53, 'Price Sheet'!$A$2:$B1015, 2, false))</f>
        <v>0</v>
      </c>
      <c r="AY53" s="33" t="str">
        <f t="shared" si="14"/>
        <v/>
      </c>
      <c r="AZ53" s="37"/>
      <c r="BA53" s="29"/>
      <c r="BB53" s="29" t="b">
        <v>0</v>
      </c>
      <c r="BC53" s="22" t="str">
        <f t="shared" si="15"/>
        <v/>
      </c>
      <c r="BD53" s="7">
        <f>IF(ISBLANK(AZ53), 0, VLOOKUP(AZ53, 'Price Sheet'!$A$2:$B1015, 2, false))</f>
        <v>0</v>
      </c>
      <c r="BE53" s="33" t="str">
        <f t="shared" si="16"/>
        <v/>
      </c>
      <c r="BF53" s="37"/>
      <c r="BG53" s="29"/>
      <c r="BH53" s="29" t="b">
        <v>0</v>
      </c>
      <c r="BI53" s="22" t="str">
        <f t="shared" si="17"/>
        <v/>
      </c>
      <c r="BJ53" s="7">
        <f>IF(ISBLANK(BF53), 0, VLOOKUP(BF53, 'Price Sheet'!$A$2:$B1015, 2, false))</f>
        <v>0</v>
      </c>
      <c r="BK53" s="33" t="str">
        <f t="shared" si="18"/>
        <v/>
      </c>
      <c r="BL53" s="37"/>
      <c r="BM53" s="29"/>
      <c r="BN53" s="29" t="b">
        <v>0</v>
      </c>
      <c r="BO53" s="22" t="str">
        <f t="shared" si="19"/>
        <v/>
      </c>
      <c r="BP53" s="7">
        <f>IF(ISBLANK(BL53), 0, VLOOKUP(BL53, 'Price Sheet'!$A$2:$B1015, 2, false))</f>
        <v>0</v>
      </c>
      <c r="BQ53" s="33" t="str">
        <f t="shared" si="20"/>
        <v/>
      </c>
    </row>
    <row r="54">
      <c r="A54" s="7" t="s">
        <v>154</v>
      </c>
      <c r="B54" s="19">
        <f t="shared" si="1"/>
        <v>0</v>
      </c>
      <c r="C54" s="29"/>
      <c r="D54" s="29"/>
      <c r="E54" s="7" t="str">
        <f>IF(ISBLANK(D54), "", VLOOKUP(D54,'Crafting Tables'!$A$2:$B1015, 2, false))</f>
        <v/>
      </c>
      <c r="F54" s="7" t="str">
        <f>IFERROR(IF(E54 = "None", 1, VLOOKUP(C54,General!$A$5:$L$35, SWITCH(E54, "Basic", 8, "Advanced", 10, "Modern", 12), false)),"")</f>
        <v/>
      </c>
      <c r="G54" s="29"/>
      <c r="H54" s="7">
        <f>IFERROR(VLOOKUP(C54, General!$A$5:$L$35, 6, false) * G54 / 1000, 0)</f>
        <v>0</v>
      </c>
      <c r="I54" s="29"/>
      <c r="J54" s="22" t="str">
        <f>IFERROR(I54*VLOOKUP(D54,'Crafting Tables'!$1:$1000, 4, false)*F54,"")</f>
        <v/>
      </c>
      <c r="K54" s="8" t="b">
        <v>0</v>
      </c>
      <c r="L54" s="37"/>
      <c r="M54" s="29"/>
      <c r="N54" s="21" t="str">
        <f t="shared" si="2"/>
        <v/>
      </c>
      <c r="P54" s="37"/>
      <c r="Q54" s="29"/>
      <c r="R54" s="29" t="b">
        <v>0</v>
      </c>
      <c r="S54" s="22" t="str">
        <f t="shared" si="3"/>
        <v/>
      </c>
      <c r="T54" s="7">
        <f>IF(ISBLANK(P54), 0, VLOOKUP(P54, 'Price Sheet'!$A$2:$B1015, 2, false))</f>
        <v>0</v>
      </c>
      <c r="U54" s="33" t="str">
        <f t="shared" si="4"/>
        <v/>
      </c>
      <c r="V54" s="37"/>
      <c r="W54" s="29"/>
      <c r="X54" s="29" t="b">
        <v>0</v>
      </c>
      <c r="Y54" s="22" t="str">
        <f t="shared" si="5"/>
        <v/>
      </c>
      <c r="Z54" s="7">
        <f>IF(ISBLANK(V54), 0, VLOOKUP(V54, 'Price Sheet'!$A$2:$B1015, 2, false))</f>
        <v>0</v>
      </c>
      <c r="AA54" s="33" t="str">
        <f t="shared" si="6"/>
        <v/>
      </c>
      <c r="AB54" s="37"/>
      <c r="AC54" s="29"/>
      <c r="AD54" s="29" t="b">
        <v>0</v>
      </c>
      <c r="AE54" s="22" t="str">
        <f t="shared" si="7"/>
        <v/>
      </c>
      <c r="AF54" s="7">
        <f>IF(ISBLANK(AB54), 0, VLOOKUP(AB54, 'Price Sheet'!$A$2:$B1015, 2, false))</f>
        <v>0</v>
      </c>
      <c r="AG54" s="33" t="str">
        <f t="shared" si="8"/>
        <v/>
      </c>
      <c r="AH54" s="37"/>
      <c r="AI54" s="29"/>
      <c r="AJ54" s="29" t="b">
        <v>0</v>
      </c>
      <c r="AK54" s="22" t="str">
        <f t="shared" si="9"/>
        <v/>
      </c>
      <c r="AL54" s="7">
        <f>IF(ISBLANK(AH54), 0, VLOOKUP(AH54, 'Price Sheet'!$A$2:$B1015, 2, false))</f>
        <v>0</v>
      </c>
      <c r="AM54" s="33" t="str">
        <f t="shared" si="10"/>
        <v/>
      </c>
      <c r="AN54" s="37"/>
      <c r="AO54" s="29"/>
      <c r="AP54" s="29" t="b">
        <v>0</v>
      </c>
      <c r="AQ54" s="22" t="str">
        <f t="shared" si="11"/>
        <v/>
      </c>
      <c r="AR54" s="7">
        <f>IF(ISBLANK(AN54), 0, VLOOKUP(AN54, 'Price Sheet'!$A$2:$B1015, 2, false))</f>
        <v>0</v>
      </c>
      <c r="AS54" s="33" t="str">
        <f t="shared" si="12"/>
        <v/>
      </c>
      <c r="AT54" s="37"/>
      <c r="AU54" s="29"/>
      <c r="AV54" s="29" t="b">
        <v>0</v>
      </c>
      <c r="AW54" s="22" t="str">
        <f t="shared" si="13"/>
        <v/>
      </c>
      <c r="AX54" s="7">
        <f>IF(ISBLANK(AT54), 0, VLOOKUP(AT54, 'Price Sheet'!$A$2:$B1015, 2, false))</f>
        <v>0</v>
      </c>
      <c r="AY54" s="33" t="str">
        <f t="shared" si="14"/>
        <v/>
      </c>
      <c r="AZ54" s="37"/>
      <c r="BA54" s="29"/>
      <c r="BB54" s="29" t="b">
        <v>0</v>
      </c>
      <c r="BC54" s="22" t="str">
        <f t="shared" si="15"/>
        <v/>
      </c>
      <c r="BD54" s="7">
        <f>IF(ISBLANK(AZ54), 0, VLOOKUP(AZ54, 'Price Sheet'!$A$2:$B1015, 2, false))</f>
        <v>0</v>
      </c>
      <c r="BE54" s="33" t="str">
        <f t="shared" si="16"/>
        <v/>
      </c>
      <c r="BF54" s="37"/>
      <c r="BG54" s="29"/>
      <c r="BH54" s="29" t="b">
        <v>0</v>
      </c>
      <c r="BI54" s="22" t="str">
        <f t="shared" si="17"/>
        <v/>
      </c>
      <c r="BJ54" s="7">
        <f>IF(ISBLANK(BF54), 0, VLOOKUP(BF54, 'Price Sheet'!$A$2:$B1015, 2, false))</f>
        <v>0</v>
      </c>
      <c r="BK54" s="33" t="str">
        <f t="shared" si="18"/>
        <v/>
      </c>
      <c r="BL54" s="37"/>
      <c r="BM54" s="29"/>
      <c r="BN54" s="29" t="b">
        <v>0</v>
      </c>
      <c r="BO54" s="22" t="str">
        <f t="shared" si="19"/>
        <v/>
      </c>
      <c r="BP54" s="7">
        <f>IF(ISBLANK(BL54), 0, VLOOKUP(BL54, 'Price Sheet'!$A$2:$B1015, 2, false))</f>
        <v>0</v>
      </c>
      <c r="BQ54" s="33" t="str">
        <f t="shared" si="20"/>
        <v/>
      </c>
    </row>
    <row r="55">
      <c r="A55" s="7" t="s">
        <v>156</v>
      </c>
      <c r="B55" s="19">
        <f t="shared" si="1"/>
        <v>37.3</v>
      </c>
      <c r="C55" s="8" t="s">
        <v>68</v>
      </c>
      <c r="D55" s="8" t="s">
        <v>296</v>
      </c>
      <c r="E55" s="7" t="str">
        <f>IF(ISBLANK(D55), "", VLOOKUP(D55,'Crafting Tables'!$A$2:$B1015, 2, false))</f>
        <v>Advanced</v>
      </c>
      <c r="F55" s="7">
        <f>IFERROR(IF(E55 = "None", 1, VLOOKUP(C55,General!$A$5:$L$35, SWITCH(E55, "Basic", 8, "Advanced", 10, "Modern", 12), false)),"")</f>
        <v>1</v>
      </c>
      <c r="G55" s="8">
        <v>120.0</v>
      </c>
      <c r="H55" s="7">
        <f>IFERROR(VLOOKUP(C55, General!$A$5:$L$35, 6, false) * G55 / 1000, 0)</f>
        <v>4.8</v>
      </c>
      <c r="I55" s="29"/>
      <c r="J55" s="22">
        <f>IFERROR(I55*VLOOKUP(D55,'Crafting Tables'!$1:$1000, 4, false)*F55,"")</f>
        <v>0</v>
      </c>
      <c r="K55" s="8" t="b">
        <v>1</v>
      </c>
      <c r="L55" s="32" t="s">
        <v>156</v>
      </c>
      <c r="M55" s="8">
        <v>1.0</v>
      </c>
      <c r="N55" s="21">
        <f t="shared" si="2"/>
        <v>37.3</v>
      </c>
      <c r="P55" s="32" t="s">
        <v>152</v>
      </c>
      <c r="Q55" s="8">
        <v>8.0</v>
      </c>
      <c r="R55" s="29" t="b">
        <v>0</v>
      </c>
      <c r="S55" s="22">
        <f t="shared" si="3"/>
        <v>8</v>
      </c>
      <c r="T55" s="19">
        <f>IF(ISBLANK(P55), 0, VLOOKUP(P55, 'Price Sheet'!$A$2:$B1015, 2, false))</f>
        <v>3.5</v>
      </c>
      <c r="U55" s="33">
        <f t="shared" si="4"/>
        <v>28</v>
      </c>
      <c r="V55" s="32" t="s">
        <v>83</v>
      </c>
      <c r="W55" s="8">
        <v>10.0</v>
      </c>
      <c r="X55" s="29" t="b">
        <v>0</v>
      </c>
      <c r="Y55" s="22">
        <f t="shared" si="5"/>
        <v>10</v>
      </c>
      <c r="Z55" s="19">
        <f>IF(ISBLANK(V55), 0, VLOOKUP(V55, 'Price Sheet'!$A$2:$B1015, 2, false))</f>
        <v>0.45</v>
      </c>
      <c r="AA55" s="33">
        <f t="shared" si="6"/>
        <v>4.5</v>
      </c>
      <c r="AB55" s="37"/>
      <c r="AC55" s="29"/>
      <c r="AD55" s="29" t="b">
        <v>0</v>
      </c>
      <c r="AE55" s="22" t="str">
        <f t="shared" si="7"/>
        <v/>
      </c>
      <c r="AF55" s="7">
        <f>IF(ISBLANK(AB55), 0, VLOOKUP(AB55, 'Price Sheet'!$A$2:$B1015, 2, false))</f>
        <v>0</v>
      </c>
      <c r="AG55" s="33" t="str">
        <f t="shared" si="8"/>
        <v/>
      </c>
      <c r="AH55" s="37"/>
      <c r="AI55" s="29"/>
      <c r="AJ55" s="29" t="b">
        <v>0</v>
      </c>
      <c r="AK55" s="22" t="str">
        <f t="shared" si="9"/>
        <v/>
      </c>
      <c r="AL55" s="7">
        <f>IF(ISBLANK(AH55), 0, VLOOKUP(AH55, 'Price Sheet'!$A$2:$B1015, 2, false))</f>
        <v>0</v>
      </c>
      <c r="AM55" s="33" t="str">
        <f t="shared" si="10"/>
        <v/>
      </c>
      <c r="AN55" s="37"/>
      <c r="AO55" s="29"/>
      <c r="AP55" s="29" t="b">
        <v>0</v>
      </c>
      <c r="AQ55" s="22" t="str">
        <f t="shared" si="11"/>
        <v/>
      </c>
      <c r="AR55" s="7">
        <f>IF(ISBLANK(AN55), 0, VLOOKUP(AN55, 'Price Sheet'!$A$2:$B1015, 2, false))</f>
        <v>0</v>
      </c>
      <c r="AS55" s="33" t="str">
        <f t="shared" si="12"/>
        <v/>
      </c>
      <c r="AT55" s="37"/>
      <c r="AU55" s="29"/>
      <c r="AV55" s="29" t="b">
        <v>0</v>
      </c>
      <c r="AW55" s="22" t="str">
        <f t="shared" si="13"/>
        <v/>
      </c>
      <c r="AX55" s="7">
        <f>IF(ISBLANK(AT55), 0, VLOOKUP(AT55, 'Price Sheet'!$A$2:$B1015, 2, false))</f>
        <v>0</v>
      </c>
      <c r="AY55" s="33" t="str">
        <f t="shared" si="14"/>
        <v/>
      </c>
      <c r="AZ55" s="37"/>
      <c r="BA55" s="29"/>
      <c r="BB55" s="29" t="b">
        <v>0</v>
      </c>
      <c r="BC55" s="22" t="str">
        <f t="shared" si="15"/>
        <v/>
      </c>
      <c r="BD55" s="7">
        <f>IF(ISBLANK(AZ55), 0, VLOOKUP(AZ55, 'Price Sheet'!$A$2:$B1015, 2, false))</f>
        <v>0</v>
      </c>
      <c r="BE55" s="33" t="str">
        <f t="shared" si="16"/>
        <v/>
      </c>
      <c r="BF55" s="37"/>
      <c r="BG55" s="29"/>
      <c r="BH55" s="29" t="b">
        <v>0</v>
      </c>
      <c r="BI55" s="22" t="str">
        <f t="shared" si="17"/>
        <v/>
      </c>
      <c r="BJ55" s="7">
        <f>IF(ISBLANK(BF55), 0, VLOOKUP(BF55, 'Price Sheet'!$A$2:$B1015, 2, false))</f>
        <v>0</v>
      </c>
      <c r="BK55" s="33" t="str">
        <f t="shared" si="18"/>
        <v/>
      </c>
      <c r="BL55" s="37"/>
      <c r="BM55" s="29"/>
      <c r="BN55" s="29" t="b">
        <v>0</v>
      </c>
      <c r="BO55" s="22" t="str">
        <f t="shared" si="19"/>
        <v/>
      </c>
      <c r="BP55" s="7">
        <f>IF(ISBLANK(BL55), 0, VLOOKUP(BL55, 'Price Sheet'!$A$2:$B1015, 2, false))</f>
        <v>0</v>
      </c>
      <c r="BQ55" s="33" t="str">
        <f t="shared" si="20"/>
        <v/>
      </c>
    </row>
    <row r="56">
      <c r="A56" s="7" t="s">
        <v>157</v>
      </c>
      <c r="B56" s="19">
        <f t="shared" si="1"/>
        <v>37.3</v>
      </c>
      <c r="C56" s="8" t="s">
        <v>68</v>
      </c>
      <c r="D56" s="8" t="s">
        <v>296</v>
      </c>
      <c r="E56" s="7" t="str">
        <f>IF(ISBLANK(D56), "", VLOOKUP(D56,'Crafting Tables'!$A$2:$B1015, 2, false))</f>
        <v>Advanced</v>
      </c>
      <c r="F56" s="7">
        <f>IFERROR(IF(E56 = "None", 1, VLOOKUP(C56,General!$A$5:$L$35, SWITCH(E56, "Basic", 8, "Advanced", 10, "Modern", 12), false)),"")</f>
        <v>1</v>
      </c>
      <c r="G56" s="8">
        <v>120.0</v>
      </c>
      <c r="H56" s="7">
        <f>IFERROR(VLOOKUP(C56, General!$A$5:$L$35, 6, false) * G56 / 1000, 0)</f>
        <v>4.8</v>
      </c>
      <c r="I56" s="29"/>
      <c r="J56" s="22">
        <f>IFERROR(I56*VLOOKUP(D56,'Crafting Tables'!$1:$1000, 4, false)*F56,"")</f>
        <v>0</v>
      </c>
      <c r="K56" s="8" t="b">
        <v>1</v>
      </c>
      <c r="L56" s="32" t="s">
        <v>157</v>
      </c>
      <c r="M56" s="8">
        <v>1.0</v>
      </c>
      <c r="N56" s="21">
        <f t="shared" si="2"/>
        <v>37.3</v>
      </c>
      <c r="P56" s="32" t="s">
        <v>152</v>
      </c>
      <c r="Q56" s="8">
        <v>8.0</v>
      </c>
      <c r="R56" s="29" t="b">
        <v>0</v>
      </c>
      <c r="S56" s="22">
        <f t="shared" si="3"/>
        <v>8</v>
      </c>
      <c r="T56" s="19">
        <f>IF(ISBLANK(P56), 0, VLOOKUP(P56, 'Price Sheet'!$A$2:$B1015, 2, false))</f>
        <v>3.5</v>
      </c>
      <c r="U56" s="33">
        <f t="shared" si="4"/>
        <v>28</v>
      </c>
      <c r="V56" s="32" t="s">
        <v>83</v>
      </c>
      <c r="W56" s="8">
        <v>10.0</v>
      </c>
      <c r="X56" s="29" t="b">
        <v>0</v>
      </c>
      <c r="Y56" s="22">
        <f t="shared" si="5"/>
        <v>10</v>
      </c>
      <c r="Z56" s="19">
        <f>IF(ISBLANK(V56), 0, VLOOKUP(V56, 'Price Sheet'!$A$2:$B1015, 2, false))</f>
        <v>0.45</v>
      </c>
      <c r="AA56" s="33">
        <f t="shared" si="6"/>
        <v>4.5</v>
      </c>
      <c r="AB56" s="37"/>
      <c r="AC56" s="29"/>
      <c r="AD56" s="29" t="b">
        <v>0</v>
      </c>
      <c r="AE56" s="22" t="str">
        <f t="shared" si="7"/>
        <v/>
      </c>
      <c r="AF56" s="7">
        <f>IF(ISBLANK(AB56), 0, VLOOKUP(AB56, 'Price Sheet'!$A$2:$B1015, 2, false))</f>
        <v>0</v>
      </c>
      <c r="AG56" s="33" t="str">
        <f t="shared" si="8"/>
        <v/>
      </c>
      <c r="AH56" s="37"/>
      <c r="AI56" s="29"/>
      <c r="AJ56" s="29" t="b">
        <v>0</v>
      </c>
      <c r="AK56" s="22" t="str">
        <f t="shared" si="9"/>
        <v/>
      </c>
      <c r="AL56" s="7">
        <f>IF(ISBLANK(AH56), 0, VLOOKUP(AH56, 'Price Sheet'!$A$2:$B1015, 2, false))</f>
        <v>0</v>
      </c>
      <c r="AM56" s="33" t="str">
        <f t="shared" si="10"/>
        <v/>
      </c>
      <c r="AN56" s="37"/>
      <c r="AO56" s="29"/>
      <c r="AP56" s="29" t="b">
        <v>0</v>
      </c>
      <c r="AQ56" s="22" t="str">
        <f t="shared" si="11"/>
        <v/>
      </c>
      <c r="AR56" s="7">
        <f>IF(ISBLANK(AN56), 0, VLOOKUP(AN56, 'Price Sheet'!$A$2:$B1015, 2, false))</f>
        <v>0</v>
      </c>
      <c r="AS56" s="33" t="str">
        <f t="shared" si="12"/>
        <v/>
      </c>
      <c r="AT56" s="37"/>
      <c r="AU56" s="29"/>
      <c r="AV56" s="29" t="b">
        <v>0</v>
      </c>
      <c r="AW56" s="22" t="str">
        <f t="shared" si="13"/>
        <v/>
      </c>
      <c r="AX56" s="7">
        <f>IF(ISBLANK(AT56), 0, VLOOKUP(AT56, 'Price Sheet'!$A$2:$B1015, 2, false))</f>
        <v>0</v>
      </c>
      <c r="AY56" s="33" t="str">
        <f t="shared" si="14"/>
        <v/>
      </c>
      <c r="AZ56" s="37"/>
      <c r="BA56" s="29"/>
      <c r="BB56" s="29" t="b">
        <v>0</v>
      </c>
      <c r="BC56" s="22" t="str">
        <f t="shared" si="15"/>
        <v/>
      </c>
      <c r="BD56" s="7">
        <f>IF(ISBLANK(AZ56), 0, VLOOKUP(AZ56, 'Price Sheet'!$A$2:$B1015, 2, false))</f>
        <v>0</v>
      </c>
      <c r="BE56" s="33" t="str">
        <f t="shared" si="16"/>
        <v/>
      </c>
      <c r="BF56" s="37"/>
      <c r="BG56" s="29"/>
      <c r="BH56" s="29" t="b">
        <v>0</v>
      </c>
      <c r="BI56" s="22" t="str">
        <f t="shared" si="17"/>
        <v/>
      </c>
      <c r="BJ56" s="7">
        <f>IF(ISBLANK(BF56), 0, VLOOKUP(BF56, 'Price Sheet'!$A$2:$B1015, 2, false))</f>
        <v>0</v>
      </c>
      <c r="BK56" s="33" t="str">
        <f t="shared" si="18"/>
        <v/>
      </c>
      <c r="BL56" s="37"/>
      <c r="BM56" s="29"/>
      <c r="BN56" s="29" t="b">
        <v>0</v>
      </c>
      <c r="BO56" s="22" t="str">
        <f t="shared" si="19"/>
        <v/>
      </c>
      <c r="BP56" s="7">
        <f>IF(ISBLANK(BL56), 0, VLOOKUP(BL56, 'Price Sheet'!$A$2:$B1015, 2, false))</f>
        <v>0</v>
      </c>
      <c r="BQ56" s="33" t="str">
        <f t="shared" si="20"/>
        <v/>
      </c>
    </row>
    <row r="57">
      <c r="A57" s="7" t="s">
        <v>160</v>
      </c>
      <c r="B57" s="19">
        <f t="shared" si="1"/>
        <v>19.1</v>
      </c>
      <c r="C57" s="8" t="s">
        <v>68</v>
      </c>
      <c r="D57" s="8" t="s">
        <v>296</v>
      </c>
      <c r="E57" s="7" t="str">
        <f>IF(ISBLANK(D57), "", VLOOKUP(D57,'Crafting Tables'!$A$2:$B1015, 2, false))</f>
        <v>Advanced</v>
      </c>
      <c r="F57" s="7">
        <f>IFERROR(IF(E57 = "None", 1, VLOOKUP(C57,General!$A$5:$L$35, SWITCH(E57, "Basic", 8, "Advanced", 10, "Modern", 12), false)),"")</f>
        <v>1</v>
      </c>
      <c r="G57" s="8">
        <v>60.0</v>
      </c>
      <c r="H57" s="7">
        <f>IFERROR(VLOOKUP(C57, General!$A$5:$L$35, 6, false) * G57 / 1000, 0)</f>
        <v>2.4</v>
      </c>
      <c r="I57" s="29"/>
      <c r="J57" s="22">
        <f>IFERROR(I57*VLOOKUP(D57,'Crafting Tables'!$1:$1000, 4, false)*F57,"")</f>
        <v>0</v>
      </c>
      <c r="K57" s="8" t="b">
        <v>1</v>
      </c>
      <c r="L57" s="32" t="s">
        <v>160</v>
      </c>
      <c r="M57" s="8">
        <v>1.0</v>
      </c>
      <c r="N57" s="21">
        <f t="shared" si="2"/>
        <v>19.1</v>
      </c>
      <c r="P57" s="32" t="s">
        <v>152</v>
      </c>
      <c r="Q57" s="8">
        <v>4.0</v>
      </c>
      <c r="R57" s="29" t="b">
        <v>0</v>
      </c>
      <c r="S57" s="22">
        <f t="shared" si="3"/>
        <v>4</v>
      </c>
      <c r="T57" s="19">
        <f>IF(ISBLANK(P57), 0, VLOOKUP(P57, 'Price Sheet'!$A$2:$B1015, 2, false))</f>
        <v>3.5</v>
      </c>
      <c r="U57" s="33">
        <f t="shared" si="4"/>
        <v>14</v>
      </c>
      <c r="V57" s="32" t="s">
        <v>83</v>
      </c>
      <c r="W57" s="8">
        <v>6.0</v>
      </c>
      <c r="X57" s="29" t="b">
        <v>0</v>
      </c>
      <c r="Y57" s="22">
        <f t="shared" si="5"/>
        <v>6</v>
      </c>
      <c r="Z57" s="19">
        <f>IF(ISBLANK(V57), 0, VLOOKUP(V57, 'Price Sheet'!$A$2:$B1015, 2, false))</f>
        <v>0.45</v>
      </c>
      <c r="AA57" s="33">
        <f t="shared" si="6"/>
        <v>2.7</v>
      </c>
      <c r="AB57" s="37"/>
      <c r="AC57" s="29"/>
      <c r="AD57" s="29" t="b">
        <v>0</v>
      </c>
      <c r="AE57" s="22" t="str">
        <f t="shared" si="7"/>
        <v/>
      </c>
      <c r="AF57" s="7">
        <f>IF(ISBLANK(AB57), 0, VLOOKUP(AB57, 'Price Sheet'!$A$2:$B1015, 2, false))</f>
        <v>0</v>
      </c>
      <c r="AG57" s="33" t="str">
        <f t="shared" si="8"/>
        <v/>
      </c>
      <c r="AH57" s="37"/>
      <c r="AI57" s="29"/>
      <c r="AJ57" s="29" t="b">
        <v>0</v>
      </c>
      <c r="AK57" s="22" t="str">
        <f t="shared" si="9"/>
        <v/>
      </c>
      <c r="AL57" s="7">
        <f>IF(ISBLANK(AH57), 0, VLOOKUP(AH57, 'Price Sheet'!$A$2:$B1015, 2, false))</f>
        <v>0</v>
      </c>
      <c r="AM57" s="33" t="str">
        <f t="shared" si="10"/>
        <v/>
      </c>
      <c r="AN57" s="37"/>
      <c r="AO57" s="29"/>
      <c r="AP57" s="29" t="b">
        <v>0</v>
      </c>
      <c r="AQ57" s="22" t="str">
        <f t="shared" si="11"/>
        <v/>
      </c>
      <c r="AR57" s="7">
        <f>IF(ISBLANK(AN57), 0, VLOOKUP(AN57, 'Price Sheet'!$A$2:$B1015, 2, false))</f>
        <v>0</v>
      </c>
      <c r="AS57" s="33" t="str">
        <f t="shared" si="12"/>
        <v/>
      </c>
      <c r="AT57" s="37"/>
      <c r="AU57" s="29"/>
      <c r="AV57" s="29" t="b">
        <v>0</v>
      </c>
      <c r="AW57" s="22" t="str">
        <f t="shared" si="13"/>
        <v/>
      </c>
      <c r="AX57" s="7">
        <f>IF(ISBLANK(AT57), 0, VLOOKUP(AT57, 'Price Sheet'!$A$2:$B1015, 2, false))</f>
        <v>0</v>
      </c>
      <c r="AY57" s="33" t="str">
        <f t="shared" si="14"/>
        <v/>
      </c>
      <c r="AZ57" s="37"/>
      <c r="BA57" s="29"/>
      <c r="BB57" s="29" t="b">
        <v>0</v>
      </c>
      <c r="BC57" s="22" t="str">
        <f t="shared" si="15"/>
        <v/>
      </c>
      <c r="BD57" s="7">
        <f>IF(ISBLANK(AZ57), 0, VLOOKUP(AZ57, 'Price Sheet'!$A$2:$B1015, 2, false))</f>
        <v>0</v>
      </c>
      <c r="BE57" s="33" t="str">
        <f t="shared" si="16"/>
        <v/>
      </c>
      <c r="BF57" s="37"/>
      <c r="BG57" s="29"/>
      <c r="BH57" s="29" t="b">
        <v>0</v>
      </c>
      <c r="BI57" s="22" t="str">
        <f t="shared" si="17"/>
        <v/>
      </c>
      <c r="BJ57" s="7">
        <f>IF(ISBLANK(BF57), 0, VLOOKUP(BF57, 'Price Sheet'!$A$2:$B1015, 2, false))</f>
        <v>0</v>
      </c>
      <c r="BK57" s="33" t="str">
        <f t="shared" si="18"/>
        <v/>
      </c>
      <c r="BL57" s="37"/>
      <c r="BM57" s="29"/>
      <c r="BN57" s="29" t="b">
        <v>0</v>
      </c>
      <c r="BO57" s="22" t="str">
        <f t="shared" si="19"/>
        <v/>
      </c>
      <c r="BP57" s="7">
        <f>IF(ISBLANK(BL57), 0, VLOOKUP(BL57, 'Price Sheet'!$A$2:$B1015, 2, false))</f>
        <v>0</v>
      </c>
      <c r="BQ57" s="33" t="str">
        <f t="shared" si="20"/>
        <v/>
      </c>
    </row>
    <row r="58">
      <c r="A58" s="7" t="s">
        <v>161</v>
      </c>
      <c r="B58" s="19">
        <f t="shared" si="1"/>
        <v>19.1</v>
      </c>
      <c r="C58" s="8" t="s">
        <v>68</v>
      </c>
      <c r="D58" s="8" t="s">
        <v>296</v>
      </c>
      <c r="E58" s="7" t="str">
        <f>IF(ISBLANK(D58), "", VLOOKUP(D58,'Crafting Tables'!$A$2:$B1015, 2, false))</f>
        <v>Advanced</v>
      </c>
      <c r="F58" s="7">
        <f>IFERROR(IF(E58 = "None", 1, VLOOKUP(C58,General!$A$5:$L$35, SWITCH(E58, "Basic", 8, "Advanced", 10, "Modern", 12), false)),"")</f>
        <v>1</v>
      </c>
      <c r="G58" s="8">
        <v>60.0</v>
      </c>
      <c r="H58" s="7">
        <f>IFERROR(VLOOKUP(C58, General!$A$5:$L$35, 6, false) * G58 / 1000, 0)</f>
        <v>2.4</v>
      </c>
      <c r="I58" s="29"/>
      <c r="J58" s="22">
        <f>IFERROR(I58*VLOOKUP(D58,'Crafting Tables'!$1:$1000, 4, false)*F58,"")</f>
        <v>0</v>
      </c>
      <c r="K58" s="8" t="b">
        <v>1</v>
      </c>
      <c r="L58" s="32" t="s">
        <v>161</v>
      </c>
      <c r="M58" s="8">
        <v>1.0</v>
      </c>
      <c r="N58" s="21">
        <f t="shared" si="2"/>
        <v>19.1</v>
      </c>
      <c r="P58" s="32" t="s">
        <v>152</v>
      </c>
      <c r="Q58" s="8">
        <v>4.0</v>
      </c>
      <c r="R58" s="29" t="b">
        <v>0</v>
      </c>
      <c r="S58" s="22">
        <f t="shared" si="3"/>
        <v>4</v>
      </c>
      <c r="T58" s="19">
        <f>IF(ISBLANK(P58), 0, VLOOKUP(P58, 'Price Sheet'!$A$2:$B1015, 2, false))</f>
        <v>3.5</v>
      </c>
      <c r="U58" s="33">
        <f t="shared" si="4"/>
        <v>14</v>
      </c>
      <c r="V58" s="32" t="s">
        <v>83</v>
      </c>
      <c r="W58" s="8">
        <v>6.0</v>
      </c>
      <c r="X58" s="29" t="b">
        <v>0</v>
      </c>
      <c r="Y58" s="22">
        <f t="shared" si="5"/>
        <v>6</v>
      </c>
      <c r="Z58" s="19">
        <f>IF(ISBLANK(V58), 0, VLOOKUP(V58, 'Price Sheet'!$A$2:$B1015, 2, false))</f>
        <v>0.45</v>
      </c>
      <c r="AA58" s="33">
        <f t="shared" si="6"/>
        <v>2.7</v>
      </c>
      <c r="AB58" s="37"/>
      <c r="AC58" s="29"/>
      <c r="AD58" s="29" t="b">
        <v>0</v>
      </c>
      <c r="AE58" s="22" t="str">
        <f t="shared" si="7"/>
        <v/>
      </c>
      <c r="AF58" s="7">
        <f>IF(ISBLANK(AB58), 0, VLOOKUP(AB58, 'Price Sheet'!$A$2:$B1015, 2, false))</f>
        <v>0</v>
      </c>
      <c r="AG58" s="33" t="str">
        <f t="shared" si="8"/>
        <v/>
      </c>
      <c r="AH58" s="37"/>
      <c r="AI58" s="29"/>
      <c r="AJ58" s="29" t="b">
        <v>0</v>
      </c>
      <c r="AK58" s="22" t="str">
        <f t="shared" si="9"/>
        <v/>
      </c>
      <c r="AL58" s="7">
        <f>IF(ISBLANK(AH58), 0, VLOOKUP(AH58, 'Price Sheet'!$A$2:$B1015, 2, false))</f>
        <v>0</v>
      </c>
      <c r="AM58" s="33" t="str">
        <f t="shared" si="10"/>
        <v/>
      </c>
      <c r="AN58" s="37"/>
      <c r="AO58" s="29"/>
      <c r="AP58" s="29" t="b">
        <v>0</v>
      </c>
      <c r="AQ58" s="22" t="str">
        <f t="shared" si="11"/>
        <v/>
      </c>
      <c r="AR58" s="7">
        <f>IF(ISBLANK(AN58), 0, VLOOKUP(AN58, 'Price Sheet'!$A$2:$B1015, 2, false))</f>
        <v>0</v>
      </c>
      <c r="AS58" s="33" t="str">
        <f t="shared" si="12"/>
        <v/>
      </c>
      <c r="AT58" s="37"/>
      <c r="AU58" s="29"/>
      <c r="AV58" s="29" t="b">
        <v>0</v>
      </c>
      <c r="AW58" s="22" t="str">
        <f t="shared" si="13"/>
        <v/>
      </c>
      <c r="AX58" s="7">
        <f>IF(ISBLANK(AT58), 0, VLOOKUP(AT58, 'Price Sheet'!$A$2:$B1015, 2, false))</f>
        <v>0</v>
      </c>
      <c r="AY58" s="33" t="str">
        <f t="shared" si="14"/>
        <v/>
      </c>
      <c r="AZ58" s="37"/>
      <c r="BA58" s="29"/>
      <c r="BB58" s="29" t="b">
        <v>0</v>
      </c>
      <c r="BC58" s="22" t="str">
        <f t="shared" si="15"/>
        <v/>
      </c>
      <c r="BD58" s="7">
        <f>IF(ISBLANK(AZ58), 0, VLOOKUP(AZ58, 'Price Sheet'!$A$2:$B1015, 2, false))</f>
        <v>0</v>
      </c>
      <c r="BE58" s="33" t="str">
        <f t="shared" si="16"/>
        <v/>
      </c>
      <c r="BF58" s="37"/>
      <c r="BG58" s="29"/>
      <c r="BH58" s="29" t="b">
        <v>0</v>
      </c>
      <c r="BI58" s="22" t="str">
        <f t="shared" si="17"/>
        <v/>
      </c>
      <c r="BJ58" s="7">
        <f>IF(ISBLANK(BF58), 0, VLOOKUP(BF58, 'Price Sheet'!$A$2:$B1015, 2, false))</f>
        <v>0</v>
      </c>
      <c r="BK58" s="33" t="str">
        <f t="shared" si="18"/>
        <v/>
      </c>
      <c r="BL58" s="37"/>
      <c r="BM58" s="29"/>
      <c r="BN58" s="29" t="b">
        <v>0</v>
      </c>
      <c r="BO58" s="22" t="str">
        <f t="shared" si="19"/>
        <v/>
      </c>
      <c r="BP58" s="7">
        <f>IF(ISBLANK(BL58), 0, VLOOKUP(BL58, 'Price Sheet'!$A$2:$B1015, 2, false))</f>
        <v>0</v>
      </c>
      <c r="BQ58" s="33" t="str">
        <f t="shared" si="20"/>
        <v/>
      </c>
    </row>
    <row r="59">
      <c r="A59" s="7" t="s">
        <v>115</v>
      </c>
      <c r="B59" s="19">
        <f t="shared" si="1"/>
        <v>0.9575</v>
      </c>
      <c r="C59" s="8" t="s">
        <v>114</v>
      </c>
      <c r="D59" s="8" t="s">
        <v>287</v>
      </c>
      <c r="E59" s="7" t="str">
        <f>IF(ISBLANK(D59), "", VLOOKUP(D59,'Crafting Tables'!$A$2:$B1015, 2, false))</f>
        <v>Basic</v>
      </c>
      <c r="F59" s="7">
        <f>IFERROR(IF(E59 = "None", 1, VLOOKUP(C59,General!$A$5:$L$35, SWITCH(E59, "Basic", 8, "Advanced", 10, "Modern", 12), false)),"")</f>
        <v>0.55</v>
      </c>
      <c r="G59" s="8">
        <v>15.0</v>
      </c>
      <c r="H59" s="7">
        <f>IFERROR(VLOOKUP(C59, General!$A$5:$L$35, 6, false) * G59 / 1000, 0)</f>
        <v>0.6</v>
      </c>
      <c r="I59" s="8">
        <v>4.0</v>
      </c>
      <c r="J59" s="22">
        <f>IFERROR(I59*VLOOKUP(D59,'Crafting Tables'!$1:$1000, 4, false)*F59,"")</f>
        <v>0</v>
      </c>
      <c r="K59" s="8" t="b">
        <v>1</v>
      </c>
      <c r="L59" s="32" t="s">
        <v>115</v>
      </c>
      <c r="M59" s="8">
        <v>1.0</v>
      </c>
      <c r="N59" s="21">
        <f t="shared" si="2"/>
        <v>0.9575</v>
      </c>
      <c r="P59" s="32" t="s">
        <v>40</v>
      </c>
      <c r="Q59" s="8">
        <v>4.0</v>
      </c>
      <c r="R59" s="29" t="b">
        <v>0</v>
      </c>
      <c r="S59" s="22">
        <f t="shared" si="3"/>
        <v>2.2</v>
      </c>
      <c r="T59" s="19">
        <f>IF(ISBLANK(P59), 0, VLOOKUP(P59, 'Price Sheet'!$A$2:$B1015, 2, false))</f>
        <v>0.1</v>
      </c>
      <c r="U59" s="33">
        <f t="shared" si="4"/>
        <v>0.22</v>
      </c>
      <c r="V59" s="32" t="s">
        <v>119</v>
      </c>
      <c r="W59" s="8">
        <v>1.0</v>
      </c>
      <c r="X59" s="29" t="b">
        <v>0</v>
      </c>
      <c r="Y59" s="22">
        <f t="shared" si="5"/>
        <v>0.55</v>
      </c>
      <c r="Z59" s="19">
        <f>IF(ISBLANK(V59), 0, VLOOKUP(V59, 'Price Sheet'!$A$2:$B1015, 2, false))</f>
        <v>0.25</v>
      </c>
      <c r="AA59" s="33">
        <f t="shared" si="6"/>
        <v>0.1375</v>
      </c>
      <c r="AB59" s="37"/>
      <c r="AC59" s="29"/>
      <c r="AD59" s="29" t="b">
        <v>0</v>
      </c>
      <c r="AE59" s="22" t="str">
        <f t="shared" si="7"/>
        <v/>
      </c>
      <c r="AF59" s="7">
        <f>IF(ISBLANK(AB59), 0, VLOOKUP(AB59, 'Price Sheet'!$A$2:$B1015, 2, false))</f>
        <v>0</v>
      </c>
      <c r="AG59" s="33" t="str">
        <f t="shared" si="8"/>
        <v/>
      </c>
      <c r="AH59" s="37"/>
      <c r="AI59" s="29"/>
      <c r="AJ59" s="29" t="b">
        <v>0</v>
      </c>
      <c r="AK59" s="22" t="str">
        <f t="shared" si="9"/>
        <v/>
      </c>
      <c r="AL59" s="7">
        <f>IF(ISBLANK(AH59), 0, VLOOKUP(AH59, 'Price Sheet'!$A$2:$B1015, 2, false))</f>
        <v>0</v>
      </c>
      <c r="AM59" s="33" t="str">
        <f t="shared" si="10"/>
        <v/>
      </c>
      <c r="AN59" s="37"/>
      <c r="AO59" s="29"/>
      <c r="AP59" s="29" t="b">
        <v>0</v>
      </c>
      <c r="AQ59" s="22" t="str">
        <f t="shared" si="11"/>
        <v/>
      </c>
      <c r="AR59" s="7">
        <f>IF(ISBLANK(AN59), 0, VLOOKUP(AN59, 'Price Sheet'!$A$2:$B1015, 2, false))</f>
        <v>0</v>
      </c>
      <c r="AS59" s="33" t="str">
        <f t="shared" si="12"/>
        <v/>
      </c>
      <c r="AT59" s="37"/>
      <c r="AU59" s="29"/>
      <c r="AV59" s="29" t="b">
        <v>0</v>
      </c>
      <c r="AW59" s="22" t="str">
        <f t="shared" si="13"/>
        <v/>
      </c>
      <c r="AX59" s="7">
        <f>IF(ISBLANK(AT59), 0, VLOOKUP(AT59, 'Price Sheet'!$A$2:$B1015, 2, false))</f>
        <v>0</v>
      </c>
      <c r="AY59" s="33" t="str">
        <f t="shared" si="14"/>
        <v/>
      </c>
      <c r="AZ59" s="37"/>
      <c r="BA59" s="29"/>
      <c r="BB59" s="29" t="b">
        <v>0</v>
      </c>
      <c r="BC59" s="22" t="str">
        <f t="shared" si="15"/>
        <v/>
      </c>
      <c r="BD59" s="7">
        <f>IF(ISBLANK(AZ59), 0, VLOOKUP(AZ59, 'Price Sheet'!$A$2:$B1015, 2, false))</f>
        <v>0</v>
      </c>
      <c r="BE59" s="33" t="str">
        <f t="shared" si="16"/>
        <v/>
      </c>
      <c r="BF59" s="37"/>
      <c r="BG59" s="29"/>
      <c r="BH59" s="29" t="b">
        <v>0</v>
      </c>
      <c r="BI59" s="22" t="str">
        <f t="shared" si="17"/>
        <v/>
      </c>
      <c r="BJ59" s="7">
        <f>IF(ISBLANK(BF59), 0, VLOOKUP(BF59, 'Price Sheet'!$A$2:$B1015, 2, false))</f>
        <v>0</v>
      </c>
      <c r="BK59" s="33" t="str">
        <f t="shared" si="18"/>
        <v/>
      </c>
      <c r="BL59" s="37"/>
      <c r="BM59" s="29"/>
      <c r="BN59" s="29" t="b">
        <v>0</v>
      </c>
      <c r="BO59" s="22" t="str">
        <f t="shared" si="19"/>
        <v/>
      </c>
      <c r="BP59" s="7">
        <f>IF(ISBLANK(BL59), 0, VLOOKUP(BL59, 'Price Sheet'!$A$2:$B1015, 2, false))</f>
        <v>0</v>
      </c>
      <c r="BQ59" s="33" t="str">
        <f t="shared" si="20"/>
        <v/>
      </c>
    </row>
    <row r="60">
      <c r="A60" s="7" t="s">
        <v>166</v>
      </c>
      <c r="B60" s="19">
        <f t="shared" si="1"/>
        <v>7.9</v>
      </c>
      <c r="C60" s="8" t="s">
        <v>114</v>
      </c>
      <c r="D60" s="8" t="s">
        <v>287</v>
      </c>
      <c r="E60" s="7" t="str">
        <f>IF(ISBLANK(D60), "", VLOOKUP(D60,'Crafting Tables'!$A$2:$B1015, 2, false))</f>
        <v>Basic</v>
      </c>
      <c r="F60" s="7">
        <f>IFERROR(IF(E60 = "None", 1, VLOOKUP(C60,General!$A$5:$L$35, SWITCH(E60, "Basic", 8, "Advanced", 10, "Modern", 12), false)),"")</f>
        <v>0.55</v>
      </c>
      <c r="G60" s="8">
        <v>60.0</v>
      </c>
      <c r="H60" s="7">
        <f>IFERROR(VLOOKUP(C60, General!$A$5:$L$35, 6, false) * G60 / 1000, 0)</f>
        <v>2.4</v>
      </c>
      <c r="I60" s="8">
        <v>150.0</v>
      </c>
      <c r="J60" s="22">
        <f>IFERROR(I60*VLOOKUP(D60,'Crafting Tables'!$1:$1000, 4, false)*F60,"")</f>
        <v>0</v>
      </c>
      <c r="K60" s="8" t="b">
        <v>1</v>
      </c>
      <c r="L60" s="32" t="s">
        <v>166</v>
      </c>
      <c r="M60" s="8">
        <v>1.0</v>
      </c>
      <c r="N60" s="21">
        <f t="shared" si="2"/>
        <v>7.9</v>
      </c>
      <c r="P60" s="32" t="s">
        <v>163</v>
      </c>
      <c r="Q60" s="8">
        <v>40.0</v>
      </c>
      <c r="R60" s="29" t="b">
        <v>0</v>
      </c>
      <c r="S60" s="22">
        <f t="shared" si="3"/>
        <v>22</v>
      </c>
      <c r="T60" s="19">
        <f>IF(ISBLANK(P60), 0, VLOOKUP(P60, 'Price Sheet'!$A$2:$B1015, 2, false))</f>
        <v>0.25</v>
      </c>
      <c r="U60" s="33">
        <f t="shared" si="4"/>
        <v>5.5</v>
      </c>
      <c r="V60" s="37"/>
      <c r="W60" s="29"/>
      <c r="X60" s="29" t="b">
        <v>0</v>
      </c>
      <c r="Y60" s="22" t="str">
        <f t="shared" si="5"/>
        <v/>
      </c>
      <c r="Z60" s="7">
        <f>IF(ISBLANK(V60), 0, VLOOKUP(V60, 'Price Sheet'!$A$2:$B1015, 2, false))</f>
        <v>0</v>
      </c>
      <c r="AA60" s="33" t="str">
        <f t="shared" si="6"/>
        <v/>
      </c>
      <c r="AB60" s="37"/>
      <c r="AC60" s="29"/>
      <c r="AD60" s="29" t="b">
        <v>0</v>
      </c>
      <c r="AE60" s="22" t="str">
        <f t="shared" si="7"/>
        <v/>
      </c>
      <c r="AF60" s="7">
        <f>IF(ISBLANK(AB60), 0, VLOOKUP(AB60, 'Price Sheet'!$A$2:$B1015, 2, false))</f>
        <v>0</v>
      </c>
      <c r="AG60" s="33" t="str">
        <f t="shared" si="8"/>
        <v/>
      </c>
      <c r="AH60" s="37"/>
      <c r="AI60" s="29"/>
      <c r="AJ60" s="29" t="b">
        <v>0</v>
      </c>
      <c r="AK60" s="22" t="str">
        <f t="shared" si="9"/>
        <v/>
      </c>
      <c r="AL60" s="7">
        <f>IF(ISBLANK(AH60), 0, VLOOKUP(AH60, 'Price Sheet'!$A$2:$B1015, 2, false))</f>
        <v>0</v>
      </c>
      <c r="AM60" s="33" t="str">
        <f t="shared" si="10"/>
        <v/>
      </c>
      <c r="AN60" s="37"/>
      <c r="AO60" s="29"/>
      <c r="AP60" s="29" t="b">
        <v>0</v>
      </c>
      <c r="AQ60" s="22" t="str">
        <f t="shared" si="11"/>
        <v/>
      </c>
      <c r="AR60" s="7">
        <f>IF(ISBLANK(AN60), 0, VLOOKUP(AN60, 'Price Sheet'!$A$2:$B1015, 2, false))</f>
        <v>0</v>
      </c>
      <c r="AS60" s="33" t="str">
        <f t="shared" si="12"/>
        <v/>
      </c>
      <c r="AT60" s="37"/>
      <c r="AU60" s="29"/>
      <c r="AV60" s="29" t="b">
        <v>0</v>
      </c>
      <c r="AW60" s="22" t="str">
        <f t="shared" si="13"/>
        <v/>
      </c>
      <c r="AX60" s="7">
        <f>IF(ISBLANK(AT60), 0, VLOOKUP(AT60, 'Price Sheet'!$A$2:$B1015, 2, false))</f>
        <v>0</v>
      </c>
      <c r="AY60" s="33" t="str">
        <f t="shared" si="14"/>
        <v/>
      </c>
      <c r="AZ60" s="37"/>
      <c r="BA60" s="29"/>
      <c r="BB60" s="29" t="b">
        <v>0</v>
      </c>
      <c r="BC60" s="22" t="str">
        <f t="shared" si="15"/>
        <v/>
      </c>
      <c r="BD60" s="7">
        <f>IF(ISBLANK(AZ60), 0, VLOOKUP(AZ60, 'Price Sheet'!$A$2:$B1015, 2, false))</f>
        <v>0</v>
      </c>
      <c r="BE60" s="33" t="str">
        <f t="shared" si="16"/>
        <v/>
      </c>
      <c r="BF60" s="37"/>
      <c r="BG60" s="29"/>
      <c r="BH60" s="29" t="b">
        <v>0</v>
      </c>
      <c r="BI60" s="22" t="str">
        <f t="shared" si="17"/>
        <v/>
      </c>
      <c r="BJ60" s="7">
        <f>IF(ISBLANK(BF60), 0, VLOOKUP(BF60, 'Price Sheet'!$A$2:$B1015, 2, false))</f>
        <v>0</v>
      </c>
      <c r="BK60" s="33" t="str">
        <f t="shared" si="18"/>
        <v/>
      </c>
      <c r="BL60" s="37"/>
      <c r="BM60" s="29"/>
      <c r="BN60" s="29" t="b">
        <v>0</v>
      </c>
      <c r="BO60" s="22" t="str">
        <f t="shared" si="19"/>
        <v/>
      </c>
      <c r="BP60" s="7">
        <f>IF(ISBLANK(BL60), 0, VLOOKUP(BL60, 'Price Sheet'!$A$2:$B1015, 2, false))</f>
        <v>0</v>
      </c>
      <c r="BQ60" s="33" t="str">
        <f t="shared" si="20"/>
        <v/>
      </c>
    </row>
    <row r="61">
      <c r="A61" s="7" t="s">
        <v>168</v>
      </c>
      <c r="B61" s="19">
        <f t="shared" si="1"/>
        <v>7.9</v>
      </c>
      <c r="C61" s="8" t="s">
        <v>114</v>
      </c>
      <c r="D61" s="8" t="s">
        <v>287</v>
      </c>
      <c r="E61" s="7" t="str">
        <f>IF(ISBLANK(D61), "", VLOOKUP(D61,'Crafting Tables'!$A$2:$B1015, 2, false))</f>
        <v>Basic</v>
      </c>
      <c r="F61" s="7">
        <f>IFERROR(IF(E61 = "None", 1, VLOOKUP(C61,General!$A$5:$L$35, SWITCH(E61, "Basic", 8, "Advanced", 10, "Modern", 12), false)),"")</f>
        <v>0.55</v>
      </c>
      <c r="G61" s="8">
        <v>60.0</v>
      </c>
      <c r="H61" s="7">
        <f>IFERROR(VLOOKUP(C61, General!$A$5:$L$35, 6, false) * G61 / 1000, 0)</f>
        <v>2.4</v>
      </c>
      <c r="I61" s="8">
        <v>150.0</v>
      </c>
      <c r="J61" s="22">
        <f>IFERROR(I61*VLOOKUP(D61,'Crafting Tables'!$1:$1000, 4, false)*F61,"")</f>
        <v>0</v>
      </c>
      <c r="K61" s="8" t="b">
        <v>1</v>
      </c>
      <c r="L61" s="32" t="s">
        <v>168</v>
      </c>
      <c r="M61" s="8">
        <v>1.0</v>
      </c>
      <c r="N61" s="21">
        <f t="shared" si="2"/>
        <v>7.9</v>
      </c>
      <c r="P61" s="32" t="s">
        <v>163</v>
      </c>
      <c r="Q61" s="8">
        <v>40.0</v>
      </c>
      <c r="R61" s="29" t="b">
        <v>0</v>
      </c>
      <c r="S61" s="22">
        <f t="shared" si="3"/>
        <v>22</v>
      </c>
      <c r="T61" s="19">
        <f>IF(ISBLANK(P61), 0, VLOOKUP(P61, 'Price Sheet'!$A$2:$B1015, 2, false))</f>
        <v>0.25</v>
      </c>
      <c r="U61" s="33">
        <f t="shared" si="4"/>
        <v>5.5</v>
      </c>
      <c r="V61" s="37"/>
      <c r="W61" s="29"/>
      <c r="X61" s="29" t="b">
        <v>0</v>
      </c>
      <c r="Y61" s="22" t="str">
        <f t="shared" si="5"/>
        <v/>
      </c>
      <c r="Z61" s="7">
        <f>IF(ISBLANK(V61), 0, VLOOKUP(V61, 'Price Sheet'!$A$2:$B1015, 2, false))</f>
        <v>0</v>
      </c>
      <c r="AA61" s="33" t="str">
        <f t="shared" si="6"/>
        <v/>
      </c>
      <c r="AB61" s="37"/>
      <c r="AC61" s="29"/>
      <c r="AD61" s="29" t="b">
        <v>0</v>
      </c>
      <c r="AE61" s="22" t="str">
        <f t="shared" si="7"/>
        <v/>
      </c>
      <c r="AF61" s="7">
        <f>IF(ISBLANK(AB61), 0, VLOOKUP(AB61, 'Price Sheet'!$A$2:$B1015, 2, false))</f>
        <v>0</v>
      </c>
      <c r="AG61" s="33" t="str">
        <f t="shared" si="8"/>
        <v/>
      </c>
      <c r="AH61" s="37"/>
      <c r="AI61" s="29"/>
      <c r="AJ61" s="29" t="b">
        <v>0</v>
      </c>
      <c r="AK61" s="22" t="str">
        <f t="shared" si="9"/>
        <v/>
      </c>
      <c r="AL61" s="7">
        <f>IF(ISBLANK(AH61), 0, VLOOKUP(AH61, 'Price Sheet'!$A$2:$B1015, 2, false))</f>
        <v>0</v>
      </c>
      <c r="AM61" s="33" t="str">
        <f t="shared" si="10"/>
        <v/>
      </c>
      <c r="AN61" s="37"/>
      <c r="AO61" s="29"/>
      <c r="AP61" s="29" t="b">
        <v>0</v>
      </c>
      <c r="AQ61" s="22" t="str">
        <f t="shared" si="11"/>
        <v/>
      </c>
      <c r="AR61" s="7">
        <f>IF(ISBLANK(AN61), 0, VLOOKUP(AN61, 'Price Sheet'!$A$2:$B1015, 2, false))</f>
        <v>0</v>
      </c>
      <c r="AS61" s="33" t="str">
        <f t="shared" si="12"/>
        <v/>
      </c>
      <c r="AT61" s="37"/>
      <c r="AU61" s="29"/>
      <c r="AV61" s="29" t="b">
        <v>0</v>
      </c>
      <c r="AW61" s="22" t="str">
        <f t="shared" si="13"/>
        <v/>
      </c>
      <c r="AX61" s="7">
        <f>IF(ISBLANK(AT61), 0, VLOOKUP(AT61, 'Price Sheet'!$A$2:$B1015, 2, false))</f>
        <v>0</v>
      </c>
      <c r="AY61" s="33" t="str">
        <f t="shared" si="14"/>
        <v/>
      </c>
      <c r="AZ61" s="37"/>
      <c r="BA61" s="29"/>
      <c r="BB61" s="29" t="b">
        <v>0</v>
      </c>
      <c r="BC61" s="22" t="str">
        <f t="shared" si="15"/>
        <v/>
      </c>
      <c r="BD61" s="7">
        <f>IF(ISBLANK(AZ61), 0, VLOOKUP(AZ61, 'Price Sheet'!$A$2:$B1015, 2, false))</f>
        <v>0</v>
      </c>
      <c r="BE61" s="33" t="str">
        <f t="shared" si="16"/>
        <v/>
      </c>
      <c r="BF61" s="37"/>
      <c r="BG61" s="29"/>
      <c r="BH61" s="29" t="b">
        <v>0</v>
      </c>
      <c r="BI61" s="22" t="str">
        <f t="shared" si="17"/>
        <v/>
      </c>
      <c r="BJ61" s="7">
        <f>IF(ISBLANK(BF61), 0, VLOOKUP(BF61, 'Price Sheet'!$A$2:$B1015, 2, false))</f>
        <v>0</v>
      </c>
      <c r="BK61" s="33" t="str">
        <f t="shared" si="18"/>
        <v/>
      </c>
      <c r="BL61" s="37"/>
      <c r="BM61" s="29"/>
      <c r="BN61" s="29" t="b">
        <v>0</v>
      </c>
      <c r="BO61" s="22" t="str">
        <f t="shared" si="19"/>
        <v/>
      </c>
      <c r="BP61" s="7">
        <f>IF(ISBLANK(BL61), 0, VLOOKUP(BL61, 'Price Sheet'!$A$2:$B1015, 2, false))</f>
        <v>0</v>
      </c>
      <c r="BQ61" s="33" t="str">
        <f t="shared" si="20"/>
        <v/>
      </c>
    </row>
    <row r="62">
      <c r="A62" s="7" t="s">
        <v>169</v>
      </c>
      <c r="B62" s="19">
        <f t="shared" si="1"/>
        <v>13.4</v>
      </c>
      <c r="C62" s="8" t="s">
        <v>114</v>
      </c>
      <c r="D62" s="8" t="s">
        <v>287</v>
      </c>
      <c r="E62" s="7" t="str">
        <f>IF(ISBLANK(D62), "", VLOOKUP(D62,'Crafting Tables'!$A$2:$B1015, 2, false))</f>
        <v>Basic</v>
      </c>
      <c r="F62" s="7">
        <f>IFERROR(IF(E62 = "None", 1, VLOOKUP(C62,General!$A$5:$L$35, SWITCH(E62, "Basic", 8, "Advanced", 10, "Modern", 12), false)),"")</f>
        <v>0.55</v>
      </c>
      <c r="G62" s="8">
        <v>60.0</v>
      </c>
      <c r="H62" s="7">
        <f>IFERROR(VLOOKUP(C62, General!$A$5:$L$35, 6, false) * G62 / 1000, 0)</f>
        <v>2.4</v>
      </c>
      <c r="I62" s="8">
        <v>210.0</v>
      </c>
      <c r="J62" s="22">
        <f>IFERROR(I62*VLOOKUP(D62,'Crafting Tables'!$1:$1000, 4, false)*F62,"")</f>
        <v>0</v>
      </c>
      <c r="K62" s="8" t="b">
        <v>1</v>
      </c>
      <c r="L62" s="32" t="s">
        <v>169</v>
      </c>
      <c r="M62" s="8">
        <v>1.0</v>
      </c>
      <c r="N62" s="21">
        <f t="shared" si="2"/>
        <v>13.4</v>
      </c>
      <c r="P62" s="32" t="s">
        <v>163</v>
      </c>
      <c r="Q62" s="8">
        <v>80.0</v>
      </c>
      <c r="R62" s="29" t="b">
        <v>0</v>
      </c>
      <c r="S62" s="22">
        <f t="shared" si="3"/>
        <v>44</v>
      </c>
      <c r="T62" s="19">
        <f>IF(ISBLANK(P62), 0, VLOOKUP(P62, 'Price Sheet'!$A$2:$B1015, 2, false))</f>
        <v>0.25</v>
      </c>
      <c r="U62" s="33">
        <f t="shared" si="4"/>
        <v>11</v>
      </c>
      <c r="V62" s="37"/>
      <c r="W62" s="29"/>
      <c r="X62" s="29" t="b">
        <v>0</v>
      </c>
      <c r="Y62" s="22" t="str">
        <f t="shared" si="5"/>
        <v/>
      </c>
      <c r="Z62" s="7">
        <f>IF(ISBLANK(V62), 0, VLOOKUP(V62, 'Price Sheet'!$A$2:$B1015, 2, false))</f>
        <v>0</v>
      </c>
      <c r="AA62" s="33" t="str">
        <f t="shared" si="6"/>
        <v/>
      </c>
      <c r="AB62" s="37"/>
      <c r="AC62" s="29"/>
      <c r="AD62" s="29" t="b">
        <v>0</v>
      </c>
      <c r="AE62" s="22" t="str">
        <f t="shared" si="7"/>
        <v/>
      </c>
      <c r="AF62" s="7">
        <f>IF(ISBLANK(AB62), 0, VLOOKUP(AB62, 'Price Sheet'!$A$2:$B1015, 2, false))</f>
        <v>0</v>
      </c>
      <c r="AG62" s="33" t="str">
        <f t="shared" si="8"/>
        <v/>
      </c>
      <c r="AH62" s="37"/>
      <c r="AI62" s="29"/>
      <c r="AJ62" s="29" t="b">
        <v>0</v>
      </c>
      <c r="AK62" s="22" t="str">
        <f t="shared" si="9"/>
        <v/>
      </c>
      <c r="AL62" s="7">
        <f>IF(ISBLANK(AH62), 0, VLOOKUP(AH62, 'Price Sheet'!$A$2:$B1015, 2, false))</f>
        <v>0</v>
      </c>
      <c r="AM62" s="33" t="str">
        <f t="shared" si="10"/>
        <v/>
      </c>
      <c r="AN62" s="37"/>
      <c r="AO62" s="29"/>
      <c r="AP62" s="29" t="b">
        <v>0</v>
      </c>
      <c r="AQ62" s="22" t="str">
        <f t="shared" si="11"/>
        <v/>
      </c>
      <c r="AR62" s="7">
        <f>IF(ISBLANK(AN62), 0, VLOOKUP(AN62, 'Price Sheet'!$A$2:$B1015, 2, false))</f>
        <v>0</v>
      </c>
      <c r="AS62" s="33" t="str">
        <f t="shared" si="12"/>
        <v/>
      </c>
      <c r="AT62" s="37"/>
      <c r="AU62" s="29"/>
      <c r="AV62" s="29" t="b">
        <v>0</v>
      </c>
      <c r="AW62" s="22" t="str">
        <f t="shared" si="13"/>
        <v/>
      </c>
      <c r="AX62" s="7">
        <f>IF(ISBLANK(AT62), 0, VLOOKUP(AT62, 'Price Sheet'!$A$2:$B1015, 2, false))</f>
        <v>0</v>
      </c>
      <c r="AY62" s="33" t="str">
        <f t="shared" si="14"/>
        <v/>
      </c>
      <c r="AZ62" s="37"/>
      <c r="BA62" s="29"/>
      <c r="BB62" s="29" t="b">
        <v>0</v>
      </c>
      <c r="BC62" s="22" t="str">
        <f t="shared" si="15"/>
        <v/>
      </c>
      <c r="BD62" s="7">
        <f>IF(ISBLANK(AZ62), 0, VLOOKUP(AZ62, 'Price Sheet'!$A$2:$B1015, 2, false))</f>
        <v>0</v>
      </c>
      <c r="BE62" s="33" t="str">
        <f t="shared" si="16"/>
        <v/>
      </c>
      <c r="BF62" s="37"/>
      <c r="BG62" s="29"/>
      <c r="BH62" s="29" t="b">
        <v>0</v>
      </c>
      <c r="BI62" s="22" t="str">
        <f t="shared" si="17"/>
        <v/>
      </c>
      <c r="BJ62" s="7">
        <f>IF(ISBLANK(BF62), 0, VLOOKUP(BF62, 'Price Sheet'!$A$2:$B1015, 2, false))</f>
        <v>0</v>
      </c>
      <c r="BK62" s="33" t="str">
        <f t="shared" si="18"/>
        <v/>
      </c>
      <c r="BL62" s="37"/>
      <c r="BM62" s="29"/>
      <c r="BN62" s="29" t="b">
        <v>0</v>
      </c>
      <c r="BO62" s="22" t="str">
        <f t="shared" si="19"/>
        <v/>
      </c>
      <c r="BP62" s="7">
        <f>IF(ISBLANK(BL62), 0, VLOOKUP(BL62, 'Price Sheet'!$A$2:$B1015, 2, false))</f>
        <v>0</v>
      </c>
      <c r="BQ62" s="33" t="str">
        <f t="shared" si="20"/>
        <v/>
      </c>
    </row>
    <row r="63">
      <c r="A63" s="7" t="s">
        <v>171</v>
      </c>
      <c r="B63" s="19">
        <f t="shared" si="1"/>
        <v>29.9</v>
      </c>
      <c r="C63" s="8" t="s">
        <v>114</v>
      </c>
      <c r="D63" s="8" t="s">
        <v>287</v>
      </c>
      <c r="E63" s="7" t="str">
        <f>IF(ISBLANK(D63), "", VLOOKUP(D63,'Crafting Tables'!$A$2:$B1015, 2, false))</f>
        <v>Basic</v>
      </c>
      <c r="F63" s="7">
        <f>IFERROR(IF(E63 = "None", 1, VLOOKUP(C63,General!$A$5:$L$35, SWITCH(E63, "Basic", 8, "Advanced", 10, "Modern", 12), false)),"")</f>
        <v>0.55</v>
      </c>
      <c r="G63" s="8">
        <v>60.0</v>
      </c>
      <c r="H63" s="7">
        <f>IFERROR(VLOOKUP(C63, General!$A$5:$L$35, 6, false) * G63 / 1000, 0)</f>
        <v>2.4</v>
      </c>
      <c r="I63" s="8">
        <v>300.0</v>
      </c>
      <c r="J63" s="22">
        <f>IFERROR(I63*VLOOKUP(D63,'Crafting Tables'!$1:$1000, 4, false)*F63,"")</f>
        <v>0</v>
      </c>
      <c r="K63" s="8" t="b">
        <v>1</v>
      </c>
      <c r="L63" s="32" t="s">
        <v>171</v>
      </c>
      <c r="M63" s="8">
        <v>1.0</v>
      </c>
      <c r="N63" s="21">
        <f t="shared" si="2"/>
        <v>29.9</v>
      </c>
      <c r="P63" s="32" t="s">
        <v>163</v>
      </c>
      <c r="Q63" s="8">
        <v>200.0</v>
      </c>
      <c r="R63" s="29" t="b">
        <v>0</v>
      </c>
      <c r="S63" s="22">
        <f t="shared" si="3"/>
        <v>110</v>
      </c>
      <c r="T63" s="19">
        <f>IF(ISBLANK(P63), 0, VLOOKUP(P63, 'Price Sheet'!$A$2:$B1015, 2, false))</f>
        <v>0.25</v>
      </c>
      <c r="U63" s="33">
        <f t="shared" si="4"/>
        <v>27.5</v>
      </c>
      <c r="V63" s="37"/>
      <c r="W63" s="29"/>
      <c r="X63" s="29" t="b">
        <v>0</v>
      </c>
      <c r="Y63" s="22" t="str">
        <f t="shared" si="5"/>
        <v/>
      </c>
      <c r="Z63" s="7">
        <f>IF(ISBLANK(V63), 0, VLOOKUP(V63, 'Price Sheet'!$A$2:$B1015, 2, false))</f>
        <v>0</v>
      </c>
      <c r="AA63" s="33" t="str">
        <f t="shared" si="6"/>
        <v/>
      </c>
      <c r="AB63" s="37"/>
      <c r="AC63" s="29"/>
      <c r="AD63" s="29" t="b">
        <v>0</v>
      </c>
      <c r="AE63" s="22" t="str">
        <f t="shared" si="7"/>
        <v/>
      </c>
      <c r="AF63" s="7">
        <f>IF(ISBLANK(AB63), 0, VLOOKUP(AB63, 'Price Sheet'!$A$2:$B1015, 2, false))</f>
        <v>0</v>
      </c>
      <c r="AG63" s="33" t="str">
        <f t="shared" si="8"/>
        <v/>
      </c>
      <c r="AH63" s="37"/>
      <c r="AI63" s="29"/>
      <c r="AJ63" s="29" t="b">
        <v>0</v>
      </c>
      <c r="AK63" s="22" t="str">
        <f t="shared" si="9"/>
        <v/>
      </c>
      <c r="AL63" s="7">
        <f>IF(ISBLANK(AH63), 0, VLOOKUP(AH63, 'Price Sheet'!$A$2:$B1015, 2, false))</f>
        <v>0</v>
      </c>
      <c r="AM63" s="33" t="str">
        <f t="shared" si="10"/>
        <v/>
      </c>
      <c r="AN63" s="37"/>
      <c r="AO63" s="29"/>
      <c r="AP63" s="29" t="b">
        <v>0</v>
      </c>
      <c r="AQ63" s="22" t="str">
        <f t="shared" si="11"/>
        <v/>
      </c>
      <c r="AR63" s="7">
        <f>IF(ISBLANK(AN63), 0, VLOOKUP(AN63, 'Price Sheet'!$A$2:$B1015, 2, false))</f>
        <v>0</v>
      </c>
      <c r="AS63" s="33" t="str">
        <f t="shared" si="12"/>
        <v/>
      </c>
      <c r="AT63" s="37"/>
      <c r="AU63" s="29"/>
      <c r="AV63" s="29" t="b">
        <v>0</v>
      </c>
      <c r="AW63" s="22" t="str">
        <f t="shared" si="13"/>
        <v/>
      </c>
      <c r="AX63" s="7">
        <f>IF(ISBLANK(AT63), 0, VLOOKUP(AT63, 'Price Sheet'!$A$2:$B1015, 2, false))</f>
        <v>0</v>
      </c>
      <c r="AY63" s="33" t="str">
        <f t="shared" si="14"/>
        <v/>
      </c>
      <c r="AZ63" s="37"/>
      <c r="BA63" s="29"/>
      <c r="BB63" s="29" t="b">
        <v>0</v>
      </c>
      <c r="BC63" s="22" t="str">
        <f t="shared" si="15"/>
        <v/>
      </c>
      <c r="BD63" s="7">
        <f>IF(ISBLANK(AZ63), 0, VLOOKUP(AZ63, 'Price Sheet'!$A$2:$B1015, 2, false))</f>
        <v>0</v>
      </c>
      <c r="BE63" s="33" t="str">
        <f t="shared" si="16"/>
        <v/>
      </c>
      <c r="BF63" s="37"/>
      <c r="BG63" s="29"/>
      <c r="BH63" s="29" t="b">
        <v>0</v>
      </c>
      <c r="BI63" s="22" t="str">
        <f t="shared" si="17"/>
        <v/>
      </c>
      <c r="BJ63" s="7">
        <f>IF(ISBLANK(BF63), 0, VLOOKUP(BF63, 'Price Sheet'!$A$2:$B1015, 2, false))</f>
        <v>0</v>
      </c>
      <c r="BK63" s="33" t="str">
        <f t="shared" si="18"/>
        <v/>
      </c>
      <c r="BL63" s="37"/>
      <c r="BM63" s="29"/>
      <c r="BN63" s="29" t="b">
        <v>0</v>
      </c>
      <c r="BO63" s="22" t="str">
        <f t="shared" si="19"/>
        <v/>
      </c>
      <c r="BP63" s="7">
        <f>IF(ISBLANK(BL63), 0, VLOOKUP(BL63, 'Price Sheet'!$A$2:$B1015, 2, false))</f>
        <v>0</v>
      </c>
      <c r="BQ63" s="33" t="str">
        <f t="shared" si="20"/>
        <v/>
      </c>
    </row>
    <row r="64">
      <c r="A64" s="7" t="s">
        <v>164</v>
      </c>
      <c r="B64" s="19">
        <f t="shared" si="1"/>
        <v>25.95</v>
      </c>
      <c r="C64" s="8" t="s">
        <v>114</v>
      </c>
      <c r="D64" s="8" t="s">
        <v>301</v>
      </c>
      <c r="E64" s="7" t="str">
        <f>IF(ISBLANK(D64), "", VLOOKUP(D64,'Crafting Tables'!$A$2:$B1015, 2, false))</f>
        <v>None</v>
      </c>
      <c r="F64" s="7">
        <f>IFERROR(IF(E64 = "None", 1, VLOOKUP(C64,General!$A$5:$L$35, SWITCH(E64, "Basic", 8, "Advanced", 10, "Modern", 12), false)),"")</f>
        <v>1</v>
      </c>
      <c r="G64" s="8">
        <v>120.0</v>
      </c>
      <c r="H64" s="7">
        <f>IFERROR(VLOOKUP(C64, General!$A$5:$L$35, 6, false) * G64 / 1000, 0)</f>
        <v>4.8</v>
      </c>
      <c r="I64" s="8">
        <v>60.0</v>
      </c>
      <c r="J64" s="22">
        <f>IFERROR(I64*VLOOKUP(D64,'Crafting Tables'!$1:$1000, 4, false)*F64,"")</f>
        <v>0</v>
      </c>
      <c r="K64" s="8" t="b">
        <v>1</v>
      </c>
      <c r="L64" s="32" t="s">
        <v>164</v>
      </c>
      <c r="M64" s="8">
        <v>1.0</v>
      </c>
      <c r="N64" s="21">
        <f t="shared" si="2"/>
        <v>25.95</v>
      </c>
      <c r="P64" s="32" t="s">
        <v>115</v>
      </c>
      <c r="Q64" s="8">
        <v>20.0</v>
      </c>
      <c r="R64" s="29" t="b">
        <v>0</v>
      </c>
      <c r="S64" s="22">
        <f t="shared" si="3"/>
        <v>20</v>
      </c>
      <c r="T64" s="19">
        <f>IF(ISBLANK(P64), 0, VLOOKUP(P64, 'Price Sheet'!$A$2:$B1015, 2, false))</f>
        <v>0.9575</v>
      </c>
      <c r="U64" s="33">
        <f t="shared" si="4"/>
        <v>19.15</v>
      </c>
      <c r="V64" s="32" t="s">
        <v>173</v>
      </c>
      <c r="W64" s="8">
        <v>-1.0</v>
      </c>
      <c r="X64" s="29" t="b">
        <v>0</v>
      </c>
      <c r="Y64" s="22">
        <f t="shared" si="5"/>
        <v>-1</v>
      </c>
      <c r="Z64" s="19">
        <f>IF(ISBLANK(V64), 0, VLOOKUP(V64, 'Price Sheet'!$A$2:$B1015, 2, false))</f>
        <v>-2</v>
      </c>
      <c r="AA64" s="33">
        <f t="shared" si="6"/>
        <v>2</v>
      </c>
      <c r="AB64" s="37"/>
      <c r="AC64" s="29"/>
      <c r="AD64" s="29" t="b">
        <v>0</v>
      </c>
      <c r="AE64" s="22" t="str">
        <f t="shared" si="7"/>
        <v/>
      </c>
      <c r="AF64" s="7">
        <f>IF(ISBLANK(AB64), 0, VLOOKUP(AB64, 'Price Sheet'!$A$2:$B1015, 2, false))</f>
        <v>0</v>
      </c>
      <c r="AG64" s="33" t="str">
        <f t="shared" si="8"/>
        <v/>
      </c>
      <c r="AH64" s="37"/>
      <c r="AI64" s="29"/>
      <c r="AJ64" s="29" t="b">
        <v>0</v>
      </c>
      <c r="AK64" s="22" t="str">
        <f t="shared" si="9"/>
        <v/>
      </c>
      <c r="AL64" s="7">
        <f>IF(ISBLANK(AH64), 0, VLOOKUP(AH64, 'Price Sheet'!$A$2:$B1015, 2, false))</f>
        <v>0</v>
      </c>
      <c r="AM64" s="33" t="str">
        <f t="shared" si="10"/>
        <v/>
      </c>
      <c r="AN64" s="37"/>
      <c r="AO64" s="29"/>
      <c r="AP64" s="29" t="b">
        <v>0</v>
      </c>
      <c r="AQ64" s="22" t="str">
        <f t="shared" si="11"/>
        <v/>
      </c>
      <c r="AR64" s="7">
        <f>IF(ISBLANK(AN64), 0, VLOOKUP(AN64, 'Price Sheet'!$A$2:$B1015, 2, false))</f>
        <v>0</v>
      </c>
      <c r="AS64" s="33" t="str">
        <f t="shared" si="12"/>
        <v/>
      </c>
      <c r="AT64" s="37"/>
      <c r="AU64" s="29"/>
      <c r="AV64" s="29" t="b">
        <v>0</v>
      </c>
      <c r="AW64" s="22" t="str">
        <f t="shared" si="13"/>
        <v/>
      </c>
      <c r="AX64" s="7">
        <f>IF(ISBLANK(AT64), 0, VLOOKUP(AT64, 'Price Sheet'!$A$2:$B1015, 2, false))</f>
        <v>0</v>
      </c>
      <c r="AY64" s="33" t="str">
        <f t="shared" si="14"/>
        <v/>
      </c>
      <c r="AZ64" s="37"/>
      <c r="BA64" s="29"/>
      <c r="BB64" s="29" t="b">
        <v>0</v>
      </c>
      <c r="BC64" s="22" t="str">
        <f t="shared" si="15"/>
        <v/>
      </c>
      <c r="BD64" s="7">
        <f>IF(ISBLANK(AZ64), 0, VLOOKUP(AZ64, 'Price Sheet'!$A$2:$B1015, 2, false))</f>
        <v>0</v>
      </c>
      <c r="BE64" s="33" t="str">
        <f t="shared" si="16"/>
        <v/>
      </c>
      <c r="BF64" s="37"/>
      <c r="BG64" s="29"/>
      <c r="BH64" s="29" t="b">
        <v>0</v>
      </c>
      <c r="BI64" s="22" t="str">
        <f t="shared" si="17"/>
        <v/>
      </c>
      <c r="BJ64" s="7">
        <f>IF(ISBLANK(BF64), 0, VLOOKUP(BF64, 'Price Sheet'!$A$2:$B1015, 2, false))</f>
        <v>0</v>
      </c>
      <c r="BK64" s="33" t="str">
        <f t="shared" si="18"/>
        <v/>
      </c>
      <c r="BL64" s="37"/>
      <c r="BM64" s="29"/>
      <c r="BN64" s="29" t="b">
        <v>0</v>
      </c>
      <c r="BO64" s="22" t="str">
        <f t="shared" si="19"/>
        <v/>
      </c>
      <c r="BP64" s="7">
        <f>IF(ISBLANK(BL64), 0, VLOOKUP(BL64, 'Price Sheet'!$A$2:$B1015, 2, false))</f>
        <v>0</v>
      </c>
      <c r="BQ64" s="33" t="str">
        <f t="shared" si="20"/>
        <v/>
      </c>
    </row>
    <row r="65">
      <c r="A65" s="7" t="s">
        <v>175</v>
      </c>
      <c r="B65" s="19">
        <f t="shared" si="1"/>
        <v>13.839</v>
      </c>
      <c r="C65" s="8" t="s">
        <v>114</v>
      </c>
      <c r="D65" s="8" t="s">
        <v>287</v>
      </c>
      <c r="E65" s="7" t="str">
        <f>IF(ISBLANK(D65), "", VLOOKUP(D65,'Crafting Tables'!$A$2:$B1015, 2, false))</f>
        <v>Basic</v>
      </c>
      <c r="F65" s="7">
        <f>IFERROR(IF(E65 = "None", 1, VLOOKUP(C65,General!$A$5:$L$35, SWITCH(E65, "Basic", 8, "Advanced", 10, "Modern", 12), false)),"")</f>
        <v>0.55</v>
      </c>
      <c r="G65" s="8">
        <v>30.0</v>
      </c>
      <c r="H65" s="7">
        <f>IFERROR(VLOOKUP(C65, General!$A$5:$L$35, 6, false) * G65 / 1000, 0)</f>
        <v>1.2</v>
      </c>
      <c r="I65" s="29"/>
      <c r="J65" s="22">
        <f>IFERROR(I65*VLOOKUP(D65,'Crafting Tables'!$1:$1000, 4, false)*F65,"")</f>
        <v>0</v>
      </c>
      <c r="K65" s="8" t="b">
        <v>1</v>
      </c>
      <c r="L65" s="32" t="s">
        <v>175</v>
      </c>
      <c r="M65" s="8">
        <v>1.0</v>
      </c>
      <c r="N65" s="21">
        <f t="shared" si="2"/>
        <v>13.839</v>
      </c>
      <c r="P65" s="32" t="s">
        <v>115</v>
      </c>
      <c r="Q65" s="8">
        <v>24.0</v>
      </c>
      <c r="R65" s="29" t="b">
        <v>0</v>
      </c>
      <c r="S65" s="22">
        <f t="shared" si="3"/>
        <v>13.2</v>
      </c>
      <c r="T65" s="19">
        <f>IF(ISBLANK(P65), 0, VLOOKUP(P65, 'Price Sheet'!$A$2:$B1015, 2, false))</f>
        <v>0.9575</v>
      </c>
      <c r="U65" s="33">
        <f t="shared" si="4"/>
        <v>12.639</v>
      </c>
      <c r="V65" s="37"/>
      <c r="W65" s="29"/>
      <c r="X65" s="29" t="b">
        <v>0</v>
      </c>
      <c r="Y65" s="22" t="str">
        <f t="shared" si="5"/>
        <v/>
      </c>
      <c r="Z65" s="7">
        <f>IF(ISBLANK(V65), 0, VLOOKUP(V65, 'Price Sheet'!$A$2:$B1015, 2, false))</f>
        <v>0</v>
      </c>
      <c r="AA65" s="33" t="str">
        <f t="shared" si="6"/>
        <v/>
      </c>
      <c r="AB65" s="37"/>
      <c r="AC65" s="29"/>
      <c r="AD65" s="29" t="b">
        <v>0</v>
      </c>
      <c r="AE65" s="22" t="str">
        <f t="shared" si="7"/>
        <v/>
      </c>
      <c r="AF65" s="7">
        <f>IF(ISBLANK(AB65), 0, VLOOKUP(AB65, 'Price Sheet'!$A$2:$B1015, 2, false))</f>
        <v>0</v>
      </c>
      <c r="AG65" s="33" t="str">
        <f t="shared" si="8"/>
        <v/>
      </c>
      <c r="AH65" s="37"/>
      <c r="AI65" s="29"/>
      <c r="AJ65" s="29" t="b">
        <v>0</v>
      </c>
      <c r="AK65" s="22" t="str">
        <f t="shared" si="9"/>
        <v/>
      </c>
      <c r="AL65" s="7">
        <f>IF(ISBLANK(AH65), 0, VLOOKUP(AH65, 'Price Sheet'!$A$2:$B1015, 2, false))</f>
        <v>0</v>
      </c>
      <c r="AM65" s="33" t="str">
        <f t="shared" si="10"/>
        <v/>
      </c>
      <c r="AN65" s="37"/>
      <c r="AO65" s="29"/>
      <c r="AP65" s="29" t="b">
        <v>0</v>
      </c>
      <c r="AQ65" s="22" t="str">
        <f t="shared" si="11"/>
        <v/>
      </c>
      <c r="AR65" s="7">
        <f>IF(ISBLANK(AN65), 0, VLOOKUP(AN65, 'Price Sheet'!$A$2:$B1015, 2, false))</f>
        <v>0</v>
      </c>
      <c r="AS65" s="33" t="str">
        <f t="shared" si="12"/>
        <v/>
      </c>
      <c r="AT65" s="37"/>
      <c r="AU65" s="29"/>
      <c r="AV65" s="29" t="b">
        <v>0</v>
      </c>
      <c r="AW65" s="22" t="str">
        <f t="shared" si="13"/>
        <v/>
      </c>
      <c r="AX65" s="7">
        <f>IF(ISBLANK(AT65), 0, VLOOKUP(AT65, 'Price Sheet'!$A$2:$B1015, 2, false))</f>
        <v>0</v>
      </c>
      <c r="AY65" s="33" t="str">
        <f t="shared" si="14"/>
        <v/>
      </c>
      <c r="AZ65" s="37"/>
      <c r="BA65" s="29"/>
      <c r="BB65" s="29" t="b">
        <v>0</v>
      </c>
      <c r="BC65" s="22" t="str">
        <f t="shared" si="15"/>
        <v/>
      </c>
      <c r="BD65" s="7">
        <f>IF(ISBLANK(AZ65), 0, VLOOKUP(AZ65, 'Price Sheet'!$A$2:$B1015, 2, false))</f>
        <v>0</v>
      </c>
      <c r="BE65" s="33" t="str">
        <f t="shared" si="16"/>
        <v/>
      </c>
      <c r="BF65" s="37"/>
      <c r="BG65" s="29"/>
      <c r="BH65" s="29" t="b">
        <v>0</v>
      </c>
      <c r="BI65" s="22" t="str">
        <f t="shared" si="17"/>
        <v/>
      </c>
      <c r="BJ65" s="7">
        <f>IF(ISBLANK(BF65), 0, VLOOKUP(BF65, 'Price Sheet'!$A$2:$B1015, 2, false))</f>
        <v>0</v>
      </c>
      <c r="BK65" s="33" t="str">
        <f t="shared" si="18"/>
        <v/>
      </c>
      <c r="BL65" s="37"/>
      <c r="BM65" s="29"/>
      <c r="BN65" s="29" t="b">
        <v>0</v>
      </c>
      <c r="BO65" s="22" t="str">
        <f t="shared" si="19"/>
        <v/>
      </c>
      <c r="BP65" s="7">
        <f>IF(ISBLANK(BL65), 0, VLOOKUP(BL65, 'Price Sheet'!$A$2:$B1015, 2, false))</f>
        <v>0</v>
      </c>
      <c r="BQ65" s="33" t="str">
        <f t="shared" si="20"/>
        <v/>
      </c>
    </row>
    <row r="66">
      <c r="A66" s="7" t="s">
        <v>177</v>
      </c>
      <c r="B66" s="19">
        <f t="shared" si="1"/>
        <v>12.78575</v>
      </c>
      <c r="C66" s="8" t="s">
        <v>114</v>
      </c>
      <c r="D66" s="8" t="s">
        <v>287</v>
      </c>
      <c r="E66" s="7" t="str">
        <f>IF(ISBLANK(D66), "", VLOOKUP(D66,'Crafting Tables'!$A$2:$B1015, 2, false))</f>
        <v>Basic</v>
      </c>
      <c r="F66" s="7">
        <f>IFERROR(IF(E66 = "None", 1, VLOOKUP(C66,General!$A$5:$L$35, SWITCH(E66, "Basic", 8, "Advanced", 10, "Modern", 12), false)),"")</f>
        <v>0.55</v>
      </c>
      <c r="G66" s="8">
        <v>30.0</v>
      </c>
      <c r="H66" s="7">
        <f>IFERROR(VLOOKUP(C66, General!$A$5:$L$35, 6, false) * G66 / 1000, 0)</f>
        <v>1.2</v>
      </c>
      <c r="I66" s="29"/>
      <c r="J66" s="22">
        <f>IFERROR(I66*VLOOKUP(D66,'Crafting Tables'!$1:$1000, 4, false)*F66,"")</f>
        <v>0</v>
      </c>
      <c r="K66" s="8" t="b">
        <v>1</v>
      </c>
      <c r="L66" s="32" t="s">
        <v>177</v>
      </c>
      <c r="M66" s="8">
        <v>1.0</v>
      </c>
      <c r="N66" s="21">
        <f t="shared" si="2"/>
        <v>12.78575</v>
      </c>
      <c r="P66" s="32" t="s">
        <v>115</v>
      </c>
      <c r="Q66" s="8">
        <v>22.0</v>
      </c>
      <c r="R66" s="29" t="b">
        <v>0</v>
      </c>
      <c r="S66" s="22">
        <f t="shared" si="3"/>
        <v>12.1</v>
      </c>
      <c r="T66" s="19">
        <f>IF(ISBLANK(P66), 0, VLOOKUP(P66, 'Price Sheet'!$A$2:$B1015, 2, false))</f>
        <v>0.9575</v>
      </c>
      <c r="U66" s="33">
        <f t="shared" si="4"/>
        <v>11.58575</v>
      </c>
      <c r="V66" s="37"/>
      <c r="W66" s="29"/>
      <c r="X66" s="29" t="b">
        <v>0</v>
      </c>
      <c r="Y66" s="22" t="str">
        <f t="shared" si="5"/>
        <v/>
      </c>
      <c r="Z66" s="7">
        <f>IF(ISBLANK(V66), 0, VLOOKUP(V66, 'Price Sheet'!$A$2:$B1015, 2, false))</f>
        <v>0</v>
      </c>
      <c r="AA66" s="33" t="str">
        <f t="shared" si="6"/>
        <v/>
      </c>
      <c r="AB66" s="37"/>
      <c r="AC66" s="29"/>
      <c r="AD66" s="29" t="b">
        <v>0</v>
      </c>
      <c r="AE66" s="22" t="str">
        <f t="shared" si="7"/>
        <v/>
      </c>
      <c r="AF66" s="7">
        <f>IF(ISBLANK(AB66), 0, VLOOKUP(AB66, 'Price Sheet'!$A$2:$B1015, 2, false))</f>
        <v>0</v>
      </c>
      <c r="AG66" s="33" t="str">
        <f t="shared" si="8"/>
        <v/>
      </c>
      <c r="AH66" s="37"/>
      <c r="AI66" s="29"/>
      <c r="AJ66" s="29" t="b">
        <v>0</v>
      </c>
      <c r="AK66" s="22" t="str">
        <f t="shared" si="9"/>
        <v/>
      </c>
      <c r="AL66" s="7">
        <f>IF(ISBLANK(AH66), 0, VLOOKUP(AH66, 'Price Sheet'!$A$2:$B1015, 2, false))</f>
        <v>0</v>
      </c>
      <c r="AM66" s="33" t="str">
        <f t="shared" si="10"/>
        <v/>
      </c>
      <c r="AN66" s="37"/>
      <c r="AO66" s="29"/>
      <c r="AP66" s="29" t="b">
        <v>0</v>
      </c>
      <c r="AQ66" s="22" t="str">
        <f t="shared" si="11"/>
        <v/>
      </c>
      <c r="AR66" s="7">
        <f>IF(ISBLANK(AN66), 0, VLOOKUP(AN66, 'Price Sheet'!$A$2:$B1015, 2, false))</f>
        <v>0</v>
      </c>
      <c r="AS66" s="33" t="str">
        <f t="shared" si="12"/>
        <v/>
      </c>
      <c r="AT66" s="37"/>
      <c r="AU66" s="29"/>
      <c r="AV66" s="29" t="b">
        <v>0</v>
      </c>
      <c r="AW66" s="22" t="str">
        <f t="shared" si="13"/>
        <v/>
      </c>
      <c r="AX66" s="7">
        <f>IF(ISBLANK(AT66), 0, VLOOKUP(AT66, 'Price Sheet'!$A$2:$B1015, 2, false))</f>
        <v>0</v>
      </c>
      <c r="AY66" s="33" t="str">
        <f t="shared" si="14"/>
        <v/>
      </c>
      <c r="AZ66" s="37"/>
      <c r="BA66" s="29"/>
      <c r="BB66" s="29" t="b">
        <v>0</v>
      </c>
      <c r="BC66" s="22" t="str">
        <f t="shared" si="15"/>
        <v/>
      </c>
      <c r="BD66" s="7">
        <f>IF(ISBLANK(AZ66), 0, VLOOKUP(AZ66, 'Price Sheet'!$A$2:$B1015, 2, false))</f>
        <v>0</v>
      </c>
      <c r="BE66" s="33" t="str">
        <f t="shared" si="16"/>
        <v/>
      </c>
      <c r="BF66" s="37"/>
      <c r="BG66" s="29"/>
      <c r="BH66" s="29" t="b">
        <v>0</v>
      </c>
      <c r="BI66" s="22" t="str">
        <f t="shared" si="17"/>
        <v/>
      </c>
      <c r="BJ66" s="7">
        <f>IF(ISBLANK(BF66), 0, VLOOKUP(BF66, 'Price Sheet'!$A$2:$B1015, 2, false))</f>
        <v>0</v>
      </c>
      <c r="BK66" s="33" t="str">
        <f t="shared" si="18"/>
        <v/>
      </c>
      <c r="BL66" s="37"/>
      <c r="BM66" s="29"/>
      <c r="BN66" s="29" t="b">
        <v>0</v>
      </c>
      <c r="BO66" s="22" t="str">
        <f t="shared" si="19"/>
        <v/>
      </c>
      <c r="BP66" s="7">
        <f>IF(ISBLANK(BL66), 0, VLOOKUP(BL66, 'Price Sheet'!$A$2:$B1015, 2, false))</f>
        <v>0</v>
      </c>
      <c r="BQ66" s="33" t="str">
        <f t="shared" si="20"/>
        <v/>
      </c>
    </row>
    <row r="67">
      <c r="A67" s="7" t="s">
        <v>179</v>
      </c>
      <c r="B67" s="19">
        <f t="shared" si="1"/>
        <v>20.775</v>
      </c>
      <c r="C67" s="8" t="s">
        <v>114</v>
      </c>
      <c r="D67" s="8" t="s">
        <v>289</v>
      </c>
      <c r="E67" s="7" t="str">
        <f>IF(ISBLANK(D67), "", VLOOKUP(D67,'Crafting Tables'!$A$2:$B1015, 2, false))</f>
        <v>Advanced</v>
      </c>
      <c r="F67" s="7">
        <f>IFERROR(IF(E67 = "None", 1, VLOOKUP(C67,General!$A$5:$L$35, SWITCH(E67, "Basic", 8, "Advanced", 10, "Modern", 12), false)),"")</f>
        <v>1</v>
      </c>
      <c r="G67" s="8">
        <v>120.0</v>
      </c>
      <c r="H67" s="7">
        <f>IFERROR(VLOOKUP(C67, General!$A$5:$L$35, 6, false) * G67 / 1000, 0)</f>
        <v>4.8</v>
      </c>
      <c r="I67" s="8">
        <v>120.0</v>
      </c>
      <c r="J67" s="22">
        <f>IFERROR(I67*VLOOKUP(D67,'Crafting Tables'!$1:$1000, 4, false)*F67,"")</f>
        <v>0.225</v>
      </c>
      <c r="K67" s="8" t="b">
        <v>1</v>
      </c>
      <c r="L67" s="32" t="s">
        <v>179</v>
      </c>
      <c r="M67" s="8">
        <v>1.0</v>
      </c>
      <c r="N67" s="21">
        <f t="shared" si="2"/>
        <v>20.775</v>
      </c>
      <c r="P67" s="32" t="s">
        <v>75</v>
      </c>
      <c r="Q67" s="8">
        <v>10.0</v>
      </c>
      <c r="R67" s="29" t="b">
        <v>0</v>
      </c>
      <c r="S67" s="22">
        <f t="shared" si="3"/>
        <v>10</v>
      </c>
      <c r="T67" s="19">
        <f>IF(ISBLANK(P67), 0, VLOOKUP(P67, 'Price Sheet'!$A$2:$B1015, 2, false))</f>
        <v>0.25</v>
      </c>
      <c r="U67" s="33">
        <f t="shared" si="4"/>
        <v>2.5</v>
      </c>
      <c r="V67" s="32" t="s">
        <v>42</v>
      </c>
      <c r="W67" s="8">
        <v>20.0</v>
      </c>
      <c r="X67" s="29" t="b">
        <v>0</v>
      </c>
      <c r="Y67" s="22">
        <f t="shared" si="5"/>
        <v>20</v>
      </c>
      <c r="Z67" s="19">
        <f>IF(ISBLANK(V67), 0, VLOOKUP(V67, 'Price Sheet'!$A$2:$B1015, 2, false))</f>
        <v>0.1</v>
      </c>
      <c r="AA67" s="33">
        <f t="shared" si="6"/>
        <v>2</v>
      </c>
      <c r="AB67" s="32" t="s">
        <v>83</v>
      </c>
      <c r="AC67" s="8">
        <v>25.0</v>
      </c>
      <c r="AD67" s="29" t="b">
        <v>0</v>
      </c>
      <c r="AE67" s="22">
        <f t="shared" si="7"/>
        <v>25</v>
      </c>
      <c r="AF67" s="19">
        <f>IF(ISBLANK(AB67), 0, VLOOKUP(AB67, 'Price Sheet'!$A$2:$B1015, 2, false))</f>
        <v>0.45</v>
      </c>
      <c r="AG67" s="33">
        <f t="shared" si="8"/>
        <v>11.25</v>
      </c>
      <c r="AH67" s="37"/>
      <c r="AI67" s="29"/>
      <c r="AJ67" s="29" t="b">
        <v>0</v>
      </c>
      <c r="AK67" s="22" t="str">
        <f t="shared" si="9"/>
        <v/>
      </c>
      <c r="AL67" s="7">
        <f>IF(ISBLANK(AH67), 0, VLOOKUP(AH67, 'Price Sheet'!$A$2:$B1015, 2, false))</f>
        <v>0</v>
      </c>
      <c r="AM67" s="33" t="str">
        <f t="shared" si="10"/>
        <v/>
      </c>
      <c r="AN67" s="37"/>
      <c r="AO67" s="29"/>
      <c r="AP67" s="29" t="b">
        <v>0</v>
      </c>
      <c r="AQ67" s="22" t="str">
        <f t="shared" si="11"/>
        <v/>
      </c>
      <c r="AR67" s="7">
        <f>IF(ISBLANK(AN67), 0, VLOOKUP(AN67, 'Price Sheet'!$A$2:$B1015, 2, false))</f>
        <v>0</v>
      </c>
      <c r="AS67" s="33" t="str">
        <f t="shared" si="12"/>
        <v/>
      </c>
      <c r="AT67" s="37"/>
      <c r="AU67" s="29"/>
      <c r="AV67" s="29" t="b">
        <v>0</v>
      </c>
      <c r="AW67" s="22" t="str">
        <f t="shared" si="13"/>
        <v/>
      </c>
      <c r="AX67" s="7">
        <f>IF(ISBLANK(AT67), 0, VLOOKUP(AT67, 'Price Sheet'!$A$2:$B1015, 2, false))</f>
        <v>0</v>
      </c>
      <c r="AY67" s="33" t="str">
        <f t="shared" si="14"/>
        <v/>
      </c>
      <c r="AZ67" s="37"/>
      <c r="BA67" s="29"/>
      <c r="BB67" s="29" t="b">
        <v>0</v>
      </c>
      <c r="BC67" s="22" t="str">
        <f t="shared" si="15"/>
        <v/>
      </c>
      <c r="BD67" s="7">
        <f>IF(ISBLANK(AZ67), 0, VLOOKUP(AZ67, 'Price Sheet'!$A$2:$B1015, 2, false))</f>
        <v>0</v>
      </c>
      <c r="BE67" s="33" t="str">
        <f t="shared" si="16"/>
        <v/>
      </c>
      <c r="BF67" s="37"/>
      <c r="BG67" s="29"/>
      <c r="BH67" s="29" t="b">
        <v>0</v>
      </c>
      <c r="BI67" s="22" t="str">
        <f t="shared" si="17"/>
        <v/>
      </c>
      <c r="BJ67" s="7">
        <f>IF(ISBLANK(BF67), 0, VLOOKUP(BF67, 'Price Sheet'!$A$2:$B1015, 2, false))</f>
        <v>0</v>
      </c>
      <c r="BK67" s="33" t="str">
        <f t="shared" si="18"/>
        <v/>
      </c>
      <c r="BL67" s="37"/>
      <c r="BM67" s="29"/>
      <c r="BN67" s="29" t="b">
        <v>0</v>
      </c>
      <c r="BO67" s="22" t="str">
        <f t="shared" si="19"/>
        <v/>
      </c>
      <c r="BP67" s="7">
        <f>IF(ISBLANK(BL67), 0, VLOOKUP(BL67, 'Price Sheet'!$A$2:$B1015, 2, false))</f>
        <v>0</v>
      </c>
      <c r="BQ67" s="33" t="str">
        <f t="shared" si="20"/>
        <v/>
      </c>
    </row>
    <row r="68">
      <c r="A68" s="7" t="s">
        <v>181</v>
      </c>
      <c r="B68" s="19">
        <f t="shared" si="1"/>
        <v>22.1</v>
      </c>
      <c r="C68" s="8" t="s">
        <v>114</v>
      </c>
      <c r="D68" s="8" t="s">
        <v>287</v>
      </c>
      <c r="E68" s="7" t="str">
        <f>IF(ISBLANK(D68), "", VLOOKUP(D68,'Crafting Tables'!$A$2:$B1015, 2, false))</f>
        <v>Basic</v>
      </c>
      <c r="F68" s="7">
        <f>IFERROR(IF(E68 = "None", 1, VLOOKUP(C68,General!$A$5:$L$35, SWITCH(E68, "Basic", 8, "Advanced", 10, "Modern", 12), false)),"")</f>
        <v>0.55</v>
      </c>
      <c r="G68" s="8">
        <v>360.0</v>
      </c>
      <c r="H68" s="7">
        <f>IFERROR(VLOOKUP(C68, General!$A$5:$L$35, 6, false) * G68 / 1000, 0)</f>
        <v>14.4</v>
      </c>
      <c r="I68" s="29"/>
      <c r="J68" s="22">
        <f>IFERROR(I68*VLOOKUP(D68,'Crafting Tables'!$1:$1000, 4, false)*F68,"")</f>
        <v>0</v>
      </c>
      <c r="K68" s="8" t="b">
        <v>1</v>
      </c>
      <c r="L68" s="32" t="s">
        <v>181</v>
      </c>
      <c r="M68" s="8">
        <v>1.0</v>
      </c>
      <c r="N68" s="21">
        <f t="shared" si="2"/>
        <v>22.1</v>
      </c>
      <c r="P68" s="32" t="s">
        <v>40</v>
      </c>
      <c r="Q68" s="8">
        <v>40.0</v>
      </c>
      <c r="R68" s="29" t="b">
        <v>0</v>
      </c>
      <c r="S68" s="22">
        <f t="shared" si="3"/>
        <v>22</v>
      </c>
      <c r="T68" s="19">
        <f>IF(ISBLANK(P68), 0, VLOOKUP(P68, 'Price Sheet'!$A$2:$B1015, 2, false))</f>
        <v>0.1</v>
      </c>
      <c r="U68" s="33">
        <f t="shared" si="4"/>
        <v>2.2</v>
      </c>
      <c r="V68" s="32" t="s">
        <v>23</v>
      </c>
      <c r="W68" s="8">
        <v>20.0</v>
      </c>
      <c r="X68" s="29" t="b">
        <v>0</v>
      </c>
      <c r="Y68" s="22">
        <f t="shared" si="5"/>
        <v>11</v>
      </c>
      <c r="Z68" s="19">
        <f>IF(ISBLANK(V68), 0, VLOOKUP(V68, 'Price Sheet'!$A$2:$B1015, 2, false))</f>
        <v>0.5</v>
      </c>
      <c r="AA68" s="33">
        <f t="shared" si="6"/>
        <v>5.5</v>
      </c>
      <c r="AB68" s="37"/>
      <c r="AC68" s="29"/>
      <c r="AD68" s="29" t="b">
        <v>0</v>
      </c>
      <c r="AE68" s="22" t="str">
        <f t="shared" si="7"/>
        <v/>
      </c>
      <c r="AF68" s="7">
        <f>IF(ISBLANK(AB68), 0, VLOOKUP(AB68, 'Price Sheet'!$A$2:$B1015, 2, false))</f>
        <v>0</v>
      </c>
      <c r="AG68" s="33" t="str">
        <f t="shared" si="8"/>
        <v/>
      </c>
      <c r="AH68" s="37"/>
      <c r="AI68" s="29"/>
      <c r="AJ68" s="29" t="b">
        <v>0</v>
      </c>
      <c r="AK68" s="22" t="str">
        <f t="shared" si="9"/>
        <v/>
      </c>
      <c r="AL68" s="7">
        <f>IF(ISBLANK(AH68), 0, VLOOKUP(AH68, 'Price Sheet'!$A$2:$B1015, 2, false))</f>
        <v>0</v>
      </c>
      <c r="AM68" s="33" t="str">
        <f t="shared" si="10"/>
        <v/>
      </c>
      <c r="AN68" s="37"/>
      <c r="AO68" s="29"/>
      <c r="AP68" s="29" t="b">
        <v>0</v>
      </c>
      <c r="AQ68" s="22" t="str">
        <f t="shared" si="11"/>
        <v/>
      </c>
      <c r="AR68" s="7">
        <f>IF(ISBLANK(AN68), 0, VLOOKUP(AN68, 'Price Sheet'!$A$2:$B1015, 2, false))</f>
        <v>0</v>
      </c>
      <c r="AS68" s="33" t="str">
        <f t="shared" si="12"/>
        <v/>
      </c>
      <c r="AT68" s="37"/>
      <c r="AU68" s="29"/>
      <c r="AV68" s="29" t="b">
        <v>0</v>
      </c>
      <c r="AW68" s="22" t="str">
        <f t="shared" si="13"/>
        <v/>
      </c>
      <c r="AX68" s="7">
        <f>IF(ISBLANK(AT68), 0, VLOOKUP(AT68, 'Price Sheet'!$A$2:$B1015, 2, false))</f>
        <v>0</v>
      </c>
      <c r="AY68" s="33" t="str">
        <f t="shared" si="14"/>
        <v/>
      </c>
      <c r="AZ68" s="37"/>
      <c r="BA68" s="29"/>
      <c r="BB68" s="29" t="b">
        <v>0</v>
      </c>
      <c r="BC68" s="22" t="str">
        <f t="shared" si="15"/>
        <v/>
      </c>
      <c r="BD68" s="7">
        <f>IF(ISBLANK(AZ68), 0, VLOOKUP(AZ68, 'Price Sheet'!$A$2:$B1015, 2, false))</f>
        <v>0</v>
      </c>
      <c r="BE68" s="33" t="str">
        <f t="shared" si="16"/>
        <v/>
      </c>
      <c r="BF68" s="37"/>
      <c r="BG68" s="29"/>
      <c r="BH68" s="29" t="b">
        <v>0</v>
      </c>
      <c r="BI68" s="22" t="str">
        <f t="shared" si="17"/>
        <v/>
      </c>
      <c r="BJ68" s="7">
        <f>IF(ISBLANK(BF68), 0, VLOOKUP(BF68, 'Price Sheet'!$A$2:$B1015, 2, false))</f>
        <v>0</v>
      </c>
      <c r="BK68" s="33" t="str">
        <f t="shared" si="18"/>
        <v/>
      </c>
      <c r="BL68" s="37"/>
      <c r="BM68" s="29"/>
      <c r="BN68" s="29" t="b">
        <v>0</v>
      </c>
      <c r="BO68" s="22" t="str">
        <f t="shared" si="19"/>
        <v/>
      </c>
      <c r="BP68" s="7">
        <f>IF(ISBLANK(BL68), 0, VLOOKUP(BL68, 'Price Sheet'!$A$2:$B1015, 2, false))</f>
        <v>0</v>
      </c>
      <c r="BQ68" s="33" t="str">
        <f t="shared" si="20"/>
        <v/>
      </c>
    </row>
    <row r="69">
      <c r="A69" s="7" t="s">
        <v>191</v>
      </c>
      <c r="B69" s="19">
        <f t="shared" si="1"/>
        <v>2.9225</v>
      </c>
      <c r="C69" s="8" t="s">
        <v>155</v>
      </c>
      <c r="D69" s="8" t="s">
        <v>299</v>
      </c>
      <c r="E69" s="7" t="str">
        <f>IF(ISBLANK(D69), "", VLOOKUP(D69,'Crafting Tables'!$A$2:$B1015, 2, false))</f>
        <v>Basic</v>
      </c>
      <c r="F69" s="7">
        <f>IFERROR(IF(E69 = "None", 1, VLOOKUP(C69,General!$A$5:$L$35, SWITCH(E69, "Basic", 8, "Advanced", 10, "Modern", 12), false)),"")</f>
        <v>0.55</v>
      </c>
      <c r="G69" s="8">
        <v>60.0</v>
      </c>
      <c r="H69" s="7">
        <f>IFERROR(VLOOKUP(C69, General!$A$5:$L$35, 6, false) * G69 / 1000, 0)</f>
        <v>2.4</v>
      </c>
      <c r="I69" s="8">
        <v>30.0</v>
      </c>
      <c r="J69" s="22">
        <f>IFERROR(I69*VLOOKUP(D69,'Crafting Tables'!$1:$1000, 4, false)*F69,"")</f>
        <v>0</v>
      </c>
      <c r="K69" s="8" t="b">
        <v>1</v>
      </c>
      <c r="L69" s="32" t="s">
        <v>191</v>
      </c>
      <c r="M69" s="8">
        <v>1.0</v>
      </c>
      <c r="N69" s="21">
        <f t="shared" si="2"/>
        <v>2.9225</v>
      </c>
      <c r="P69" s="32" t="s">
        <v>42</v>
      </c>
      <c r="Q69" s="8">
        <v>2.0</v>
      </c>
      <c r="R69" s="8" t="b">
        <v>0</v>
      </c>
      <c r="S69" s="22">
        <f t="shared" si="3"/>
        <v>1.1</v>
      </c>
      <c r="T69" s="19">
        <f>IF(ISBLANK(P69), 0, VLOOKUP(P69, 'Price Sheet'!$A$2:$B1015, 2, false))</f>
        <v>0.1</v>
      </c>
      <c r="U69" s="33">
        <f t="shared" si="4"/>
        <v>0.11</v>
      </c>
      <c r="V69" s="32" t="s">
        <v>119</v>
      </c>
      <c r="W69" s="8">
        <v>3.0</v>
      </c>
      <c r="X69" s="29" t="b">
        <v>0</v>
      </c>
      <c r="Y69" s="22">
        <f t="shared" si="5"/>
        <v>1.65</v>
      </c>
      <c r="Z69" s="19">
        <f>IF(ISBLANK(V69), 0, VLOOKUP(V69, 'Price Sheet'!$A$2:$B1015, 2, false))</f>
        <v>0.25</v>
      </c>
      <c r="AA69" s="33">
        <f t="shared" si="6"/>
        <v>0.4125</v>
      </c>
      <c r="AB69" s="37"/>
      <c r="AC69" s="29"/>
      <c r="AD69" s="29" t="b">
        <v>0</v>
      </c>
      <c r="AE69" s="22" t="str">
        <f t="shared" si="7"/>
        <v/>
      </c>
      <c r="AF69" s="7">
        <f>IF(ISBLANK(AB69), 0, VLOOKUP(AB69, 'Price Sheet'!$A$2:$B1015, 2, false))</f>
        <v>0</v>
      </c>
      <c r="AG69" s="33" t="str">
        <f t="shared" si="8"/>
        <v/>
      </c>
      <c r="AH69" s="37"/>
      <c r="AI69" s="29"/>
      <c r="AJ69" s="29" t="b">
        <v>0</v>
      </c>
      <c r="AK69" s="22" t="str">
        <f t="shared" si="9"/>
        <v/>
      </c>
      <c r="AL69" s="7">
        <f>IF(ISBLANK(AH69), 0, VLOOKUP(AH69, 'Price Sheet'!$A$2:$B1015, 2, false))</f>
        <v>0</v>
      </c>
      <c r="AM69" s="33" t="str">
        <f t="shared" si="10"/>
        <v/>
      </c>
      <c r="AN69" s="37"/>
      <c r="AO69" s="29"/>
      <c r="AP69" s="29" t="b">
        <v>0</v>
      </c>
      <c r="AQ69" s="22" t="str">
        <f t="shared" si="11"/>
        <v/>
      </c>
      <c r="AR69" s="7">
        <f>IF(ISBLANK(AN69), 0, VLOOKUP(AN69, 'Price Sheet'!$A$2:$B1015, 2, false))</f>
        <v>0</v>
      </c>
      <c r="AS69" s="33" t="str">
        <f t="shared" si="12"/>
        <v/>
      </c>
      <c r="AT69" s="37"/>
      <c r="AU69" s="29"/>
      <c r="AV69" s="29" t="b">
        <v>0</v>
      </c>
      <c r="AW69" s="22" t="str">
        <f t="shared" si="13"/>
        <v/>
      </c>
      <c r="AX69" s="7">
        <f>IF(ISBLANK(AT69), 0, VLOOKUP(AT69, 'Price Sheet'!$A$2:$B1015, 2, false))</f>
        <v>0</v>
      </c>
      <c r="AY69" s="33" t="str">
        <f t="shared" si="14"/>
        <v/>
      </c>
      <c r="AZ69" s="37"/>
      <c r="BA69" s="29"/>
      <c r="BB69" s="29" t="b">
        <v>0</v>
      </c>
      <c r="BC69" s="22" t="str">
        <f t="shared" si="15"/>
        <v/>
      </c>
      <c r="BD69" s="7">
        <f>IF(ISBLANK(AZ69), 0, VLOOKUP(AZ69, 'Price Sheet'!$A$2:$B1015, 2, false))</f>
        <v>0</v>
      </c>
      <c r="BE69" s="33" t="str">
        <f t="shared" si="16"/>
        <v/>
      </c>
      <c r="BF69" s="37"/>
      <c r="BG69" s="29"/>
      <c r="BH69" s="29" t="b">
        <v>0</v>
      </c>
      <c r="BI69" s="22" t="str">
        <f t="shared" si="17"/>
        <v/>
      </c>
      <c r="BJ69" s="7">
        <f>IF(ISBLANK(BF69), 0, VLOOKUP(BF69, 'Price Sheet'!$A$2:$B1015, 2, false))</f>
        <v>0</v>
      </c>
      <c r="BK69" s="33" t="str">
        <f t="shared" si="18"/>
        <v/>
      </c>
      <c r="BL69" s="37"/>
      <c r="BM69" s="29"/>
      <c r="BN69" s="29" t="b">
        <v>0</v>
      </c>
      <c r="BO69" s="22" t="str">
        <f t="shared" si="19"/>
        <v/>
      </c>
      <c r="BP69" s="7">
        <f>IF(ISBLANK(BL69), 0, VLOOKUP(BL69, 'Price Sheet'!$A$2:$B1015, 2, false))</f>
        <v>0</v>
      </c>
      <c r="BQ69" s="33" t="str">
        <f t="shared" si="20"/>
        <v/>
      </c>
    </row>
    <row r="70">
      <c r="A70" s="7" t="s">
        <v>477</v>
      </c>
      <c r="B70" s="19">
        <f t="shared" si="1"/>
        <v>4.4</v>
      </c>
      <c r="C70" s="8" t="s">
        <v>117</v>
      </c>
      <c r="D70" s="8" t="s">
        <v>304</v>
      </c>
      <c r="E70" s="7" t="str">
        <f>IF(ISBLANK(D70), "", VLOOKUP(D70,'Crafting Tables'!$A$2:$B1015, 2, false))</f>
        <v>Basic</v>
      </c>
      <c r="F70" s="7">
        <f>IFERROR(IF(E70 = "None", 1, VLOOKUP(C70,General!$A$5:$L$35, SWITCH(E70, "Basic", 8, "Advanced", 10, "Modern", 12), false)),"")</f>
        <v>0.55</v>
      </c>
      <c r="G70" s="8">
        <v>50.0</v>
      </c>
      <c r="H70" s="7">
        <f>IFERROR(VLOOKUP(C70, General!$A$5:$L$35, 6, false) * G70 / 1000, 0)</f>
        <v>2</v>
      </c>
      <c r="I70" s="8">
        <v>120.0</v>
      </c>
      <c r="J70" s="22">
        <f>IFERROR(I70*VLOOKUP(D70,'Crafting Tables'!$1:$1000, 4, false)*F70,"")</f>
        <v>0</v>
      </c>
      <c r="K70" s="8" t="b">
        <v>1</v>
      </c>
      <c r="L70" s="32" t="s">
        <v>195</v>
      </c>
      <c r="M70" s="8">
        <v>2.0</v>
      </c>
      <c r="N70" s="21">
        <f t="shared" si="2"/>
        <v>2.2</v>
      </c>
      <c r="P70" s="32" t="s">
        <v>193</v>
      </c>
      <c r="Q70" s="8">
        <v>12.0</v>
      </c>
      <c r="R70" s="8" t="b">
        <v>1</v>
      </c>
      <c r="S70" s="22">
        <f t="shared" si="3"/>
        <v>12</v>
      </c>
      <c r="T70" s="19">
        <f>IF(ISBLANK(P70), 0, VLOOKUP(P70, 'Price Sheet'!$A$2:$B1015, 2, false))</f>
        <v>0.2</v>
      </c>
      <c r="U70" s="33">
        <f t="shared" si="4"/>
        <v>2.4</v>
      </c>
      <c r="V70" s="37"/>
      <c r="W70" s="29"/>
      <c r="X70" s="29" t="b">
        <v>0</v>
      </c>
      <c r="Y70" s="22" t="str">
        <f t="shared" si="5"/>
        <v/>
      </c>
      <c r="Z70" s="7">
        <f>IF(ISBLANK(V70), 0, VLOOKUP(V70, 'Price Sheet'!$A$2:$B1015, 2, false))</f>
        <v>0</v>
      </c>
      <c r="AA70" s="33" t="str">
        <f t="shared" si="6"/>
        <v/>
      </c>
      <c r="AB70" s="37"/>
      <c r="AC70" s="29"/>
      <c r="AD70" s="29" t="b">
        <v>0</v>
      </c>
      <c r="AE70" s="22" t="str">
        <f t="shared" si="7"/>
        <v/>
      </c>
      <c r="AF70" s="7">
        <f>IF(ISBLANK(AB70), 0, VLOOKUP(AB70, 'Price Sheet'!$A$2:$B1015, 2, false))</f>
        <v>0</v>
      </c>
      <c r="AG70" s="33" t="str">
        <f t="shared" si="8"/>
        <v/>
      </c>
      <c r="AH70" s="37"/>
      <c r="AI70" s="29"/>
      <c r="AJ70" s="29" t="b">
        <v>0</v>
      </c>
      <c r="AK70" s="22" t="str">
        <f t="shared" si="9"/>
        <v/>
      </c>
      <c r="AL70" s="7">
        <f>IF(ISBLANK(AH70), 0, VLOOKUP(AH70, 'Price Sheet'!$A$2:$B1015, 2, false))</f>
        <v>0</v>
      </c>
      <c r="AM70" s="33" t="str">
        <f t="shared" si="10"/>
        <v/>
      </c>
      <c r="AN70" s="37"/>
      <c r="AO70" s="29"/>
      <c r="AP70" s="29" t="b">
        <v>0</v>
      </c>
      <c r="AQ70" s="22" t="str">
        <f t="shared" si="11"/>
        <v/>
      </c>
      <c r="AR70" s="7">
        <f>IF(ISBLANK(AN70), 0, VLOOKUP(AN70, 'Price Sheet'!$A$2:$B1015, 2, false))</f>
        <v>0</v>
      </c>
      <c r="AS70" s="33" t="str">
        <f t="shared" si="12"/>
        <v/>
      </c>
      <c r="AT70" s="37"/>
      <c r="AU70" s="29"/>
      <c r="AV70" s="29" t="b">
        <v>0</v>
      </c>
      <c r="AW70" s="22" t="str">
        <f t="shared" si="13"/>
        <v/>
      </c>
      <c r="AX70" s="7">
        <f>IF(ISBLANK(AT70), 0, VLOOKUP(AT70, 'Price Sheet'!$A$2:$B1015, 2, false))</f>
        <v>0</v>
      </c>
      <c r="AY70" s="33" t="str">
        <f t="shared" si="14"/>
        <v/>
      </c>
      <c r="AZ70" s="37"/>
      <c r="BA70" s="29"/>
      <c r="BB70" s="29" t="b">
        <v>0</v>
      </c>
      <c r="BC70" s="22" t="str">
        <f t="shared" si="15"/>
        <v/>
      </c>
      <c r="BD70" s="7">
        <f>IF(ISBLANK(AZ70), 0, VLOOKUP(AZ70, 'Price Sheet'!$A$2:$B1015, 2, false))</f>
        <v>0</v>
      </c>
      <c r="BE70" s="33" t="str">
        <f t="shared" si="16"/>
        <v/>
      </c>
      <c r="BF70" s="37"/>
      <c r="BG70" s="29"/>
      <c r="BH70" s="29" t="b">
        <v>0</v>
      </c>
      <c r="BI70" s="22" t="str">
        <f t="shared" si="17"/>
        <v/>
      </c>
      <c r="BJ70" s="7">
        <f>IF(ISBLANK(BF70), 0, VLOOKUP(BF70, 'Price Sheet'!$A$2:$B1015, 2, false))</f>
        <v>0</v>
      </c>
      <c r="BK70" s="33" t="str">
        <f t="shared" si="18"/>
        <v/>
      </c>
      <c r="BL70" s="37"/>
      <c r="BM70" s="29"/>
      <c r="BN70" s="29" t="b">
        <v>0</v>
      </c>
      <c r="BO70" s="22" t="str">
        <f t="shared" si="19"/>
        <v/>
      </c>
      <c r="BP70" s="7">
        <f>IF(ISBLANK(BL70), 0, VLOOKUP(BL70, 'Price Sheet'!$A$2:$B1015, 2, false))</f>
        <v>0</v>
      </c>
      <c r="BQ70" s="33" t="str">
        <f t="shared" si="20"/>
        <v/>
      </c>
    </row>
    <row r="71">
      <c r="A71" s="7" t="s">
        <v>478</v>
      </c>
      <c r="B71" s="19">
        <f t="shared" si="1"/>
        <v>6.8675</v>
      </c>
      <c r="C71" s="8" t="s">
        <v>117</v>
      </c>
      <c r="D71" s="8" t="s">
        <v>315</v>
      </c>
      <c r="E71" s="7" t="str">
        <f>IF(ISBLANK(D71), "", VLOOKUP(D71,'Crafting Tables'!$A$2:$B1015, 2, false))</f>
        <v>Advanced</v>
      </c>
      <c r="F71" s="7">
        <f>IFERROR(IF(E71 = "None", 1, VLOOKUP(C71,General!$A$5:$L$35, SWITCH(E71, "Basic", 8, "Advanced", 10, "Modern", 12), false)),"")</f>
        <v>1</v>
      </c>
      <c r="G71" s="8">
        <v>70.0</v>
      </c>
      <c r="H71" s="7">
        <f>IFERROR(VLOOKUP(C71, General!$A$5:$L$35, 6, false) * G71 / 1000, 0)</f>
        <v>2.8</v>
      </c>
      <c r="I71" s="8">
        <v>60.0</v>
      </c>
      <c r="J71" s="22">
        <f>IFERROR(I71*VLOOKUP(D71,'Crafting Tables'!$1:$1000, 4, false)*F71,"")</f>
        <v>0.0675</v>
      </c>
      <c r="K71" s="8" t="b">
        <v>0</v>
      </c>
      <c r="L71" s="32" t="s">
        <v>195</v>
      </c>
      <c r="M71" s="8">
        <v>4.0</v>
      </c>
      <c r="N71" s="21">
        <f t="shared" si="2"/>
        <v>1.716875</v>
      </c>
      <c r="P71" s="32" t="s">
        <v>193</v>
      </c>
      <c r="Q71" s="8">
        <v>20.0</v>
      </c>
      <c r="R71" s="8" t="b">
        <v>1</v>
      </c>
      <c r="S71" s="22">
        <f t="shared" si="3"/>
        <v>20</v>
      </c>
      <c r="T71" s="19">
        <f>IF(ISBLANK(P71), 0, VLOOKUP(P71, 'Price Sheet'!$A$2:$B1015, 2, false))</f>
        <v>0.2</v>
      </c>
      <c r="U71" s="33">
        <f t="shared" si="4"/>
        <v>4</v>
      </c>
      <c r="V71" s="37"/>
      <c r="W71" s="29"/>
      <c r="X71" s="29" t="b">
        <v>0</v>
      </c>
      <c r="Y71" s="22" t="str">
        <f t="shared" si="5"/>
        <v/>
      </c>
      <c r="Z71" s="7">
        <f>IF(ISBLANK(V71), 0, VLOOKUP(V71, 'Price Sheet'!$A$2:$B1015, 2, false))</f>
        <v>0</v>
      </c>
      <c r="AA71" s="33" t="str">
        <f t="shared" si="6"/>
        <v/>
      </c>
      <c r="AB71" s="37"/>
      <c r="AC71" s="29"/>
      <c r="AD71" s="29" t="b">
        <v>0</v>
      </c>
      <c r="AE71" s="22" t="str">
        <f t="shared" si="7"/>
        <v/>
      </c>
      <c r="AF71" s="7">
        <f>IF(ISBLANK(AB71), 0, VLOOKUP(AB71, 'Price Sheet'!$A$2:$B1015, 2, false))</f>
        <v>0</v>
      </c>
      <c r="AG71" s="33" t="str">
        <f t="shared" si="8"/>
        <v/>
      </c>
      <c r="AH71" s="37"/>
      <c r="AI71" s="29"/>
      <c r="AJ71" s="29" t="b">
        <v>0</v>
      </c>
      <c r="AK71" s="22" t="str">
        <f t="shared" si="9"/>
        <v/>
      </c>
      <c r="AL71" s="7">
        <f>IF(ISBLANK(AH71), 0, VLOOKUP(AH71, 'Price Sheet'!$A$2:$B1015, 2, false))</f>
        <v>0</v>
      </c>
      <c r="AM71" s="33" t="str">
        <f t="shared" si="10"/>
        <v/>
      </c>
      <c r="AN71" s="37"/>
      <c r="AO71" s="29"/>
      <c r="AP71" s="29" t="b">
        <v>0</v>
      </c>
      <c r="AQ71" s="22" t="str">
        <f t="shared" si="11"/>
        <v/>
      </c>
      <c r="AR71" s="7">
        <f>IF(ISBLANK(AN71), 0, VLOOKUP(AN71, 'Price Sheet'!$A$2:$B1015, 2, false))</f>
        <v>0</v>
      </c>
      <c r="AS71" s="33" t="str">
        <f t="shared" si="12"/>
        <v/>
      </c>
      <c r="AT71" s="37"/>
      <c r="AU71" s="29"/>
      <c r="AV71" s="29" t="b">
        <v>0</v>
      </c>
      <c r="AW71" s="22" t="str">
        <f t="shared" si="13"/>
        <v/>
      </c>
      <c r="AX71" s="7">
        <f>IF(ISBLANK(AT71), 0, VLOOKUP(AT71, 'Price Sheet'!$A$2:$B1015, 2, false))</f>
        <v>0</v>
      </c>
      <c r="AY71" s="33" t="str">
        <f t="shared" si="14"/>
        <v/>
      </c>
      <c r="AZ71" s="37"/>
      <c r="BA71" s="29"/>
      <c r="BB71" s="29" t="b">
        <v>0</v>
      </c>
      <c r="BC71" s="22" t="str">
        <f t="shared" si="15"/>
        <v/>
      </c>
      <c r="BD71" s="7">
        <f>IF(ISBLANK(AZ71), 0, VLOOKUP(AZ71, 'Price Sheet'!$A$2:$B1015, 2, false))</f>
        <v>0</v>
      </c>
      <c r="BE71" s="33" t="str">
        <f t="shared" si="16"/>
        <v/>
      </c>
      <c r="BF71" s="37"/>
      <c r="BG71" s="29"/>
      <c r="BH71" s="29" t="b">
        <v>0</v>
      </c>
      <c r="BI71" s="22" t="str">
        <f t="shared" si="17"/>
        <v/>
      </c>
      <c r="BJ71" s="7">
        <f>IF(ISBLANK(BF71), 0, VLOOKUP(BF71, 'Price Sheet'!$A$2:$B1015, 2, false))</f>
        <v>0</v>
      </c>
      <c r="BK71" s="33" t="str">
        <f t="shared" si="18"/>
        <v/>
      </c>
      <c r="BL71" s="37"/>
      <c r="BM71" s="29"/>
      <c r="BN71" s="29" t="b">
        <v>0</v>
      </c>
      <c r="BO71" s="22" t="str">
        <f t="shared" si="19"/>
        <v/>
      </c>
      <c r="BP71" s="7">
        <f>IF(ISBLANK(BL71), 0, VLOOKUP(BL71, 'Price Sheet'!$A$2:$B1015, 2, false))</f>
        <v>0</v>
      </c>
      <c r="BQ71" s="33" t="str">
        <f t="shared" si="20"/>
        <v/>
      </c>
    </row>
    <row r="72">
      <c r="A72" s="7" t="s">
        <v>479</v>
      </c>
      <c r="B72" s="19">
        <f t="shared" si="1"/>
        <v>0</v>
      </c>
      <c r="C72" s="29"/>
      <c r="D72" s="29"/>
      <c r="E72" s="7" t="str">
        <f>IF(ISBLANK(D72), "", VLOOKUP(D72,'Crafting Tables'!$A$2:$B1015, 2, false))</f>
        <v/>
      </c>
      <c r="F72" s="7" t="str">
        <f>IFERROR(IF(E72 = "None", 1, VLOOKUP(C72,General!$A$5:$L$35, SWITCH(E72, "Basic", 8, "Advanced", 10, "Modern", 12), false)),"")</f>
        <v/>
      </c>
      <c r="G72" s="29"/>
      <c r="H72" s="7">
        <f>IFERROR(VLOOKUP(C72, General!$A$5:$L$35, 6, false) * G72 / 1000, 0)</f>
        <v>0</v>
      </c>
      <c r="I72" s="29"/>
      <c r="J72" s="22" t="str">
        <f>IFERROR(I72*VLOOKUP(D72,'Crafting Tables'!$1:$1000, 4, false)*F72,"")</f>
        <v/>
      </c>
      <c r="K72" s="8" t="b">
        <v>0</v>
      </c>
      <c r="L72" s="37"/>
      <c r="M72" s="29"/>
      <c r="N72" s="21" t="str">
        <f t="shared" si="2"/>
        <v/>
      </c>
      <c r="P72" s="37"/>
      <c r="Q72" s="29"/>
      <c r="R72" s="29" t="b">
        <v>0</v>
      </c>
      <c r="S72" s="22" t="str">
        <f t="shared" si="3"/>
        <v/>
      </c>
      <c r="T72" s="7">
        <f>IF(ISBLANK(P72), 0, VLOOKUP(P72, 'Price Sheet'!$A$2:$B1015, 2, false))</f>
        <v>0</v>
      </c>
      <c r="U72" s="33" t="str">
        <f t="shared" si="4"/>
        <v/>
      </c>
      <c r="V72" s="37"/>
      <c r="W72" s="29"/>
      <c r="X72" s="29" t="b">
        <v>0</v>
      </c>
      <c r="Y72" s="22" t="str">
        <f t="shared" si="5"/>
        <v/>
      </c>
      <c r="Z72" s="7">
        <f>IF(ISBLANK(V72), 0, VLOOKUP(V72, 'Price Sheet'!$A$2:$B1015, 2, false))</f>
        <v>0</v>
      </c>
      <c r="AA72" s="33" t="str">
        <f t="shared" si="6"/>
        <v/>
      </c>
      <c r="AB72" s="37"/>
      <c r="AC72" s="29"/>
      <c r="AD72" s="29" t="b">
        <v>0</v>
      </c>
      <c r="AE72" s="22" t="str">
        <f t="shared" si="7"/>
        <v/>
      </c>
      <c r="AF72" s="7">
        <f>IF(ISBLANK(AB72), 0, VLOOKUP(AB72, 'Price Sheet'!$A$2:$B1015, 2, false))</f>
        <v>0</v>
      </c>
      <c r="AG72" s="33" t="str">
        <f t="shared" si="8"/>
        <v/>
      </c>
      <c r="AH72" s="37"/>
      <c r="AI72" s="29"/>
      <c r="AJ72" s="29" t="b">
        <v>0</v>
      </c>
      <c r="AK72" s="22" t="str">
        <f t="shared" si="9"/>
        <v/>
      </c>
      <c r="AL72" s="7">
        <f>IF(ISBLANK(AH72), 0, VLOOKUP(AH72, 'Price Sheet'!$A$2:$B1015, 2, false))</f>
        <v>0</v>
      </c>
      <c r="AM72" s="33" t="str">
        <f t="shared" si="10"/>
        <v/>
      </c>
      <c r="AN72" s="37"/>
      <c r="AO72" s="29"/>
      <c r="AP72" s="29" t="b">
        <v>0</v>
      </c>
      <c r="AQ72" s="22" t="str">
        <f t="shared" si="11"/>
        <v/>
      </c>
      <c r="AR72" s="7">
        <f>IF(ISBLANK(AN72), 0, VLOOKUP(AN72, 'Price Sheet'!$A$2:$B1015, 2, false))</f>
        <v>0</v>
      </c>
      <c r="AS72" s="33" t="str">
        <f t="shared" si="12"/>
        <v/>
      </c>
      <c r="AT72" s="37"/>
      <c r="AU72" s="29"/>
      <c r="AV72" s="29" t="b">
        <v>0</v>
      </c>
      <c r="AW72" s="22" t="str">
        <f t="shared" si="13"/>
        <v/>
      </c>
      <c r="AX72" s="7">
        <f>IF(ISBLANK(AT72), 0, VLOOKUP(AT72, 'Price Sheet'!$A$2:$B1015, 2, false))</f>
        <v>0</v>
      </c>
      <c r="AY72" s="33" t="str">
        <f t="shared" si="14"/>
        <v/>
      </c>
      <c r="AZ72" s="37"/>
      <c r="BA72" s="29"/>
      <c r="BB72" s="29" t="b">
        <v>0</v>
      </c>
      <c r="BC72" s="22" t="str">
        <f t="shared" si="15"/>
        <v/>
      </c>
      <c r="BD72" s="7">
        <f>IF(ISBLANK(AZ72), 0, VLOOKUP(AZ72, 'Price Sheet'!$A$2:$B1015, 2, false))</f>
        <v>0</v>
      </c>
      <c r="BE72" s="33" t="str">
        <f t="shared" si="16"/>
        <v/>
      </c>
      <c r="BF72" s="37"/>
      <c r="BG72" s="29"/>
      <c r="BH72" s="29" t="b">
        <v>0</v>
      </c>
      <c r="BI72" s="22" t="str">
        <f t="shared" si="17"/>
        <v/>
      </c>
      <c r="BJ72" s="7">
        <f>IF(ISBLANK(BF72), 0, VLOOKUP(BF72, 'Price Sheet'!$A$2:$B1015, 2, false))</f>
        <v>0</v>
      </c>
      <c r="BK72" s="33" t="str">
        <f t="shared" si="18"/>
        <v/>
      </c>
      <c r="BL72" s="37"/>
      <c r="BM72" s="29"/>
      <c r="BN72" s="29" t="b">
        <v>0</v>
      </c>
      <c r="BO72" s="22" t="str">
        <f t="shared" si="19"/>
        <v/>
      </c>
      <c r="BP72" s="7">
        <f>IF(ISBLANK(BL72), 0, VLOOKUP(BL72, 'Price Sheet'!$A$2:$B1015, 2, false))</f>
        <v>0</v>
      </c>
      <c r="BQ72" s="33" t="str">
        <f t="shared" si="20"/>
        <v/>
      </c>
    </row>
    <row r="73">
      <c r="A73" s="7" t="s">
        <v>480</v>
      </c>
      <c r="B73" s="19">
        <f t="shared" si="1"/>
        <v>11.075</v>
      </c>
      <c r="C73" s="8" t="s">
        <v>117</v>
      </c>
      <c r="D73" s="8" t="s">
        <v>308</v>
      </c>
      <c r="E73" s="7" t="str">
        <f>IF(ISBLANK(D73), "", VLOOKUP(D73,'Crafting Tables'!$A$2:$B1015, 2, false))</f>
        <v>Basic</v>
      </c>
      <c r="F73" s="7">
        <f>IFERROR(IF(E73 = "None", 1, VLOOKUP(C73,General!$A$5:$L$35, SWITCH(E73, "Basic", 8, "Advanced", 10, "Modern", 12), false)),"")</f>
        <v>0.55</v>
      </c>
      <c r="G73" s="8">
        <v>50.0</v>
      </c>
      <c r="H73" s="7">
        <f>IFERROR(VLOOKUP(C73, General!$A$5:$L$35, 6, false) * G73 / 1000, 0)</f>
        <v>2</v>
      </c>
      <c r="I73" s="29"/>
      <c r="J73" s="22">
        <f>IFERROR(I73*VLOOKUP(D73,'Crafting Tables'!$1:$1000, 4, false)*F73,"")</f>
        <v>0</v>
      </c>
      <c r="K73" s="8" t="b">
        <v>1</v>
      </c>
      <c r="L73" s="32" t="s">
        <v>196</v>
      </c>
      <c r="M73" s="8">
        <v>1.0</v>
      </c>
      <c r="N73" s="21">
        <f t="shared" si="2"/>
        <v>11.075</v>
      </c>
      <c r="P73" s="32" t="s">
        <v>195</v>
      </c>
      <c r="Q73" s="8">
        <v>5.0</v>
      </c>
      <c r="R73" s="29" t="b">
        <v>0</v>
      </c>
      <c r="S73" s="22">
        <f t="shared" si="3"/>
        <v>2.75</v>
      </c>
      <c r="T73" s="19">
        <f>IF(ISBLANK(P73), 0, VLOOKUP(P73, 'Price Sheet'!$A$2:$B1015, 2, false))</f>
        <v>2.5</v>
      </c>
      <c r="U73" s="33">
        <f t="shared" si="4"/>
        <v>6.875</v>
      </c>
      <c r="V73" s="32" t="s">
        <v>173</v>
      </c>
      <c r="W73" s="8">
        <v>-2.0</v>
      </c>
      <c r="X73" s="29" t="b">
        <v>0</v>
      </c>
      <c r="Y73" s="22">
        <f t="shared" si="5"/>
        <v>-1.1</v>
      </c>
      <c r="Z73" s="19">
        <f>IF(ISBLANK(V73), 0, VLOOKUP(V73, 'Price Sheet'!$A$2:$B1015, 2, false))</f>
        <v>-2</v>
      </c>
      <c r="AA73" s="33">
        <f t="shared" si="6"/>
        <v>2.2</v>
      </c>
      <c r="AB73" s="37"/>
      <c r="AC73" s="29"/>
      <c r="AD73" s="29" t="b">
        <v>0</v>
      </c>
      <c r="AE73" s="22" t="str">
        <f t="shared" si="7"/>
        <v/>
      </c>
      <c r="AF73" s="7">
        <f>IF(ISBLANK(AB73), 0, VLOOKUP(AB73, 'Price Sheet'!$A$2:$B1015, 2, false))</f>
        <v>0</v>
      </c>
      <c r="AG73" s="33" t="str">
        <f t="shared" si="8"/>
        <v/>
      </c>
      <c r="AH73" s="37"/>
      <c r="AI73" s="29"/>
      <c r="AJ73" s="29" t="b">
        <v>0</v>
      </c>
      <c r="AK73" s="22" t="str">
        <f t="shared" si="9"/>
        <v/>
      </c>
      <c r="AL73" s="7">
        <f>IF(ISBLANK(AH73), 0, VLOOKUP(AH73, 'Price Sheet'!$A$2:$B1015, 2, false))</f>
        <v>0</v>
      </c>
      <c r="AM73" s="33" t="str">
        <f t="shared" si="10"/>
        <v/>
      </c>
      <c r="AN73" s="37"/>
      <c r="AO73" s="29"/>
      <c r="AP73" s="29" t="b">
        <v>0</v>
      </c>
      <c r="AQ73" s="22" t="str">
        <f t="shared" si="11"/>
        <v/>
      </c>
      <c r="AR73" s="7">
        <f>IF(ISBLANK(AN73), 0, VLOOKUP(AN73, 'Price Sheet'!$A$2:$B1015, 2, false))</f>
        <v>0</v>
      </c>
      <c r="AS73" s="33" t="str">
        <f t="shared" si="12"/>
        <v/>
      </c>
      <c r="AT73" s="37"/>
      <c r="AU73" s="29"/>
      <c r="AV73" s="29" t="b">
        <v>0</v>
      </c>
      <c r="AW73" s="22" t="str">
        <f t="shared" si="13"/>
        <v/>
      </c>
      <c r="AX73" s="7">
        <f>IF(ISBLANK(AT73), 0, VLOOKUP(AT73, 'Price Sheet'!$A$2:$B1015, 2, false))</f>
        <v>0</v>
      </c>
      <c r="AY73" s="33" t="str">
        <f t="shared" si="14"/>
        <v/>
      </c>
      <c r="AZ73" s="37"/>
      <c r="BA73" s="29"/>
      <c r="BB73" s="29" t="b">
        <v>0</v>
      </c>
      <c r="BC73" s="22" t="str">
        <f t="shared" si="15"/>
        <v/>
      </c>
      <c r="BD73" s="7">
        <f>IF(ISBLANK(AZ73), 0, VLOOKUP(AZ73, 'Price Sheet'!$A$2:$B1015, 2, false))</f>
        <v>0</v>
      </c>
      <c r="BE73" s="33" t="str">
        <f t="shared" si="16"/>
        <v/>
      </c>
      <c r="BF73" s="37"/>
      <c r="BG73" s="29"/>
      <c r="BH73" s="29" t="b">
        <v>0</v>
      </c>
      <c r="BI73" s="22" t="str">
        <f t="shared" si="17"/>
        <v/>
      </c>
      <c r="BJ73" s="7">
        <f>IF(ISBLANK(BF73), 0, VLOOKUP(BF73, 'Price Sheet'!$A$2:$B1015, 2, false))</f>
        <v>0</v>
      </c>
      <c r="BK73" s="33" t="str">
        <f t="shared" si="18"/>
        <v/>
      </c>
      <c r="BL73" s="37"/>
      <c r="BM73" s="29"/>
      <c r="BN73" s="29" t="b">
        <v>0</v>
      </c>
      <c r="BO73" s="22" t="str">
        <f t="shared" si="19"/>
        <v/>
      </c>
      <c r="BP73" s="7">
        <f>IF(ISBLANK(BL73), 0, VLOOKUP(BL73, 'Price Sheet'!$A$2:$B1015, 2, false))</f>
        <v>0</v>
      </c>
      <c r="BQ73" s="33" t="str">
        <f t="shared" si="20"/>
        <v/>
      </c>
    </row>
    <row r="74">
      <c r="A74" s="7" t="s">
        <v>481</v>
      </c>
      <c r="B74" s="19">
        <f t="shared" si="1"/>
        <v>17.001</v>
      </c>
      <c r="C74" s="8" t="s">
        <v>117</v>
      </c>
      <c r="D74" s="8" t="s">
        <v>317</v>
      </c>
      <c r="E74" s="7" t="str">
        <f>IF(ISBLANK(D74), "", VLOOKUP(D74,'Crafting Tables'!$A$2:$B1015, 2, false))</f>
        <v>Advanced</v>
      </c>
      <c r="F74" s="7">
        <f>IFERROR(IF(E74 = "None", 1, VLOOKUP(C74,General!$A$5:$L$35, SWITCH(E74, "Basic", 8, "Advanced", 10, "Modern", 12), false)),"")</f>
        <v>1</v>
      </c>
      <c r="G74" s="8">
        <v>120.0</v>
      </c>
      <c r="H74" s="7">
        <f>IFERROR(VLOOKUP(C74, General!$A$5:$L$35, 6, false) * G74 / 1000, 0)</f>
        <v>4.8</v>
      </c>
      <c r="I74" s="8">
        <v>72.0</v>
      </c>
      <c r="J74" s="22">
        <f>IFERROR(I74*VLOOKUP(D74,'Crafting Tables'!$1:$1000, 4, false)*F74,"")</f>
        <v>2.701</v>
      </c>
      <c r="K74" s="8" t="b">
        <v>0</v>
      </c>
      <c r="L74" s="32" t="s">
        <v>196</v>
      </c>
      <c r="M74" s="8">
        <v>1.0</v>
      </c>
      <c r="N74" s="21">
        <f t="shared" si="2"/>
        <v>17.001</v>
      </c>
      <c r="P74" s="32" t="s">
        <v>195</v>
      </c>
      <c r="Q74" s="8">
        <v>3.0</v>
      </c>
      <c r="R74" s="29" t="b">
        <v>0</v>
      </c>
      <c r="S74" s="22">
        <f t="shared" si="3"/>
        <v>3</v>
      </c>
      <c r="T74" s="19">
        <f>IF(ISBLANK(P74), 0, VLOOKUP(P74, 'Price Sheet'!$A$2:$B1015, 2, false))</f>
        <v>2.5</v>
      </c>
      <c r="U74" s="33">
        <f t="shared" si="4"/>
        <v>7.5</v>
      </c>
      <c r="V74" s="32" t="s">
        <v>173</v>
      </c>
      <c r="W74" s="8">
        <v>-1.0</v>
      </c>
      <c r="X74" s="29" t="b">
        <v>0</v>
      </c>
      <c r="Y74" s="22">
        <f t="shared" si="5"/>
        <v>-1</v>
      </c>
      <c r="Z74" s="19">
        <f>IF(ISBLANK(V74), 0, VLOOKUP(V74, 'Price Sheet'!$A$2:$B1015, 2, false))</f>
        <v>-2</v>
      </c>
      <c r="AA74" s="33">
        <f t="shared" si="6"/>
        <v>2</v>
      </c>
      <c r="AB74" s="37"/>
      <c r="AC74" s="29"/>
      <c r="AD74" s="29" t="b">
        <v>0</v>
      </c>
      <c r="AE74" s="22" t="str">
        <f t="shared" si="7"/>
        <v/>
      </c>
      <c r="AF74" s="7">
        <f>IF(ISBLANK(AB74), 0, VLOOKUP(AB74, 'Price Sheet'!$A$2:$B1015, 2, false))</f>
        <v>0</v>
      </c>
      <c r="AG74" s="33" t="str">
        <f t="shared" si="8"/>
        <v/>
      </c>
      <c r="AH74" s="37"/>
      <c r="AI74" s="29"/>
      <c r="AJ74" s="29" t="b">
        <v>0</v>
      </c>
      <c r="AK74" s="22" t="str">
        <f t="shared" si="9"/>
        <v/>
      </c>
      <c r="AL74" s="7">
        <f>IF(ISBLANK(AH74), 0, VLOOKUP(AH74, 'Price Sheet'!$A$2:$B1015, 2, false))</f>
        <v>0</v>
      </c>
      <c r="AM74" s="33" t="str">
        <f t="shared" si="10"/>
        <v/>
      </c>
      <c r="AN74" s="37"/>
      <c r="AO74" s="29"/>
      <c r="AP74" s="29" t="b">
        <v>0</v>
      </c>
      <c r="AQ74" s="22" t="str">
        <f t="shared" si="11"/>
        <v/>
      </c>
      <c r="AR74" s="7">
        <f>IF(ISBLANK(AN74), 0, VLOOKUP(AN74, 'Price Sheet'!$A$2:$B1015, 2, false))</f>
        <v>0</v>
      </c>
      <c r="AS74" s="33" t="str">
        <f t="shared" si="12"/>
        <v/>
      </c>
      <c r="AT74" s="37"/>
      <c r="AU74" s="29"/>
      <c r="AV74" s="29" t="b">
        <v>0</v>
      </c>
      <c r="AW74" s="22" t="str">
        <f t="shared" si="13"/>
        <v/>
      </c>
      <c r="AX74" s="7">
        <f>IF(ISBLANK(AT74), 0, VLOOKUP(AT74, 'Price Sheet'!$A$2:$B1015, 2, false))</f>
        <v>0</v>
      </c>
      <c r="AY74" s="33" t="str">
        <f t="shared" si="14"/>
        <v/>
      </c>
      <c r="AZ74" s="37"/>
      <c r="BA74" s="29"/>
      <c r="BB74" s="29" t="b">
        <v>0</v>
      </c>
      <c r="BC74" s="22" t="str">
        <f t="shared" si="15"/>
        <v/>
      </c>
      <c r="BD74" s="7">
        <f>IF(ISBLANK(AZ74), 0, VLOOKUP(AZ74, 'Price Sheet'!$A$2:$B1015, 2, false))</f>
        <v>0</v>
      </c>
      <c r="BE74" s="33" t="str">
        <f t="shared" si="16"/>
        <v/>
      </c>
      <c r="BF74" s="37"/>
      <c r="BG74" s="29"/>
      <c r="BH74" s="29" t="b">
        <v>0</v>
      </c>
      <c r="BI74" s="22" t="str">
        <f t="shared" si="17"/>
        <v/>
      </c>
      <c r="BJ74" s="7">
        <f>IF(ISBLANK(BF74), 0, VLOOKUP(BF74, 'Price Sheet'!$A$2:$B1015, 2, false))</f>
        <v>0</v>
      </c>
      <c r="BK74" s="33" t="str">
        <f t="shared" si="18"/>
        <v/>
      </c>
      <c r="BL74" s="37"/>
      <c r="BM74" s="29"/>
      <c r="BN74" s="29" t="b">
        <v>0</v>
      </c>
      <c r="BO74" s="22" t="str">
        <f t="shared" si="19"/>
        <v/>
      </c>
      <c r="BP74" s="7">
        <f>IF(ISBLANK(BL74), 0, VLOOKUP(BL74, 'Price Sheet'!$A$2:$B1015, 2, false))</f>
        <v>0</v>
      </c>
      <c r="BQ74" s="33" t="str">
        <f t="shared" si="20"/>
        <v/>
      </c>
    </row>
    <row r="75">
      <c r="B75" s="19">
        <f t="shared" si="1"/>
        <v>0</v>
      </c>
      <c r="C75" s="29"/>
      <c r="D75" s="29"/>
      <c r="E75" s="7" t="str">
        <f>IF(ISBLANK(D75), "", VLOOKUP(D75,'Crafting Tables'!$A$2:$B1015, 2, false))</f>
        <v/>
      </c>
      <c r="F75" s="7" t="str">
        <f>IFERROR(IF(E75 = "None", 1, VLOOKUP(C75,General!$A$5:$L$35, SWITCH(E75, "Basic", 8, "Advanced", 10, "Modern", 12), false)),"")</f>
        <v/>
      </c>
      <c r="G75" s="29"/>
      <c r="H75" s="7">
        <f>IFERROR(VLOOKUP(C75, General!$A$5:$L$35, 6, false) * G75 / 1000, 0)</f>
        <v>0</v>
      </c>
      <c r="I75" s="29"/>
      <c r="J75" s="22" t="str">
        <f>IFERROR(I75*VLOOKUP(D75,'Crafting Tables'!$1:$1000, 4, false)*F75,"")</f>
        <v/>
      </c>
      <c r="K75" s="8" t="b">
        <v>1</v>
      </c>
      <c r="L75" s="37"/>
      <c r="M75" s="29"/>
      <c r="N75" s="21" t="str">
        <f t="shared" si="2"/>
        <v/>
      </c>
      <c r="P75" s="37"/>
      <c r="Q75" s="29"/>
      <c r="R75" s="29" t="b">
        <v>0</v>
      </c>
      <c r="S75" s="22" t="str">
        <f t="shared" si="3"/>
        <v/>
      </c>
      <c r="T75" s="7">
        <f>IF(ISBLANK(P75), 0, VLOOKUP(P75, 'Price Sheet'!$A$2:$B1015, 2, false))</f>
        <v>0</v>
      </c>
      <c r="U75" s="33" t="str">
        <f t="shared" si="4"/>
        <v/>
      </c>
      <c r="V75" s="37"/>
      <c r="W75" s="29"/>
      <c r="X75" s="29" t="b">
        <v>0</v>
      </c>
      <c r="Y75" s="22" t="str">
        <f t="shared" si="5"/>
        <v/>
      </c>
      <c r="Z75" s="7">
        <f>IF(ISBLANK(V75), 0, VLOOKUP(V75, 'Price Sheet'!$A$2:$B1015, 2, false))</f>
        <v>0</v>
      </c>
      <c r="AA75" s="33" t="str">
        <f t="shared" si="6"/>
        <v/>
      </c>
      <c r="AB75" s="37"/>
      <c r="AC75" s="29"/>
      <c r="AD75" s="29" t="b">
        <v>0</v>
      </c>
      <c r="AE75" s="22" t="str">
        <f t="shared" si="7"/>
        <v/>
      </c>
      <c r="AF75" s="7">
        <f>IF(ISBLANK(AB75), 0, VLOOKUP(AB75, 'Price Sheet'!$A$2:$B1015, 2, false))</f>
        <v>0</v>
      </c>
      <c r="AG75" s="33" t="str">
        <f t="shared" si="8"/>
        <v/>
      </c>
      <c r="AH75" s="37"/>
      <c r="AI75" s="29"/>
      <c r="AJ75" s="29" t="b">
        <v>0</v>
      </c>
      <c r="AK75" s="22" t="str">
        <f t="shared" si="9"/>
        <v/>
      </c>
      <c r="AL75" s="7">
        <f>IF(ISBLANK(AH75), 0, VLOOKUP(AH75, 'Price Sheet'!$A$2:$B1015, 2, false))</f>
        <v>0</v>
      </c>
      <c r="AM75" s="33" t="str">
        <f t="shared" si="10"/>
        <v/>
      </c>
      <c r="AN75" s="37"/>
      <c r="AO75" s="29"/>
      <c r="AP75" s="29" t="b">
        <v>0</v>
      </c>
      <c r="AQ75" s="22" t="str">
        <f t="shared" si="11"/>
        <v/>
      </c>
      <c r="AR75" s="7">
        <f>IF(ISBLANK(AN75), 0, VLOOKUP(AN75, 'Price Sheet'!$A$2:$B1015, 2, false))</f>
        <v>0</v>
      </c>
      <c r="AS75" s="33" t="str">
        <f t="shared" si="12"/>
        <v/>
      </c>
      <c r="AT75" s="37"/>
      <c r="AU75" s="29"/>
      <c r="AV75" s="29" t="b">
        <v>0</v>
      </c>
      <c r="AW75" s="22" t="str">
        <f t="shared" si="13"/>
        <v/>
      </c>
      <c r="AX75" s="7">
        <f>IF(ISBLANK(AT75), 0, VLOOKUP(AT75, 'Price Sheet'!$A$2:$B1015, 2, false))</f>
        <v>0</v>
      </c>
      <c r="AY75" s="33" t="str">
        <f t="shared" si="14"/>
        <v/>
      </c>
      <c r="AZ75" s="37"/>
      <c r="BA75" s="29"/>
      <c r="BB75" s="29" t="b">
        <v>0</v>
      </c>
      <c r="BC75" s="22" t="str">
        <f t="shared" si="15"/>
        <v/>
      </c>
      <c r="BD75" s="7">
        <f>IF(ISBLANK(AZ75), 0, VLOOKUP(AZ75, 'Price Sheet'!$A$2:$B1015, 2, false))</f>
        <v>0</v>
      </c>
      <c r="BE75" s="33" t="str">
        <f t="shared" si="16"/>
        <v/>
      </c>
      <c r="BF75" s="37"/>
      <c r="BG75" s="29"/>
      <c r="BH75" s="29" t="b">
        <v>0</v>
      </c>
      <c r="BI75" s="22" t="str">
        <f t="shared" si="17"/>
        <v/>
      </c>
      <c r="BJ75" s="7">
        <f>IF(ISBLANK(BF75), 0, VLOOKUP(BF75, 'Price Sheet'!$A$2:$B1015, 2, false))</f>
        <v>0</v>
      </c>
      <c r="BK75" s="33" t="str">
        <f t="shared" si="18"/>
        <v/>
      </c>
      <c r="BL75" s="37"/>
      <c r="BM75" s="29"/>
      <c r="BN75" s="29" t="b">
        <v>0</v>
      </c>
      <c r="BO75" s="22" t="str">
        <f t="shared" si="19"/>
        <v/>
      </c>
      <c r="BP75" s="7">
        <f>IF(ISBLANK(BL75), 0, VLOOKUP(BL75, 'Price Sheet'!$A$2:$B1015, 2, false))</f>
        <v>0</v>
      </c>
      <c r="BQ75" s="33" t="str">
        <f t="shared" si="20"/>
        <v/>
      </c>
    </row>
    <row r="76">
      <c r="A76" s="7" t="s">
        <v>482</v>
      </c>
      <c r="B76" s="19">
        <f t="shared" si="1"/>
        <v>17.944375</v>
      </c>
      <c r="C76" s="8" t="s">
        <v>198</v>
      </c>
      <c r="D76" s="8" t="s">
        <v>179</v>
      </c>
      <c r="E76" s="7" t="str">
        <f>IF(ISBLANK(D76), "", VLOOKUP(D76,'Crafting Tables'!$A$2:$B1015, 2, false))</f>
        <v>Basic</v>
      </c>
      <c r="F76" s="7">
        <f>IFERROR(IF(E76 = "None", 1, VLOOKUP(C76,General!$A$5:$L$35, SWITCH(E76, "Basic", 8, "Advanced", 10, "Modern", 12), false)),"")</f>
        <v>0.55</v>
      </c>
      <c r="G76" s="8">
        <v>60.0</v>
      </c>
      <c r="H76" s="7">
        <f>IFERROR(VLOOKUP(C76, General!$A$5:$L$35, 6, false) * G76 / 1000, 0)</f>
        <v>2.4</v>
      </c>
      <c r="I76" s="8">
        <v>300.0</v>
      </c>
      <c r="J76" s="22">
        <f>IFERROR(I76*VLOOKUP(D76,'Crafting Tables'!$1:$1000, 4, false)*F76,"")</f>
        <v>0.061875</v>
      </c>
      <c r="K76" s="8" t="b">
        <v>1</v>
      </c>
      <c r="L76" s="32" t="s">
        <v>199</v>
      </c>
      <c r="M76" s="8">
        <v>6.0</v>
      </c>
      <c r="N76" s="21">
        <f t="shared" si="2"/>
        <v>2.990729167</v>
      </c>
      <c r="P76" s="32" t="s">
        <v>196</v>
      </c>
      <c r="Q76" s="8">
        <v>2.0</v>
      </c>
      <c r="R76" s="29" t="b">
        <v>0</v>
      </c>
      <c r="S76" s="22">
        <f t="shared" si="3"/>
        <v>1.1</v>
      </c>
      <c r="T76" s="19">
        <f>IF(ISBLANK(P76), 0, VLOOKUP(P76, 'Price Sheet'!$A$2:$B1015, 2, false))</f>
        <v>11.075</v>
      </c>
      <c r="U76" s="33">
        <f t="shared" si="4"/>
        <v>12.1825</v>
      </c>
      <c r="V76" s="32" t="s">
        <v>291</v>
      </c>
      <c r="W76" s="8">
        <v>3.0</v>
      </c>
      <c r="X76" s="29" t="b">
        <v>0</v>
      </c>
      <c r="Y76" s="22">
        <f t="shared" si="5"/>
        <v>1.65</v>
      </c>
      <c r="Z76" s="19">
        <f>IF(ISBLANK(V76), 0, VLOOKUP(V76, 'Price Sheet'!$A$2:$B1015, 2, false))</f>
        <v>2</v>
      </c>
      <c r="AA76" s="33">
        <f t="shared" si="6"/>
        <v>3.3</v>
      </c>
      <c r="AB76" s="37"/>
      <c r="AC76" s="29"/>
      <c r="AD76" s="29" t="b">
        <v>0</v>
      </c>
      <c r="AE76" s="22" t="str">
        <f t="shared" si="7"/>
        <v/>
      </c>
      <c r="AF76" s="7">
        <f>IF(ISBLANK(AB76), 0, VLOOKUP(AB76, 'Price Sheet'!$A$2:$B1015, 2, false))</f>
        <v>0</v>
      </c>
      <c r="AG76" s="33" t="str">
        <f t="shared" si="8"/>
        <v/>
      </c>
      <c r="AH76" s="37"/>
      <c r="AI76" s="29"/>
      <c r="AJ76" s="29" t="b">
        <v>0</v>
      </c>
      <c r="AK76" s="22" t="str">
        <f t="shared" si="9"/>
        <v/>
      </c>
      <c r="AL76" s="7">
        <f>IF(ISBLANK(AH76), 0, VLOOKUP(AH76, 'Price Sheet'!$A$2:$B1015, 2, false))</f>
        <v>0</v>
      </c>
      <c r="AM76" s="33" t="str">
        <f t="shared" si="10"/>
        <v/>
      </c>
      <c r="AN76" s="37"/>
      <c r="AO76" s="29"/>
      <c r="AP76" s="29" t="b">
        <v>0</v>
      </c>
      <c r="AQ76" s="22" t="str">
        <f t="shared" si="11"/>
        <v/>
      </c>
      <c r="AR76" s="7">
        <f>IF(ISBLANK(AN76), 0, VLOOKUP(AN76, 'Price Sheet'!$A$2:$B1015, 2, false))</f>
        <v>0</v>
      </c>
      <c r="AS76" s="33" t="str">
        <f t="shared" si="12"/>
        <v/>
      </c>
      <c r="AT76" s="37"/>
      <c r="AU76" s="29"/>
      <c r="AV76" s="29" t="b">
        <v>0</v>
      </c>
      <c r="AW76" s="22" t="str">
        <f t="shared" si="13"/>
        <v/>
      </c>
      <c r="AX76" s="7">
        <f>IF(ISBLANK(AT76), 0, VLOOKUP(AT76, 'Price Sheet'!$A$2:$B1015, 2, false))</f>
        <v>0</v>
      </c>
      <c r="AY76" s="33" t="str">
        <f t="shared" si="14"/>
        <v/>
      </c>
      <c r="AZ76" s="37"/>
      <c r="BA76" s="29"/>
      <c r="BB76" s="29" t="b">
        <v>0</v>
      </c>
      <c r="BC76" s="22" t="str">
        <f t="shared" si="15"/>
        <v/>
      </c>
      <c r="BD76" s="7">
        <f>IF(ISBLANK(AZ76), 0, VLOOKUP(AZ76, 'Price Sheet'!$A$2:$B1015, 2, false))</f>
        <v>0</v>
      </c>
      <c r="BE76" s="33" t="str">
        <f t="shared" si="16"/>
        <v/>
      </c>
      <c r="BF76" s="37"/>
      <c r="BG76" s="29"/>
      <c r="BH76" s="29" t="b">
        <v>0</v>
      </c>
      <c r="BI76" s="22" t="str">
        <f t="shared" si="17"/>
        <v/>
      </c>
      <c r="BJ76" s="7">
        <f>IF(ISBLANK(BF76), 0, VLOOKUP(BF76, 'Price Sheet'!$A$2:$B1015, 2, false))</f>
        <v>0</v>
      </c>
      <c r="BK76" s="33" t="str">
        <f t="shared" si="18"/>
        <v/>
      </c>
      <c r="BL76" s="37"/>
      <c r="BM76" s="29"/>
      <c r="BN76" s="29" t="b">
        <v>0</v>
      </c>
      <c r="BO76" s="22" t="str">
        <f t="shared" si="19"/>
        <v/>
      </c>
      <c r="BP76" s="7">
        <f>IF(ISBLANK(BL76), 0, VLOOKUP(BL76, 'Price Sheet'!$A$2:$B1015, 2, false))</f>
        <v>0</v>
      </c>
      <c r="BQ76" s="33" t="str">
        <f t="shared" si="20"/>
        <v/>
      </c>
    </row>
    <row r="77">
      <c r="A77" s="7" t="s">
        <v>483</v>
      </c>
      <c r="B77" s="19">
        <f t="shared" si="1"/>
        <v>13.97875</v>
      </c>
      <c r="C77" s="8" t="s">
        <v>198</v>
      </c>
      <c r="D77" s="8" t="s">
        <v>316</v>
      </c>
      <c r="E77" s="7" t="str">
        <f>IF(ISBLANK(D77), "", VLOOKUP(D77,'Crafting Tables'!$A$2:$B1015, 2, false))</f>
        <v>Advanced</v>
      </c>
      <c r="F77" s="7">
        <f>IFERROR(IF(E77 = "None", 1, VLOOKUP(C77,General!$A$5:$L$35, SWITCH(E77, "Basic", 8, "Advanced", 10, "Modern", 12), false)),"")</f>
        <v>1</v>
      </c>
      <c r="G77" s="8">
        <v>60.0</v>
      </c>
      <c r="H77" s="7">
        <f>IFERROR(VLOOKUP(C77, General!$A$5:$L$35, 6, false) * G77 / 1000, 0)</f>
        <v>2.4</v>
      </c>
      <c r="I77" s="8">
        <v>18.0</v>
      </c>
      <c r="J77" s="22">
        <f>IFERROR(I77*VLOOKUP(D77,'Crafting Tables'!$1:$1000, 4, false)*F77,"")</f>
        <v>0.50375</v>
      </c>
      <c r="K77" s="8" t="b">
        <v>0</v>
      </c>
      <c r="L77" s="32" t="s">
        <v>199</v>
      </c>
      <c r="M77" s="8">
        <v>4.0</v>
      </c>
      <c r="N77" s="21">
        <f t="shared" si="2"/>
        <v>3.4946875</v>
      </c>
      <c r="P77" s="32" t="s">
        <v>196</v>
      </c>
      <c r="Q77" s="8">
        <v>1.0</v>
      </c>
      <c r="R77" s="29" t="b">
        <v>0</v>
      </c>
      <c r="S77" s="22">
        <f t="shared" si="3"/>
        <v>1</v>
      </c>
      <c r="T77" s="19">
        <f>IF(ISBLANK(P77), 0, VLOOKUP(P77, 'Price Sheet'!$A$2:$B1015, 2, false))</f>
        <v>11.075</v>
      </c>
      <c r="U77" s="33">
        <f t="shared" si="4"/>
        <v>11.075</v>
      </c>
      <c r="V77" s="37"/>
      <c r="W77" s="29"/>
      <c r="X77" s="29" t="b">
        <v>0</v>
      </c>
      <c r="Y77" s="22" t="str">
        <f t="shared" si="5"/>
        <v/>
      </c>
      <c r="Z77" s="7">
        <f>IF(ISBLANK(V77), 0, VLOOKUP(V77, 'Price Sheet'!$A$2:$B1015, 2, false))</f>
        <v>0</v>
      </c>
      <c r="AA77" s="33" t="str">
        <f t="shared" si="6"/>
        <v/>
      </c>
      <c r="AB77" s="37"/>
      <c r="AC77" s="29"/>
      <c r="AD77" s="29" t="b">
        <v>0</v>
      </c>
      <c r="AE77" s="22" t="str">
        <f t="shared" si="7"/>
        <v/>
      </c>
      <c r="AF77" s="7">
        <f>IF(ISBLANK(AB77), 0, VLOOKUP(AB77, 'Price Sheet'!$A$2:$B1015, 2, false))</f>
        <v>0</v>
      </c>
      <c r="AG77" s="33" t="str">
        <f t="shared" si="8"/>
        <v/>
      </c>
      <c r="AH77" s="37"/>
      <c r="AI77" s="29"/>
      <c r="AJ77" s="29" t="b">
        <v>0</v>
      </c>
      <c r="AK77" s="22" t="str">
        <f t="shared" si="9"/>
        <v/>
      </c>
      <c r="AL77" s="7">
        <f>IF(ISBLANK(AH77), 0, VLOOKUP(AH77, 'Price Sheet'!$A$2:$B1015, 2, false))</f>
        <v>0</v>
      </c>
      <c r="AM77" s="33" t="str">
        <f t="shared" si="10"/>
        <v/>
      </c>
      <c r="AN77" s="37"/>
      <c r="AO77" s="29"/>
      <c r="AP77" s="29" t="b">
        <v>0</v>
      </c>
      <c r="AQ77" s="22" t="str">
        <f t="shared" si="11"/>
        <v/>
      </c>
      <c r="AR77" s="7">
        <f>IF(ISBLANK(AN77), 0, VLOOKUP(AN77, 'Price Sheet'!$A$2:$B1015, 2, false))</f>
        <v>0</v>
      </c>
      <c r="AS77" s="33" t="str">
        <f t="shared" si="12"/>
        <v/>
      </c>
      <c r="AT77" s="37"/>
      <c r="AU77" s="29"/>
      <c r="AV77" s="29" t="b">
        <v>0</v>
      </c>
      <c r="AW77" s="22" t="str">
        <f t="shared" si="13"/>
        <v/>
      </c>
      <c r="AX77" s="7">
        <f>IF(ISBLANK(AT77), 0, VLOOKUP(AT77, 'Price Sheet'!$A$2:$B1015, 2, false))</f>
        <v>0</v>
      </c>
      <c r="AY77" s="33" t="str">
        <f t="shared" si="14"/>
        <v/>
      </c>
      <c r="AZ77" s="37"/>
      <c r="BA77" s="29"/>
      <c r="BB77" s="29" t="b">
        <v>0</v>
      </c>
      <c r="BC77" s="22" t="str">
        <f t="shared" si="15"/>
        <v/>
      </c>
      <c r="BD77" s="7">
        <f>IF(ISBLANK(AZ77), 0, VLOOKUP(AZ77, 'Price Sheet'!$A$2:$B1015, 2, false))</f>
        <v>0</v>
      </c>
      <c r="BE77" s="33" t="str">
        <f t="shared" si="16"/>
        <v/>
      </c>
      <c r="BF77" s="37"/>
      <c r="BG77" s="29"/>
      <c r="BH77" s="29" t="b">
        <v>0</v>
      </c>
      <c r="BI77" s="22" t="str">
        <f t="shared" si="17"/>
        <v/>
      </c>
      <c r="BJ77" s="7">
        <f>IF(ISBLANK(BF77), 0, VLOOKUP(BF77, 'Price Sheet'!$A$2:$B1015, 2, false))</f>
        <v>0</v>
      </c>
      <c r="BK77" s="33" t="str">
        <f t="shared" si="18"/>
        <v/>
      </c>
      <c r="BL77" s="37"/>
      <c r="BM77" s="29"/>
      <c r="BN77" s="29" t="b">
        <v>0</v>
      </c>
      <c r="BO77" s="22" t="str">
        <f t="shared" si="19"/>
        <v/>
      </c>
      <c r="BP77" s="7">
        <f>IF(ISBLANK(BL77), 0, VLOOKUP(BL77, 'Price Sheet'!$A$2:$B1015, 2, false))</f>
        <v>0</v>
      </c>
      <c r="BQ77" s="33" t="str">
        <f t="shared" si="20"/>
        <v/>
      </c>
    </row>
    <row r="78">
      <c r="A78" s="7" t="s">
        <v>484</v>
      </c>
      <c r="B78" s="19">
        <f t="shared" si="1"/>
        <v>14.8</v>
      </c>
      <c r="C78" s="8" t="s">
        <v>117</v>
      </c>
      <c r="D78" s="8" t="s">
        <v>304</v>
      </c>
      <c r="E78" s="7" t="str">
        <f>IF(ISBLANK(D78), "", VLOOKUP(D78,'Crafting Tables'!$A$2:$B1015, 2, false))</f>
        <v>Basic</v>
      </c>
      <c r="F78" s="7">
        <f>IFERROR(IF(E78 = "None", 1, VLOOKUP(C78,General!$A$5:$L$35, SWITCH(E78, "Basic", 8, "Advanced", 10, "Modern", 12), false)),"")</f>
        <v>0.55</v>
      </c>
      <c r="G78" s="8">
        <v>70.0</v>
      </c>
      <c r="H78" s="7">
        <f>IFERROR(VLOOKUP(C78, General!$A$5:$L$35, 6, false) * G78 / 1000, 0)</f>
        <v>2.8</v>
      </c>
      <c r="I78" s="8">
        <v>120.0</v>
      </c>
      <c r="J78" s="22">
        <f>IFERROR(I78*VLOOKUP(D78,'Crafting Tables'!$1:$1000, 4, false)*F78,"")</f>
        <v>0</v>
      </c>
      <c r="K78" s="8" t="b">
        <v>1</v>
      </c>
      <c r="L78" s="32" t="s">
        <v>203</v>
      </c>
      <c r="M78" s="8">
        <v>2.0</v>
      </c>
      <c r="N78" s="21">
        <f t="shared" si="2"/>
        <v>7.4</v>
      </c>
      <c r="P78" s="32" t="s">
        <v>200</v>
      </c>
      <c r="Q78" s="8">
        <v>12.0</v>
      </c>
      <c r="R78" s="8" t="b">
        <v>1</v>
      </c>
      <c r="S78" s="22">
        <f t="shared" si="3"/>
        <v>12</v>
      </c>
      <c r="T78" s="19">
        <f>IF(ISBLANK(P78), 0, VLOOKUP(P78, 'Price Sheet'!$A$2:$B1015, 2, false))</f>
        <v>1</v>
      </c>
      <c r="U78" s="33">
        <f t="shared" si="4"/>
        <v>12</v>
      </c>
      <c r="V78" s="37"/>
      <c r="W78" s="29"/>
      <c r="X78" s="29" t="b">
        <v>0</v>
      </c>
      <c r="Y78" s="22" t="str">
        <f t="shared" si="5"/>
        <v/>
      </c>
      <c r="Z78" s="7">
        <f>IF(ISBLANK(V78), 0, VLOOKUP(V78, 'Price Sheet'!$A$2:$B1015, 2, false))</f>
        <v>0</v>
      </c>
      <c r="AA78" s="33" t="str">
        <f t="shared" si="6"/>
        <v/>
      </c>
      <c r="AB78" s="37"/>
      <c r="AC78" s="29"/>
      <c r="AD78" s="29" t="b">
        <v>0</v>
      </c>
      <c r="AE78" s="22" t="str">
        <f t="shared" si="7"/>
        <v/>
      </c>
      <c r="AF78" s="7">
        <f>IF(ISBLANK(AB78), 0, VLOOKUP(AB78, 'Price Sheet'!$A$2:$B1015, 2, false))</f>
        <v>0</v>
      </c>
      <c r="AG78" s="33" t="str">
        <f t="shared" si="8"/>
        <v/>
      </c>
      <c r="AH78" s="37"/>
      <c r="AI78" s="29"/>
      <c r="AJ78" s="29" t="b">
        <v>0</v>
      </c>
      <c r="AK78" s="22" t="str">
        <f t="shared" si="9"/>
        <v/>
      </c>
      <c r="AL78" s="7">
        <f>IF(ISBLANK(AH78), 0, VLOOKUP(AH78, 'Price Sheet'!$A$2:$B1015, 2, false))</f>
        <v>0</v>
      </c>
      <c r="AM78" s="33" t="str">
        <f t="shared" si="10"/>
        <v/>
      </c>
      <c r="AN78" s="37"/>
      <c r="AO78" s="29"/>
      <c r="AP78" s="29" t="b">
        <v>0</v>
      </c>
      <c r="AQ78" s="22" t="str">
        <f t="shared" si="11"/>
        <v/>
      </c>
      <c r="AR78" s="7">
        <f>IF(ISBLANK(AN78), 0, VLOOKUP(AN78, 'Price Sheet'!$A$2:$B1015, 2, false))</f>
        <v>0</v>
      </c>
      <c r="AS78" s="33" t="str">
        <f t="shared" si="12"/>
        <v/>
      </c>
      <c r="AT78" s="37"/>
      <c r="AU78" s="29"/>
      <c r="AV78" s="29" t="b">
        <v>0</v>
      </c>
      <c r="AW78" s="22" t="str">
        <f t="shared" si="13"/>
        <v/>
      </c>
      <c r="AX78" s="7">
        <f>IF(ISBLANK(AT78), 0, VLOOKUP(AT78, 'Price Sheet'!$A$2:$B1015, 2, false))</f>
        <v>0</v>
      </c>
      <c r="AY78" s="33" t="str">
        <f t="shared" si="14"/>
        <v/>
      </c>
      <c r="AZ78" s="37"/>
      <c r="BA78" s="29"/>
      <c r="BB78" s="29" t="b">
        <v>0</v>
      </c>
      <c r="BC78" s="22" t="str">
        <f t="shared" si="15"/>
        <v/>
      </c>
      <c r="BD78" s="7">
        <f>IF(ISBLANK(AZ78), 0, VLOOKUP(AZ78, 'Price Sheet'!$A$2:$B1015, 2, false))</f>
        <v>0</v>
      </c>
      <c r="BE78" s="33" t="str">
        <f t="shared" si="16"/>
        <v/>
      </c>
      <c r="BF78" s="37"/>
      <c r="BG78" s="29"/>
      <c r="BH78" s="29" t="b">
        <v>0</v>
      </c>
      <c r="BI78" s="22" t="str">
        <f t="shared" si="17"/>
        <v/>
      </c>
      <c r="BJ78" s="7">
        <f>IF(ISBLANK(BF78), 0, VLOOKUP(BF78, 'Price Sheet'!$A$2:$B1015, 2, false))</f>
        <v>0</v>
      </c>
      <c r="BK78" s="33" t="str">
        <f t="shared" si="18"/>
        <v/>
      </c>
      <c r="BL78" s="37"/>
      <c r="BM78" s="29"/>
      <c r="BN78" s="29" t="b">
        <v>0</v>
      </c>
      <c r="BO78" s="22" t="str">
        <f t="shared" si="19"/>
        <v/>
      </c>
      <c r="BP78" s="7">
        <f>IF(ISBLANK(BL78), 0, VLOOKUP(BL78, 'Price Sheet'!$A$2:$B1015, 2, false))</f>
        <v>0</v>
      </c>
      <c r="BQ78" s="33" t="str">
        <f t="shared" si="20"/>
        <v/>
      </c>
    </row>
    <row r="79">
      <c r="A79" s="7" t="s">
        <v>485</v>
      </c>
      <c r="B79" s="19">
        <f t="shared" si="1"/>
        <v>23.6675</v>
      </c>
      <c r="C79" s="8" t="s">
        <v>117</v>
      </c>
      <c r="D79" s="8" t="s">
        <v>315</v>
      </c>
      <c r="E79" s="7" t="str">
        <f>IF(ISBLANK(D79), "", VLOOKUP(D79,'Crafting Tables'!$A$2:$B1015, 2, false))</f>
        <v>Advanced</v>
      </c>
      <c r="F79" s="7">
        <f>IFERROR(IF(E79 = "None", 1, VLOOKUP(C79,General!$A$5:$L$35, SWITCH(E79, "Basic", 8, "Advanced", 10, "Modern", 12), false)),"")</f>
        <v>1</v>
      </c>
      <c r="G79" s="8">
        <v>90.0</v>
      </c>
      <c r="H79" s="7">
        <f>IFERROR(VLOOKUP(C79, General!$A$5:$L$35, 6, false) * G79 / 1000, 0)</f>
        <v>3.6</v>
      </c>
      <c r="I79" s="8">
        <v>60.0</v>
      </c>
      <c r="J79" s="22">
        <f>IFERROR(I79*VLOOKUP(D79,'Crafting Tables'!$1:$1000, 4, false)*F79,"")</f>
        <v>0.0675</v>
      </c>
      <c r="K79" s="8" t="b">
        <v>1</v>
      </c>
      <c r="L79" s="32" t="s">
        <v>203</v>
      </c>
      <c r="M79" s="8">
        <v>4.0</v>
      </c>
      <c r="N79" s="21">
        <f t="shared" si="2"/>
        <v>5.916875</v>
      </c>
      <c r="P79" s="32" t="s">
        <v>200</v>
      </c>
      <c r="Q79" s="8">
        <v>20.0</v>
      </c>
      <c r="R79" s="8" t="b">
        <v>1</v>
      </c>
      <c r="S79" s="22">
        <f t="shared" si="3"/>
        <v>20</v>
      </c>
      <c r="T79" s="19">
        <f>IF(ISBLANK(P79), 0, VLOOKUP(P79, 'Price Sheet'!$A$2:$B1015, 2, false))</f>
        <v>1</v>
      </c>
      <c r="U79" s="33">
        <f t="shared" si="4"/>
        <v>20</v>
      </c>
      <c r="V79" s="37"/>
      <c r="W79" s="29"/>
      <c r="X79" s="29" t="b">
        <v>0</v>
      </c>
      <c r="Y79" s="22" t="str">
        <f t="shared" si="5"/>
        <v/>
      </c>
      <c r="Z79" s="7">
        <f>IF(ISBLANK(V79), 0, VLOOKUP(V79, 'Price Sheet'!$A$2:$B1015, 2, false))</f>
        <v>0</v>
      </c>
      <c r="AA79" s="33" t="str">
        <f t="shared" si="6"/>
        <v/>
      </c>
      <c r="AB79" s="37"/>
      <c r="AC79" s="29"/>
      <c r="AD79" s="29" t="b">
        <v>0</v>
      </c>
      <c r="AE79" s="22" t="str">
        <f t="shared" si="7"/>
        <v/>
      </c>
      <c r="AF79" s="7">
        <f>IF(ISBLANK(AB79), 0, VLOOKUP(AB79, 'Price Sheet'!$A$2:$B1015, 2, false))</f>
        <v>0</v>
      </c>
      <c r="AG79" s="33" t="str">
        <f t="shared" si="8"/>
        <v/>
      </c>
      <c r="AH79" s="37"/>
      <c r="AI79" s="29"/>
      <c r="AJ79" s="29" t="b">
        <v>0</v>
      </c>
      <c r="AK79" s="22" t="str">
        <f t="shared" si="9"/>
        <v/>
      </c>
      <c r="AL79" s="7">
        <f>IF(ISBLANK(AH79), 0, VLOOKUP(AH79, 'Price Sheet'!$A$2:$B1015, 2, false))</f>
        <v>0</v>
      </c>
      <c r="AM79" s="33" t="str">
        <f t="shared" si="10"/>
        <v/>
      </c>
      <c r="AN79" s="37"/>
      <c r="AO79" s="29"/>
      <c r="AP79" s="29" t="b">
        <v>0</v>
      </c>
      <c r="AQ79" s="22" t="str">
        <f t="shared" si="11"/>
        <v/>
      </c>
      <c r="AR79" s="7">
        <f>IF(ISBLANK(AN79), 0, VLOOKUP(AN79, 'Price Sheet'!$A$2:$B1015, 2, false))</f>
        <v>0</v>
      </c>
      <c r="AS79" s="33" t="str">
        <f t="shared" si="12"/>
        <v/>
      </c>
      <c r="AT79" s="37"/>
      <c r="AU79" s="29"/>
      <c r="AV79" s="29" t="b">
        <v>0</v>
      </c>
      <c r="AW79" s="22" t="str">
        <f t="shared" si="13"/>
        <v/>
      </c>
      <c r="AX79" s="7">
        <f>IF(ISBLANK(AT79), 0, VLOOKUP(AT79, 'Price Sheet'!$A$2:$B1015, 2, false))</f>
        <v>0</v>
      </c>
      <c r="AY79" s="33" t="str">
        <f t="shared" si="14"/>
        <v/>
      </c>
      <c r="AZ79" s="37"/>
      <c r="BA79" s="29"/>
      <c r="BB79" s="29" t="b">
        <v>0</v>
      </c>
      <c r="BC79" s="22" t="str">
        <f t="shared" si="15"/>
        <v/>
      </c>
      <c r="BD79" s="7">
        <f>IF(ISBLANK(AZ79), 0, VLOOKUP(AZ79, 'Price Sheet'!$A$2:$B1015, 2, false))</f>
        <v>0</v>
      </c>
      <c r="BE79" s="33" t="str">
        <f t="shared" si="16"/>
        <v/>
      </c>
      <c r="BF79" s="37"/>
      <c r="BG79" s="29"/>
      <c r="BH79" s="29" t="b">
        <v>0</v>
      </c>
      <c r="BI79" s="22" t="str">
        <f t="shared" si="17"/>
        <v/>
      </c>
      <c r="BJ79" s="7">
        <f>IF(ISBLANK(BF79), 0, VLOOKUP(BF79, 'Price Sheet'!$A$2:$B1015, 2, false))</f>
        <v>0</v>
      </c>
      <c r="BK79" s="33" t="str">
        <f t="shared" si="18"/>
        <v/>
      </c>
      <c r="BL79" s="37"/>
      <c r="BM79" s="29"/>
      <c r="BN79" s="29" t="b">
        <v>0</v>
      </c>
      <c r="BO79" s="22" t="str">
        <f t="shared" si="19"/>
        <v/>
      </c>
      <c r="BP79" s="7">
        <f>IF(ISBLANK(BL79), 0, VLOOKUP(BL79, 'Price Sheet'!$A$2:$B1015, 2, false))</f>
        <v>0</v>
      </c>
      <c r="BQ79" s="33" t="str">
        <f t="shared" si="20"/>
        <v/>
      </c>
    </row>
    <row r="80">
      <c r="A80" s="7" t="s">
        <v>486</v>
      </c>
      <c r="B80" s="19">
        <f t="shared" si="1"/>
        <v>0</v>
      </c>
      <c r="C80" s="8" t="s">
        <v>117</v>
      </c>
      <c r="D80" s="29"/>
      <c r="E80" s="7" t="str">
        <f>IF(ISBLANK(D80), "", VLOOKUP(D80,'Crafting Tables'!$A$2:$B1015, 2, false))</f>
        <v/>
      </c>
      <c r="F80" s="7" t="str">
        <f>IFERROR(IF(E80 = "None", 1, VLOOKUP(C80,General!$A$5:$L$35, SWITCH(E80, "Basic", 8, "Advanced", 10, "Modern", 12), false)),"")</f>
        <v/>
      </c>
      <c r="G80" s="29"/>
      <c r="H80" s="7">
        <f>IFERROR(VLOOKUP(C80, General!$A$5:$L$35, 6, false) * G80 / 1000, 0)</f>
        <v>0</v>
      </c>
      <c r="I80" s="29"/>
      <c r="J80" s="22" t="str">
        <f>IFERROR(I80*VLOOKUP(D80,'Crafting Tables'!$1:$1000, 4, false)*F80,"")</f>
        <v/>
      </c>
      <c r="K80" s="8" t="b">
        <v>0</v>
      </c>
      <c r="L80" s="37"/>
      <c r="M80" s="29"/>
      <c r="N80" s="21" t="str">
        <f t="shared" si="2"/>
        <v/>
      </c>
      <c r="P80" s="37"/>
      <c r="Q80" s="29"/>
      <c r="R80" s="29" t="b">
        <v>0</v>
      </c>
      <c r="S80" s="22" t="str">
        <f t="shared" si="3"/>
        <v/>
      </c>
      <c r="T80" s="7">
        <f>IF(ISBLANK(P80), 0, VLOOKUP(P80, 'Price Sheet'!$A$2:$B1015, 2, false))</f>
        <v>0</v>
      </c>
      <c r="U80" s="33" t="str">
        <f t="shared" si="4"/>
        <v/>
      </c>
      <c r="V80" s="37"/>
      <c r="W80" s="29"/>
      <c r="X80" s="29" t="b">
        <v>0</v>
      </c>
      <c r="Y80" s="22" t="str">
        <f t="shared" si="5"/>
        <v/>
      </c>
      <c r="Z80" s="7">
        <f>IF(ISBLANK(V80), 0, VLOOKUP(V80, 'Price Sheet'!$A$2:$B1015, 2, false))</f>
        <v>0</v>
      </c>
      <c r="AA80" s="33" t="str">
        <f t="shared" si="6"/>
        <v/>
      </c>
      <c r="AB80" s="37"/>
      <c r="AC80" s="29"/>
      <c r="AD80" s="29" t="b">
        <v>0</v>
      </c>
      <c r="AE80" s="22" t="str">
        <f t="shared" si="7"/>
        <v/>
      </c>
      <c r="AF80" s="7">
        <f>IF(ISBLANK(AB80), 0, VLOOKUP(AB80, 'Price Sheet'!$A$2:$B1015, 2, false))</f>
        <v>0</v>
      </c>
      <c r="AG80" s="33" t="str">
        <f t="shared" si="8"/>
        <v/>
      </c>
      <c r="AH80" s="37"/>
      <c r="AI80" s="29"/>
      <c r="AJ80" s="29" t="b">
        <v>0</v>
      </c>
      <c r="AK80" s="22" t="str">
        <f t="shared" si="9"/>
        <v/>
      </c>
      <c r="AL80" s="7">
        <f>IF(ISBLANK(AH80), 0, VLOOKUP(AH80, 'Price Sheet'!$A$2:$B1015, 2, false))</f>
        <v>0</v>
      </c>
      <c r="AM80" s="33" t="str">
        <f t="shared" si="10"/>
        <v/>
      </c>
      <c r="AN80" s="37"/>
      <c r="AO80" s="29"/>
      <c r="AP80" s="29" t="b">
        <v>0</v>
      </c>
      <c r="AQ80" s="22" t="str">
        <f t="shared" si="11"/>
        <v/>
      </c>
      <c r="AR80" s="7">
        <f>IF(ISBLANK(AN80), 0, VLOOKUP(AN80, 'Price Sheet'!$A$2:$B1015, 2, false))</f>
        <v>0</v>
      </c>
      <c r="AS80" s="33" t="str">
        <f t="shared" si="12"/>
        <v/>
      </c>
      <c r="AT80" s="37"/>
      <c r="AU80" s="29"/>
      <c r="AV80" s="29" t="b">
        <v>0</v>
      </c>
      <c r="AW80" s="22" t="str">
        <f t="shared" si="13"/>
        <v/>
      </c>
      <c r="AX80" s="7">
        <f>IF(ISBLANK(AT80), 0, VLOOKUP(AT80, 'Price Sheet'!$A$2:$B1015, 2, false))</f>
        <v>0</v>
      </c>
      <c r="AY80" s="33" t="str">
        <f t="shared" si="14"/>
        <v/>
      </c>
      <c r="AZ80" s="37"/>
      <c r="BA80" s="29"/>
      <c r="BB80" s="29" t="b">
        <v>0</v>
      </c>
      <c r="BC80" s="22" t="str">
        <f t="shared" si="15"/>
        <v/>
      </c>
      <c r="BD80" s="7">
        <f>IF(ISBLANK(AZ80), 0, VLOOKUP(AZ80, 'Price Sheet'!$A$2:$B1015, 2, false))</f>
        <v>0</v>
      </c>
      <c r="BE80" s="33" t="str">
        <f t="shared" si="16"/>
        <v/>
      </c>
      <c r="BF80" s="37"/>
      <c r="BG80" s="29"/>
      <c r="BH80" s="29" t="b">
        <v>0</v>
      </c>
      <c r="BI80" s="22" t="str">
        <f t="shared" si="17"/>
        <v/>
      </c>
      <c r="BJ80" s="7">
        <f>IF(ISBLANK(BF80), 0, VLOOKUP(BF80, 'Price Sheet'!$A$2:$B1015, 2, false))</f>
        <v>0</v>
      </c>
      <c r="BK80" s="33" t="str">
        <f t="shared" si="18"/>
        <v/>
      </c>
      <c r="BL80" s="37"/>
      <c r="BM80" s="29"/>
      <c r="BN80" s="29" t="b">
        <v>0</v>
      </c>
      <c r="BO80" s="22" t="str">
        <f t="shared" si="19"/>
        <v/>
      </c>
      <c r="BP80" s="7">
        <f>IF(ISBLANK(BL80), 0, VLOOKUP(BL80, 'Price Sheet'!$A$2:$B1015, 2, false))</f>
        <v>0</v>
      </c>
      <c r="BQ80" s="33" t="str">
        <f t="shared" si="20"/>
        <v/>
      </c>
    </row>
    <row r="81">
      <c r="A81" s="7" t="s">
        <v>487</v>
      </c>
      <c r="B81" s="19">
        <f t="shared" si="1"/>
        <v>20.3</v>
      </c>
      <c r="C81" s="8" t="s">
        <v>117</v>
      </c>
      <c r="D81" s="8" t="s">
        <v>308</v>
      </c>
      <c r="E81" s="7" t="str">
        <f>IF(ISBLANK(D81), "", VLOOKUP(D81,'Crafting Tables'!$A$2:$B1015, 2, false))</f>
        <v>Basic</v>
      </c>
      <c r="F81" s="7">
        <f>IFERROR(IF(E81 = "None", 1, VLOOKUP(C81,General!$A$5:$L$35, SWITCH(E81, "Basic", 8, "Advanced", 10, "Modern", 12), false)),"")</f>
        <v>0.55</v>
      </c>
      <c r="G81" s="8">
        <v>50.0</v>
      </c>
      <c r="H81" s="7">
        <f>IFERROR(VLOOKUP(C81, General!$A$5:$L$35, 6, false) * G81 / 1000, 0)</f>
        <v>2</v>
      </c>
      <c r="I81" s="8">
        <v>90.0</v>
      </c>
      <c r="J81" s="22">
        <f>IFERROR(I81*VLOOKUP(D81,'Crafting Tables'!$1:$1000, 4, false)*F81,"")</f>
        <v>0</v>
      </c>
      <c r="K81" s="8" t="b">
        <v>1</v>
      </c>
      <c r="L81" s="32" t="s">
        <v>204</v>
      </c>
      <c r="M81" s="8">
        <v>1.0</v>
      </c>
      <c r="N81" s="21">
        <f t="shared" si="2"/>
        <v>20.3</v>
      </c>
      <c r="P81" s="32" t="s">
        <v>203</v>
      </c>
      <c r="Q81" s="8">
        <v>3.0</v>
      </c>
      <c r="R81" s="8" t="b">
        <v>1</v>
      </c>
      <c r="S81" s="22">
        <f t="shared" si="3"/>
        <v>3</v>
      </c>
      <c r="T81" s="19">
        <f>IF(ISBLANK(P81), 0, VLOOKUP(P81, 'Price Sheet'!$A$2:$B1015, 2, false))</f>
        <v>5</v>
      </c>
      <c r="U81" s="33">
        <f t="shared" si="4"/>
        <v>15</v>
      </c>
      <c r="V81" s="32" t="s">
        <v>173</v>
      </c>
      <c r="W81" s="8">
        <v>-3.0</v>
      </c>
      <c r="X81" s="29" t="b">
        <v>0</v>
      </c>
      <c r="Y81" s="22">
        <f t="shared" si="5"/>
        <v>-1.65</v>
      </c>
      <c r="Z81" s="19">
        <f>IF(ISBLANK(V81), 0, VLOOKUP(V81, 'Price Sheet'!$A$2:$B1015, 2, false))</f>
        <v>-2</v>
      </c>
      <c r="AA81" s="33">
        <f t="shared" si="6"/>
        <v>3.3</v>
      </c>
      <c r="AB81" s="37"/>
      <c r="AC81" s="29"/>
      <c r="AD81" s="29" t="b">
        <v>0</v>
      </c>
      <c r="AE81" s="22" t="str">
        <f t="shared" si="7"/>
        <v/>
      </c>
      <c r="AF81" s="7">
        <f>IF(ISBLANK(AB81), 0, VLOOKUP(AB81, 'Price Sheet'!$A$2:$B1015, 2, false))</f>
        <v>0</v>
      </c>
      <c r="AG81" s="33" t="str">
        <f t="shared" si="8"/>
        <v/>
      </c>
      <c r="AH81" s="37"/>
      <c r="AI81" s="29"/>
      <c r="AJ81" s="29" t="b">
        <v>0</v>
      </c>
      <c r="AK81" s="22" t="str">
        <f t="shared" si="9"/>
        <v/>
      </c>
      <c r="AL81" s="7">
        <f>IF(ISBLANK(AH81), 0, VLOOKUP(AH81, 'Price Sheet'!$A$2:$B1015, 2, false))</f>
        <v>0</v>
      </c>
      <c r="AM81" s="33" t="str">
        <f t="shared" si="10"/>
        <v/>
      </c>
      <c r="AN81" s="37"/>
      <c r="AO81" s="29"/>
      <c r="AP81" s="29" t="b">
        <v>0</v>
      </c>
      <c r="AQ81" s="22" t="str">
        <f t="shared" si="11"/>
        <v/>
      </c>
      <c r="AR81" s="7">
        <f>IF(ISBLANK(AN81), 0, VLOOKUP(AN81, 'Price Sheet'!$A$2:$B1015, 2, false))</f>
        <v>0</v>
      </c>
      <c r="AS81" s="33" t="str">
        <f t="shared" si="12"/>
        <v/>
      </c>
      <c r="AT81" s="37"/>
      <c r="AU81" s="29"/>
      <c r="AV81" s="29" t="b">
        <v>0</v>
      </c>
      <c r="AW81" s="22" t="str">
        <f t="shared" si="13"/>
        <v/>
      </c>
      <c r="AX81" s="7">
        <f>IF(ISBLANK(AT81), 0, VLOOKUP(AT81, 'Price Sheet'!$A$2:$B1015, 2, false))</f>
        <v>0</v>
      </c>
      <c r="AY81" s="33" t="str">
        <f t="shared" si="14"/>
        <v/>
      </c>
      <c r="AZ81" s="37"/>
      <c r="BA81" s="29"/>
      <c r="BB81" s="29" t="b">
        <v>0</v>
      </c>
      <c r="BC81" s="22" t="str">
        <f t="shared" si="15"/>
        <v/>
      </c>
      <c r="BD81" s="7">
        <f>IF(ISBLANK(AZ81), 0, VLOOKUP(AZ81, 'Price Sheet'!$A$2:$B1015, 2, false))</f>
        <v>0</v>
      </c>
      <c r="BE81" s="33" t="str">
        <f t="shared" si="16"/>
        <v/>
      </c>
      <c r="BF81" s="37"/>
      <c r="BG81" s="29"/>
      <c r="BH81" s="29" t="b">
        <v>0</v>
      </c>
      <c r="BI81" s="22" t="str">
        <f t="shared" si="17"/>
        <v/>
      </c>
      <c r="BJ81" s="7">
        <f>IF(ISBLANK(BF81), 0, VLOOKUP(BF81, 'Price Sheet'!$A$2:$B1015, 2, false))</f>
        <v>0</v>
      </c>
      <c r="BK81" s="33" t="str">
        <f t="shared" si="18"/>
        <v/>
      </c>
      <c r="BL81" s="37"/>
      <c r="BM81" s="29"/>
      <c r="BN81" s="29" t="b">
        <v>0</v>
      </c>
      <c r="BO81" s="22" t="str">
        <f t="shared" si="19"/>
        <v/>
      </c>
      <c r="BP81" s="7">
        <f>IF(ISBLANK(BL81), 0, VLOOKUP(BL81, 'Price Sheet'!$A$2:$B1015, 2, false))</f>
        <v>0</v>
      </c>
      <c r="BQ81" s="33" t="str">
        <f t="shared" si="20"/>
        <v/>
      </c>
    </row>
    <row r="82">
      <c r="A82" s="7" t="s">
        <v>488</v>
      </c>
      <c r="B82" s="19">
        <f t="shared" si="1"/>
        <v>0</v>
      </c>
      <c r="C82" s="8" t="s">
        <v>117</v>
      </c>
      <c r="D82" s="29"/>
      <c r="E82" s="7" t="str">
        <f>IF(ISBLANK(D82), "", VLOOKUP(D82,'Crafting Tables'!$A$2:$B1015, 2, false))</f>
        <v/>
      </c>
      <c r="F82" s="7" t="str">
        <f>IFERROR(IF(E82 = "None", 1, VLOOKUP(C82,General!$A$5:$L$35, SWITCH(E82, "Basic", 8, "Advanced", 10, "Modern", 12), false)),"")</f>
        <v/>
      </c>
      <c r="G82" s="29"/>
      <c r="H82" s="7">
        <f>IFERROR(VLOOKUP(C82, General!$A$5:$L$35, 6, false) * G82 / 1000, 0)</f>
        <v>0</v>
      </c>
      <c r="I82" s="29"/>
      <c r="J82" s="22" t="str">
        <f>IFERROR(I82*VLOOKUP(D82,'Crafting Tables'!$1:$1000, 4, false)*F82,"")</f>
        <v/>
      </c>
      <c r="K82" s="8" t="b">
        <v>0</v>
      </c>
      <c r="L82" s="37"/>
      <c r="M82" s="29"/>
      <c r="N82" s="21" t="str">
        <f t="shared" si="2"/>
        <v/>
      </c>
      <c r="P82" s="37"/>
      <c r="Q82" s="29"/>
      <c r="R82" s="29" t="b">
        <v>0</v>
      </c>
      <c r="S82" s="22" t="str">
        <f t="shared" si="3"/>
        <v/>
      </c>
      <c r="T82" s="7">
        <f>IF(ISBLANK(P82), 0, VLOOKUP(P82, 'Price Sheet'!$A$2:$B1015, 2, false))</f>
        <v>0</v>
      </c>
      <c r="U82" s="33" t="str">
        <f t="shared" si="4"/>
        <v/>
      </c>
      <c r="V82" s="37"/>
      <c r="W82" s="29"/>
      <c r="X82" s="29" t="b">
        <v>0</v>
      </c>
      <c r="Y82" s="22" t="str">
        <f t="shared" si="5"/>
        <v/>
      </c>
      <c r="Z82" s="7">
        <f>IF(ISBLANK(V82), 0, VLOOKUP(V82, 'Price Sheet'!$A$2:$B1015, 2, false))</f>
        <v>0</v>
      </c>
      <c r="AA82" s="33" t="str">
        <f t="shared" si="6"/>
        <v/>
      </c>
      <c r="AB82" s="37"/>
      <c r="AC82" s="29"/>
      <c r="AD82" s="29" t="b">
        <v>0</v>
      </c>
      <c r="AE82" s="22" t="str">
        <f t="shared" si="7"/>
        <v/>
      </c>
      <c r="AF82" s="7">
        <f>IF(ISBLANK(AB82), 0, VLOOKUP(AB82, 'Price Sheet'!$A$2:$B1015, 2, false))</f>
        <v>0</v>
      </c>
      <c r="AG82" s="33" t="str">
        <f t="shared" si="8"/>
        <v/>
      </c>
      <c r="AH82" s="37"/>
      <c r="AI82" s="29"/>
      <c r="AJ82" s="29" t="b">
        <v>0</v>
      </c>
      <c r="AK82" s="22" t="str">
        <f t="shared" si="9"/>
        <v/>
      </c>
      <c r="AL82" s="7">
        <f>IF(ISBLANK(AH82), 0, VLOOKUP(AH82, 'Price Sheet'!$A$2:$B1015, 2, false))</f>
        <v>0</v>
      </c>
      <c r="AM82" s="33" t="str">
        <f t="shared" si="10"/>
        <v/>
      </c>
      <c r="AN82" s="37"/>
      <c r="AO82" s="29"/>
      <c r="AP82" s="29" t="b">
        <v>0</v>
      </c>
      <c r="AQ82" s="22" t="str">
        <f t="shared" si="11"/>
        <v/>
      </c>
      <c r="AR82" s="7">
        <f>IF(ISBLANK(AN82), 0, VLOOKUP(AN82, 'Price Sheet'!$A$2:$B1015, 2, false))</f>
        <v>0</v>
      </c>
      <c r="AS82" s="33" t="str">
        <f t="shared" si="12"/>
        <v/>
      </c>
      <c r="AT82" s="37"/>
      <c r="AU82" s="29"/>
      <c r="AV82" s="29" t="b">
        <v>0</v>
      </c>
      <c r="AW82" s="22" t="str">
        <f t="shared" si="13"/>
        <v/>
      </c>
      <c r="AX82" s="7">
        <f>IF(ISBLANK(AT82), 0, VLOOKUP(AT82, 'Price Sheet'!$A$2:$B1015, 2, false))</f>
        <v>0</v>
      </c>
      <c r="AY82" s="33" t="str">
        <f t="shared" si="14"/>
        <v/>
      </c>
      <c r="AZ82" s="37"/>
      <c r="BA82" s="29"/>
      <c r="BB82" s="29" t="b">
        <v>0</v>
      </c>
      <c r="BC82" s="22" t="str">
        <f t="shared" si="15"/>
        <v/>
      </c>
      <c r="BD82" s="7">
        <f>IF(ISBLANK(AZ82), 0, VLOOKUP(AZ82, 'Price Sheet'!$A$2:$B1015, 2, false))</f>
        <v>0</v>
      </c>
      <c r="BE82" s="33" t="str">
        <f t="shared" si="16"/>
        <v/>
      </c>
      <c r="BF82" s="37"/>
      <c r="BG82" s="29"/>
      <c r="BH82" s="29" t="b">
        <v>0</v>
      </c>
      <c r="BI82" s="22" t="str">
        <f t="shared" si="17"/>
        <v/>
      </c>
      <c r="BJ82" s="7">
        <f>IF(ISBLANK(BF82), 0, VLOOKUP(BF82, 'Price Sheet'!$A$2:$B1015, 2, false))</f>
        <v>0</v>
      </c>
      <c r="BK82" s="33" t="str">
        <f t="shared" si="18"/>
        <v/>
      </c>
      <c r="BL82" s="37"/>
      <c r="BM82" s="29"/>
      <c r="BN82" s="29" t="b">
        <v>0</v>
      </c>
      <c r="BO82" s="22" t="str">
        <f t="shared" si="19"/>
        <v/>
      </c>
      <c r="BP82" s="7">
        <f>IF(ISBLANK(BL82), 0, VLOOKUP(BL82, 'Price Sheet'!$A$2:$B1015, 2, false))</f>
        <v>0</v>
      </c>
      <c r="BQ82" s="33" t="str">
        <f t="shared" si="20"/>
        <v/>
      </c>
    </row>
    <row r="83">
      <c r="A83" s="7" t="s">
        <v>489</v>
      </c>
      <c r="B83" s="19">
        <f t="shared" si="1"/>
        <v>24.7795</v>
      </c>
      <c r="C83" s="8" t="s">
        <v>198</v>
      </c>
      <c r="D83" s="8" t="s">
        <v>179</v>
      </c>
      <c r="E83" s="7" t="str">
        <f>IF(ISBLANK(D83), "", VLOOKUP(D83,'Crafting Tables'!$A$2:$B1015, 2, false))</f>
        <v>Basic</v>
      </c>
      <c r="F83" s="7">
        <f>IFERROR(IF(E83 = "None", 1, VLOOKUP(C83,General!$A$5:$L$35, SWITCH(E83, "Basic", 8, "Advanced", 10, "Modern", 12), false)),"")</f>
        <v>0.55</v>
      </c>
      <c r="G83" s="8">
        <v>60.0</v>
      </c>
      <c r="H83" s="7">
        <f>IFERROR(VLOOKUP(C83, General!$A$5:$L$35, 6, false) * G83 / 1000, 0)</f>
        <v>2.4</v>
      </c>
      <c r="I83" s="8">
        <v>240.0</v>
      </c>
      <c r="J83" s="22">
        <f>IFERROR(I83*VLOOKUP(D83,'Crafting Tables'!$1:$1000, 4, false)*F83,"")</f>
        <v>0.0495</v>
      </c>
      <c r="K83" s="8" t="b">
        <v>1</v>
      </c>
      <c r="L83" s="32" t="s">
        <v>206</v>
      </c>
      <c r="M83" s="8">
        <v>3.0</v>
      </c>
      <c r="N83" s="21">
        <f t="shared" si="2"/>
        <v>8.259833333</v>
      </c>
      <c r="P83" s="32" t="s">
        <v>204</v>
      </c>
      <c r="Q83" s="8">
        <v>2.0</v>
      </c>
      <c r="R83" s="29" t="b">
        <v>0</v>
      </c>
      <c r="S83" s="22">
        <f t="shared" si="3"/>
        <v>1.1</v>
      </c>
      <c r="T83" s="19">
        <f>IF(ISBLANK(P83), 0, VLOOKUP(P83, 'Price Sheet'!$A$2:$B1015, 2, false))</f>
        <v>20.3</v>
      </c>
      <c r="U83" s="33">
        <f t="shared" si="4"/>
        <v>22.33</v>
      </c>
      <c r="V83" s="37"/>
      <c r="W83" s="29"/>
      <c r="X83" s="29" t="b">
        <v>0</v>
      </c>
      <c r="Y83" s="22" t="str">
        <f t="shared" si="5"/>
        <v/>
      </c>
      <c r="Z83" s="7">
        <f>IF(ISBLANK(V83), 0, VLOOKUP(V83, 'Price Sheet'!$A$2:$B1015, 2, false))</f>
        <v>0</v>
      </c>
      <c r="AA83" s="33" t="str">
        <f t="shared" si="6"/>
        <v/>
      </c>
      <c r="AB83" s="37"/>
      <c r="AC83" s="29"/>
      <c r="AD83" s="29" t="b">
        <v>0</v>
      </c>
      <c r="AE83" s="22" t="str">
        <f t="shared" si="7"/>
        <v/>
      </c>
      <c r="AF83" s="7">
        <f>IF(ISBLANK(AB83), 0, VLOOKUP(AB83, 'Price Sheet'!$A$2:$B1015, 2, false))</f>
        <v>0</v>
      </c>
      <c r="AG83" s="33" t="str">
        <f t="shared" si="8"/>
        <v/>
      </c>
      <c r="AH83" s="37"/>
      <c r="AI83" s="29"/>
      <c r="AJ83" s="29" t="b">
        <v>0</v>
      </c>
      <c r="AK83" s="22" t="str">
        <f t="shared" si="9"/>
        <v/>
      </c>
      <c r="AL83" s="7">
        <f>IF(ISBLANK(AH83), 0, VLOOKUP(AH83, 'Price Sheet'!$A$2:$B1015, 2, false))</f>
        <v>0</v>
      </c>
      <c r="AM83" s="33" t="str">
        <f t="shared" si="10"/>
        <v/>
      </c>
      <c r="AN83" s="37"/>
      <c r="AO83" s="29"/>
      <c r="AP83" s="29" t="b">
        <v>0</v>
      </c>
      <c r="AQ83" s="22" t="str">
        <f t="shared" si="11"/>
        <v/>
      </c>
      <c r="AR83" s="7">
        <f>IF(ISBLANK(AN83), 0, VLOOKUP(AN83, 'Price Sheet'!$A$2:$B1015, 2, false))</f>
        <v>0</v>
      </c>
      <c r="AS83" s="33" t="str">
        <f t="shared" si="12"/>
        <v/>
      </c>
      <c r="AT83" s="37"/>
      <c r="AU83" s="29"/>
      <c r="AV83" s="29" t="b">
        <v>0</v>
      </c>
      <c r="AW83" s="22" t="str">
        <f t="shared" si="13"/>
        <v/>
      </c>
      <c r="AX83" s="7">
        <f>IF(ISBLANK(AT83), 0, VLOOKUP(AT83, 'Price Sheet'!$A$2:$B1015, 2, false))</f>
        <v>0</v>
      </c>
      <c r="AY83" s="33" t="str">
        <f t="shared" si="14"/>
        <v/>
      </c>
      <c r="AZ83" s="37"/>
      <c r="BA83" s="29"/>
      <c r="BB83" s="29" t="b">
        <v>0</v>
      </c>
      <c r="BC83" s="22" t="str">
        <f t="shared" si="15"/>
        <v/>
      </c>
      <c r="BD83" s="7">
        <f>IF(ISBLANK(AZ83), 0, VLOOKUP(AZ83, 'Price Sheet'!$A$2:$B1015, 2, false))</f>
        <v>0</v>
      </c>
      <c r="BE83" s="33" t="str">
        <f t="shared" si="16"/>
        <v/>
      </c>
      <c r="BF83" s="37"/>
      <c r="BG83" s="29"/>
      <c r="BH83" s="29" t="b">
        <v>0</v>
      </c>
      <c r="BI83" s="22" t="str">
        <f t="shared" si="17"/>
        <v/>
      </c>
      <c r="BJ83" s="7">
        <f>IF(ISBLANK(BF83), 0, VLOOKUP(BF83, 'Price Sheet'!$A$2:$B1015, 2, false))</f>
        <v>0</v>
      </c>
      <c r="BK83" s="33" t="str">
        <f t="shared" si="18"/>
        <v/>
      </c>
      <c r="BL83" s="37"/>
      <c r="BM83" s="29"/>
      <c r="BN83" s="29" t="b">
        <v>0</v>
      </c>
      <c r="BO83" s="22" t="str">
        <f t="shared" si="19"/>
        <v/>
      </c>
      <c r="BP83" s="7">
        <f>IF(ISBLANK(BL83), 0, VLOOKUP(BL83, 'Price Sheet'!$A$2:$B1015, 2, false))</f>
        <v>0</v>
      </c>
      <c r="BQ83" s="33" t="str">
        <f t="shared" si="20"/>
        <v/>
      </c>
    </row>
    <row r="84">
      <c r="A84" s="7" t="s">
        <v>490</v>
      </c>
      <c r="B84" s="19">
        <f t="shared" si="1"/>
        <v>23.20375</v>
      </c>
      <c r="C84" s="8" t="s">
        <v>198</v>
      </c>
      <c r="D84" s="8" t="s">
        <v>316</v>
      </c>
      <c r="E84" s="7" t="str">
        <f>IF(ISBLANK(D84), "", VLOOKUP(D84,'Crafting Tables'!$A$2:$B1015, 2, false))</f>
        <v>Advanced</v>
      </c>
      <c r="F84" s="7">
        <f>IFERROR(IF(E84 = "None", 1, VLOOKUP(C84,General!$A$5:$L$35, SWITCH(E84, "Basic", 8, "Advanced", 10, "Modern", 12), false)),"")</f>
        <v>1</v>
      </c>
      <c r="G84" s="8">
        <v>60.0</v>
      </c>
      <c r="H84" s="7">
        <f>IFERROR(VLOOKUP(C84, General!$A$5:$L$35, 6, false) * G84 / 1000, 0)</f>
        <v>2.4</v>
      </c>
      <c r="I84" s="8">
        <v>18.0</v>
      </c>
      <c r="J84" s="22">
        <f>IFERROR(I84*VLOOKUP(D84,'Crafting Tables'!$1:$1000, 4, false)*F84,"")</f>
        <v>0.50375</v>
      </c>
      <c r="K84" s="8" t="b">
        <v>1</v>
      </c>
      <c r="L84" s="32" t="s">
        <v>206</v>
      </c>
      <c r="M84" s="8">
        <v>2.0</v>
      </c>
      <c r="N84" s="21">
        <f t="shared" si="2"/>
        <v>11.601875</v>
      </c>
      <c r="P84" s="32" t="s">
        <v>204</v>
      </c>
      <c r="Q84" s="8">
        <v>1.0</v>
      </c>
      <c r="R84" s="29" t="b">
        <v>0</v>
      </c>
      <c r="S84" s="22">
        <f t="shared" si="3"/>
        <v>1</v>
      </c>
      <c r="T84" s="19">
        <f>IF(ISBLANK(P84), 0, VLOOKUP(P84, 'Price Sheet'!$A$2:$B1015, 2, false))</f>
        <v>20.3</v>
      </c>
      <c r="U84" s="33">
        <f t="shared" si="4"/>
        <v>20.3</v>
      </c>
      <c r="V84" s="37"/>
      <c r="W84" s="29"/>
      <c r="X84" s="29" t="b">
        <v>0</v>
      </c>
      <c r="Y84" s="22" t="str">
        <f t="shared" si="5"/>
        <v/>
      </c>
      <c r="Z84" s="7">
        <f>IF(ISBLANK(V84), 0, VLOOKUP(V84, 'Price Sheet'!$A$2:$B1015, 2, false))</f>
        <v>0</v>
      </c>
      <c r="AA84" s="33" t="str">
        <f t="shared" si="6"/>
        <v/>
      </c>
      <c r="AB84" s="37"/>
      <c r="AC84" s="29"/>
      <c r="AD84" s="29" t="b">
        <v>0</v>
      </c>
      <c r="AE84" s="22" t="str">
        <f t="shared" si="7"/>
        <v/>
      </c>
      <c r="AF84" s="7">
        <f>IF(ISBLANK(AB84), 0, VLOOKUP(AB84, 'Price Sheet'!$A$2:$B1015, 2, false))</f>
        <v>0</v>
      </c>
      <c r="AG84" s="33" t="str">
        <f t="shared" si="8"/>
        <v/>
      </c>
      <c r="AH84" s="37"/>
      <c r="AI84" s="29"/>
      <c r="AJ84" s="29" t="b">
        <v>0</v>
      </c>
      <c r="AK84" s="22" t="str">
        <f t="shared" si="9"/>
        <v/>
      </c>
      <c r="AL84" s="7">
        <f>IF(ISBLANK(AH84), 0, VLOOKUP(AH84, 'Price Sheet'!$A$2:$B1015, 2, false))</f>
        <v>0</v>
      </c>
      <c r="AM84" s="33" t="str">
        <f t="shared" si="10"/>
        <v/>
      </c>
      <c r="AN84" s="37"/>
      <c r="AO84" s="29"/>
      <c r="AP84" s="29" t="b">
        <v>0</v>
      </c>
      <c r="AQ84" s="22" t="str">
        <f t="shared" si="11"/>
        <v/>
      </c>
      <c r="AR84" s="7">
        <f>IF(ISBLANK(AN84), 0, VLOOKUP(AN84, 'Price Sheet'!$A$2:$B1015, 2, false))</f>
        <v>0</v>
      </c>
      <c r="AS84" s="33" t="str">
        <f t="shared" si="12"/>
        <v/>
      </c>
      <c r="AT84" s="37"/>
      <c r="AU84" s="29"/>
      <c r="AV84" s="29" t="b">
        <v>0</v>
      </c>
      <c r="AW84" s="22" t="str">
        <f t="shared" si="13"/>
        <v/>
      </c>
      <c r="AX84" s="7">
        <f>IF(ISBLANK(AT84), 0, VLOOKUP(AT84, 'Price Sheet'!$A$2:$B1015, 2, false))</f>
        <v>0</v>
      </c>
      <c r="AY84" s="33" t="str">
        <f t="shared" si="14"/>
        <v/>
      </c>
      <c r="AZ84" s="37"/>
      <c r="BA84" s="29"/>
      <c r="BB84" s="29" t="b">
        <v>0</v>
      </c>
      <c r="BC84" s="22" t="str">
        <f t="shared" si="15"/>
        <v/>
      </c>
      <c r="BD84" s="7">
        <f>IF(ISBLANK(AZ84), 0, VLOOKUP(AZ84, 'Price Sheet'!$A$2:$B1015, 2, false))</f>
        <v>0</v>
      </c>
      <c r="BE84" s="33" t="str">
        <f t="shared" si="16"/>
        <v/>
      </c>
      <c r="BF84" s="37"/>
      <c r="BG84" s="29"/>
      <c r="BH84" s="29" t="b">
        <v>0</v>
      </c>
      <c r="BI84" s="22" t="str">
        <f t="shared" si="17"/>
        <v/>
      </c>
      <c r="BJ84" s="7">
        <f>IF(ISBLANK(BF84), 0, VLOOKUP(BF84, 'Price Sheet'!$A$2:$B1015, 2, false))</f>
        <v>0</v>
      </c>
      <c r="BK84" s="33" t="str">
        <f t="shared" si="18"/>
        <v/>
      </c>
      <c r="BL84" s="37"/>
      <c r="BM84" s="29"/>
      <c r="BN84" s="29" t="b">
        <v>0</v>
      </c>
      <c r="BO84" s="22" t="str">
        <f t="shared" si="19"/>
        <v/>
      </c>
      <c r="BP84" s="7">
        <f>IF(ISBLANK(BL84), 0, VLOOKUP(BL84, 'Price Sheet'!$A$2:$B1015, 2, false))</f>
        <v>0</v>
      </c>
      <c r="BQ84" s="33" t="str">
        <f t="shared" si="20"/>
        <v/>
      </c>
    </row>
    <row r="85">
      <c r="A85" s="7" t="s">
        <v>295</v>
      </c>
      <c r="B85" s="19">
        <f t="shared" si="1"/>
        <v>48.8</v>
      </c>
      <c r="C85" s="8" t="s">
        <v>117</v>
      </c>
      <c r="D85" s="8" t="s">
        <v>351</v>
      </c>
      <c r="E85" s="7" t="str">
        <f>IF(ISBLANK(D85), "", VLOOKUP(D85,'Crafting Tables'!$A$2:$B1015, 2, false))</f>
        <v>Advanced</v>
      </c>
      <c r="F85" s="7">
        <f>IFERROR(IF(E85 = "None", 1, VLOOKUP(C85,General!$A$5:$L$35, SWITCH(E85, "Basic", 8, "Advanced", 10, "Modern", 12), false)),"")</f>
        <v>1</v>
      </c>
      <c r="G85" s="8">
        <v>300.0</v>
      </c>
      <c r="H85" s="7">
        <f>IFERROR(VLOOKUP(C85, General!$A$5:$L$35, 6, false) * G85 / 1000, 0)</f>
        <v>12</v>
      </c>
      <c r="I85" s="8">
        <v>120.0</v>
      </c>
      <c r="J85" s="22">
        <f>IFERROR(I85*VLOOKUP(D85,'Crafting Tables'!$1:$1000, 4, false)*F85,"")</f>
        <v>0</v>
      </c>
      <c r="K85" s="8" t="b">
        <v>1</v>
      </c>
      <c r="L85" s="32" t="s">
        <v>295</v>
      </c>
      <c r="M85" s="8">
        <v>1.0</v>
      </c>
      <c r="N85" s="21">
        <f t="shared" si="2"/>
        <v>48.8</v>
      </c>
      <c r="P85" s="32" t="s">
        <v>298</v>
      </c>
      <c r="Q85" s="8">
        <v>4.0</v>
      </c>
      <c r="R85" s="29" t="b">
        <v>0</v>
      </c>
      <c r="S85" s="22">
        <f t="shared" si="3"/>
        <v>4</v>
      </c>
      <c r="T85" s="19">
        <f>IF(ISBLANK(P85), 0, VLOOKUP(P85, 'Price Sheet'!$A$2:$B1015, 2, false))</f>
        <v>2</v>
      </c>
      <c r="U85" s="33">
        <f t="shared" si="4"/>
        <v>8</v>
      </c>
      <c r="V85" s="32" t="s">
        <v>286</v>
      </c>
      <c r="W85" s="8">
        <v>12.0</v>
      </c>
      <c r="X85" s="29" t="b">
        <v>0</v>
      </c>
      <c r="Y85" s="22">
        <f t="shared" si="5"/>
        <v>12</v>
      </c>
      <c r="Z85" s="19">
        <f>IF(ISBLANK(V85), 0, VLOOKUP(V85, 'Price Sheet'!$A$2:$B1015, 2, false))</f>
        <v>2.4</v>
      </c>
      <c r="AA85" s="33">
        <f t="shared" si="6"/>
        <v>28.8</v>
      </c>
      <c r="AB85" s="37"/>
      <c r="AC85" s="29"/>
      <c r="AD85" s="29" t="b">
        <v>0</v>
      </c>
      <c r="AE85" s="22" t="str">
        <f t="shared" si="7"/>
        <v/>
      </c>
      <c r="AF85" s="7">
        <f>IF(ISBLANK(AB85), 0, VLOOKUP(AB85, 'Price Sheet'!$A$2:$B1015, 2, false))</f>
        <v>0</v>
      </c>
      <c r="AG85" s="33" t="str">
        <f t="shared" si="8"/>
        <v/>
      </c>
      <c r="AH85" s="37"/>
      <c r="AI85" s="29"/>
      <c r="AJ85" s="29" t="b">
        <v>0</v>
      </c>
      <c r="AK85" s="22" t="str">
        <f t="shared" si="9"/>
        <v/>
      </c>
      <c r="AL85" s="7">
        <f>IF(ISBLANK(AH85), 0, VLOOKUP(AH85, 'Price Sheet'!$A$2:$B1015, 2, false))</f>
        <v>0</v>
      </c>
      <c r="AM85" s="33" t="str">
        <f t="shared" si="10"/>
        <v/>
      </c>
      <c r="AN85" s="37"/>
      <c r="AO85" s="29"/>
      <c r="AP85" s="29" t="b">
        <v>0</v>
      </c>
      <c r="AQ85" s="22" t="str">
        <f t="shared" si="11"/>
        <v/>
      </c>
      <c r="AR85" s="7">
        <f>IF(ISBLANK(AN85), 0, VLOOKUP(AN85, 'Price Sheet'!$A$2:$B1015, 2, false))</f>
        <v>0</v>
      </c>
      <c r="AS85" s="33" t="str">
        <f t="shared" si="12"/>
        <v/>
      </c>
      <c r="AT85" s="37"/>
      <c r="AU85" s="29"/>
      <c r="AV85" s="29" t="b">
        <v>0</v>
      </c>
      <c r="AW85" s="22" t="str">
        <f t="shared" si="13"/>
        <v/>
      </c>
      <c r="AX85" s="7">
        <f>IF(ISBLANK(AT85), 0, VLOOKUP(AT85, 'Price Sheet'!$A$2:$B1015, 2, false))</f>
        <v>0</v>
      </c>
      <c r="AY85" s="33" t="str">
        <f t="shared" si="14"/>
        <v/>
      </c>
      <c r="AZ85" s="37"/>
      <c r="BA85" s="29"/>
      <c r="BB85" s="29" t="b">
        <v>0</v>
      </c>
      <c r="BC85" s="22" t="str">
        <f t="shared" si="15"/>
        <v/>
      </c>
      <c r="BD85" s="7">
        <f>IF(ISBLANK(AZ85), 0, VLOOKUP(AZ85, 'Price Sheet'!$A$2:$B1015, 2, false))</f>
        <v>0</v>
      </c>
      <c r="BE85" s="33" t="str">
        <f t="shared" si="16"/>
        <v/>
      </c>
      <c r="BF85" s="37"/>
      <c r="BG85" s="29"/>
      <c r="BH85" s="29" t="b">
        <v>0</v>
      </c>
      <c r="BI85" s="22" t="str">
        <f t="shared" si="17"/>
        <v/>
      </c>
      <c r="BJ85" s="7">
        <f>IF(ISBLANK(BF85), 0, VLOOKUP(BF85, 'Price Sheet'!$A$2:$B1015, 2, false))</f>
        <v>0</v>
      </c>
      <c r="BK85" s="33" t="str">
        <f t="shared" si="18"/>
        <v/>
      </c>
      <c r="BL85" s="37"/>
      <c r="BM85" s="29"/>
      <c r="BN85" s="29" t="b">
        <v>0</v>
      </c>
      <c r="BO85" s="22" t="str">
        <f t="shared" si="19"/>
        <v/>
      </c>
      <c r="BP85" s="7">
        <f>IF(ISBLANK(BL85), 0, VLOOKUP(BL85, 'Price Sheet'!$A$2:$B1015, 2, false))</f>
        <v>0</v>
      </c>
      <c r="BQ85" s="33" t="str">
        <f t="shared" si="20"/>
        <v/>
      </c>
    </row>
    <row r="86">
      <c r="B86" s="19">
        <f t="shared" si="1"/>
        <v>0</v>
      </c>
      <c r="C86" s="29"/>
      <c r="D86" s="29"/>
      <c r="E86" s="7" t="str">
        <f>IF(ISBLANK(D86), "", VLOOKUP(D86,'Crafting Tables'!$A$2:$B1015, 2, false))</f>
        <v/>
      </c>
      <c r="F86" s="7" t="str">
        <f>IFERROR(IF(E86 = "None", 1, VLOOKUP(C86,General!$A$5:$L$35, SWITCH(E86, "Basic", 8, "Advanced", 10, "Modern", 12), false)),"")</f>
        <v/>
      </c>
      <c r="G86" s="29"/>
      <c r="H86" s="7">
        <f>IFERROR(VLOOKUP(C86, General!$A$5:$L$35, 6, false) * G86 / 1000, 0)</f>
        <v>0</v>
      </c>
      <c r="I86" s="29"/>
      <c r="J86" s="22" t="str">
        <f>IFERROR(I86*VLOOKUP(D86,'Crafting Tables'!$1:$1000, 4, false)*F86,"")</f>
        <v/>
      </c>
      <c r="K86" s="29" t="b">
        <v>0</v>
      </c>
      <c r="L86" s="37"/>
      <c r="M86" s="29"/>
      <c r="N86" s="21" t="str">
        <f t="shared" si="2"/>
        <v/>
      </c>
      <c r="P86" s="37"/>
      <c r="Q86" s="29"/>
      <c r="R86" s="29" t="b">
        <v>0</v>
      </c>
      <c r="S86" s="22" t="str">
        <f t="shared" si="3"/>
        <v/>
      </c>
      <c r="T86" s="7">
        <f>IF(ISBLANK(P86), 0, VLOOKUP(P86, 'Price Sheet'!$A$2:$B1015, 2, false))</f>
        <v>0</v>
      </c>
      <c r="U86" s="33" t="str">
        <f t="shared" si="4"/>
        <v/>
      </c>
      <c r="V86" s="37"/>
      <c r="W86" s="29"/>
      <c r="X86" s="29" t="b">
        <v>0</v>
      </c>
      <c r="Y86" s="22" t="str">
        <f t="shared" si="5"/>
        <v/>
      </c>
      <c r="Z86" s="7">
        <f>IF(ISBLANK(V86), 0, VLOOKUP(V86, 'Price Sheet'!$A$2:$B1015, 2, false))</f>
        <v>0</v>
      </c>
      <c r="AA86" s="33" t="str">
        <f t="shared" si="6"/>
        <v/>
      </c>
      <c r="AB86" s="37"/>
      <c r="AC86" s="29"/>
      <c r="AD86" s="29" t="b">
        <v>0</v>
      </c>
      <c r="AE86" s="22" t="str">
        <f t="shared" si="7"/>
        <v/>
      </c>
      <c r="AF86" s="7">
        <f>IF(ISBLANK(AB86), 0, VLOOKUP(AB86, 'Price Sheet'!$A$2:$B1015, 2, false))</f>
        <v>0</v>
      </c>
      <c r="AG86" s="33" t="str">
        <f t="shared" si="8"/>
        <v/>
      </c>
      <c r="AH86" s="37"/>
      <c r="AI86" s="29"/>
      <c r="AJ86" s="29" t="b">
        <v>0</v>
      </c>
      <c r="AK86" s="22" t="str">
        <f t="shared" si="9"/>
        <v/>
      </c>
      <c r="AL86" s="7">
        <f>IF(ISBLANK(AH86), 0, VLOOKUP(AH86, 'Price Sheet'!$A$2:$B1015, 2, false))</f>
        <v>0</v>
      </c>
      <c r="AM86" s="33" t="str">
        <f t="shared" si="10"/>
        <v/>
      </c>
      <c r="AN86" s="37"/>
      <c r="AO86" s="29"/>
      <c r="AP86" s="29" t="b">
        <v>0</v>
      </c>
      <c r="AQ86" s="22" t="str">
        <f t="shared" si="11"/>
        <v/>
      </c>
      <c r="AR86" s="7">
        <f>IF(ISBLANK(AN86), 0, VLOOKUP(AN86, 'Price Sheet'!$A$2:$B1015, 2, false))</f>
        <v>0</v>
      </c>
      <c r="AS86" s="33" t="str">
        <f t="shared" si="12"/>
        <v/>
      </c>
      <c r="AT86" s="37"/>
      <c r="AU86" s="29"/>
      <c r="AV86" s="29" t="b">
        <v>0</v>
      </c>
      <c r="AW86" s="22" t="str">
        <f t="shared" si="13"/>
        <v/>
      </c>
      <c r="AX86" s="7">
        <f>IF(ISBLANK(AT86), 0, VLOOKUP(AT86, 'Price Sheet'!$A$2:$B1015, 2, false))</f>
        <v>0</v>
      </c>
      <c r="AY86" s="33" t="str">
        <f t="shared" si="14"/>
        <v/>
      </c>
      <c r="AZ86" s="37"/>
      <c r="BA86" s="29"/>
      <c r="BB86" s="29" t="b">
        <v>0</v>
      </c>
      <c r="BC86" s="22" t="str">
        <f t="shared" si="15"/>
        <v/>
      </c>
      <c r="BD86" s="7">
        <f>IF(ISBLANK(AZ86), 0, VLOOKUP(AZ86, 'Price Sheet'!$A$2:$B1015, 2, false))</f>
        <v>0</v>
      </c>
      <c r="BE86" s="33" t="str">
        <f t="shared" si="16"/>
        <v/>
      </c>
      <c r="BF86" s="37"/>
      <c r="BG86" s="29"/>
      <c r="BH86" s="29" t="b">
        <v>0</v>
      </c>
      <c r="BI86" s="22" t="str">
        <f t="shared" si="17"/>
        <v/>
      </c>
      <c r="BJ86" s="7">
        <f>IF(ISBLANK(BF86), 0, VLOOKUP(BF86, 'Price Sheet'!$A$2:$B1015, 2, false))</f>
        <v>0</v>
      </c>
      <c r="BK86" s="33" t="str">
        <f t="shared" si="18"/>
        <v/>
      </c>
      <c r="BL86" s="37"/>
      <c r="BM86" s="29"/>
      <c r="BN86" s="29" t="b">
        <v>0</v>
      </c>
      <c r="BO86" s="22" t="str">
        <f t="shared" si="19"/>
        <v/>
      </c>
      <c r="BP86" s="7">
        <f>IF(ISBLANK(BL86), 0, VLOOKUP(BL86, 'Price Sheet'!$A$2:$B1015, 2, false))</f>
        <v>0</v>
      </c>
      <c r="BQ86" s="33" t="str">
        <f t="shared" si="20"/>
        <v/>
      </c>
    </row>
    <row r="87">
      <c r="A87" s="7" t="s">
        <v>345</v>
      </c>
      <c r="B87" s="19">
        <f t="shared" si="1"/>
        <v>36.9</v>
      </c>
      <c r="C87" s="8" t="s">
        <v>155</v>
      </c>
      <c r="D87" s="8" t="s">
        <v>93</v>
      </c>
      <c r="E87" s="7" t="str">
        <f>IF(ISBLANK(D87), "", VLOOKUP(D87,'Crafting Tables'!$A$2:$B1015, 2, false))</f>
        <v>Basic</v>
      </c>
      <c r="F87" s="7">
        <f>IFERROR(IF(E87 = "None", 1, VLOOKUP(C87,General!$A$5:$L$35, SWITCH(E87, "Basic", 8, "Advanced", 10, "Modern", 12), false)),"")</f>
        <v>0.55</v>
      </c>
      <c r="G87" s="8">
        <v>180.0</v>
      </c>
      <c r="H87" s="7">
        <f>IFERROR(VLOOKUP(C87, General!$A$5:$L$35, 6, false) * G87 / 1000, 0)</f>
        <v>7.2</v>
      </c>
      <c r="I87" s="8">
        <v>300.0</v>
      </c>
      <c r="J87" s="22">
        <f>IFERROR(I87*VLOOKUP(D87,'Crafting Tables'!$1:$1000, 4, false)*F87,"")</f>
        <v>0</v>
      </c>
      <c r="K87" s="8" t="b">
        <v>1</v>
      </c>
      <c r="L87" s="32" t="s">
        <v>345</v>
      </c>
      <c r="M87" s="8">
        <v>1.0</v>
      </c>
      <c r="N87" s="21">
        <f t="shared" si="2"/>
        <v>36.9</v>
      </c>
      <c r="P87" s="32" t="s">
        <v>102</v>
      </c>
      <c r="Q87" s="8">
        <v>8.0</v>
      </c>
      <c r="R87" s="29" t="b">
        <v>0</v>
      </c>
      <c r="S87" s="22">
        <f t="shared" si="3"/>
        <v>4.4</v>
      </c>
      <c r="T87" s="19">
        <f>IF(ISBLANK(P87), 0, VLOOKUP(P87, 'Price Sheet'!$A$2:$B1015, 2, false))</f>
        <v>5</v>
      </c>
      <c r="U87" s="33">
        <f t="shared" si="4"/>
        <v>22</v>
      </c>
      <c r="V87" s="32" t="s">
        <v>309</v>
      </c>
      <c r="W87" s="8">
        <v>4.0</v>
      </c>
      <c r="X87" s="29" t="b">
        <v>0</v>
      </c>
      <c r="Y87" s="22">
        <f t="shared" si="5"/>
        <v>2.2</v>
      </c>
      <c r="Z87" s="19">
        <f>IF(ISBLANK(V87), 0, VLOOKUP(V87, 'Price Sheet'!$A$2:$B1015, 2, false))</f>
        <v>1.5</v>
      </c>
      <c r="AA87" s="33">
        <f t="shared" si="6"/>
        <v>3.3</v>
      </c>
      <c r="AB87" s="32" t="s">
        <v>81</v>
      </c>
      <c r="AC87" s="8">
        <v>10.0</v>
      </c>
      <c r="AD87" s="29" t="b">
        <v>0</v>
      </c>
      <c r="AE87" s="22">
        <f t="shared" si="7"/>
        <v>5.5</v>
      </c>
      <c r="AF87" s="19">
        <f>IF(ISBLANK(AB87), 0, VLOOKUP(AB87, 'Price Sheet'!$A$2:$B1015, 2, false))</f>
        <v>0.8</v>
      </c>
      <c r="AG87" s="33">
        <f t="shared" si="8"/>
        <v>4.4</v>
      </c>
      <c r="AH87" s="37"/>
      <c r="AI87" s="29"/>
      <c r="AJ87" s="29" t="b">
        <v>0</v>
      </c>
      <c r="AK87" s="22" t="str">
        <f t="shared" si="9"/>
        <v/>
      </c>
      <c r="AL87" s="7">
        <f>IF(ISBLANK(AH87), 0, VLOOKUP(AH87, 'Price Sheet'!$A$2:$B1015, 2, false))</f>
        <v>0</v>
      </c>
      <c r="AM87" s="33" t="str">
        <f t="shared" si="10"/>
        <v/>
      </c>
      <c r="AN87" s="37"/>
      <c r="AO87" s="29"/>
      <c r="AP87" s="29" t="b">
        <v>0</v>
      </c>
      <c r="AQ87" s="22" t="str">
        <f t="shared" si="11"/>
        <v/>
      </c>
      <c r="AR87" s="7">
        <f>IF(ISBLANK(AN87), 0, VLOOKUP(AN87, 'Price Sheet'!$A$2:$B1015, 2, false))</f>
        <v>0</v>
      </c>
      <c r="AS87" s="33" t="str">
        <f t="shared" si="12"/>
        <v/>
      </c>
      <c r="AT87" s="37"/>
      <c r="AU87" s="29"/>
      <c r="AV87" s="29" t="b">
        <v>0</v>
      </c>
      <c r="AW87" s="22" t="str">
        <f t="shared" si="13"/>
        <v/>
      </c>
      <c r="AX87" s="7">
        <f>IF(ISBLANK(AT87), 0, VLOOKUP(AT87, 'Price Sheet'!$A$2:$B1015, 2, false))</f>
        <v>0</v>
      </c>
      <c r="AY87" s="33" t="str">
        <f t="shared" si="14"/>
        <v/>
      </c>
      <c r="AZ87" s="37"/>
      <c r="BA87" s="29"/>
      <c r="BB87" s="29" t="b">
        <v>0</v>
      </c>
      <c r="BC87" s="22" t="str">
        <f t="shared" si="15"/>
        <v/>
      </c>
      <c r="BD87" s="7">
        <f>IF(ISBLANK(AZ87), 0, VLOOKUP(AZ87, 'Price Sheet'!$A$2:$B1015, 2, false))</f>
        <v>0</v>
      </c>
      <c r="BE87" s="33" t="str">
        <f t="shared" si="16"/>
        <v/>
      </c>
      <c r="BF87" s="37"/>
      <c r="BG87" s="29"/>
      <c r="BH87" s="29" t="b">
        <v>0</v>
      </c>
      <c r="BI87" s="22" t="str">
        <f t="shared" si="17"/>
        <v/>
      </c>
      <c r="BJ87" s="7">
        <f>IF(ISBLANK(BF87), 0, VLOOKUP(BF87, 'Price Sheet'!$A$2:$B1015, 2, false))</f>
        <v>0</v>
      </c>
      <c r="BK87" s="33" t="str">
        <f t="shared" si="18"/>
        <v/>
      </c>
      <c r="BL87" s="37"/>
      <c r="BM87" s="29"/>
      <c r="BN87" s="29" t="b">
        <v>0</v>
      </c>
      <c r="BO87" s="22" t="str">
        <f t="shared" si="19"/>
        <v/>
      </c>
      <c r="BP87" s="7">
        <f>IF(ISBLANK(BL87), 0, VLOOKUP(BL87, 'Price Sheet'!$A$2:$B1015, 2, false))</f>
        <v>0</v>
      </c>
      <c r="BQ87" s="33" t="str">
        <f t="shared" si="20"/>
        <v/>
      </c>
    </row>
    <row r="88">
      <c r="A88" s="7" t="s">
        <v>346</v>
      </c>
      <c r="B88" s="19">
        <f t="shared" si="1"/>
        <v>27</v>
      </c>
      <c r="C88" s="8" t="s">
        <v>155</v>
      </c>
      <c r="D88" s="8" t="s">
        <v>93</v>
      </c>
      <c r="E88" s="7" t="str">
        <f>IF(ISBLANK(D88), "", VLOOKUP(D88,'Crafting Tables'!$A$2:$B1015, 2, false))</f>
        <v>Basic</v>
      </c>
      <c r="F88" s="7">
        <f>IFERROR(IF(E88 = "None", 1, VLOOKUP(C88,General!$A$5:$L$35, SWITCH(E88, "Basic", 8, "Advanced", 10, "Modern", 12), false)),"")</f>
        <v>0.55</v>
      </c>
      <c r="G88" s="8">
        <v>180.0</v>
      </c>
      <c r="H88" s="7">
        <f>IFERROR(VLOOKUP(C88, General!$A$5:$L$35, 6, false) * G88 / 1000, 0)</f>
        <v>7.2</v>
      </c>
      <c r="I88" s="8">
        <v>300.0</v>
      </c>
      <c r="J88" s="22">
        <f>IFERROR(I88*VLOOKUP(D88,'Crafting Tables'!$1:$1000, 4, false)*F88,"")</f>
        <v>0</v>
      </c>
      <c r="K88" s="8" t="b">
        <v>1</v>
      </c>
      <c r="L88" s="32" t="s">
        <v>346</v>
      </c>
      <c r="M88" s="8">
        <v>1.0</v>
      </c>
      <c r="N88" s="21">
        <f t="shared" si="2"/>
        <v>27</v>
      </c>
      <c r="P88" s="32" t="s">
        <v>118</v>
      </c>
      <c r="Q88" s="8">
        <v>12.0</v>
      </c>
      <c r="R88" s="29" t="b">
        <v>0</v>
      </c>
      <c r="S88" s="22">
        <f t="shared" si="3"/>
        <v>6.6</v>
      </c>
      <c r="T88" s="19">
        <f>IF(ISBLANK(P88), 0, VLOOKUP(P88, 'Price Sheet'!$A$2:$B1015, 2, false))</f>
        <v>1.5</v>
      </c>
      <c r="U88" s="33">
        <f t="shared" si="4"/>
        <v>9.9</v>
      </c>
      <c r="V88" s="32" t="s">
        <v>309</v>
      </c>
      <c r="W88" s="8">
        <v>4.0</v>
      </c>
      <c r="X88" s="29" t="b">
        <v>0</v>
      </c>
      <c r="Y88" s="22">
        <f t="shared" si="5"/>
        <v>2.2</v>
      </c>
      <c r="Z88" s="19">
        <f>IF(ISBLANK(V88), 0, VLOOKUP(V88, 'Price Sheet'!$A$2:$B1015, 2, false))</f>
        <v>1.5</v>
      </c>
      <c r="AA88" s="33">
        <f t="shared" si="6"/>
        <v>3.3</v>
      </c>
      <c r="AB88" s="32" t="s">
        <v>81</v>
      </c>
      <c r="AC88" s="8">
        <v>15.0</v>
      </c>
      <c r="AD88" s="29" t="b">
        <v>0</v>
      </c>
      <c r="AE88" s="22">
        <f t="shared" si="7"/>
        <v>8.25</v>
      </c>
      <c r="AF88" s="19">
        <f>IF(ISBLANK(AB88), 0, VLOOKUP(AB88, 'Price Sheet'!$A$2:$B1015, 2, false))</f>
        <v>0.8</v>
      </c>
      <c r="AG88" s="33">
        <f t="shared" si="8"/>
        <v>6.6</v>
      </c>
      <c r="AH88" s="37"/>
      <c r="AI88" s="29"/>
      <c r="AJ88" s="29" t="b">
        <v>0</v>
      </c>
      <c r="AK88" s="22" t="str">
        <f t="shared" si="9"/>
        <v/>
      </c>
      <c r="AL88" s="7">
        <f>IF(ISBLANK(AH88), 0, VLOOKUP(AH88, 'Price Sheet'!$A$2:$B1015, 2, false))</f>
        <v>0</v>
      </c>
      <c r="AM88" s="33" t="str">
        <f t="shared" si="10"/>
        <v/>
      </c>
      <c r="AN88" s="37"/>
      <c r="AO88" s="29"/>
      <c r="AP88" s="29" t="b">
        <v>0</v>
      </c>
      <c r="AQ88" s="22" t="str">
        <f t="shared" si="11"/>
        <v/>
      </c>
      <c r="AR88" s="7">
        <f>IF(ISBLANK(AN88), 0, VLOOKUP(AN88, 'Price Sheet'!$A$2:$B1015, 2, false))</f>
        <v>0</v>
      </c>
      <c r="AS88" s="33" t="str">
        <f t="shared" si="12"/>
        <v/>
      </c>
      <c r="AT88" s="37"/>
      <c r="AU88" s="29"/>
      <c r="AV88" s="29" t="b">
        <v>0</v>
      </c>
      <c r="AW88" s="22" t="str">
        <f t="shared" si="13"/>
        <v/>
      </c>
      <c r="AX88" s="7">
        <f>IF(ISBLANK(AT88), 0, VLOOKUP(AT88, 'Price Sheet'!$A$2:$B1015, 2, false))</f>
        <v>0</v>
      </c>
      <c r="AY88" s="33" t="str">
        <f t="shared" si="14"/>
        <v/>
      </c>
      <c r="AZ88" s="37"/>
      <c r="BA88" s="29"/>
      <c r="BB88" s="29" t="b">
        <v>0</v>
      </c>
      <c r="BC88" s="22" t="str">
        <f t="shared" si="15"/>
        <v/>
      </c>
      <c r="BD88" s="7">
        <f>IF(ISBLANK(AZ88), 0, VLOOKUP(AZ88, 'Price Sheet'!$A$2:$B1015, 2, false))</f>
        <v>0</v>
      </c>
      <c r="BE88" s="33" t="str">
        <f t="shared" si="16"/>
        <v/>
      </c>
      <c r="BF88" s="37"/>
      <c r="BG88" s="29"/>
      <c r="BH88" s="29" t="b">
        <v>0</v>
      </c>
      <c r="BI88" s="22" t="str">
        <f t="shared" si="17"/>
        <v/>
      </c>
      <c r="BJ88" s="7">
        <f>IF(ISBLANK(BF88), 0, VLOOKUP(BF88, 'Price Sheet'!$A$2:$B1015, 2, false))</f>
        <v>0</v>
      </c>
      <c r="BK88" s="33" t="str">
        <f t="shared" si="18"/>
        <v/>
      </c>
      <c r="BL88" s="37"/>
      <c r="BM88" s="29"/>
      <c r="BN88" s="29" t="b">
        <v>0</v>
      </c>
      <c r="BO88" s="22" t="str">
        <f t="shared" si="19"/>
        <v/>
      </c>
      <c r="BP88" s="7">
        <f>IF(ISBLANK(BL88), 0, VLOOKUP(BL88, 'Price Sheet'!$A$2:$B1015, 2, false))</f>
        <v>0</v>
      </c>
      <c r="BQ88" s="33" t="str">
        <f t="shared" si="20"/>
        <v/>
      </c>
    </row>
    <row r="89">
      <c r="A89" s="7" t="s">
        <v>240</v>
      </c>
      <c r="B89" s="19">
        <f t="shared" si="1"/>
        <v>132.6</v>
      </c>
      <c r="C89" s="8" t="s">
        <v>155</v>
      </c>
      <c r="D89" s="8" t="s">
        <v>301</v>
      </c>
      <c r="E89" s="7" t="str">
        <f>IF(ISBLANK(D89), "", VLOOKUP(D89,'Crafting Tables'!$A$2:$B1015, 2, false))</f>
        <v>None</v>
      </c>
      <c r="F89" s="7">
        <f>IFERROR(IF(E89 = "None", 1, VLOOKUP(C89,General!$A$5:$L$35, SWITCH(E89, "Basic", 8, "Advanced", 10, "Modern", 12), false)),"")</f>
        <v>1</v>
      </c>
      <c r="G89" s="8">
        <v>120.0</v>
      </c>
      <c r="H89" s="7">
        <f>IFERROR(VLOOKUP(C89, General!$A$5:$L$35, 6, false) * G89 / 1000, 0)</f>
        <v>4.8</v>
      </c>
      <c r="I89" s="8">
        <v>60.0</v>
      </c>
      <c r="J89" s="22">
        <f>IFERROR(I89*VLOOKUP(D89,'Crafting Tables'!$1:$1000, 4, false)*F89,"")</f>
        <v>0</v>
      </c>
      <c r="K89" s="8" t="b">
        <v>1</v>
      </c>
      <c r="L89" s="32" t="s">
        <v>240</v>
      </c>
      <c r="M89" s="8">
        <v>1.0</v>
      </c>
      <c r="N89" s="21">
        <f t="shared" si="2"/>
        <v>132.6</v>
      </c>
      <c r="P89" s="32" t="s">
        <v>345</v>
      </c>
      <c r="Q89" s="8">
        <v>2.0</v>
      </c>
      <c r="R89" s="8" t="b">
        <v>1</v>
      </c>
      <c r="S89" s="22">
        <f t="shared" si="3"/>
        <v>2</v>
      </c>
      <c r="T89" s="19">
        <f>IF(ISBLANK(P89), 0, VLOOKUP(P89, 'Price Sheet'!$A$2:$B1015, 2, false))</f>
        <v>36.9</v>
      </c>
      <c r="U89" s="33">
        <f t="shared" si="4"/>
        <v>73.8</v>
      </c>
      <c r="V89" s="32" t="s">
        <v>346</v>
      </c>
      <c r="W89" s="8">
        <v>2.0</v>
      </c>
      <c r="X89" s="8" t="b">
        <v>1</v>
      </c>
      <c r="Y89" s="22">
        <f t="shared" si="5"/>
        <v>2</v>
      </c>
      <c r="Z89" s="19">
        <f>IF(ISBLANK(V89), 0, VLOOKUP(V89, 'Price Sheet'!$A$2:$B1015, 2, false))</f>
        <v>27</v>
      </c>
      <c r="AA89" s="33">
        <f t="shared" si="6"/>
        <v>54</v>
      </c>
      <c r="AB89" s="37"/>
      <c r="AC89" s="29"/>
      <c r="AD89" s="29" t="b">
        <v>0</v>
      </c>
      <c r="AE89" s="22" t="str">
        <f t="shared" si="7"/>
        <v/>
      </c>
      <c r="AF89" s="7">
        <f>IF(ISBLANK(AB89), 0, VLOOKUP(AB89, 'Price Sheet'!$A$2:$B1015, 2, false))</f>
        <v>0</v>
      </c>
      <c r="AG89" s="33" t="str">
        <f t="shared" si="8"/>
        <v/>
      </c>
      <c r="AH89" s="37"/>
      <c r="AI89" s="29"/>
      <c r="AJ89" s="29" t="b">
        <v>0</v>
      </c>
      <c r="AK89" s="22" t="str">
        <f t="shared" si="9"/>
        <v/>
      </c>
      <c r="AL89" s="7">
        <f>IF(ISBLANK(AH89), 0, VLOOKUP(AH89, 'Price Sheet'!$A$2:$B1015, 2, false))</f>
        <v>0</v>
      </c>
      <c r="AM89" s="33" t="str">
        <f t="shared" si="10"/>
        <v/>
      </c>
      <c r="AN89" s="37"/>
      <c r="AO89" s="29"/>
      <c r="AP89" s="29" t="b">
        <v>0</v>
      </c>
      <c r="AQ89" s="22" t="str">
        <f t="shared" si="11"/>
        <v/>
      </c>
      <c r="AR89" s="7">
        <f>IF(ISBLANK(AN89), 0, VLOOKUP(AN89, 'Price Sheet'!$A$2:$B1015, 2, false))</f>
        <v>0</v>
      </c>
      <c r="AS89" s="33" t="str">
        <f t="shared" si="12"/>
        <v/>
      </c>
      <c r="AT89" s="37"/>
      <c r="AU89" s="29"/>
      <c r="AV89" s="29" t="b">
        <v>0</v>
      </c>
      <c r="AW89" s="22" t="str">
        <f t="shared" si="13"/>
        <v/>
      </c>
      <c r="AX89" s="7">
        <f>IF(ISBLANK(AT89), 0, VLOOKUP(AT89, 'Price Sheet'!$A$2:$B1015, 2, false))</f>
        <v>0</v>
      </c>
      <c r="AY89" s="33" t="str">
        <f t="shared" si="14"/>
        <v/>
      </c>
      <c r="AZ89" s="37"/>
      <c r="BA89" s="29"/>
      <c r="BB89" s="29" t="b">
        <v>0</v>
      </c>
      <c r="BC89" s="22" t="str">
        <f t="shared" si="15"/>
        <v/>
      </c>
      <c r="BD89" s="7">
        <f>IF(ISBLANK(AZ89), 0, VLOOKUP(AZ89, 'Price Sheet'!$A$2:$B1015, 2, false))</f>
        <v>0</v>
      </c>
      <c r="BE89" s="33" t="str">
        <f t="shared" si="16"/>
        <v/>
      </c>
      <c r="BF89" s="37"/>
      <c r="BG89" s="29"/>
      <c r="BH89" s="29" t="b">
        <v>0</v>
      </c>
      <c r="BI89" s="22" t="str">
        <f t="shared" si="17"/>
        <v/>
      </c>
      <c r="BJ89" s="7">
        <f>IF(ISBLANK(BF89), 0, VLOOKUP(BF89, 'Price Sheet'!$A$2:$B1015, 2, false))</f>
        <v>0</v>
      </c>
      <c r="BK89" s="33" t="str">
        <f t="shared" si="18"/>
        <v/>
      </c>
      <c r="BL89" s="37"/>
      <c r="BM89" s="29"/>
      <c r="BN89" s="29" t="b">
        <v>0</v>
      </c>
      <c r="BO89" s="22" t="str">
        <f t="shared" si="19"/>
        <v/>
      </c>
      <c r="BP89" s="7">
        <f>IF(ISBLANK(BL89), 0, VLOOKUP(BL89, 'Price Sheet'!$A$2:$B1015, 2, false))</f>
        <v>0</v>
      </c>
      <c r="BQ89" s="33" t="str">
        <f t="shared" si="20"/>
        <v/>
      </c>
    </row>
    <row r="90">
      <c r="A90" s="7" t="s">
        <v>347</v>
      </c>
      <c r="B90" s="19">
        <f t="shared" si="1"/>
        <v>37.6</v>
      </c>
      <c r="C90" s="8" t="s">
        <v>155</v>
      </c>
      <c r="D90" s="8" t="s">
        <v>299</v>
      </c>
      <c r="E90" s="7" t="str">
        <f>IF(ISBLANK(D90), "", VLOOKUP(D90,'Crafting Tables'!$A$2:$B1015, 2, false))</f>
        <v>Basic</v>
      </c>
      <c r="F90" s="7">
        <f>IFERROR(IF(E90 = "None", 1, VLOOKUP(C90,General!$A$5:$L$35, SWITCH(E90, "Basic", 8, "Advanced", 10, "Modern", 12), false)),"")</f>
        <v>0.55</v>
      </c>
      <c r="G90" s="8">
        <v>60.0</v>
      </c>
      <c r="H90" s="7">
        <f>IFERROR(VLOOKUP(C90, General!$A$5:$L$35, 6, false) * G90 / 1000, 0)</f>
        <v>2.4</v>
      </c>
      <c r="I90" s="8">
        <v>240.0</v>
      </c>
      <c r="J90" s="22">
        <f>IFERROR(I90*VLOOKUP(D90,'Crafting Tables'!$1:$1000, 4, false)*F90,"")</f>
        <v>0</v>
      </c>
      <c r="K90" s="8" t="b">
        <v>1</v>
      </c>
      <c r="L90" s="32" t="s">
        <v>347</v>
      </c>
      <c r="M90" s="8">
        <v>1.0</v>
      </c>
      <c r="N90" s="21">
        <f t="shared" si="2"/>
        <v>37.6</v>
      </c>
      <c r="P90" s="32" t="s">
        <v>199</v>
      </c>
      <c r="Q90" s="8">
        <v>8.0</v>
      </c>
      <c r="R90" s="29" t="b">
        <v>0</v>
      </c>
      <c r="S90" s="22">
        <f t="shared" si="3"/>
        <v>4.4</v>
      </c>
      <c r="T90" s="19">
        <f>IF(ISBLANK(P90), 0, VLOOKUP(P90, 'Price Sheet'!$A$2:$B1015, 2, false))</f>
        <v>4</v>
      </c>
      <c r="U90" s="33">
        <f t="shared" si="4"/>
        <v>17.6</v>
      </c>
      <c r="V90" s="32" t="s">
        <v>307</v>
      </c>
      <c r="W90" s="8">
        <v>8.0</v>
      </c>
      <c r="X90" s="29" t="b">
        <v>0</v>
      </c>
      <c r="Y90" s="22">
        <f t="shared" si="5"/>
        <v>4.4</v>
      </c>
      <c r="Z90" s="19">
        <f>IF(ISBLANK(V90), 0, VLOOKUP(V90, 'Price Sheet'!$A$2:$B1015, 2, false))</f>
        <v>4</v>
      </c>
      <c r="AA90" s="33">
        <f t="shared" si="6"/>
        <v>17.6</v>
      </c>
      <c r="AB90" s="37"/>
      <c r="AC90" s="29"/>
      <c r="AD90" s="29" t="b">
        <v>0</v>
      </c>
      <c r="AE90" s="22" t="str">
        <f t="shared" si="7"/>
        <v/>
      </c>
      <c r="AF90" s="7">
        <f>IF(ISBLANK(AB90), 0, VLOOKUP(AB90, 'Price Sheet'!$A$2:$B1015, 2, false))</f>
        <v>0</v>
      </c>
      <c r="AG90" s="33" t="str">
        <f t="shared" si="8"/>
        <v/>
      </c>
      <c r="AH90" s="37"/>
      <c r="AI90" s="29"/>
      <c r="AJ90" s="29" t="b">
        <v>0</v>
      </c>
      <c r="AK90" s="22" t="str">
        <f t="shared" si="9"/>
        <v/>
      </c>
      <c r="AL90" s="7">
        <f>IF(ISBLANK(AH90), 0, VLOOKUP(AH90, 'Price Sheet'!$A$2:$B1015, 2, false))</f>
        <v>0</v>
      </c>
      <c r="AM90" s="33" t="str">
        <f t="shared" si="10"/>
        <v/>
      </c>
      <c r="AN90" s="37"/>
      <c r="AO90" s="29"/>
      <c r="AP90" s="29" t="b">
        <v>0</v>
      </c>
      <c r="AQ90" s="22" t="str">
        <f t="shared" si="11"/>
        <v/>
      </c>
      <c r="AR90" s="7">
        <f>IF(ISBLANK(AN90), 0, VLOOKUP(AN90, 'Price Sheet'!$A$2:$B1015, 2, false))</f>
        <v>0</v>
      </c>
      <c r="AS90" s="33" t="str">
        <f t="shared" si="12"/>
        <v/>
      </c>
      <c r="AT90" s="37"/>
      <c r="AU90" s="29"/>
      <c r="AV90" s="29" t="b">
        <v>0</v>
      </c>
      <c r="AW90" s="22" t="str">
        <f t="shared" si="13"/>
        <v/>
      </c>
      <c r="AX90" s="7">
        <f>IF(ISBLANK(AT90), 0, VLOOKUP(AT90, 'Price Sheet'!$A$2:$B1015, 2, false))</f>
        <v>0</v>
      </c>
      <c r="AY90" s="33" t="str">
        <f t="shared" si="14"/>
        <v/>
      </c>
      <c r="AZ90" s="37"/>
      <c r="BA90" s="29"/>
      <c r="BB90" s="29" t="b">
        <v>0</v>
      </c>
      <c r="BC90" s="22" t="str">
        <f t="shared" si="15"/>
        <v/>
      </c>
      <c r="BD90" s="7">
        <f>IF(ISBLANK(AZ90), 0, VLOOKUP(AZ90, 'Price Sheet'!$A$2:$B1015, 2, false))</f>
        <v>0</v>
      </c>
      <c r="BE90" s="33" t="str">
        <f t="shared" si="16"/>
        <v/>
      </c>
      <c r="BF90" s="37"/>
      <c r="BG90" s="29"/>
      <c r="BH90" s="29" t="b">
        <v>0</v>
      </c>
      <c r="BI90" s="22" t="str">
        <f t="shared" si="17"/>
        <v/>
      </c>
      <c r="BJ90" s="7">
        <f>IF(ISBLANK(BF90), 0, VLOOKUP(BF90, 'Price Sheet'!$A$2:$B1015, 2, false))</f>
        <v>0</v>
      </c>
      <c r="BK90" s="33" t="str">
        <f t="shared" si="18"/>
        <v/>
      </c>
      <c r="BL90" s="37"/>
      <c r="BM90" s="29"/>
      <c r="BN90" s="29" t="b">
        <v>0</v>
      </c>
      <c r="BO90" s="22" t="str">
        <f t="shared" si="19"/>
        <v/>
      </c>
      <c r="BP90" s="7">
        <f>IF(ISBLANK(BL90), 0, VLOOKUP(BL90, 'Price Sheet'!$A$2:$B1015, 2, false))</f>
        <v>0</v>
      </c>
      <c r="BQ90" s="33" t="str">
        <f t="shared" si="20"/>
        <v/>
      </c>
    </row>
    <row r="91">
      <c r="A91" s="7" t="s">
        <v>207</v>
      </c>
      <c r="B91" s="19">
        <f t="shared" si="1"/>
        <v>11.313125</v>
      </c>
      <c r="C91" s="8" t="s">
        <v>114</v>
      </c>
      <c r="D91" s="8" t="s">
        <v>313</v>
      </c>
      <c r="E91" s="7" t="str">
        <f>IF(ISBLANK(D91), "", VLOOKUP(D91,'Crafting Tables'!$A$2:$B1015, 2, false))</f>
        <v>Advanced</v>
      </c>
      <c r="F91" s="7">
        <f>IFERROR(IF(E91 = "None", 1, VLOOKUP(C91,General!$A$5:$L$35, SWITCH(E91, "Basic", 8, "Advanced", 10, "Modern", 12), false)),"")</f>
        <v>1</v>
      </c>
      <c r="G91" s="8">
        <v>70.0</v>
      </c>
      <c r="H91" s="7">
        <f>IFERROR(VLOOKUP(C91, General!$A$5:$L$35, 6, false) * G91 / 1000, 0)</f>
        <v>2.8</v>
      </c>
      <c r="I91" s="8">
        <v>48.0</v>
      </c>
      <c r="J91" s="22">
        <f>IFERROR(I91*VLOOKUP(D91,'Crafting Tables'!$1:$1000, 4, false)*F91,"")</f>
        <v>1.343333333</v>
      </c>
      <c r="K91" s="8" t="b">
        <v>1</v>
      </c>
      <c r="L91" s="32" t="s">
        <v>207</v>
      </c>
      <c r="M91" s="8">
        <v>2.0</v>
      </c>
      <c r="N91" s="21">
        <f t="shared" si="2"/>
        <v>5.6565625</v>
      </c>
      <c r="P91" s="32" t="s">
        <v>211</v>
      </c>
      <c r="Q91" s="8">
        <v>2.5</v>
      </c>
      <c r="R91" s="29" t="b">
        <v>0</v>
      </c>
      <c r="S91" s="22">
        <f t="shared" si="3"/>
        <v>2.5</v>
      </c>
      <c r="T91" s="19">
        <f>IF(ISBLANK(P91), 0, VLOOKUP(P91, 'Price Sheet'!$A$2:$B1015, 2, false))</f>
        <v>2.667916667</v>
      </c>
      <c r="U91" s="33">
        <f t="shared" si="4"/>
        <v>6.669791667</v>
      </c>
      <c r="V91" s="32" t="s">
        <v>79</v>
      </c>
      <c r="W91" s="8">
        <v>1.0</v>
      </c>
      <c r="X91" s="29" t="b">
        <v>0</v>
      </c>
      <c r="Y91" s="22">
        <f t="shared" si="5"/>
        <v>1</v>
      </c>
      <c r="Z91" s="19">
        <f>IF(ISBLANK(V91), 0, VLOOKUP(V91, 'Price Sheet'!$A$2:$B1015, 2, false))</f>
        <v>0.5</v>
      </c>
      <c r="AA91" s="33">
        <f t="shared" si="6"/>
        <v>0.5</v>
      </c>
      <c r="AB91" s="37"/>
      <c r="AC91" s="29"/>
      <c r="AD91" s="29" t="b">
        <v>0</v>
      </c>
      <c r="AE91" s="22" t="str">
        <f t="shared" si="7"/>
        <v/>
      </c>
      <c r="AF91" s="7">
        <f>IF(ISBLANK(AB91), 0, VLOOKUP(AB91, 'Price Sheet'!$A$2:$B1015, 2, false))</f>
        <v>0</v>
      </c>
      <c r="AG91" s="33" t="str">
        <f t="shared" si="8"/>
        <v/>
      </c>
      <c r="AH91" s="37"/>
      <c r="AI91" s="29"/>
      <c r="AJ91" s="29" t="b">
        <v>0</v>
      </c>
      <c r="AK91" s="22" t="str">
        <f t="shared" si="9"/>
        <v/>
      </c>
      <c r="AL91" s="7">
        <f>IF(ISBLANK(AH91), 0, VLOOKUP(AH91, 'Price Sheet'!$A$2:$B1015, 2, false))</f>
        <v>0</v>
      </c>
      <c r="AM91" s="33" t="str">
        <f t="shared" si="10"/>
        <v/>
      </c>
      <c r="AN91" s="37"/>
      <c r="AO91" s="29"/>
      <c r="AP91" s="29" t="b">
        <v>0</v>
      </c>
      <c r="AQ91" s="22" t="str">
        <f t="shared" si="11"/>
        <v/>
      </c>
      <c r="AR91" s="7">
        <f>IF(ISBLANK(AN91), 0, VLOOKUP(AN91, 'Price Sheet'!$A$2:$B1015, 2, false))</f>
        <v>0</v>
      </c>
      <c r="AS91" s="33" t="str">
        <f t="shared" si="12"/>
        <v/>
      </c>
      <c r="AT91" s="37"/>
      <c r="AU91" s="29"/>
      <c r="AV91" s="29" t="b">
        <v>0</v>
      </c>
      <c r="AW91" s="22" t="str">
        <f t="shared" si="13"/>
        <v/>
      </c>
      <c r="AX91" s="7">
        <f>IF(ISBLANK(AT91), 0, VLOOKUP(AT91, 'Price Sheet'!$A$2:$B1015, 2, false))</f>
        <v>0</v>
      </c>
      <c r="AY91" s="33" t="str">
        <f t="shared" si="14"/>
        <v/>
      </c>
      <c r="AZ91" s="37"/>
      <c r="BA91" s="29"/>
      <c r="BB91" s="29" t="b">
        <v>0</v>
      </c>
      <c r="BC91" s="22" t="str">
        <f t="shared" si="15"/>
        <v/>
      </c>
      <c r="BD91" s="7">
        <f>IF(ISBLANK(AZ91), 0, VLOOKUP(AZ91, 'Price Sheet'!$A$2:$B1015, 2, false))</f>
        <v>0</v>
      </c>
      <c r="BE91" s="33" t="str">
        <f t="shared" si="16"/>
        <v/>
      </c>
      <c r="BF91" s="37"/>
      <c r="BG91" s="29"/>
      <c r="BH91" s="29" t="b">
        <v>0</v>
      </c>
      <c r="BI91" s="22" t="str">
        <f t="shared" si="17"/>
        <v/>
      </c>
      <c r="BJ91" s="7">
        <f>IF(ISBLANK(BF91), 0, VLOOKUP(BF91, 'Price Sheet'!$A$2:$B1015, 2, false))</f>
        <v>0</v>
      </c>
      <c r="BK91" s="33" t="str">
        <f t="shared" si="18"/>
        <v/>
      </c>
      <c r="BL91" s="37"/>
      <c r="BM91" s="29"/>
      <c r="BN91" s="29" t="b">
        <v>0</v>
      </c>
      <c r="BO91" s="22" t="str">
        <f t="shared" si="19"/>
        <v/>
      </c>
      <c r="BP91" s="7">
        <f>IF(ISBLANK(BL91), 0, VLOOKUP(BL91, 'Price Sheet'!$A$2:$B1015, 2, false))</f>
        <v>0</v>
      </c>
      <c r="BQ91" s="33" t="str">
        <f t="shared" si="20"/>
        <v/>
      </c>
    </row>
    <row r="92">
      <c r="A92" s="125" t="s">
        <v>209</v>
      </c>
      <c r="B92" s="19">
        <f t="shared" si="1"/>
        <v>48.03097917</v>
      </c>
      <c r="C92" s="8" t="s">
        <v>114</v>
      </c>
      <c r="D92" s="8" t="s">
        <v>313</v>
      </c>
      <c r="E92" s="7" t="str">
        <f>IF(ISBLANK(D92), "", VLOOKUP(D92,'Crafting Tables'!$A$2:$B1015, 2, false))</f>
        <v>Advanced</v>
      </c>
      <c r="F92" s="7">
        <f>IFERROR(IF(E92 = "None", 1, VLOOKUP(C92,General!$A$5:$L$35, SWITCH(E92, "Basic", 8, "Advanced", 10, "Modern", 12), false)),"")</f>
        <v>1</v>
      </c>
      <c r="G92" s="8">
        <v>25.0</v>
      </c>
      <c r="H92" s="7">
        <f>IFERROR(VLOOKUP(C92, General!$A$5:$L$35, 6, false) * G92 / 1000, 0)</f>
        <v>1</v>
      </c>
      <c r="I92" s="8">
        <v>19.2</v>
      </c>
      <c r="J92" s="22">
        <f>IFERROR(I92*VLOOKUP(D92,'Crafting Tables'!$1:$1000, 4, false)*F92,"")</f>
        <v>0.5373333333</v>
      </c>
      <c r="K92" s="8" t="b">
        <v>1</v>
      </c>
      <c r="L92" s="32" t="s">
        <v>209</v>
      </c>
      <c r="M92" s="8">
        <v>5.0</v>
      </c>
      <c r="N92" s="21">
        <f t="shared" si="2"/>
        <v>9.606195833</v>
      </c>
      <c r="P92" s="32" t="s">
        <v>207</v>
      </c>
      <c r="Q92" s="8">
        <v>1.0</v>
      </c>
      <c r="R92" s="29" t="b">
        <v>0</v>
      </c>
      <c r="S92" s="22">
        <f t="shared" si="3"/>
        <v>1</v>
      </c>
      <c r="T92" s="19">
        <f>IF(ISBLANK(P92), 0, VLOOKUP(P92, 'Price Sheet'!$A$2:$B1015, 2, false))</f>
        <v>5.6565625</v>
      </c>
      <c r="U92" s="33">
        <f t="shared" si="4"/>
        <v>5.6565625</v>
      </c>
      <c r="V92" s="32" t="s">
        <v>75</v>
      </c>
      <c r="W92" s="8">
        <v>2.0</v>
      </c>
      <c r="X92" s="29" t="b">
        <v>0</v>
      </c>
      <c r="Y92" s="22">
        <f t="shared" si="5"/>
        <v>2</v>
      </c>
      <c r="Z92" s="19">
        <f>IF(ISBLANK(V92), 0, VLOOKUP(V92, 'Price Sheet'!$A$2:$B1015, 2, false))</f>
        <v>0.25</v>
      </c>
      <c r="AA92" s="33">
        <f t="shared" si="6"/>
        <v>0.5</v>
      </c>
      <c r="AB92" s="32" t="s">
        <v>213</v>
      </c>
      <c r="AC92" s="8">
        <v>2.0</v>
      </c>
      <c r="AD92" s="29" t="b">
        <v>0</v>
      </c>
      <c r="AE92" s="22">
        <f t="shared" si="7"/>
        <v>2</v>
      </c>
      <c r="AF92" s="19">
        <f>IF(ISBLANK(AB92), 0, VLOOKUP(AB92, 'Price Sheet'!$A$2:$B1015, 2, false))</f>
        <v>19.91854167</v>
      </c>
      <c r="AG92" s="33">
        <f t="shared" si="8"/>
        <v>39.83708333</v>
      </c>
      <c r="AH92" s="32" t="s">
        <v>42</v>
      </c>
      <c r="AI92" s="8">
        <v>5.0</v>
      </c>
      <c r="AJ92" s="29" t="b">
        <v>0</v>
      </c>
      <c r="AK92" s="22">
        <f t="shared" si="9"/>
        <v>5</v>
      </c>
      <c r="AL92" s="19">
        <f>IF(ISBLANK(AH92), 0, VLOOKUP(AH92, 'Price Sheet'!$A$2:$B1015, 2, false))</f>
        <v>0.1</v>
      </c>
      <c r="AM92" s="33">
        <f t="shared" si="10"/>
        <v>0.5</v>
      </c>
      <c r="AN92" s="32"/>
      <c r="AO92" s="8"/>
      <c r="AP92" s="29" t="b">
        <v>0</v>
      </c>
      <c r="AQ92" s="22" t="str">
        <f t="shared" si="11"/>
        <v/>
      </c>
      <c r="AR92" s="7">
        <f>IF(ISBLANK(AN92), 0, VLOOKUP(AN92, 'Price Sheet'!$A$2:$B1015, 2, false))</f>
        <v>0</v>
      </c>
      <c r="AS92" s="33" t="str">
        <f t="shared" si="12"/>
        <v/>
      </c>
      <c r="AT92" s="37"/>
      <c r="AU92" s="29"/>
      <c r="AV92" s="29" t="b">
        <v>0</v>
      </c>
      <c r="AW92" s="22" t="str">
        <f t="shared" si="13"/>
        <v/>
      </c>
      <c r="AX92" s="7">
        <f>IF(ISBLANK(AT92), 0, VLOOKUP(AT92, 'Price Sheet'!$A$2:$B1015, 2, false))</f>
        <v>0</v>
      </c>
      <c r="AY92" s="33" t="str">
        <f t="shared" si="14"/>
        <v/>
      </c>
      <c r="AZ92" s="37"/>
      <c r="BA92" s="29"/>
      <c r="BB92" s="29" t="b">
        <v>0</v>
      </c>
      <c r="BC92" s="22" t="str">
        <f t="shared" si="15"/>
        <v/>
      </c>
      <c r="BD92" s="7">
        <f>IF(ISBLANK(AZ92), 0, VLOOKUP(AZ92, 'Price Sheet'!$A$2:$B1015, 2, false))</f>
        <v>0</v>
      </c>
      <c r="BE92" s="33" t="str">
        <f t="shared" si="16"/>
        <v/>
      </c>
      <c r="BF92" s="37"/>
      <c r="BG92" s="29"/>
      <c r="BH92" s="29" t="b">
        <v>0</v>
      </c>
      <c r="BI92" s="22" t="str">
        <f t="shared" si="17"/>
        <v/>
      </c>
      <c r="BJ92" s="7">
        <f>IF(ISBLANK(BF92), 0, VLOOKUP(BF92, 'Price Sheet'!$A$2:$B1015, 2, false))</f>
        <v>0</v>
      </c>
      <c r="BK92" s="33" t="str">
        <f t="shared" si="18"/>
        <v/>
      </c>
      <c r="BL92" s="37"/>
      <c r="BM92" s="29"/>
      <c r="BN92" s="29" t="b">
        <v>0</v>
      </c>
      <c r="BO92" s="22" t="str">
        <f t="shared" si="19"/>
        <v/>
      </c>
      <c r="BP92" s="7">
        <f>IF(ISBLANK(BL92), 0, VLOOKUP(BL92, 'Price Sheet'!$A$2:$B1015, 2, false))</f>
        <v>0</v>
      </c>
      <c r="BQ92" s="33" t="str">
        <f t="shared" si="20"/>
        <v/>
      </c>
    </row>
    <row r="93">
      <c r="A93" s="125" t="s">
        <v>491</v>
      </c>
      <c r="B93" s="19">
        <f t="shared" si="1"/>
        <v>43.87441667</v>
      </c>
      <c r="C93" s="8" t="s">
        <v>114</v>
      </c>
      <c r="D93" s="8" t="s">
        <v>313</v>
      </c>
      <c r="E93" s="7" t="str">
        <f>IF(ISBLANK(D93), "", VLOOKUP(D93,'Crafting Tables'!$A$2:$B1015, 2, false))</f>
        <v>Advanced</v>
      </c>
      <c r="F93" s="7">
        <f>IFERROR(IF(E93 = "None", 1, VLOOKUP(C93,General!$A$5:$L$35, SWITCH(E93, "Basic", 8, "Advanced", 10, "Modern", 12), false)),"")</f>
        <v>1</v>
      </c>
      <c r="G93" s="8">
        <v>25.0</v>
      </c>
      <c r="H93" s="7">
        <f>IFERROR(VLOOKUP(C93, General!$A$5:$L$35, 6, false) * G93 / 1000, 0)</f>
        <v>1</v>
      </c>
      <c r="I93" s="8">
        <v>19.2</v>
      </c>
      <c r="J93" s="22">
        <f>IFERROR(I93*VLOOKUP(D93,'Crafting Tables'!$1:$1000, 4, false)*F93,"")</f>
        <v>0.5373333333</v>
      </c>
      <c r="K93" s="8" t="b">
        <v>1</v>
      </c>
      <c r="L93" s="32" t="s">
        <v>209</v>
      </c>
      <c r="M93" s="8">
        <v>5.0</v>
      </c>
      <c r="N93" s="21">
        <f t="shared" si="2"/>
        <v>8.774883333</v>
      </c>
      <c r="P93" s="32" t="s">
        <v>293</v>
      </c>
      <c r="Q93" s="8">
        <v>2.0</v>
      </c>
      <c r="R93" s="29" t="b">
        <v>0</v>
      </c>
      <c r="S93" s="22">
        <f t="shared" si="3"/>
        <v>2</v>
      </c>
      <c r="T93" s="19">
        <f>IF(ISBLANK(P93), 0, VLOOKUP(P93, 'Price Sheet'!$A$2:$B1015, 2, false))</f>
        <v>1</v>
      </c>
      <c r="U93" s="33">
        <f t="shared" si="4"/>
        <v>2</v>
      </c>
      <c r="V93" s="32" t="s">
        <v>75</v>
      </c>
      <c r="W93" s="8">
        <v>2.0</v>
      </c>
      <c r="X93" s="29" t="b">
        <v>0</v>
      </c>
      <c r="Y93" s="22">
        <f t="shared" si="5"/>
        <v>2</v>
      </c>
      <c r="Z93" s="19">
        <f>IF(ISBLANK(V93), 0, VLOOKUP(V93, 'Price Sheet'!$A$2:$B1015, 2, false))</f>
        <v>0.25</v>
      </c>
      <c r="AA93" s="33">
        <f t="shared" si="6"/>
        <v>0.5</v>
      </c>
      <c r="AB93" s="32" t="s">
        <v>213</v>
      </c>
      <c r="AC93" s="8">
        <v>2.0</v>
      </c>
      <c r="AD93" s="29" t="b">
        <v>0</v>
      </c>
      <c r="AE93" s="22">
        <f t="shared" si="7"/>
        <v>2</v>
      </c>
      <c r="AF93" s="19">
        <f>IF(ISBLANK(AB93), 0, VLOOKUP(AB93, 'Price Sheet'!$A$2:$B1015, 2, false))</f>
        <v>19.91854167</v>
      </c>
      <c r="AG93" s="33">
        <f t="shared" si="8"/>
        <v>39.83708333</v>
      </c>
      <c r="AH93" s="32"/>
      <c r="AI93" s="8"/>
      <c r="AJ93" s="29" t="b">
        <v>0</v>
      </c>
      <c r="AK93" s="22" t="str">
        <f t="shared" si="9"/>
        <v/>
      </c>
      <c r="AL93" s="7">
        <f>IF(ISBLANK(AH93), 0, VLOOKUP(AH93, 'Price Sheet'!$A$2:$B1015, 2, false))</f>
        <v>0</v>
      </c>
      <c r="AM93" s="33" t="str">
        <f t="shared" si="10"/>
        <v/>
      </c>
      <c r="AN93" s="32"/>
      <c r="AO93" s="8"/>
      <c r="AP93" s="29" t="b">
        <v>0</v>
      </c>
      <c r="AQ93" s="22" t="str">
        <f t="shared" si="11"/>
        <v/>
      </c>
      <c r="AR93" s="7">
        <f>IF(ISBLANK(AN93), 0, VLOOKUP(AN93, 'Price Sheet'!$A$2:$B1015, 2, false))</f>
        <v>0</v>
      </c>
      <c r="AS93" s="33" t="str">
        <f t="shared" si="12"/>
        <v/>
      </c>
      <c r="AT93" s="37"/>
      <c r="AU93" s="29"/>
      <c r="AV93" s="29" t="b">
        <v>0</v>
      </c>
      <c r="AW93" s="22" t="str">
        <f t="shared" si="13"/>
        <v/>
      </c>
      <c r="AX93" s="7">
        <f>IF(ISBLANK(AT93), 0, VLOOKUP(AT93, 'Price Sheet'!$A$2:$B1015, 2, false))</f>
        <v>0</v>
      </c>
      <c r="AY93" s="33" t="str">
        <f t="shared" si="14"/>
        <v/>
      </c>
      <c r="AZ93" s="37"/>
      <c r="BA93" s="29"/>
      <c r="BB93" s="29" t="b">
        <v>0</v>
      </c>
      <c r="BC93" s="22" t="str">
        <f t="shared" si="15"/>
        <v/>
      </c>
      <c r="BD93" s="7">
        <f>IF(ISBLANK(AZ93), 0, VLOOKUP(AZ93, 'Price Sheet'!$A$2:$B1015, 2, false))</f>
        <v>0</v>
      </c>
      <c r="BE93" s="33" t="str">
        <f t="shared" si="16"/>
        <v/>
      </c>
      <c r="BF93" s="37"/>
      <c r="BG93" s="29"/>
      <c r="BH93" s="29" t="b">
        <v>0</v>
      </c>
      <c r="BI93" s="22" t="str">
        <f t="shared" si="17"/>
        <v/>
      </c>
      <c r="BJ93" s="7">
        <f>IF(ISBLANK(BF93), 0, VLOOKUP(BF93, 'Price Sheet'!$A$2:$B1015, 2, false))</f>
        <v>0</v>
      </c>
      <c r="BK93" s="33" t="str">
        <f t="shared" si="18"/>
        <v/>
      </c>
      <c r="BL93" s="37"/>
      <c r="BM93" s="29"/>
      <c r="BN93" s="29" t="b">
        <v>0</v>
      </c>
      <c r="BO93" s="22" t="str">
        <f t="shared" si="19"/>
        <v/>
      </c>
      <c r="BP93" s="7">
        <f>IF(ISBLANK(BL93), 0, VLOOKUP(BL93, 'Price Sheet'!$A$2:$B1015, 2, false))</f>
        <v>0</v>
      </c>
      <c r="BQ93" s="33" t="str">
        <f t="shared" si="20"/>
        <v/>
      </c>
    </row>
    <row r="94">
      <c r="A94" s="7" t="s">
        <v>211</v>
      </c>
      <c r="B94" s="19">
        <f t="shared" si="1"/>
        <v>2.667916667</v>
      </c>
      <c r="C94" s="8" t="s">
        <v>114</v>
      </c>
      <c r="D94" s="8" t="s">
        <v>316</v>
      </c>
      <c r="E94" s="7" t="str">
        <f>IF(ISBLANK(D94), "", VLOOKUP(D94,'Crafting Tables'!$A$2:$B1015, 2, false))</f>
        <v>Advanced</v>
      </c>
      <c r="F94" s="7">
        <f>IFERROR(IF(E94 = "None", 1, VLOOKUP(C94,General!$A$5:$L$35, SWITCH(E94, "Basic", 8, "Advanced", 10, "Modern", 12), false)),"")</f>
        <v>1</v>
      </c>
      <c r="G94" s="8">
        <v>50.0</v>
      </c>
      <c r="H94" s="7">
        <f>IFERROR(VLOOKUP(C94, General!$A$5:$L$35, 6, false) * G94 / 1000, 0)</f>
        <v>2</v>
      </c>
      <c r="I94" s="8">
        <v>6.0</v>
      </c>
      <c r="J94" s="22">
        <f>IFERROR(I94*VLOOKUP(D94,'Crafting Tables'!$1:$1000, 4, false)*F94,"")</f>
        <v>0.1679166667</v>
      </c>
      <c r="K94" s="8" t="b">
        <v>1</v>
      </c>
      <c r="L94" s="32" t="s">
        <v>211</v>
      </c>
      <c r="M94" s="8">
        <v>1.0</v>
      </c>
      <c r="N94" s="21">
        <f t="shared" si="2"/>
        <v>2.667916667</v>
      </c>
      <c r="P94" s="32" t="s">
        <v>67</v>
      </c>
      <c r="Q94" s="8">
        <v>1.0</v>
      </c>
      <c r="R94" s="29" t="b">
        <v>0</v>
      </c>
      <c r="S94" s="22">
        <f t="shared" si="3"/>
        <v>1</v>
      </c>
      <c r="T94" s="19">
        <f>IF(ISBLANK(P94), 0, VLOOKUP(P94, 'Price Sheet'!$A$2:$B1015, 2, false))</f>
        <v>0.5</v>
      </c>
      <c r="U94" s="33">
        <f t="shared" si="4"/>
        <v>0.5</v>
      </c>
      <c r="V94" s="37"/>
      <c r="W94" s="29"/>
      <c r="X94" s="29" t="b">
        <v>0</v>
      </c>
      <c r="Y94" s="22" t="str">
        <f t="shared" si="5"/>
        <v/>
      </c>
      <c r="Z94" s="7">
        <f>IF(ISBLANK(V94), 0, VLOOKUP(V94, 'Price Sheet'!$A$2:$B1015, 2, false))</f>
        <v>0</v>
      </c>
      <c r="AA94" s="33" t="str">
        <f t="shared" si="6"/>
        <v/>
      </c>
      <c r="AB94" s="37"/>
      <c r="AC94" s="29"/>
      <c r="AD94" s="29" t="b">
        <v>0</v>
      </c>
      <c r="AE94" s="22" t="str">
        <f t="shared" si="7"/>
        <v/>
      </c>
      <c r="AF94" s="7">
        <f>IF(ISBLANK(AB94), 0, VLOOKUP(AB94, 'Price Sheet'!$A$2:$B1015, 2, false))</f>
        <v>0</v>
      </c>
      <c r="AG94" s="33" t="str">
        <f t="shared" si="8"/>
        <v/>
      </c>
      <c r="AH94" s="37"/>
      <c r="AI94" s="29"/>
      <c r="AJ94" s="29" t="b">
        <v>0</v>
      </c>
      <c r="AK94" s="22" t="str">
        <f t="shared" si="9"/>
        <v/>
      </c>
      <c r="AL94" s="7">
        <f>IF(ISBLANK(AH94), 0, VLOOKUP(AH94, 'Price Sheet'!$A$2:$B1015, 2, false))</f>
        <v>0</v>
      </c>
      <c r="AM94" s="33" t="str">
        <f t="shared" si="10"/>
        <v/>
      </c>
      <c r="AN94" s="37"/>
      <c r="AO94" s="29"/>
      <c r="AP94" s="29" t="b">
        <v>0</v>
      </c>
      <c r="AQ94" s="22" t="str">
        <f t="shared" si="11"/>
        <v/>
      </c>
      <c r="AR94" s="7">
        <f>IF(ISBLANK(AN94), 0, VLOOKUP(AN94, 'Price Sheet'!$A$2:$B1015, 2, false))</f>
        <v>0</v>
      </c>
      <c r="AS94" s="33" t="str">
        <f t="shared" si="12"/>
        <v/>
      </c>
      <c r="AT94" s="37"/>
      <c r="AU94" s="29"/>
      <c r="AV94" s="29" t="b">
        <v>0</v>
      </c>
      <c r="AW94" s="22" t="str">
        <f t="shared" si="13"/>
        <v/>
      </c>
      <c r="AX94" s="7">
        <f>IF(ISBLANK(AT94), 0, VLOOKUP(AT94, 'Price Sheet'!$A$2:$B1015, 2, false))</f>
        <v>0</v>
      </c>
      <c r="AY94" s="33" t="str">
        <f t="shared" si="14"/>
        <v/>
      </c>
      <c r="AZ94" s="37"/>
      <c r="BA94" s="29"/>
      <c r="BB94" s="29" t="b">
        <v>0</v>
      </c>
      <c r="BC94" s="22" t="str">
        <f t="shared" si="15"/>
        <v/>
      </c>
      <c r="BD94" s="7">
        <f>IF(ISBLANK(AZ94), 0, VLOOKUP(AZ94, 'Price Sheet'!$A$2:$B1015, 2, false))</f>
        <v>0</v>
      </c>
      <c r="BE94" s="33" t="str">
        <f t="shared" si="16"/>
        <v/>
      </c>
      <c r="BF94" s="37"/>
      <c r="BG94" s="29"/>
      <c r="BH94" s="29" t="b">
        <v>0</v>
      </c>
      <c r="BI94" s="22" t="str">
        <f t="shared" si="17"/>
        <v/>
      </c>
      <c r="BJ94" s="7">
        <f>IF(ISBLANK(BF94), 0, VLOOKUP(BF94, 'Price Sheet'!$A$2:$B1015, 2, false))</f>
        <v>0</v>
      </c>
      <c r="BK94" s="33" t="str">
        <f t="shared" si="18"/>
        <v/>
      </c>
      <c r="BL94" s="37"/>
      <c r="BM94" s="29"/>
      <c r="BN94" s="29" t="b">
        <v>0</v>
      </c>
      <c r="BO94" s="22" t="str">
        <f t="shared" si="19"/>
        <v/>
      </c>
      <c r="BP94" s="7">
        <f>IF(ISBLANK(BL94), 0, VLOOKUP(BL94, 'Price Sheet'!$A$2:$B1015, 2, false))</f>
        <v>0</v>
      </c>
      <c r="BQ94" s="33" t="str">
        <f t="shared" si="20"/>
        <v/>
      </c>
    </row>
    <row r="95">
      <c r="A95" s="7" t="s">
        <v>216</v>
      </c>
      <c r="B95" s="19">
        <f t="shared" si="1"/>
        <v>10.86110938</v>
      </c>
      <c r="C95" s="8" t="s">
        <v>155</v>
      </c>
      <c r="D95" s="8" t="s">
        <v>299</v>
      </c>
      <c r="E95" s="7" t="str">
        <f>IF(ISBLANK(D95), "", VLOOKUP(D95,'Crafting Tables'!$A$2:$B1015, 2, false))</f>
        <v>Basic</v>
      </c>
      <c r="F95" s="7">
        <f>IFERROR(IF(E95 = "None", 1, VLOOKUP(C95,General!$A$5:$L$35, SWITCH(E95, "Basic", 8, "Advanced", 10, "Modern", 12), false)),"")</f>
        <v>0.55</v>
      </c>
      <c r="G95" s="8">
        <v>180.0</v>
      </c>
      <c r="H95" s="7">
        <f>IFERROR(VLOOKUP(C95, General!$A$5:$L$35, 6, false) * G95 / 1000, 0)</f>
        <v>7.2</v>
      </c>
      <c r="I95" s="29"/>
      <c r="J95" s="22">
        <f>IFERROR(I95*VLOOKUP(D95,'Crafting Tables'!$1:$1000, 4, false)*F95,"")</f>
        <v>0</v>
      </c>
      <c r="K95" s="8" t="b">
        <v>1</v>
      </c>
      <c r="L95" s="32" t="s">
        <v>216</v>
      </c>
      <c r="M95" s="8">
        <v>2.0</v>
      </c>
      <c r="N95" s="21">
        <f t="shared" si="2"/>
        <v>5.430554688</v>
      </c>
      <c r="P95" s="32" t="s">
        <v>207</v>
      </c>
      <c r="Q95" s="8">
        <v>1.0</v>
      </c>
      <c r="R95" s="29" t="b">
        <v>0</v>
      </c>
      <c r="S95" s="22">
        <f t="shared" si="3"/>
        <v>0.55</v>
      </c>
      <c r="T95" s="19">
        <f>IF(ISBLANK(P95), 0, VLOOKUP(P95, 'Price Sheet'!$A$2:$B1015, 2, false))</f>
        <v>5.6565625</v>
      </c>
      <c r="U95" s="33">
        <f t="shared" si="4"/>
        <v>3.111109375</v>
      </c>
      <c r="V95" s="32" t="s">
        <v>75</v>
      </c>
      <c r="W95" s="8">
        <v>2.0</v>
      </c>
      <c r="X95" s="29" t="b">
        <v>0</v>
      </c>
      <c r="Y95" s="22">
        <f t="shared" si="5"/>
        <v>1.1</v>
      </c>
      <c r="Z95" s="19">
        <f>IF(ISBLANK(V95), 0, VLOOKUP(V95, 'Price Sheet'!$A$2:$B1015, 2, false))</f>
        <v>0.25</v>
      </c>
      <c r="AA95" s="33">
        <f t="shared" si="6"/>
        <v>0.275</v>
      </c>
      <c r="AB95" s="32" t="s">
        <v>42</v>
      </c>
      <c r="AC95" s="8">
        <v>5.0</v>
      </c>
      <c r="AD95" s="29" t="b">
        <v>0</v>
      </c>
      <c r="AE95" s="22">
        <f t="shared" si="7"/>
        <v>2.75</v>
      </c>
      <c r="AF95" s="19">
        <f>IF(ISBLANK(AB95), 0, VLOOKUP(AB95, 'Price Sheet'!$A$2:$B1015, 2, false))</f>
        <v>0.1</v>
      </c>
      <c r="AG95" s="33">
        <f t="shared" si="8"/>
        <v>0.275</v>
      </c>
      <c r="AH95" s="37"/>
      <c r="AI95" s="29"/>
      <c r="AJ95" s="29" t="b">
        <v>0</v>
      </c>
      <c r="AK95" s="22" t="str">
        <f t="shared" si="9"/>
        <v/>
      </c>
      <c r="AL95" s="7">
        <f>IF(ISBLANK(AH95), 0, VLOOKUP(AH95, 'Price Sheet'!$A$2:$B1015, 2, false))</f>
        <v>0</v>
      </c>
      <c r="AM95" s="33" t="str">
        <f t="shared" si="10"/>
        <v/>
      </c>
      <c r="AN95" s="37"/>
      <c r="AO95" s="29"/>
      <c r="AP95" s="29" t="b">
        <v>0</v>
      </c>
      <c r="AQ95" s="22" t="str">
        <f t="shared" si="11"/>
        <v/>
      </c>
      <c r="AR95" s="7">
        <f>IF(ISBLANK(AN95), 0, VLOOKUP(AN95, 'Price Sheet'!$A$2:$B1015, 2, false))</f>
        <v>0</v>
      </c>
      <c r="AS95" s="33" t="str">
        <f t="shared" si="12"/>
        <v/>
      </c>
      <c r="AT95" s="37"/>
      <c r="AU95" s="29"/>
      <c r="AV95" s="29" t="b">
        <v>0</v>
      </c>
      <c r="AW95" s="22" t="str">
        <f t="shared" si="13"/>
        <v/>
      </c>
      <c r="AX95" s="7">
        <f>IF(ISBLANK(AT95), 0, VLOOKUP(AT95, 'Price Sheet'!$A$2:$B1015, 2, false))</f>
        <v>0</v>
      </c>
      <c r="AY95" s="33" t="str">
        <f t="shared" si="14"/>
        <v/>
      </c>
      <c r="AZ95" s="37"/>
      <c r="BA95" s="29"/>
      <c r="BB95" s="29" t="b">
        <v>0</v>
      </c>
      <c r="BC95" s="22" t="str">
        <f t="shared" si="15"/>
        <v/>
      </c>
      <c r="BD95" s="7">
        <f>IF(ISBLANK(AZ95), 0, VLOOKUP(AZ95, 'Price Sheet'!$A$2:$B1015, 2, false))</f>
        <v>0</v>
      </c>
      <c r="BE95" s="33" t="str">
        <f t="shared" si="16"/>
        <v/>
      </c>
      <c r="BF95" s="37"/>
      <c r="BG95" s="29"/>
      <c r="BH95" s="29" t="b">
        <v>0</v>
      </c>
      <c r="BI95" s="22" t="str">
        <f t="shared" si="17"/>
        <v/>
      </c>
      <c r="BJ95" s="7">
        <f>IF(ISBLANK(BF95), 0, VLOOKUP(BF95, 'Price Sheet'!$A$2:$B1015, 2, false))</f>
        <v>0</v>
      </c>
      <c r="BK95" s="33" t="str">
        <f t="shared" si="18"/>
        <v/>
      </c>
      <c r="BL95" s="37"/>
      <c r="BM95" s="29"/>
      <c r="BN95" s="29" t="b">
        <v>0</v>
      </c>
      <c r="BO95" s="22" t="str">
        <f t="shared" si="19"/>
        <v/>
      </c>
      <c r="BP95" s="7">
        <f>IF(ISBLANK(BL95), 0, VLOOKUP(BL95, 'Price Sheet'!$A$2:$B1015, 2, false))</f>
        <v>0</v>
      </c>
      <c r="BQ95" s="33" t="str">
        <f t="shared" si="20"/>
        <v/>
      </c>
    </row>
    <row r="96">
      <c r="A96" s="7" t="s">
        <v>215</v>
      </c>
      <c r="B96" s="19">
        <f t="shared" si="1"/>
        <v>35.16541667</v>
      </c>
      <c r="C96" s="8" t="s">
        <v>201</v>
      </c>
      <c r="D96" s="8" t="s">
        <v>316</v>
      </c>
      <c r="E96" s="7" t="str">
        <f>IF(ISBLANK(D96), "", VLOOKUP(D96,'Crafting Tables'!$A$2:$B1015, 2, false))</f>
        <v>Advanced</v>
      </c>
      <c r="F96" s="7">
        <f>IFERROR(IF(E96 = "None", 1, VLOOKUP(C96,General!$A$5:$L$35, SWITCH(E96, "Basic", 8, "Advanced", 10, "Modern", 12), false)),"")</f>
        <v>1</v>
      </c>
      <c r="G96" s="8">
        <v>60.0</v>
      </c>
      <c r="H96" s="7">
        <f>IFERROR(VLOOKUP(C96, General!$A$5:$L$35, 6, false) * G96 / 1000, 0)</f>
        <v>2.4</v>
      </c>
      <c r="I96" s="8">
        <v>90.0</v>
      </c>
      <c r="J96" s="22">
        <f>IFERROR(I96*VLOOKUP(D96,'Crafting Tables'!$1:$1000, 4, false)*F96,"")</f>
        <v>2.51875</v>
      </c>
      <c r="K96" s="8" t="b">
        <v>1</v>
      </c>
      <c r="L96" s="32" t="s">
        <v>215</v>
      </c>
      <c r="M96" s="8">
        <v>4.0</v>
      </c>
      <c r="N96" s="21">
        <f t="shared" si="2"/>
        <v>8.791354167</v>
      </c>
      <c r="P96" s="32" t="s">
        <v>196</v>
      </c>
      <c r="Q96" s="8">
        <v>1.0</v>
      </c>
      <c r="R96" s="29" t="b">
        <v>0</v>
      </c>
      <c r="S96" s="22">
        <f t="shared" si="3"/>
        <v>1</v>
      </c>
      <c r="T96" s="19">
        <f>IF(ISBLANK(P96), 0, VLOOKUP(P96, 'Price Sheet'!$A$2:$B1015, 2, false))</f>
        <v>11.075</v>
      </c>
      <c r="U96" s="33">
        <f t="shared" si="4"/>
        <v>11.075</v>
      </c>
      <c r="V96" s="32" t="s">
        <v>211</v>
      </c>
      <c r="W96" s="8">
        <v>4.0</v>
      </c>
      <c r="X96" s="8" t="b">
        <v>1</v>
      </c>
      <c r="Y96" s="22">
        <f t="shared" si="5"/>
        <v>4</v>
      </c>
      <c r="Z96" s="19">
        <f>IF(ISBLANK(V96), 0, VLOOKUP(V96, 'Price Sheet'!$A$2:$B1015, 2, false))</f>
        <v>2.667916667</v>
      </c>
      <c r="AA96" s="33">
        <f t="shared" si="6"/>
        <v>10.67166667</v>
      </c>
      <c r="AB96" s="32" t="s">
        <v>121</v>
      </c>
      <c r="AC96" s="8">
        <v>8.0</v>
      </c>
      <c r="AD96" s="8" t="b">
        <v>1</v>
      </c>
      <c r="AE96" s="22">
        <f t="shared" si="7"/>
        <v>8</v>
      </c>
      <c r="AF96" s="19">
        <f>IF(ISBLANK(AB96), 0, VLOOKUP(AB96, 'Price Sheet'!$A$2:$B1015, 2, false))</f>
        <v>1</v>
      </c>
      <c r="AG96" s="33">
        <f t="shared" si="8"/>
        <v>8</v>
      </c>
      <c r="AH96" s="32" t="s">
        <v>348</v>
      </c>
      <c r="AI96" s="8">
        <v>1.0</v>
      </c>
      <c r="AJ96" s="29" t="b">
        <v>0</v>
      </c>
      <c r="AK96" s="22">
        <f t="shared" si="9"/>
        <v>1</v>
      </c>
      <c r="AL96" s="19">
        <f>IF(ISBLANK(AH96), 0, VLOOKUP(AH96, 'Price Sheet'!$A$2:$B1015, 2, false))</f>
        <v>0.5</v>
      </c>
      <c r="AM96" s="33">
        <f t="shared" si="10"/>
        <v>0.5</v>
      </c>
      <c r="AN96" s="37"/>
      <c r="AO96" s="29"/>
      <c r="AP96" s="29" t="b">
        <v>0</v>
      </c>
      <c r="AQ96" s="22" t="str">
        <f t="shared" si="11"/>
        <v/>
      </c>
      <c r="AR96" s="7">
        <f>IF(ISBLANK(AN96), 0, VLOOKUP(AN96, 'Price Sheet'!$A$2:$B1015, 2, false))</f>
        <v>0</v>
      </c>
      <c r="AS96" s="33" t="str">
        <f t="shared" si="12"/>
        <v/>
      </c>
      <c r="AT96" s="37"/>
      <c r="AU96" s="29"/>
      <c r="AV96" s="29" t="b">
        <v>0</v>
      </c>
      <c r="AW96" s="22" t="str">
        <f t="shared" si="13"/>
        <v/>
      </c>
      <c r="AX96" s="7">
        <f>IF(ISBLANK(AT96), 0, VLOOKUP(AT96, 'Price Sheet'!$A$2:$B1015, 2, false))</f>
        <v>0</v>
      </c>
      <c r="AY96" s="33" t="str">
        <f t="shared" si="14"/>
        <v/>
      </c>
      <c r="AZ96" s="37"/>
      <c r="BA96" s="29"/>
      <c r="BB96" s="29" t="b">
        <v>0</v>
      </c>
      <c r="BC96" s="22" t="str">
        <f t="shared" si="15"/>
        <v/>
      </c>
      <c r="BD96" s="7">
        <f>IF(ISBLANK(AZ96), 0, VLOOKUP(AZ96, 'Price Sheet'!$A$2:$B1015, 2, false))</f>
        <v>0</v>
      </c>
      <c r="BE96" s="33" t="str">
        <f t="shared" si="16"/>
        <v/>
      </c>
      <c r="BF96" s="37"/>
      <c r="BG96" s="29"/>
      <c r="BH96" s="29" t="b">
        <v>0</v>
      </c>
      <c r="BI96" s="22" t="str">
        <f t="shared" si="17"/>
        <v/>
      </c>
      <c r="BJ96" s="7">
        <f>IF(ISBLANK(BF96), 0, VLOOKUP(BF96, 'Price Sheet'!$A$2:$B1015, 2, false))</f>
        <v>0</v>
      </c>
      <c r="BK96" s="33" t="str">
        <f t="shared" si="18"/>
        <v/>
      </c>
      <c r="BL96" s="37"/>
      <c r="BM96" s="29"/>
      <c r="BN96" s="29" t="b">
        <v>0</v>
      </c>
      <c r="BO96" s="22" t="str">
        <f t="shared" si="19"/>
        <v/>
      </c>
      <c r="BP96" s="7">
        <f>IF(ISBLANK(BL96), 0, VLOOKUP(BL96, 'Price Sheet'!$A$2:$B1015, 2, false))</f>
        <v>0</v>
      </c>
      <c r="BQ96" s="33" t="str">
        <f t="shared" si="20"/>
        <v/>
      </c>
    </row>
    <row r="97">
      <c r="A97" s="7" t="s">
        <v>213</v>
      </c>
      <c r="B97" s="19">
        <f t="shared" si="1"/>
        <v>19.91854167</v>
      </c>
      <c r="C97" s="8" t="s">
        <v>201</v>
      </c>
      <c r="D97" s="8" t="s">
        <v>316</v>
      </c>
      <c r="E97" s="7" t="str">
        <f>IF(ISBLANK(D97), "", VLOOKUP(D97,'Crafting Tables'!$A$2:$B1015, 2, false))</f>
        <v>Advanced</v>
      </c>
      <c r="F97" s="7">
        <f>IFERROR(IF(E97 = "None", 1, VLOOKUP(C97,General!$A$5:$L$35, SWITCH(E97, "Basic", 8, "Advanced", 10, "Modern", 12), false)),"")</f>
        <v>1</v>
      </c>
      <c r="G97" s="8">
        <v>50.0</v>
      </c>
      <c r="H97" s="7">
        <f>IFERROR(VLOOKUP(C97, General!$A$5:$L$35, 6, false) * G97 / 1000, 0)</f>
        <v>2</v>
      </c>
      <c r="I97" s="8">
        <v>12.0</v>
      </c>
      <c r="J97" s="22">
        <f>IFERROR(I97*VLOOKUP(D97,'Crafting Tables'!$1:$1000, 4, false)*F97,"")</f>
        <v>0.3358333333</v>
      </c>
      <c r="K97" s="8" t="b">
        <v>1</v>
      </c>
      <c r="L97" s="32" t="s">
        <v>213</v>
      </c>
      <c r="M97" s="8">
        <v>1.0</v>
      </c>
      <c r="N97" s="21">
        <f t="shared" si="2"/>
        <v>19.91854167</v>
      </c>
      <c r="P97" s="32" t="s">
        <v>215</v>
      </c>
      <c r="Q97" s="8">
        <v>2.0</v>
      </c>
      <c r="R97" s="29" t="b">
        <v>0</v>
      </c>
      <c r="S97" s="22">
        <f t="shared" si="3"/>
        <v>2</v>
      </c>
      <c r="T97" s="19">
        <f>IF(ISBLANK(P97), 0, VLOOKUP(P97, 'Price Sheet'!$A$2:$B1015, 2, false))</f>
        <v>8.791354167</v>
      </c>
      <c r="U97" s="33">
        <f t="shared" si="4"/>
        <v>17.58270833</v>
      </c>
      <c r="V97" s="37"/>
      <c r="W97" s="29"/>
      <c r="X97" s="29" t="b">
        <v>0</v>
      </c>
      <c r="Y97" s="22" t="str">
        <f t="shared" si="5"/>
        <v/>
      </c>
      <c r="Z97" s="7">
        <f>IF(ISBLANK(V97), 0, VLOOKUP(V97, 'Price Sheet'!$A$2:$B1015, 2, false))</f>
        <v>0</v>
      </c>
      <c r="AA97" s="33" t="str">
        <f t="shared" si="6"/>
        <v/>
      </c>
      <c r="AB97" s="37"/>
      <c r="AC97" s="29"/>
      <c r="AD97" s="29" t="b">
        <v>0</v>
      </c>
      <c r="AE97" s="22" t="str">
        <f t="shared" si="7"/>
        <v/>
      </c>
      <c r="AF97" s="7">
        <f>IF(ISBLANK(AB97), 0, VLOOKUP(AB97, 'Price Sheet'!$A$2:$B1015, 2, false))</f>
        <v>0</v>
      </c>
      <c r="AG97" s="33" t="str">
        <f t="shared" si="8"/>
        <v/>
      </c>
      <c r="AH97" s="37"/>
      <c r="AI97" s="29"/>
      <c r="AJ97" s="29" t="b">
        <v>0</v>
      </c>
      <c r="AK97" s="22" t="str">
        <f t="shared" si="9"/>
        <v/>
      </c>
      <c r="AL97" s="7">
        <f>IF(ISBLANK(AH97), 0, VLOOKUP(AH97, 'Price Sheet'!$A$2:$B1015, 2, false))</f>
        <v>0</v>
      </c>
      <c r="AM97" s="33" t="str">
        <f t="shared" si="10"/>
        <v/>
      </c>
      <c r="AN97" s="37"/>
      <c r="AO97" s="29"/>
      <c r="AP97" s="29" t="b">
        <v>0</v>
      </c>
      <c r="AQ97" s="22" t="str">
        <f t="shared" si="11"/>
        <v/>
      </c>
      <c r="AR97" s="7">
        <f>IF(ISBLANK(AN97), 0, VLOOKUP(AN97, 'Price Sheet'!$A$2:$B1015, 2, false))</f>
        <v>0</v>
      </c>
      <c r="AS97" s="33" t="str">
        <f t="shared" si="12"/>
        <v/>
      </c>
      <c r="AT97" s="37"/>
      <c r="AU97" s="29"/>
      <c r="AV97" s="29" t="b">
        <v>0</v>
      </c>
      <c r="AW97" s="22" t="str">
        <f t="shared" si="13"/>
        <v/>
      </c>
      <c r="AX97" s="7">
        <f>IF(ISBLANK(AT97), 0, VLOOKUP(AT97, 'Price Sheet'!$A$2:$B1015, 2, false))</f>
        <v>0</v>
      </c>
      <c r="AY97" s="33" t="str">
        <f t="shared" si="14"/>
        <v/>
      </c>
      <c r="AZ97" s="37"/>
      <c r="BA97" s="29"/>
      <c r="BB97" s="29" t="b">
        <v>0</v>
      </c>
      <c r="BC97" s="22" t="str">
        <f t="shared" si="15"/>
        <v/>
      </c>
      <c r="BD97" s="7">
        <f>IF(ISBLANK(AZ97), 0, VLOOKUP(AZ97, 'Price Sheet'!$A$2:$B1015, 2, false))</f>
        <v>0</v>
      </c>
      <c r="BE97" s="33" t="str">
        <f t="shared" si="16"/>
        <v/>
      </c>
      <c r="BF97" s="37"/>
      <c r="BG97" s="29"/>
      <c r="BH97" s="29" t="b">
        <v>0</v>
      </c>
      <c r="BI97" s="22" t="str">
        <f t="shared" si="17"/>
        <v/>
      </c>
      <c r="BJ97" s="7">
        <f>IF(ISBLANK(BF97), 0, VLOOKUP(BF97, 'Price Sheet'!$A$2:$B1015, 2, false))</f>
        <v>0</v>
      </c>
      <c r="BK97" s="33" t="str">
        <f t="shared" si="18"/>
        <v/>
      </c>
      <c r="BL97" s="37"/>
      <c r="BM97" s="29"/>
      <c r="BN97" s="29" t="b">
        <v>0</v>
      </c>
      <c r="BO97" s="22" t="str">
        <f t="shared" si="19"/>
        <v/>
      </c>
      <c r="BP97" s="7">
        <f>IF(ISBLANK(BL97), 0, VLOOKUP(BL97, 'Price Sheet'!$A$2:$B1015, 2, false))</f>
        <v>0</v>
      </c>
      <c r="BQ97" s="33" t="str">
        <f t="shared" si="20"/>
        <v/>
      </c>
    </row>
    <row r="98">
      <c r="A98" s="7" t="s">
        <v>218</v>
      </c>
      <c r="B98" s="19">
        <f t="shared" si="1"/>
        <v>13.5346875</v>
      </c>
      <c r="C98" s="8" t="s">
        <v>201</v>
      </c>
      <c r="D98" s="8" t="s">
        <v>316</v>
      </c>
      <c r="E98" s="7" t="str">
        <f>IF(ISBLANK(D98), "", VLOOKUP(D98,'Crafting Tables'!$A$2:$B1015, 2, false))</f>
        <v>Advanced</v>
      </c>
      <c r="F98" s="7">
        <f>IFERROR(IF(E98 = "None", 1, VLOOKUP(C98,General!$A$5:$L$35, SWITCH(E98, "Basic", 8, "Advanced", 10, "Modern", 12), false)),"")</f>
        <v>1</v>
      </c>
      <c r="G98" s="8">
        <v>85.0</v>
      </c>
      <c r="H98" s="7">
        <f>IFERROR(VLOOKUP(C98, General!$A$5:$L$35, 6, false) * G98 / 1000, 0)</f>
        <v>3.4</v>
      </c>
      <c r="I98" s="8">
        <v>48.0</v>
      </c>
      <c r="J98" s="22">
        <f>IFERROR(I98*VLOOKUP(D98,'Crafting Tables'!$1:$1000, 4, false)*F98,"")</f>
        <v>1.343333333</v>
      </c>
      <c r="K98" s="8" t="b">
        <v>1</v>
      </c>
      <c r="L98" s="32" t="s">
        <v>218</v>
      </c>
      <c r="M98" s="8">
        <v>3.0</v>
      </c>
      <c r="N98" s="21">
        <f t="shared" si="2"/>
        <v>4.5115625</v>
      </c>
      <c r="P98" s="32" t="s">
        <v>215</v>
      </c>
      <c r="Q98" s="8">
        <v>1.0</v>
      </c>
      <c r="R98" s="29" t="b">
        <v>0</v>
      </c>
      <c r="S98" s="22">
        <f t="shared" si="3"/>
        <v>1</v>
      </c>
      <c r="T98" s="19">
        <f>IF(ISBLANK(P98), 0, VLOOKUP(P98, 'Price Sheet'!$A$2:$B1015, 2, false))</f>
        <v>8.791354167</v>
      </c>
      <c r="U98" s="33">
        <f t="shared" si="4"/>
        <v>8.791354167</v>
      </c>
      <c r="V98" s="37"/>
      <c r="W98" s="29"/>
      <c r="X98" s="29" t="b">
        <v>0</v>
      </c>
      <c r="Y98" s="22" t="str">
        <f t="shared" si="5"/>
        <v/>
      </c>
      <c r="Z98" s="7">
        <f>IF(ISBLANK(V98), 0, VLOOKUP(V98, 'Price Sheet'!$A$2:$B1015, 2, false))</f>
        <v>0</v>
      </c>
      <c r="AA98" s="33" t="str">
        <f t="shared" si="6"/>
        <v/>
      </c>
      <c r="AB98" s="37"/>
      <c r="AC98" s="29"/>
      <c r="AD98" s="29" t="b">
        <v>0</v>
      </c>
      <c r="AE98" s="22" t="str">
        <f t="shared" si="7"/>
        <v/>
      </c>
      <c r="AF98" s="7">
        <f>IF(ISBLANK(AB98), 0, VLOOKUP(AB98, 'Price Sheet'!$A$2:$B1015, 2, false))</f>
        <v>0</v>
      </c>
      <c r="AG98" s="33" t="str">
        <f t="shared" si="8"/>
        <v/>
      </c>
      <c r="AH98" s="37"/>
      <c r="AI98" s="29"/>
      <c r="AJ98" s="29" t="b">
        <v>0</v>
      </c>
      <c r="AK98" s="22" t="str">
        <f t="shared" si="9"/>
        <v/>
      </c>
      <c r="AL98" s="7">
        <f>IF(ISBLANK(AH98), 0, VLOOKUP(AH98, 'Price Sheet'!$A$2:$B1015, 2, false))</f>
        <v>0</v>
      </c>
      <c r="AM98" s="33" t="str">
        <f t="shared" si="10"/>
        <v/>
      </c>
      <c r="AN98" s="37"/>
      <c r="AO98" s="29"/>
      <c r="AP98" s="29" t="b">
        <v>0</v>
      </c>
      <c r="AQ98" s="22" t="str">
        <f t="shared" si="11"/>
        <v/>
      </c>
      <c r="AR98" s="7">
        <f>IF(ISBLANK(AN98), 0, VLOOKUP(AN98, 'Price Sheet'!$A$2:$B1015, 2, false))</f>
        <v>0</v>
      </c>
      <c r="AS98" s="33" t="str">
        <f t="shared" si="12"/>
        <v/>
      </c>
      <c r="AT98" s="37"/>
      <c r="AU98" s="29"/>
      <c r="AV98" s="29" t="b">
        <v>0</v>
      </c>
      <c r="AW98" s="22" t="str">
        <f t="shared" si="13"/>
        <v/>
      </c>
      <c r="AX98" s="7">
        <f>IF(ISBLANK(AT98), 0, VLOOKUP(AT98, 'Price Sheet'!$A$2:$B1015, 2, false))</f>
        <v>0</v>
      </c>
      <c r="AY98" s="33" t="str">
        <f t="shared" si="14"/>
        <v/>
      </c>
      <c r="AZ98" s="37"/>
      <c r="BA98" s="29"/>
      <c r="BB98" s="29" t="b">
        <v>0</v>
      </c>
      <c r="BC98" s="22" t="str">
        <f t="shared" si="15"/>
        <v/>
      </c>
      <c r="BD98" s="7">
        <f>IF(ISBLANK(AZ98), 0, VLOOKUP(AZ98, 'Price Sheet'!$A$2:$B1015, 2, false))</f>
        <v>0</v>
      </c>
      <c r="BE98" s="33" t="str">
        <f t="shared" si="16"/>
        <v/>
      </c>
      <c r="BF98" s="37"/>
      <c r="BG98" s="29"/>
      <c r="BH98" s="29" t="b">
        <v>0</v>
      </c>
      <c r="BI98" s="22" t="str">
        <f t="shared" si="17"/>
        <v/>
      </c>
      <c r="BJ98" s="7">
        <f>IF(ISBLANK(BF98), 0, VLOOKUP(BF98, 'Price Sheet'!$A$2:$B1015, 2, false))</f>
        <v>0</v>
      </c>
      <c r="BK98" s="33" t="str">
        <f t="shared" si="18"/>
        <v/>
      </c>
      <c r="BL98" s="37"/>
      <c r="BM98" s="29"/>
      <c r="BN98" s="29" t="b">
        <v>0</v>
      </c>
      <c r="BO98" s="22" t="str">
        <f t="shared" si="19"/>
        <v/>
      </c>
      <c r="BP98" s="7">
        <f>IF(ISBLANK(BL98), 0, VLOOKUP(BL98, 'Price Sheet'!$A$2:$B1015, 2, false))</f>
        <v>0</v>
      </c>
      <c r="BQ98" s="33" t="str">
        <f t="shared" si="20"/>
        <v/>
      </c>
    </row>
    <row r="99">
      <c r="A99" s="7" t="s">
        <v>279</v>
      </c>
      <c r="B99" s="19">
        <f t="shared" si="1"/>
        <v>22.50145833</v>
      </c>
      <c r="C99" s="8" t="s">
        <v>201</v>
      </c>
      <c r="D99" s="8" t="s">
        <v>316</v>
      </c>
      <c r="E99" s="7" t="str">
        <f>IF(ISBLANK(D99), "", VLOOKUP(D99,'Crafting Tables'!$A$2:$B1015, 2, false))</f>
        <v>Advanced</v>
      </c>
      <c r="F99" s="7">
        <f>IFERROR(IF(E99 = "None", 1, VLOOKUP(C99,General!$A$5:$L$35, SWITCH(E99, "Basic", 8, "Advanced", 10, "Modern", 12), false)),"")</f>
        <v>1</v>
      </c>
      <c r="G99" s="8">
        <v>60.0</v>
      </c>
      <c r="H99" s="7">
        <f>IFERROR(VLOOKUP(C99, General!$A$5:$L$35, 6, false) * G99 / 1000, 0)</f>
        <v>2.4</v>
      </c>
      <c r="I99" s="8">
        <v>90.0</v>
      </c>
      <c r="J99" s="22">
        <f>IFERROR(I99*VLOOKUP(D99,'Crafting Tables'!$1:$1000, 4, false)*F99,"")</f>
        <v>2.51875</v>
      </c>
      <c r="K99" s="8" t="b">
        <v>1</v>
      </c>
      <c r="L99" s="32" t="s">
        <v>279</v>
      </c>
      <c r="M99" s="8">
        <v>1.0</v>
      </c>
      <c r="N99" s="21">
        <f t="shared" si="2"/>
        <v>22.50145833</v>
      </c>
      <c r="P99" s="32" t="s">
        <v>215</v>
      </c>
      <c r="Q99" s="8">
        <v>2.0</v>
      </c>
      <c r="R99" s="29" t="b">
        <v>0</v>
      </c>
      <c r="S99" s="22">
        <f t="shared" si="3"/>
        <v>2</v>
      </c>
      <c r="T99" s="19">
        <f>IF(ISBLANK(P99), 0, VLOOKUP(P99, 'Price Sheet'!$A$2:$B1015, 2, false))</f>
        <v>8.791354167</v>
      </c>
      <c r="U99" s="33">
        <f t="shared" si="4"/>
        <v>17.58270833</v>
      </c>
      <c r="V99" s="37"/>
      <c r="W99" s="29"/>
      <c r="X99" s="29" t="b">
        <v>0</v>
      </c>
      <c r="Y99" s="22" t="str">
        <f t="shared" si="5"/>
        <v/>
      </c>
      <c r="Z99" s="7">
        <f>IF(ISBLANK(V99), 0, VLOOKUP(V99, 'Price Sheet'!$A$2:$B1015, 2, false))</f>
        <v>0</v>
      </c>
      <c r="AA99" s="33" t="str">
        <f t="shared" si="6"/>
        <v/>
      </c>
      <c r="AB99" s="37"/>
      <c r="AC99" s="29"/>
      <c r="AD99" s="29" t="b">
        <v>0</v>
      </c>
      <c r="AE99" s="22" t="str">
        <f t="shared" si="7"/>
        <v/>
      </c>
      <c r="AF99" s="7">
        <f>IF(ISBLANK(AB99), 0, VLOOKUP(AB99, 'Price Sheet'!$A$2:$B1015, 2, false))</f>
        <v>0</v>
      </c>
      <c r="AG99" s="33" t="str">
        <f t="shared" si="8"/>
        <v/>
      </c>
      <c r="AH99" s="37"/>
      <c r="AI99" s="29"/>
      <c r="AJ99" s="29" t="b">
        <v>0</v>
      </c>
      <c r="AK99" s="22" t="str">
        <f t="shared" si="9"/>
        <v/>
      </c>
      <c r="AL99" s="7">
        <f>IF(ISBLANK(AH99), 0, VLOOKUP(AH99, 'Price Sheet'!$A$2:$B1015, 2, false))</f>
        <v>0</v>
      </c>
      <c r="AM99" s="33" t="str">
        <f t="shared" si="10"/>
        <v/>
      </c>
      <c r="AN99" s="37"/>
      <c r="AO99" s="29"/>
      <c r="AP99" s="29" t="b">
        <v>0</v>
      </c>
      <c r="AQ99" s="22" t="str">
        <f t="shared" si="11"/>
        <v/>
      </c>
      <c r="AR99" s="7">
        <f>IF(ISBLANK(AN99), 0, VLOOKUP(AN99, 'Price Sheet'!$A$2:$B1015, 2, false))</f>
        <v>0</v>
      </c>
      <c r="AS99" s="33" t="str">
        <f t="shared" si="12"/>
        <v/>
      </c>
      <c r="AT99" s="37"/>
      <c r="AU99" s="29"/>
      <c r="AV99" s="29" t="b">
        <v>0</v>
      </c>
      <c r="AW99" s="22" t="str">
        <f t="shared" si="13"/>
        <v/>
      </c>
      <c r="AX99" s="7">
        <f>IF(ISBLANK(AT99), 0, VLOOKUP(AT99, 'Price Sheet'!$A$2:$B1015, 2, false))</f>
        <v>0</v>
      </c>
      <c r="AY99" s="33" t="str">
        <f t="shared" si="14"/>
        <v/>
      </c>
      <c r="AZ99" s="37"/>
      <c r="BA99" s="29"/>
      <c r="BB99" s="29" t="b">
        <v>0</v>
      </c>
      <c r="BC99" s="22" t="str">
        <f t="shared" si="15"/>
        <v/>
      </c>
      <c r="BD99" s="7">
        <f>IF(ISBLANK(AZ99), 0, VLOOKUP(AZ99, 'Price Sheet'!$A$2:$B1015, 2, false))</f>
        <v>0</v>
      </c>
      <c r="BE99" s="33" t="str">
        <f t="shared" si="16"/>
        <v/>
      </c>
      <c r="BF99" s="37"/>
      <c r="BG99" s="29"/>
      <c r="BH99" s="29" t="b">
        <v>0</v>
      </c>
      <c r="BI99" s="22" t="str">
        <f t="shared" si="17"/>
        <v/>
      </c>
      <c r="BJ99" s="7">
        <f>IF(ISBLANK(BF99), 0, VLOOKUP(BF99, 'Price Sheet'!$A$2:$B1015, 2, false))</f>
        <v>0</v>
      </c>
      <c r="BK99" s="33" t="str">
        <f t="shared" si="18"/>
        <v/>
      </c>
      <c r="BL99" s="37"/>
      <c r="BM99" s="29"/>
      <c r="BN99" s="29" t="b">
        <v>0</v>
      </c>
      <c r="BO99" s="22" t="str">
        <f t="shared" si="19"/>
        <v/>
      </c>
      <c r="BP99" s="7">
        <f>IF(ISBLANK(BL99), 0, VLOOKUP(BL99, 'Price Sheet'!$A$2:$B1015, 2, false))</f>
        <v>0</v>
      </c>
      <c r="BQ99" s="33" t="str">
        <f t="shared" si="20"/>
        <v/>
      </c>
    </row>
    <row r="100">
      <c r="A100" s="7" t="s">
        <v>219</v>
      </c>
      <c r="B100" s="19">
        <f t="shared" si="1"/>
        <v>14.18703125</v>
      </c>
      <c r="C100" s="8" t="s">
        <v>201</v>
      </c>
      <c r="D100" s="8" t="s">
        <v>324</v>
      </c>
      <c r="E100" s="7" t="str">
        <f>IF(ISBLANK(D100), "", VLOOKUP(D100,'Crafting Tables'!$A$2:$B1015, 2, false))</f>
        <v>Advanced</v>
      </c>
      <c r="F100" s="7">
        <f>IFERROR(IF(E100 = "None", 1, VLOOKUP(C100,General!$A$5:$L$35, SWITCH(E100, "Basic", 8, "Advanced", 10, "Modern", 12), false)),"")</f>
        <v>1</v>
      </c>
      <c r="G100" s="8">
        <v>25.0</v>
      </c>
      <c r="H100" s="7">
        <f>IFERROR(VLOOKUP(C100, General!$A$5:$L$35, 6, false) * G100 / 1000, 0)</f>
        <v>1</v>
      </c>
      <c r="I100" s="29">
        <f>60*0.16</f>
        <v>9.6</v>
      </c>
      <c r="J100" s="22">
        <f>IFERROR(I100*VLOOKUP(D100,'Crafting Tables'!$1:$1000, 4, false)*F100,"")</f>
        <v>0</v>
      </c>
      <c r="K100" s="8" t="b">
        <v>1</v>
      </c>
      <c r="L100" s="32" t="s">
        <v>219</v>
      </c>
      <c r="M100" s="8">
        <v>2.0</v>
      </c>
      <c r="N100" s="21">
        <f t="shared" si="2"/>
        <v>7.093515625</v>
      </c>
      <c r="P100" s="32" t="s">
        <v>215</v>
      </c>
      <c r="Q100" s="8">
        <v>1.5</v>
      </c>
      <c r="R100" s="29" t="b">
        <v>0</v>
      </c>
      <c r="S100" s="22">
        <f t="shared" si="3"/>
        <v>1.5</v>
      </c>
      <c r="T100" s="19">
        <f>IF(ISBLANK(P100), 0, VLOOKUP(P100, 'Price Sheet'!$A$2:$B1015, 2, false))</f>
        <v>8.791354167</v>
      </c>
      <c r="U100" s="33">
        <f t="shared" si="4"/>
        <v>13.18703125</v>
      </c>
      <c r="V100" s="37"/>
      <c r="W100" s="29"/>
      <c r="X100" s="29" t="b">
        <v>0</v>
      </c>
      <c r="Y100" s="22" t="str">
        <f t="shared" si="5"/>
        <v/>
      </c>
      <c r="Z100" s="7">
        <f>IF(ISBLANK(V100), 0, VLOOKUP(V100, 'Price Sheet'!$A$2:$B1015, 2, false))</f>
        <v>0</v>
      </c>
      <c r="AA100" s="33" t="str">
        <f t="shared" si="6"/>
        <v/>
      </c>
      <c r="AB100" s="37"/>
      <c r="AC100" s="29"/>
      <c r="AD100" s="29" t="b">
        <v>0</v>
      </c>
      <c r="AE100" s="22" t="str">
        <f t="shared" si="7"/>
        <v/>
      </c>
      <c r="AF100" s="7">
        <f>IF(ISBLANK(AB100), 0, VLOOKUP(AB100, 'Price Sheet'!$A$2:$B1015, 2, false))</f>
        <v>0</v>
      </c>
      <c r="AG100" s="33" t="str">
        <f t="shared" si="8"/>
        <v/>
      </c>
      <c r="AH100" s="37"/>
      <c r="AI100" s="29"/>
      <c r="AJ100" s="29" t="b">
        <v>0</v>
      </c>
      <c r="AK100" s="22" t="str">
        <f t="shared" si="9"/>
        <v/>
      </c>
      <c r="AL100" s="7">
        <f>IF(ISBLANK(AH100), 0, VLOOKUP(AH100, 'Price Sheet'!$A$2:$B1015, 2, false))</f>
        <v>0</v>
      </c>
      <c r="AM100" s="33" t="str">
        <f t="shared" si="10"/>
        <v/>
      </c>
      <c r="AN100" s="37"/>
      <c r="AO100" s="29"/>
      <c r="AP100" s="29" t="b">
        <v>0</v>
      </c>
      <c r="AQ100" s="22" t="str">
        <f t="shared" si="11"/>
        <v/>
      </c>
      <c r="AR100" s="7">
        <f>IF(ISBLANK(AN100), 0, VLOOKUP(AN100, 'Price Sheet'!$A$2:$B1015, 2, false))</f>
        <v>0</v>
      </c>
      <c r="AS100" s="33" t="str">
        <f t="shared" si="12"/>
        <v/>
      </c>
      <c r="AT100" s="37"/>
      <c r="AU100" s="29"/>
      <c r="AV100" s="29" t="b">
        <v>0</v>
      </c>
      <c r="AW100" s="22" t="str">
        <f t="shared" si="13"/>
        <v/>
      </c>
      <c r="AX100" s="7">
        <f>IF(ISBLANK(AT100), 0, VLOOKUP(AT100, 'Price Sheet'!$A$2:$B1015, 2, false))</f>
        <v>0</v>
      </c>
      <c r="AY100" s="33" t="str">
        <f t="shared" si="14"/>
        <v/>
      </c>
      <c r="AZ100" s="37"/>
      <c r="BA100" s="29"/>
      <c r="BB100" s="29" t="b">
        <v>0</v>
      </c>
      <c r="BC100" s="22" t="str">
        <f t="shared" si="15"/>
        <v/>
      </c>
      <c r="BD100" s="7">
        <f>IF(ISBLANK(AZ100), 0, VLOOKUP(AZ100, 'Price Sheet'!$A$2:$B1015, 2, false))</f>
        <v>0</v>
      </c>
      <c r="BE100" s="33" t="str">
        <f t="shared" si="16"/>
        <v/>
      </c>
      <c r="BF100" s="37"/>
      <c r="BG100" s="29"/>
      <c r="BH100" s="29" t="b">
        <v>0</v>
      </c>
      <c r="BI100" s="22" t="str">
        <f t="shared" si="17"/>
        <v/>
      </c>
      <c r="BJ100" s="7">
        <f>IF(ISBLANK(BF100), 0, VLOOKUP(BF100, 'Price Sheet'!$A$2:$B1015, 2, false))</f>
        <v>0</v>
      </c>
      <c r="BK100" s="33" t="str">
        <f t="shared" si="18"/>
        <v/>
      </c>
      <c r="BL100" s="37"/>
      <c r="BM100" s="29"/>
      <c r="BN100" s="29" t="b">
        <v>0</v>
      </c>
      <c r="BO100" s="22" t="str">
        <f t="shared" si="19"/>
        <v/>
      </c>
      <c r="BP100" s="7">
        <f>IF(ISBLANK(BL100), 0, VLOOKUP(BL100, 'Price Sheet'!$A$2:$B1015, 2, false))</f>
        <v>0</v>
      </c>
      <c r="BQ100" s="33" t="str">
        <f t="shared" si="20"/>
        <v/>
      </c>
    </row>
    <row r="101">
      <c r="A101" s="7" t="s">
        <v>220</v>
      </c>
      <c r="B101" s="19">
        <f t="shared" si="1"/>
        <v>51.93072917</v>
      </c>
      <c r="C101" s="8" t="s">
        <v>122</v>
      </c>
      <c r="D101" s="8" t="s">
        <v>327</v>
      </c>
      <c r="E101" s="7" t="str">
        <f>IF(ISBLANK(D101), "", VLOOKUP(D101,'Crafting Tables'!$A$2:$B1015, 2, false))</f>
        <v>Modern</v>
      </c>
      <c r="F101" s="7">
        <f>IFERROR(IF(E101 = "None", 1, VLOOKUP(C101,General!$A$5:$L$35, SWITCH(E101, "Basic", 8, "Advanced", 10, "Modern", 12), false)),"")</f>
        <v>1</v>
      </c>
      <c r="G101" s="8">
        <v>180.0</v>
      </c>
      <c r="H101" s="7">
        <f>IFERROR(VLOOKUP(C101, General!$A$5:$L$35, 6, false) * G101 / 1000, 0)</f>
        <v>7.2</v>
      </c>
      <c r="I101" s="8">
        <v>9.0</v>
      </c>
      <c r="J101" s="22">
        <f>IFERROR(I101*VLOOKUP(D101,'Crafting Tables'!$1:$1000, 4, false)*F101,"")</f>
        <v>0</v>
      </c>
      <c r="K101" s="8" t="b">
        <v>1</v>
      </c>
      <c r="L101" s="32" t="s">
        <v>220</v>
      </c>
      <c r="M101" s="8">
        <v>2.0</v>
      </c>
      <c r="N101" s="21">
        <f t="shared" si="2"/>
        <v>25.96536458</v>
      </c>
      <c r="P101" s="32" t="s">
        <v>215</v>
      </c>
      <c r="Q101" s="8">
        <v>1.0</v>
      </c>
      <c r="R101" s="29" t="b">
        <v>0</v>
      </c>
      <c r="S101" s="22">
        <f t="shared" si="3"/>
        <v>1</v>
      </c>
      <c r="T101" s="19">
        <f>IF(ISBLANK(P101), 0, VLOOKUP(P101, 'Price Sheet'!$A$2:$B1015, 2, false))</f>
        <v>8.791354167</v>
      </c>
      <c r="U101" s="33">
        <f t="shared" si="4"/>
        <v>8.791354167</v>
      </c>
      <c r="V101" s="32" t="s">
        <v>207</v>
      </c>
      <c r="W101" s="8">
        <v>6.0</v>
      </c>
      <c r="X101" s="29" t="b">
        <v>0</v>
      </c>
      <c r="Y101" s="22">
        <f t="shared" si="5"/>
        <v>6</v>
      </c>
      <c r="Z101" s="19">
        <f>IF(ISBLANK(V101), 0, VLOOKUP(V101, 'Price Sheet'!$A$2:$B1015, 2, false))</f>
        <v>5.6565625</v>
      </c>
      <c r="AA101" s="33">
        <f t="shared" si="6"/>
        <v>33.939375</v>
      </c>
      <c r="AB101" s="32" t="s">
        <v>40</v>
      </c>
      <c r="AC101" s="8">
        <v>20.0</v>
      </c>
      <c r="AD101" s="29" t="b">
        <v>0</v>
      </c>
      <c r="AE101" s="22">
        <f t="shared" si="7"/>
        <v>20</v>
      </c>
      <c r="AF101" s="19">
        <f>IF(ISBLANK(AB101), 0, VLOOKUP(AB101, 'Price Sheet'!$A$2:$B1015, 2, false))</f>
        <v>0.1</v>
      </c>
      <c r="AG101" s="33">
        <f t="shared" si="8"/>
        <v>2</v>
      </c>
      <c r="AH101" s="37"/>
      <c r="AI101" s="29"/>
      <c r="AJ101" s="29" t="b">
        <v>0</v>
      </c>
      <c r="AK101" s="22" t="str">
        <f t="shared" si="9"/>
        <v/>
      </c>
      <c r="AL101" s="7">
        <f>IF(ISBLANK(AH101), 0, VLOOKUP(AH101, 'Price Sheet'!$A$2:$B1015, 2, false))</f>
        <v>0</v>
      </c>
      <c r="AM101" s="33" t="str">
        <f t="shared" si="10"/>
        <v/>
      </c>
      <c r="AN101" s="37"/>
      <c r="AO101" s="29"/>
      <c r="AP101" s="29" t="b">
        <v>0</v>
      </c>
      <c r="AQ101" s="22" t="str">
        <f t="shared" si="11"/>
        <v/>
      </c>
      <c r="AR101" s="7">
        <f>IF(ISBLANK(AN101), 0, VLOOKUP(AN101, 'Price Sheet'!$A$2:$B1015, 2, false))</f>
        <v>0</v>
      </c>
      <c r="AS101" s="33" t="str">
        <f t="shared" si="12"/>
        <v/>
      </c>
      <c r="AT101" s="37"/>
      <c r="AU101" s="29"/>
      <c r="AV101" s="29" t="b">
        <v>0</v>
      </c>
      <c r="AW101" s="22" t="str">
        <f t="shared" si="13"/>
        <v/>
      </c>
      <c r="AX101" s="7">
        <f>IF(ISBLANK(AT101), 0, VLOOKUP(AT101, 'Price Sheet'!$A$2:$B1015, 2, false))</f>
        <v>0</v>
      </c>
      <c r="AY101" s="33" t="str">
        <f t="shared" si="14"/>
        <v/>
      </c>
      <c r="AZ101" s="37"/>
      <c r="BA101" s="29"/>
      <c r="BB101" s="29" t="b">
        <v>0</v>
      </c>
      <c r="BC101" s="22" t="str">
        <f t="shared" si="15"/>
        <v/>
      </c>
      <c r="BD101" s="7">
        <f>IF(ISBLANK(AZ101), 0, VLOOKUP(AZ101, 'Price Sheet'!$A$2:$B1015, 2, false))</f>
        <v>0</v>
      </c>
      <c r="BE101" s="33" t="str">
        <f t="shared" si="16"/>
        <v/>
      </c>
      <c r="BF101" s="37"/>
      <c r="BG101" s="29"/>
      <c r="BH101" s="29" t="b">
        <v>0</v>
      </c>
      <c r="BI101" s="22" t="str">
        <f t="shared" si="17"/>
        <v/>
      </c>
      <c r="BJ101" s="7">
        <f>IF(ISBLANK(BF101), 0, VLOOKUP(BF101, 'Price Sheet'!$A$2:$B1015, 2, false))</f>
        <v>0</v>
      </c>
      <c r="BK101" s="33" t="str">
        <f t="shared" si="18"/>
        <v/>
      </c>
      <c r="BL101" s="37"/>
      <c r="BM101" s="29"/>
      <c r="BN101" s="29" t="b">
        <v>0</v>
      </c>
      <c r="BO101" s="22" t="str">
        <f t="shared" si="19"/>
        <v/>
      </c>
      <c r="BP101" s="7">
        <f>IF(ISBLANK(BL101), 0, VLOOKUP(BL101, 'Price Sheet'!$A$2:$B1015, 2, false))</f>
        <v>0</v>
      </c>
      <c r="BQ101" s="33" t="str">
        <f t="shared" si="20"/>
        <v/>
      </c>
    </row>
    <row r="102">
      <c r="B102" s="19">
        <f t="shared" si="1"/>
        <v>0</v>
      </c>
      <c r="C102" s="29"/>
      <c r="D102" s="29"/>
      <c r="E102" s="7" t="str">
        <f>IF(ISBLANK(D102), "", VLOOKUP(D102,'Crafting Tables'!$A$2:$B1015, 2, false))</f>
        <v/>
      </c>
      <c r="F102" s="7" t="str">
        <f>IFERROR(IF(E102 = "None", 1, VLOOKUP(C102,General!$A$5:$L$35, SWITCH(E102, "Basic", 8, "Advanced", 10, "Modern", 12), false)),"")</f>
        <v/>
      </c>
      <c r="G102" s="29"/>
      <c r="H102" s="7">
        <f>IFERROR(VLOOKUP(C102, General!$A$5:$L$35, 6, false) * G102 / 1000, 0)</f>
        <v>0</v>
      </c>
      <c r="I102" s="29"/>
      <c r="J102" s="22" t="str">
        <f>IFERROR(I102*VLOOKUP(D102,'Crafting Tables'!$1:$1000, 4, false)*F102,"")</f>
        <v/>
      </c>
      <c r="K102" s="29" t="b">
        <v>0</v>
      </c>
      <c r="L102" s="37"/>
      <c r="M102" s="29"/>
      <c r="N102" s="21" t="str">
        <f t="shared" si="2"/>
        <v/>
      </c>
      <c r="P102" s="37"/>
      <c r="Q102" s="29"/>
      <c r="R102" s="29" t="b">
        <v>0</v>
      </c>
      <c r="S102" s="22" t="str">
        <f t="shared" si="3"/>
        <v/>
      </c>
      <c r="T102" s="7">
        <f>IF(ISBLANK(P102), 0, VLOOKUP(P102, 'Price Sheet'!$A$2:$B1015, 2, false))</f>
        <v>0</v>
      </c>
      <c r="U102" s="33" t="str">
        <f t="shared" si="4"/>
        <v/>
      </c>
      <c r="V102" s="37"/>
      <c r="W102" s="29"/>
      <c r="X102" s="29" t="b">
        <v>0</v>
      </c>
      <c r="Y102" s="22" t="str">
        <f t="shared" si="5"/>
        <v/>
      </c>
      <c r="Z102" s="7">
        <f>IF(ISBLANK(V102), 0, VLOOKUP(V102, 'Price Sheet'!$A$2:$B1015, 2, false))</f>
        <v>0</v>
      </c>
      <c r="AA102" s="33" t="str">
        <f t="shared" si="6"/>
        <v/>
      </c>
      <c r="AB102" s="37"/>
      <c r="AC102" s="29"/>
      <c r="AD102" s="29" t="b">
        <v>0</v>
      </c>
      <c r="AE102" s="22" t="str">
        <f t="shared" si="7"/>
        <v/>
      </c>
      <c r="AF102" s="7">
        <f>IF(ISBLANK(AB102), 0, VLOOKUP(AB102, 'Price Sheet'!$A$2:$B1015, 2, false))</f>
        <v>0</v>
      </c>
      <c r="AG102" s="33" t="str">
        <f t="shared" si="8"/>
        <v/>
      </c>
      <c r="AH102" s="37"/>
      <c r="AI102" s="29"/>
      <c r="AJ102" s="29" t="b">
        <v>0</v>
      </c>
      <c r="AK102" s="22" t="str">
        <f t="shared" si="9"/>
        <v/>
      </c>
      <c r="AL102" s="7">
        <f>IF(ISBLANK(AH102), 0, VLOOKUP(AH102, 'Price Sheet'!$A$2:$B1015, 2, false))</f>
        <v>0</v>
      </c>
      <c r="AM102" s="33" t="str">
        <f t="shared" si="10"/>
        <v/>
      </c>
      <c r="AN102" s="37"/>
      <c r="AO102" s="29"/>
      <c r="AP102" s="29" t="b">
        <v>0</v>
      </c>
      <c r="AQ102" s="22" t="str">
        <f t="shared" si="11"/>
        <v/>
      </c>
      <c r="AR102" s="7">
        <f>IF(ISBLANK(AN102), 0, VLOOKUP(AN102, 'Price Sheet'!$A$2:$B1015, 2, false))</f>
        <v>0</v>
      </c>
      <c r="AS102" s="33" t="str">
        <f t="shared" si="12"/>
        <v/>
      </c>
      <c r="AT102" s="37"/>
      <c r="AU102" s="29"/>
      <c r="AV102" s="29" t="b">
        <v>0</v>
      </c>
      <c r="AW102" s="22" t="str">
        <f t="shared" si="13"/>
        <v/>
      </c>
      <c r="AX102" s="7">
        <f>IF(ISBLANK(AT102), 0, VLOOKUP(AT102, 'Price Sheet'!$A$2:$B1015, 2, false))</f>
        <v>0</v>
      </c>
      <c r="AY102" s="33" t="str">
        <f t="shared" si="14"/>
        <v/>
      </c>
      <c r="AZ102" s="37"/>
      <c r="BA102" s="29"/>
      <c r="BB102" s="29" t="b">
        <v>0</v>
      </c>
      <c r="BC102" s="22" t="str">
        <f t="shared" si="15"/>
        <v/>
      </c>
      <c r="BD102" s="7">
        <f>IF(ISBLANK(AZ102), 0, VLOOKUP(AZ102, 'Price Sheet'!$A$2:$B1015, 2, false))</f>
        <v>0</v>
      </c>
      <c r="BE102" s="33" t="str">
        <f t="shared" si="16"/>
        <v/>
      </c>
      <c r="BF102" s="37"/>
      <c r="BG102" s="29"/>
      <c r="BH102" s="29" t="b">
        <v>0</v>
      </c>
      <c r="BI102" s="22" t="str">
        <f t="shared" si="17"/>
        <v/>
      </c>
      <c r="BJ102" s="7">
        <f>IF(ISBLANK(BF102), 0, VLOOKUP(BF102, 'Price Sheet'!$A$2:$B1015, 2, false))</f>
        <v>0</v>
      </c>
      <c r="BK102" s="33" t="str">
        <f t="shared" si="18"/>
        <v/>
      </c>
      <c r="BL102" s="37"/>
      <c r="BM102" s="29"/>
      <c r="BN102" s="29" t="b">
        <v>0</v>
      </c>
      <c r="BO102" s="22" t="str">
        <f t="shared" si="19"/>
        <v/>
      </c>
      <c r="BP102" s="7">
        <f>IF(ISBLANK(BL102), 0, VLOOKUP(BL102, 'Price Sheet'!$A$2:$B1015, 2, false))</f>
        <v>0</v>
      </c>
      <c r="BQ102" s="33" t="str">
        <f t="shared" si="20"/>
        <v/>
      </c>
    </row>
    <row r="103">
      <c r="A103" s="7" t="s">
        <v>241</v>
      </c>
      <c r="B103" s="19">
        <f t="shared" si="1"/>
        <v>1.75</v>
      </c>
      <c r="C103" s="8" t="s">
        <v>217</v>
      </c>
      <c r="D103" s="8" t="s">
        <v>331</v>
      </c>
      <c r="E103" s="7" t="str">
        <f>IF(ISBLANK(D103), "", VLOOKUP(D103,'Crafting Tables'!$A$2:$B1015, 2, false))</f>
        <v>Basic</v>
      </c>
      <c r="F103" s="7">
        <f>IFERROR(IF(E103 = "None", 1, VLOOKUP(C103,General!$A$5:$L$35, SWITCH(E103, "Basic", 8, "Advanced", 10, "Modern", 12), false)),"")</f>
        <v>0.55</v>
      </c>
      <c r="G103" s="8">
        <v>30.0</v>
      </c>
      <c r="H103" s="7">
        <f>IFERROR(VLOOKUP(C103, General!$A$5:$L$35, 6, false) * G103 / 1000, 0)</f>
        <v>1.2</v>
      </c>
      <c r="I103" s="8">
        <v>60.0</v>
      </c>
      <c r="J103" s="22">
        <f>IFERROR(I103*VLOOKUP(D103,'Crafting Tables'!$1:$1000, 4, false)*F103,"")</f>
        <v>0</v>
      </c>
      <c r="K103" s="8" t="b">
        <v>1</v>
      </c>
      <c r="L103" s="32" t="s">
        <v>241</v>
      </c>
      <c r="M103" s="8">
        <v>2.0</v>
      </c>
      <c r="N103" s="21">
        <f t="shared" si="2"/>
        <v>0.875</v>
      </c>
      <c r="P103" s="32" t="s">
        <v>242</v>
      </c>
      <c r="Q103" s="8">
        <v>1.0</v>
      </c>
      <c r="R103" s="29" t="b">
        <v>0</v>
      </c>
      <c r="S103" s="22">
        <f t="shared" si="3"/>
        <v>0.55</v>
      </c>
      <c r="T103" s="19">
        <f>IF(ISBLANK(P103), 0, VLOOKUP(P103, 'Price Sheet'!$A$2:$B1015, 2, false))</f>
        <v>1</v>
      </c>
      <c r="U103" s="33">
        <f t="shared" si="4"/>
        <v>0.55</v>
      </c>
      <c r="V103" s="37"/>
      <c r="W103" s="29"/>
      <c r="X103" s="29" t="b">
        <v>0</v>
      </c>
      <c r="Y103" s="22" t="str">
        <f t="shared" si="5"/>
        <v/>
      </c>
      <c r="Z103" s="7">
        <f>IF(ISBLANK(V103), 0, VLOOKUP(V103, 'Price Sheet'!$A$2:$B1015, 2, false))</f>
        <v>0</v>
      </c>
      <c r="AA103" s="33" t="str">
        <f t="shared" si="6"/>
        <v/>
      </c>
      <c r="AB103" s="37"/>
      <c r="AC103" s="29"/>
      <c r="AD103" s="29" t="b">
        <v>0</v>
      </c>
      <c r="AE103" s="22" t="str">
        <f t="shared" si="7"/>
        <v/>
      </c>
      <c r="AF103" s="7">
        <f>IF(ISBLANK(AB103), 0, VLOOKUP(AB103, 'Price Sheet'!$A$2:$B1015, 2, false))</f>
        <v>0</v>
      </c>
      <c r="AG103" s="33" t="str">
        <f t="shared" si="8"/>
        <v/>
      </c>
      <c r="AH103" s="37"/>
      <c r="AI103" s="29"/>
      <c r="AJ103" s="29" t="b">
        <v>0</v>
      </c>
      <c r="AK103" s="22" t="str">
        <f t="shared" si="9"/>
        <v/>
      </c>
      <c r="AL103" s="7">
        <f>IF(ISBLANK(AH103), 0, VLOOKUP(AH103, 'Price Sheet'!$A$2:$B1015, 2, false))</f>
        <v>0</v>
      </c>
      <c r="AM103" s="33" t="str">
        <f t="shared" si="10"/>
        <v/>
      </c>
      <c r="AN103" s="37"/>
      <c r="AO103" s="29"/>
      <c r="AP103" s="29" t="b">
        <v>0</v>
      </c>
      <c r="AQ103" s="22" t="str">
        <f t="shared" si="11"/>
        <v/>
      </c>
      <c r="AR103" s="7">
        <f>IF(ISBLANK(AN103), 0, VLOOKUP(AN103, 'Price Sheet'!$A$2:$B1015, 2, false))</f>
        <v>0</v>
      </c>
      <c r="AS103" s="33" t="str">
        <f t="shared" si="12"/>
        <v/>
      </c>
      <c r="AT103" s="37"/>
      <c r="AU103" s="29"/>
      <c r="AV103" s="29" t="b">
        <v>0</v>
      </c>
      <c r="AW103" s="22" t="str">
        <f t="shared" si="13"/>
        <v/>
      </c>
      <c r="AX103" s="7">
        <f>IF(ISBLANK(AT103), 0, VLOOKUP(AT103, 'Price Sheet'!$A$2:$B1015, 2, false))</f>
        <v>0</v>
      </c>
      <c r="AY103" s="33" t="str">
        <f t="shared" si="14"/>
        <v/>
      </c>
      <c r="AZ103" s="37"/>
      <c r="BA103" s="29"/>
      <c r="BB103" s="29" t="b">
        <v>0</v>
      </c>
      <c r="BC103" s="22" t="str">
        <f t="shared" si="15"/>
        <v/>
      </c>
      <c r="BD103" s="7">
        <f>IF(ISBLANK(AZ103), 0, VLOOKUP(AZ103, 'Price Sheet'!$A$2:$B1015, 2, false))</f>
        <v>0</v>
      </c>
      <c r="BE103" s="33" t="str">
        <f t="shared" si="16"/>
        <v/>
      </c>
      <c r="BF103" s="37"/>
      <c r="BG103" s="29"/>
      <c r="BH103" s="29" t="b">
        <v>0</v>
      </c>
      <c r="BI103" s="22" t="str">
        <f t="shared" si="17"/>
        <v/>
      </c>
      <c r="BJ103" s="7">
        <f>IF(ISBLANK(BF103), 0, VLOOKUP(BF103, 'Price Sheet'!$A$2:$B1015, 2, false))</f>
        <v>0</v>
      </c>
      <c r="BK103" s="33" t="str">
        <f t="shared" si="18"/>
        <v/>
      </c>
      <c r="BL103" s="37"/>
      <c r="BM103" s="29"/>
      <c r="BN103" s="29" t="b">
        <v>0</v>
      </c>
      <c r="BO103" s="22" t="str">
        <f t="shared" si="19"/>
        <v/>
      </c>
      <c r="BP103" s="7">
        <f>IF(ISBLANK(BL103), 0, VLOOKUP(BL103, 'Price Sheet'!$A$2:$B1015, 2, false))</f>
        <v>0</v>
      </c>
      <c r="BQ103" s="33" t="str">
        <f t="shared" si="20"/>
        <v/>
      </c>
    </row>
    <row r="104">
      <c r="A104" s="7" t="s">
        <v>118</v>
      </c>
      <c r="B104" s="19">
        <f t="shared" si="1"/>
        <v>5.925</v>
      </c>
      <c r="C104" s="8" t="s">
        <v>217</v>
      </c>
      <c r="D104" s="8" t="s">
        <v>333</v>
      </c>
      <c r="E104" s="7" t="str">
        <f>IF(ISBLANK(D104), "", VLOOKUP(D104,'Crafting Tables'!$A$2:$B1015, 2, false))</f>
        <v>Basic</v>
      </c>
      <c r="F104" s="7">
        <f>IFERROR(IF(E104 = "None", 1, VLOOKUP(C104,General!$A$5:$L$35, SWITCH(E104, "Basic", 8, "Advanced", 10, "Modern", 12), false)),"")</f>
        <v>0.55</v>
      </c>
      <c r="G104" s="8">
        <v>100.0</v>
      </c>
      <c r="H104" s="7">
        <f>IFERROR(VLOOKUP(C104, General!$A$5:$L$35, 6, false) * G104 / 1000, 0)</f>
        <v>4</v>
      </c>
      <c r="I104" s="8">
        <v>60.0</v>
      </c>
      <c r="J104" s="22">
        <f>IFERROR(I104*VLOOKUP(D104,'Crafting Tables'!$1:$1000, 4, false)*F104,"")</f>
        <v>0</v>
      </c>
      <c r="K104" s="8" t="b">
        <v>1</v>
      </c>
      <c r="L104" s="32" t="s">
        <v>118</v>
      </c>
      <c r="M104" s="8">
        <v>1.0</v>
      </c>
      <c r="N104" s="21">
        <f t="shared" si="2"/>
        <v>5.925</v>
      </c>
      <c r="P104" s="32" t="s">
        <v>241</v>
      </c>
      <c r="Q104" s="8">
        <v>4.0</v>
      </c>
      <c r="R104" s="29" t="b">
        <v>0</v>
      </c>
      <c r="S104" s="22">
        <f t="shared" si="3"/>
        <v>2.2</v>
      </c>
      <c r="T104" s="19">
        <f>IF(ISBLANK(P104), 0, VLOOKUP(P104, 'Price Sheet'!$A$2:$B1015, 2, false))</f>
        <v>0.875</v>
      </c>
      <c r="U104" s="33">
        <f t="shared" si="4"/>
        <v>1.925</v>
      </c>
      <c r="V104" s="37"/>
      <c r="W104" s="29"/>
      <c r="X104" s="29" t="b">
        <v>0</v>
      </c>
      <c r="Y104" s="22" t="str">
        <f t="shared" si="5"/>
        <v/>
      </c>
      <c r="Z104" s="7">
        <f>IF(ISBLANK(V104), 0, VLOOKUP(V104, 'Price Sheet'!$A$2:$B1015, 2, false))</f>
        <v>0</v>
      </c>
      <c r="AA104" s="33" t="str">
        <f t="shared" si="6"/>
        <v/>
      </c>
      <c r="AB104" s="37"/>
      <c r="AC104" s="29"/>
      <c r="AD104" s="29" t="b">
        <v>0</v>
      </c>
      <c r="AE104" s="22" t="str">
        <f t="shared" si="7"/>
        <v/>
      </c>
      <c r="AF104" s="7">
        <f>IF(ISBLANK(AB104), 0, VLOOKUP(AB104, 'Price Sheet'!$A$2:$B1015, 2, false))</f>
        <v>0</v>
      </c>
      <c r="AG104" s="33" t="str">
        <f t="shared" si="8"/>
        <v/>
      </c>
      <c r="AH104" s="37"/>
      <c r="AI104" s="29"/>
      <c r="AJ104" s="29" t="b">
        <v>0</v>
      </c>
      <c r="AK104" s="22" t="str">
        <f t="shared" si="9"/>
        <v/>
      </c>
      <c r="AL104" s="7">
        <f>IF(ISBLANK(AH104), 0, VLOOKUP(AH104, 'Price Sheet'!$A$2:$B1015, 2, false))</f>
        <v>0</v>
      </c>
      <c r="AM104" s="33" t="str">
        <f t="shared" si="10"/>
        <v/>
      </c>
      <c r="AN104" s="37"/>
      <c r="AO104" s="29"/>
      <c r="AP104" s="29" t="b">
        <v>0</v>
      </c>
      <c r="AQ104" s="22" t="str">
        <f t="shared" si="11"/>
        <v/>
      </c>
      <c r="AR104" s="7">
        <f>IF(ISBLANK(AN104), 0, VLOOKUP(AN104, 'Price Sheet'!$A$2:$B1015, 2, false))</f>
        <v>0</v>
      </c>
      <c r="AS104" s="33" t="str">
        <f t="shared" si="12"/>
        <v/>
      </c>
      <c r="AT104" s="37"/>
      <c r="AU104" s="29"/>
      <c r="AV104" s="29" t="b">
        <v>0</v>
      </c>
      <c r="AW104" s="22" t="str">
        <f t="shared" si="13"/>
        <v/>
      </c>
      <c r="AX104" s="7">
        <f>IF(ISBLANK(AT104), 0, VLOOKUP(AT104, 'Price Sheet'!$A$2:$B1015, 2, false))</f>
        <v>0</v>
      </c>
      <c r="AY104" s="33" t="str">
        <f t="shared" si="14"/>
        <v/>
      </c>
      <c r="AZ104" s="37"/>
      <c r="BA104" s="29"/>
      <c r="BB104" s="29" t="b">
        <v>0</v>
      </c>
      <c r="BC104" s="22" t="str">
        <f t="shared" si="15"/>
        <v/>
      </c>
      <c r="BD104" s="7">
        <f>IF(ISBLANK(AZ104), 0, VLOOKUP(AZ104, 'Price Sheet'!$A$2:$B1015, 2, false))</f>
        <v>0</v>
      </c>
      <c r="BE104" s="33" t="str">
        <f t="shared" si="16"/>
        <v/>
      </c>
      <c r="BF104" s="37"/>
      <c r="BG104" s="29"/>
      <c r="BH104" s="29" t="b">
        <v>0</v>
      </c>
      <c r="BI104" s="22" t="str">
        <f t="shared" si="17"/>
        <v/>
      </c>
      <c r="BJ104" s="7">
        <f>IF(ISBLANK(BF104), 0, VLOOKUP(BF104, 'Price Sheet'!$A$2:$B1015, 2, false))</f>
        <v>0</v>
      </c>
      <c r="BK104" s="33" t="str">
        <f t="shared" si="18"/>
        <v/>
      </c>
      <c r="BL104" s="37"/>
      <c r="BM104" s="29"/>
      <c r="BN104" s="29" t="b">
        <v>0</v>
      </c>
      <c r="BO104" s="22" t="str">
        <f t="shared" si="19"/>
        <v/>
      </c>
      <c r="BP104" s="7">
        <f>IF(ISBLANK(BL104), 0, VLOOKUP(BL104, 'Price Sheet'!$A$2:$B1015, 2, false))</f>
        <v>0</v>
      </c>
      <c r="BQ104" s="33" t="str">
        <f t="shared" si="20"/>
        <v/>
      </c>
    </row>
    <row r="105">
      <c r="B105" s="19">
        <f t="shared" si="1"/>
        <v>0</v>
      </c>
      <c r="C105" s="29"/>
      <c r="D105" s="29"/>
      <c r="E105" s="7" t="str">
        <f>IF(ISBLANK(D105), "", VLOOKUP(D105,'Crafting Tables'!$A$2:$B1015, 2, false))</f>
        <v/>
      </c>
      <c r="F105" s="7" t="str">
        <f>IFERROR(IF(E105 = "None", 1, VLOOKUP(C105,General!$A$5:$L$35, SWITCH(E105, "Basic", 8, "Advanced", 10, "Modern", 12), false)),"")</f>
        <v/>
      </c>
      <c r="G105" s="29"/>
      <c r="H105" s="7">
        <f>IFERROR(VLOOKUP(C105, General!$A$5:$L$35, 6, false) * G105 / 1000, 0)</f>
        <v>0</v>
      </c>
      <c r="I105" s="29"/>
      <c r="J105" s="22" t="str">
        <f>IFERROR(I105*VLOOKUP(D105,'Crafting Tables'!$1:$1000, 4, false)*F105,"")</f>
        <v/>
      </c>
      <c r="K105" s="29" t="b">
        <v>0</v>
      </c>
      <c r="L105" s="37"/>
      <c r="M105" s="29"/>
      <c r="N105" s="21" t="str">
        <f t="shared" si="2"/>
        <v/>
      </c>
      <c r="P105" s="37"/>
      <c r="Q105" s="29"/>
      <c r="R105" s="29" t="b">
        <v>0</v>
      </c>
      <c r="S105" s="22" t="str">
        <f t="shared" si="3"/>
        <v/>
      </c>
      <c r="T105" s="7">
        <f>IF(ISBLANK(P105), 0, VLOOKUP(P105, 'Price Sheet'!$A$2:$B1015, 2, false))</f>
        <v>0</v>
      </c>
      <c r="U105" s="33" t="str">
        <f t="shared" si="4"/>
        <v/>
      </c>
      <c r="V105" s="37"/>
      <c r="W105" s="29"/>
      <c r="X105" s="29" t="b">
        <v>0</v>
      </c>
      <c r="Y105" s="22" t="str">
        <f t="shared" si="5"/>
        <v/>
      </c>
      <c r="Z105" s="7">
        <f>IF(ISBLANK(V105), 0, VLOOKUP(V105, 'Price Sheet'!$A$2:$B1015, 2, false))</f>
        <v>0</v>
      </c>
      <c r="AA105" s="33" t="str">
        <f t="shared" si="6"/>
        <v/>
      </c>
      <c r="AB105" s="37"/>
      <c r="AC105" s="29"/>
      <c r="AD105" s="29" t="b">
        <v>0</v>
      </c>
      <c r="AE105" s="22" t="str">
        <f t="shared" si="7"/>
        <v/>
      </c>
      <c r="AF105" s="7">
        <f>IF(ISBLANK(AB105), 0, VLOOKUP(AB105, 'Price Sheet'!$A$2:$B1015, 2, false))</f>
        <v>0</v>
      </c>
      <c r="AG105" s="33" t="str">
        <f t="shared" si="8"/>
        <v/>
      </c>
      <c r="AH105" s="37"/>
      <c r="AI105" s="29"/>
      <c r="AJ105" s="29" t="b">
        <v>0</v>
      </c>
      <c r="AK105" s="22" t="str">
        <f t="shared" si="9"/>
        <v/>
      </c>
      <c r="AL105" s="7">
        <f>IF(ISBLANK(AH105), 0, VLOOKUP(AH105, 'Price Sheet'!$A$2:$B1015, 2, false))</f>
        <v>0</v>
      </c>
      <c r="AM105" s="33" t="str">
        <f t="shared" si="10"/>
        <v/>
      </c>
      <c r="AN105" s="37"/>
      <c r="AO105" s="29"/>
      <c r="AP105" s="29" t="b">
        <v>0</v>
      </c>
      <c r="AQ105" s="22" t="str">
        <f t="shared" si="11"/>
        <v/>
      </c>
      <c r="AR105" s="7">
        <f>IF(ISBLANK(AN105), 0, VLOOKUP(AN105, 'Price Sheet'!$A$2:$B1015, 2, false))</f>
        <v>0</v>
      </c>
      <c r="AS105" s="33" t="str">
        <f t="shared" si="12"/>
        <v/>
      </c>
      <c r="AT105" s="37"/>
      <c r="AU105" s="29"/>
      <c r="AV105" s="29" t="b">
        <v>0</v>
      </c>
      <c r="AW105" s="22" t="str">
        <f t="shared" si="13"/>
        <v/>
      </c>
      <c r="AX105" s="7">
        <f>IF(ISBLANK(AT105), 0, VLOOKUP(AT105, 'Price Sheet'!$A$2:$B1015, 2, false))</f>
        <v>0</v>
      </c>
      <c r="AY105" s="33" t="str">
        <f t="shared" si="14"/>
        <v/>
      </c>
      <c r="AZ105" s="37"/>
      <c r="BA105" s="29"/>
      <c r="BB105" s="29" t="b">
        <v>0</v>
      </c>
      <c r="BC105" s="22" t="str">
        <f t="shared" si="15"/>
        <v/>
      </c>
      <c r="BD105" s="7">
        <f>IF(ISBLANK(AZ105), 0, VLOOKUP(AZ105, 'Price Sheet'!$A$2:$B1015, 2, false))</f>
        <v>0</v>
      </c>
      <c r="BE105" s="33" t="str">
        <f t="shared" si="16"/>
        <v/>
      </c>
      <c r="BF105" s="37"/>
      <c r="BG105" s="29"/>
      <c r="BH105" s="29" t="b">
        <v>0</v>
      </c>
      <c r="BI105" s="22" t="str">
        <f t="shared" si="17"/>
        <v/>
      </c>
      <c r="BJ105" s="7">
        <f>IF(ISBLANK(BF105), 0, VLOOKUP(BF105, 'Price Sheet'!$A$2:$B1015, 2, false))</f>
        <v>0</v>
      </c>
      <c r="BK105" s="33" t="str">
        <f t="shared" si="18"/>
        <v/>
      </c>
      <c r="BL105" s="37"/>
      <c r="BM105" s="29"/>
      <c r="BN105" s="29" t="b">
        <v>0</v>
      </c>
      <c r="BO105" s="22" t="str">
        <f t="shared" si="19"/>
        <v/>
      </c>
      <c r="BP105" s="7">
        <f>IF(ISBLANK(BL105), 0, VLOOKUP(BL105, 'Price Sheet'!$A$2:$B1015, 2, false))</f>
        <v>0</v>
      </c>
      <c r="BQ105" s="33" t="str">
        <f t="shared" si="20"/>
        <v/>
      </c>
    </row>
    <row r="106">
      <c r="A106" s="7" t="s">
        <v>243</v>
      </c>
      <c r="B106" s="19">
        <f t="shared" si="1"/>
        <v>11.2</v>
      </c>
      <c r="C106" s="8" t="s">
        <v>170</v>
      </c>
      <c r="D106" s="8" t="s">
        <v>339</v>
      </c>
      <c r="E106" s="7" t="str">
        <f>IF(ISBLANK(D106), "", VLOOKUP(D106,'Crafting Tables'!$A$2:$B1015, 2, false))</f>
        <v>Modern</v>
      </c>
      <c r="F106" s="7">
        <f>IFERROR(IF(E106 = "None", 1, VLOOKUP(C106,General!$A$5:$L$35, SWITCH(E106, "Basic", 8, "Advanced", 10, "Modern", 12), false)),"")</f>
        <v>1</v>
      </c>
      <c r="G106" s="8">
        <v>180.0</v>
      </c>
      <c r="H106" s="7">
        <f>IFERROR(VLOOKUP(C106, General!$A$5:$L$35, 6, false) * G106 / 1000, 0)</f>
        <v>7.2</v>
      </c>
      <c r="I106" s="8">
        <v>30.0</v>
      </c>
      <c r="J106" s="22">
        <f>IFERROR(I106*VLOOKUP(D106,'Crafting Tables'!$1:$1000, 4, false)*F106,"")</f>
        <v>0</v>
      </c>
      <c r="K106" s="8" t="b">
        <v>1</v>
      </c>
      <c r="L106" s="32" t="s">
        <v>243</v>
      </c>
      <c r="M106" s="8">
        <v>1.0</v>
      </c>
      <c r="N106" s="21">
        <f t="shared" si="2"/>
        <v>11.2</v>
      </c>
      <c r="P106" s="32" t="s">
        <v>199</v>
      </c>
      <c r="Q106" s="8">
        <v>1.0</v>
      </c>
      <c r="R106" s="8" t="b">
        <v>0</v>
      </c>
      <c r="S106" s="22">
        <f t="shared" si="3"/>
        <v>1</v>
      </c>
      <c r="T106" s="19">
        <f>IF(ISBLANK(P106), 0, VLOOKUP(P106, 'Price Sheet'!$A$2:$B1015, 2, false))</f>
        <v>4</v>
      </c>
      <c r="U106" s="33">
        <f t="shared" si="4"/>
        <v>4</v>
      </c>
      <c r="V106" s="37"/>
      <c r="W106" s="29"/>
      <c r="X106" s="29" t="b">
        <v>0</v>
      </c>
      <c r="Y106" s="22" t="str">
        <f t="shared" si="5"/>
        <v/>
      </c>
      <c r="Z106" s="7">
        <f>IF(ISBLANK(V106), 0, VLOOKUP(V106, 'Price Sheet'!$A$2:$B1015, 2, false))</f>
        <v>0</v>
      </c>
      <c r="AA106" s="33" t="str">
        <f t="shared" si="6"/>
        <v/>
      </c>
      <c r="AB106" s="37"/>
      <c r="AC106" s="29"/>
      <c r="AD106" s="29" t="b">
        <v>0</v>
      </c>
      <c r="AE106" s="22" t="str">
        <f t="shared" si="7"/>
        <v/>
      </c>
      <c r="AF106" s="7">
        <f>IF(ISBLANK(AB106), 0, VLOOKUP(AB106, 'Price Sheet'!$A$2:$B1015, 2, false))</f>
        <v>0</v>
      </c>
      <c r="AG106" s="33" t="str">
        <f t="shared" si="8"/>
        <v/>
      </c>
      <c r="AH106" s="37"/>
      <c r="AI106" s="29"/>
      <c r="AJ106" s="29" t="b">
        <v>0</v>
      </c>
      <c r="AK106" s="22" t="str">
        <f t="shared" si="9"/>
        <v/>
      </c>
      <c r="AL106" s="7">
        <f>IF(ISBLANK(AH106), 0, VLOOKUP(AH106, 'Price Sheet'!$A$2:$B1015, 2, false))</f>
        <v>0</v>
      </c>
      <c r="AM106" s="33" t="str">
        <f t="shared" si="10"/>
        <v/>
      </c>
      <c r="AN106" s="37"/>
      <c r="AO106" s="29"/>
      <c r="AP106" s="29" t="b">
        <v>0</v>
      </c>
      <c r="AQ106" s="22" t="str">
        <f t="shared" si="11"/>
        <v/>
      </c>
      <c r="AR106" s="7">
        <f>IF(ISBLANK(AN106), 0, VLOOKUP(AN106, 'Price Sheet'!$A$2:$B1015, 2, false))</f>
        <v>0</v>
      </c>
      <c r="AS106" s="33" t="str">
        <f t="shared" si="12"/>
        <v/>
      </c>
      <c r="AT106" s="37"/>
      <c r="AU106" s="29"/>
      <c r="AV106" s="29" t="b">
        <v>0</v>
      </c>
      <c r="AW106" s="22" t="str">
        <f t="shared" si="13"/>
        <v/>
      </c>
      <c r="AX106" s="7">
        <f>IF(ISBLANK(AT106), 0, VLOOKUP(AT106, 'Price Sheet'!$A$2:$B1015, 2, false))</f>
        <v>0</v>
      </c>
      <c r="AY106" s="33" t="str">
        <f t="shared" si="14"/>
        <v/>
      </c>
      <c r="AZ106" s="37"/>
      <c r="BA106" s="29"/>
      <c r="BB106" s="29" t="b">
        <v>0</v>
      </c>
      <c r="BC106" s="22" t="str">
        <f t="shared" si="15"/>
        <v/>
      </c>
      <c r="BD106" s="7">
        <f>IF(ISBLANK(AZ106), 0, VLOOKUP(AZ106, 'Price Sheet'!$A$2:$B1015, 2, false))</f>
        <v>0</v>
      </c>
      <c r="BE106" s="33" t="str">
        <f t="shared" si="16"/>
        <v/>
      </c>
      <c r="BF106" s="37"/>
      <c r="BG106" s="29"/>
      <c r="BH106" s="29" t="b">
        <v>0</v>
      </c>
      <c r="BI106" s="22" t="str">
        <f t="shared" si="17"/>
        <v/>
      </c>
      <c r="BJ106" s="7">
        <f>IF(ISBLANK(BF106), 0, VLOOKUP(BF106, 'Price Sheet'!$A$2:$B1015, 2, false))</f>
        <v>0</v>
      </c>
      <c r="BK106" s="33" t="str">
        <f t="shared" si="18"/>
        <v/>
      </c>
      <c r="BL106" s="37"/>
      <c r="BM106" s="29"/>
      <c r="BN106" s="29" t="b">
        <v>0</v>
      </c>
      <c r="BO106" s="22" t="str">
        <f t="shared" si="19"/>
        <v/>
      </c>
      <c r="BP106" s="7">
        <f>IF(ISBLANK(BL106), 0, VLOOKUP(BL106, 'Price Sheet'!$A$2:$B1015, 2, false))</f>
        <v>0</v>
      </c>
      <c r="BQ106" s="33" t="str">
        <f t="shared" si="20"/>
        <v/>
      </c>
    </row>
    <row r="107">
      <c r="A107" s="7" t="s">
        <v>244</v>
      </c>
      <c r="B107" s="19">
        <f t="shared" si="1"/>
        <v>13.6</v>
      </c>
      <c r="C107" s="8" t="s">
        <v>170</v>
      </c>
      <c r="D107" s="8" t="s">
        <v>337</v>
      </c>
      <c r="E107" s="7" t="str">
        <f>IF(ISBLANK(D107), "", VLOOKUP(D107,'Crafting Tables'!$A$2:$B1015, 2, false))</f>
        <v>None</v>
      </c>
      <c r="F107" s="7">
        <f>IFERROR(IF(E107 = "None", 1, VLOOKUP(C107,General!$A$5:$L$35, SWITCH(E107, "Basic", 8, "Advanced", 10, "Modern", 12), false)),"")</f>
        <v>1</v>
      </c>
      <c r="G107" s="8">
        <v>60.0</v>
      </c>
      <c r="H107" s="7">
        <f>IFERROR(VLOOKUP(C107, General!$A$5:$L$35, 6, false) * G107 / 1000, 0)</f>
        <v>2.4</v>
      </c>
      <c r="I107" s="8">
        <v>600.0</v>
      </c>
      <c r="J107" s="22">
        <f>IFERROR(I107*VLOOKUP(D107,'Crafting Tables'!$1:$1000, 4, false)*F107,"")</f>
        <v>0</v>
      </c>
      <c r="K107" s="8" t="b">
        <v>1</v>
      </c>
      <c r="L107" s="32" t="s">
        <v>244</v>
      </c>
      <c r="M107" s="8">
        <v>1.0</v>
      </c>
      <c r="N107" s="21">
        <f t="shared" si="2"/>
        <v>13.6</v>
      </c>
      <c r="P107" s="32" t="s">
        <v>243</v>
      </c>
      <c r="Q107" s="8">
        <v>1.0</v>
      </c>
      <c r="R107" s="8" t="b">
        <v>1</v>
      </c>
      <c r="S107" s="22">
        <f t="shared" si="3"/>
        <v>1</v>
      </c>
      <c r="T107" s="19">
        <f>IF(ISBLANK(P107), 0, VLOOKUP(P107, 'Price Sheet'!$A$2:$B1015, 2, false))</f>
        <v>11.2</v>
      </c>
      <c r="U107" s="33">
        <f t="shared" si="4"/>
        <v>11.2</v>
      </c>
      <c r="V107" s="37"/>
      <c r="W107" s="29"/>
      <c r="X107" s="29" t="b">
        <v>0</v>
      </c>
      <c r="Y107" s="22" t="str">
        <f t="shared" si="5"/>
        <v/>
      </c>
      <c r="Z107" s="7">
        <f>IF(ISBLANK(V107), 0, VLOOKUP(V107, 'Price Sheet'!$A$2:$B1015, 2, false))</f>
        <v>0</v>
      </c>
      <c r="AA107" s="33" t="str">
        <f t="shared" si="6"/>
        <v/>
      </c>
      <c r="AB107" s="37"/>
      <c r="AC107" s="29"/>
      <c r="AD107" s="29" t="b">
        <v>0</v>
      </c>
      <c r="AE107" s="22" t="str">
        <f t="shared" si="7"/>
        <v/>
      </c>
      <c r="AF107" s="7">
        <f>IF(ISBLANK(AB107), 0, VLOOKUP(AB107, 'Price Sheet'!$A$2:$B1015, 2, false))</f>
        <v>0</v>
      </c>
      <c r="AG107" s="33" t="str">
        <f t="shared" si="8"/>
        <v/>
      </c>
      <c r="AH107" s="37"/>
      <c r="AI107" s="29"/>
      <c r="AJ107" s="29" t="b">
        <v>0</v>
      </c>
      <c r="AK107" s="22" t="str">
        <f t="shared" si="9"/>
        <v/>
      </c>
      <c r="AL107" s="7">
        <f>IF(ISBLANK(AH107), 0, VLOOKUP(AH107, 'Price Sheet'!$A$2:$B1015, 2, false))</f>
        <v>0</v>
      </c>
      <c r="AM107" s="33" t="str">
        <f t="shared" si="10"/>
        <v/>
      </c>
      <c r="AN107" s="37"/>
      <c r="AO107" s="29"/>
      <c r="AP107" s="29" t="b">
        <v>0</v>
      </c>
      <c r="AQ107" s="22" t="str">
        <f t="shared" si="11"/>
        <v/>
      </c>
      <c r="AR107" s="7">
        <f>IF(ISBLANK(AN107), 0, VLOOKUP(AN107, 'Price Sheet'!$A$2:$B1015, 2, false))</f>
        <v>0</v>
      </c>
      <c r="AS107" s="33" t="str">
        <f t="shared" si="12"/>
        <v/>
      </c>
      <c r="AT107" s="37"/>
      <c r="AU107" s="29"/>
      <c r="AV107" s="29" t="b">
        <v>0</v>
      </c>
      <c r="AW107" s="22" t="str">
        <f t="shared" si="13"/>
        <v/>
      </c>
      <c r="AX107" s="7">
        <f>IF(ISBLANK(AT107), 0, VLOOKUP(AT107, 'Price Sheet'!$A$2:$B1015, 2, false))</f>
        <v>0</v>
      </c>
      <c r="AY107" s="33" t="str">
        <f t="shared" si="14"/>
        <v/>
      </c>
      <c r="AZ107" s="37"/>
      <c r="BA107" s="29"/>
      <c r="BB107" s="29" t="b">
        <v>0</v>
      </c>
      <c r="BC107" s="22" t="str">
        <f t="shared" si="15"/>
        <v/>
      </c>
      <c r="BD107" s="7">
        <f>IF(ISBLANK(AZ107), 0, VLOOKUP(AZ107, 'Price Sheet'!$A$2:$B1015, 2, false))</f>
        <v>0</v>
      </c>
      <c r="BE107" s="33" t="str">
        <f t="shared" si="16"/>
        <v/>
      </c>
      <c r="BF107" s="37"/>
      <c r="BG107" s="29"/>
      <c r="BH107" s="29" t="b">
        <v>0</v>
      </c>
      <c r="BI107" s="22" t="str">
        <f t="shared" si="17"/>
        <v/>
      </c>
      <c r="BJ107" s="7">
        <f>IF(ISBLANK(BF107), 0, VLOOKUP(BF107, 'Price Sheet'!$A$2:$B1015, 2, false))</f>
        <v>0</v>
      </c>
      <c r="BK107" s="33" t="str">
        <f t="shared" si="18"/>
        <v/>
      </c>
      <c r="BL107" s="37"/>
      <c r="BM107" s="29"/>
      <c r="BN107" s="29" t="b">
        <v>0</v>
      </c>
      <c r="BO107" s="22" t="str">
        <f t="shared" si="19"/>
        <v/>
      </c>
      <c r="BP107" s="7">
        <f>IF(ISBLANK(BL107), 0, VLOOKUP(BL107, 'Price Sheet'!$A$2:$B1015, 2, false))</f>
        <v>0</v>
      </c>
      <c r="BQ107" s="33" t="str">
        <f t="shared" si="20"/>
        <v/>
      </c>
    </row>
    <row r="108">
      <c r="A108" s="7" t="s">
        <v>246</v>
      </c>
      <c r="B108" s="19">
        <f t="shared" si="1"/>
        <v>30.69</v>
      </c>
      <c r="C108" s="8" t="s">
        <v>170</v>
      </c>
      <c r="D108" s="8" t="s">
        <v>342</v>
      </c>
      <c r="E108" s="7" t="str">
        <f>IF(ISBLANK(D108), "", VLOOKUP(D108,'Crafting Tables'!$A$2:$B1015, 2, false))</f>
        <v>Modern</v>
      </c>
      <c r="F108" s="7">
        <f>IFERROR(IF(E108 = "None", 1, VLOOKUP(C108,General!$A$5:$L$35, SWITCH(E108, "Basic", 8, "Advanced", 10, "Modern", 12), false)),"")</f>
        <v>1</v>
      </c>
      <c r="G108" s="8">
        <v>60.0</v>
      </c>
      <c r="H108" s="7">
        <f>IFERROR(VLOOKUP(C108, General!$A$5:$L$35, 6, false) * G108 / 1000, 0)</f>
        <v>2.4</v>
      </c>
      <c r="I108" s="8">
        <v>48.0</v>
      </c>
      <c r="J108" s="22">
        <f>IFERROR(I108*VLOOKUP(D108,'Crafting Tables'!$1:$1000, 4, false)*F108,"")</f>
        <v>0.09</v>
      </c>
      <c r="K108" s="8" t="b">
        <v>1</v>
      </c>
      <c r="L108" s="32" t="s">
        <v>246</v>
      </c>
      <c r="M108" s="8">
        <v>1.0</v>
      </c>
      <c r="N108" s="21">
        <f t="shared" si="2"/>
        <v>30.69</v>
      </c>
      <c r="P108" s="32" t="s">
        <v>243</v>
      </c>
      <c r="Q108" s="8">
        <v>1.0</v>
      </c>
      <c r="R108" s="8" t="b">
        <v>1</v>
      </c>
      <c r="S108" s="22">
        <f t="shared" si="3"/>
        <v>1</v>
      </c>
      <c r="T108" s="19">
        <f>IF(ISBLANK(P108), 0, VLOOKUP(P108, 'Price Sheet'!$A$2:$B1015, 2, false))</f>
        <v>11.2</v>
      </c>
      <c r="U108" s="33">
        <f t="shared" si="4"/>
        <v>11.2</v>
      </c>
      <c r="V108" s="32" t="s">
        <v>254</v>
      </c>
      <c r="W108" s="8">
        <v>4.0</v>
      </c>
      <c r="X108" s="29" t="b">
        <v>0</v>
      </c>
      <c r="Y108" s="22">
        <f t="shared" si="5"/>
        <v>4</v>
      </c>
      <c r="Z108" s="19">
        <f>IF(ISBLANK(V108), 0, VLOOKUP(V108, 'Price Sheet'!$A$2:$B1015, 2, false))</f>
        <v>3</v>
      </c>
      <c r="AA108" s="33">
        <f t="shared" si="6"/>
        <v>12</v>
      </c>
      <c r="AB108" s="32" t="s">
        <v>253</v>
      </c>
      <c r="AC108" s="8">
        <v>5.0</v>
      </c>
      <c r="AD108" s="29" t="b">
        <v>0</v>
      </c>
      <c r="AE108" s="22">
        <f t="shared" si="7"/>
        <v>5</v>
      </c>
      <c r="AF108" s="19">
        <f>IF(ISBLANK(AB108), 0, VLOOKUP(AB108, 'Price Sheet'!$A$2:$B1015, 2, false))</f>
        <v>1</v>
      </c>
      <c r="AG108" s="33">
        <f t="shared" si="8"/>
        <v>5</v>
      </c>
      <c r="AH108" s="37"/>
      <c r="AI108" s="29"/>
      <c r="AJ108" s="29" t="b">
        <v>0</v>
      </c>
      <c r="AK108" s="22" t="str">
        <f t="shared" si="9"/>
        <v/>
      </c>
      <c r="AL108" s="7">
        <f>IF(ISBLANK(AH108), 0, VLOOKUP(AH108, 'Price Sheet'!$A$2:$B1015, 2, false))</f>
        <v>0</v>
      </c>
      <c r="AM108" s="33" t="str">
        <f t="shared" si="10"/>
        <v/>
      </c>
      <c r="AN108" s="37"/>
      <c r="AO108" s="29"/>
      <c r="AP108" s="29" t="b">
        <v>0</v>
      </c>
      <c r="AQ108" s="22" t="str">
        <f t="shared" si="11"/>
        <v/>
      </c>
      <c r="AR108" s="7">
        <f>IF(ISBLANK(AN108), 0, VLOOKUP(AN108, 'Price Sheet'!$A$2:$B1015, 2, false))</f>
        <v>0</v>
      </c>
      <c r="AS108" s="33" t="str">
        <f t="shared" si="12"/>
        <v/>
      </c>
      <c r="AT108" s="37"/>
      <c r="AU108" s="29"/>
      <c r="AV108" s="29" t="b">
        <v>0</v>
      </c>
      <c r="AW108" s="22" t="str">
        <f t="shared" si="13"/>
        <v/>
      </c>
      <c r="AX108" s="7">
        <f>IF(ISBLANK(AT108), 0, VLOOKUP(AT108, 'Price Sheet'!$A$2:$B1015, 2, false))</f>
        <v>0</v>
      </c>
      <c r="AY108" s="33" t="str">
        <f t="shared" si="14"/>
        <v/>
      </c>
      <c r="AZ108" s="37"/>
      <c r="BA108" s="29"/>
      <c r="BB108" s="29" t="b">
        <v>0</v>
      </c>
      <c r="BC108" s="22" t="str">
        <f t="shared" si="15"/>
        <v/>
      </c>
      <c r="BD108" s="7">
        <f>IF(ISBLANK(AZ108), 0, VLOOKUP(AZ108, 'Price Sheet'!$A$2:$B1015, 2, false))</f>
        <v>0</v>
      </c>
      <c r="BE108" s="33" t="str">
        <f t="shared" si="16"/>
        <v/>
      </c>
      <c r="BF108" s="37"/>
      <c r="BG108" s="29"/>
      <c r="BH108" s="29" t="b">
        <v>0</v>
      </c>
      <c r="BI108" s="22" t="str">
        <f t="shared" si="17"/>
        <v/>
      </c>
      <c r="BJ108" s="7">
        <f>IF(ISBLANK(BF108), 0, VLOOKUP(BF108, 'Price Sheet'!$A$2:$B1015, 2, false))</f>
        <v>0</v>
      </c>
      <c r="BK108" s="33" t="str">
        <f t="shared" si="18"/>
        <v/>
      </c>
      <c r="BL108" s="37"/>
      <c r="BM108" s="29"/>
      <c r="BN108" s="29" t="b">
        <v>0</v>
      </c>
      <c r="BO108" s="22" t="str">
        <f t="shared" si="19"/>
        <v/>
      </c>
      <c r="BP108" s="7">
        <f>IF(ISBLANK(BL108), 0, VLOOKUP(BL108, 'Price Sheet'!$A$2:$B1015, 2, false))</f>
        <v>0</v>
      </c>
      <c r="BQ108" s="33" t="str">
        <f t="shared" si="20"/>
        <v/>
      </c>
    </row>
    <row r="109">
      <c r="A109" s="7" t="s">
        <v>248</v>
      </c>
      <c r="B109" s="19">
        <f t="shared" si="1"/>
        <v>28.16875</v>
      </c>
      <c r="C109" s="8" t="s">
        <v>170</v>
      </c>
      <c r="D109" s="8" t="s">
        <v>342</v>
      </c>
      <c r="E109" s="7" t="str">
        <f>IF(ISBLANK(D109), "", VLOOKUP(D109,'Crafting Tables'!$A$2:$B1015, 2, false))</f>
        <v>Modern</v>
      </c>
      <c r="F109" s="7">
        <f>IFERROR(IF(E109 = "None", 1, VLOOKUP(C109,General!$A$5:$L$35, SWITCH(E109, "Basic", 8, "Advanced", 10, "Modern", 12), false)),"")</f>
        <v>1</v>
      </c>
      <c r="G109" s="8">
        <v>180.0</v>
      </c>
      <c r="H109" s="7">
        <f>IFERROR(VLOOKUP(C109, General!$A$5:$L$35, 6, false) * G109 / 1000, 0)</f>
        <v>7.2</v>
      </c>
      <c r="I109" s="8">
        <v>90.0</v>
      </c>
      <c r="J109" s="22">
        <f>IFERROR(I109*VLOOKUP(D109,'Crafting Tables'!$1:$1000, 4, false)*F109,"")</f>
        <v>0.16875</v>
      </c>
      <c r="K109" s="8" t="b">
        <v>1</v>
      </c>
      <c r="L109" s="32" t="s">
        <v>248</v>
      </c>
      <c r="M109" s="8">
        <v>2.0</v>
      </c>
      <c r="N109" s="21">
        <f t="shared" si="2"/>
        <v>14.084375</v>
      </c>
      <c r="P109" s="32" t="s">
        <v>244</v>
      </c>
      <c r="Q109" s="8">
        <v>4.0</v>
      </c>
      <c r="R109" s="29" t="b">
        <v>0</v>
      </c>
      <c r="S109" s="22">
        <f t="shared" si="3"/>
        <v>4</v>
      </c>
      <c r="T109" s="19">
        <f>IF(ISBLANK(P109), 0, VLOOKUP(P109, 'Price Sheet'!$A$2:$B1015, 2, false))</f>
        <v>13.6</v>
      </c>
      <c r="U109" s="33">
        <f t="shared" si="4"/>
        <v>54.4</v>
      </c>
      <c r="V109" s="32" t="s">
        <v>243</v>
      </c>
      <c r="W109" s="8">
        <v>-3.0</v>
      </c>
      <c r="X109" s="29" t="b">
        <v>0</v>
      </c>
      <c r="Y109" s="22">
        <f t="shared" si="5"/>
        <v>-3</v>
      </c>
      <c r="Z109" s="19">
        <f>IF(ISBLANK(V109), 0, VLOOKUP(V109, 'Price Sheet'!$A$2:$B1015, 2, false))</f>
        <v>11.2</v>
      </c>
      <c r="AA109" s="33">
        <f t="shared" si="6"/>
        <v>-33.6</v>
      </c>
      <c r="AB109" s="37"/>
      <c r="AC109" s="29"/>
      <c r="AD109" s="29" t="b">
        <v>0</v>
      </c>
      <c r="AE109" s="22" t="str">
        <f t="shared" si="7"/>
        <v/>
      </c>
      <c r="AF109" s="7">
        <f>IF(ISBLANK(AB109), 0, VLOOKUP(AB109, 'Price Sheet'!$A$2:$B1015, 2, false))</f>
        <v>0</v>
      </c>
      <c r="AG109" s="33" t="str">
        <f t="shared" si="8"/>
        <v/>
      </c>
      <c r="AH109" s="37"/>
      <c r="AI109" s="29"/>
      <c r="AJ109" s="29" t="b">
        <v>0</v>
      </c>
      <c r="AK109" s="22" t="str">
        <f t="shared" si="9"/>
        <v/>
      </c>
      <c r="AL109" s="7">
        <f>IF(ISBLANK(AH109), 0, VLOOKUP(AH109, 'Price Sheet'!$A$2:$B1015, 2, false))</f>
        <v>0</v>
      </c>
      <c r="AM109" s="33" t="str">
        <f t="shared" si="10"/>
        <v/>
      </c>
      <c r="AN109" s="37"/>
      <c r="AO109" s="29"/>
      <c r="AP109" s="29" t="b">
        <v>0</v>
      </c>
      <c r="AQ109" s="22" t="str">
        <f t="shared" si="11"/>
        <v/>
      </c>
      <c r="AR109" s="7">
        <f>IF(ISBLANK(AN109), 0, VLOOKUP(AN109, 'Price Sheet'!$A$2:$B1015, 2, false))</f>
        <v>0</v>
      </c>
      <c r="AS109" s="33" t="str">
        <f t="shared" si="12"/>
        <v/>
      </c>
      <c r="AT109" s="37"/>
      <c r="AU109" s="29"/>
      <c r="AV109" s="29" t="b">
        <v>0</v>
      </c>
      <c r="AW109" s="22" t="str">
        <f t="shared" si="13"/>
        <v/>
      </c>
      <c r="AX109" s="7">
        <f>IF(ISBLANK(AT109), 0, VLOOKUP(AT109, 'Price Sheet'!$A$2:$B1015, 2, false))</f>
        <v>0</v>
      </c>
      <c r="AY109" s="33" t="str">
        <f t="shared" si="14"/>
        <v/>
      </c>
      <c r="AZ109" s="37"/>
      <c r="BA109" s="29"/>
      <c r="BB109" s="29" t="b">
        <v>0</v>
      </c>
      <c r="BC109" s="22" t="str">
        <f t="shared" si="15"/>
        <v/>
      </c>
      <c r="BD109" s="7">
        <f>IF(ISBLANK(AZ109), 0, VLOOKUP(AZ109, 'Price Sheet'!$A$2:$B1015, 2, false))</f>
        <v>0</v>
      </c>
      <c r="BE109" s="33" t="str">
        <f t="shared" si="16"/>
        <v/>
      </c>
      <c r="BF109" s="37"/>
      <c r="BG109" s="29"/>
      <c r="BH109" s="29" t="b">
        <v>0</v>
      </c>
      <c r="BI109" s="22" t="str">
        <f t="shared" si="17"/>
        <v/>
      </c>
      <c r="BJ109" s="7">
        <f>IF(ISBLANK(BF109), 0, VLOOKUP(BF109, 'Price Sheet'!$A$2:$B1015, 2, false))</f>
        <v>0</v>
      </c>
      <c r="BK109" s="33" t="str">
        <f t="shared" si="18"/>
        <v/>
      </c>
      <c r="BL109" s="37"/>
      <c r="BM109" s="29"/>
      <c r="BN109" s="29" t="b">
        <v>0</v>
      </c>
      <c r="BO109" s="22" t="str">
        <f t="shared" si="19"/>
        <v/>
      </c>
      <c r="BP109" s="7">
        <f>IF(ISBLANK(BL109), 0, VLOOKUP(BL109, 'Price Sheet'!$A$2:$B1015, 2, false))</f>
        <v>0</v>
      </c>
      <c r="BQ109" s="33" t="str">
        <f t="shared" si="20"/>
        <v/>
      </c>
    </row>
    <row r="110">
      <c r="A110" s="7" t="s">
        <v>249</v>
      </c>
      <c r="B110" s="19">
        <f t="shared" si="1"/>
        <v>59.29</v>
      </c>
      <c r="C110" s="8" t="s">
        <v>170</v>
      </c>
      <c r="D110" s="8" t="s">
        <v>342</v>
      </c>
      <c r="E110" s="7" t="str">
        <f>IF(ISBLANK(D110), "", VLOOKUP(D110,'Crafting Tables'!$A$2:$B1015, 2, false))</f>
        <v>Modern</v>
      </c>
      <c r="F110" s="7">
        <f>IFERROR(IF(E110 = "None", 1, VLOOKUP(C110,General!$A$5:$L$35, SWITCH(E110, "Basic", 8, "Advanced", 10, "Modern", 12), false)),"")</f>
        <v>1</v>
      </c>
      <c r="G110" s="8">
        <v>120.0</v>
      </c>
      <c r="H110" s="7">
        <f>IFERROR(VLOOKUP(C110, General!$A$5:$L$35, 6, false) * G110 / 1000, 0)</f>
        <v>4.8</v>
      </c>
      <c r="I110" s="8">
        <v>48.0</v>
      </c>
      <c r="J110" s="22">
        <f>IFERROR(I110*VLOOKUP(D110,'Crafting Tables'!$1:$1000, 4, false)*F110,"")</f>
        <v>0.09</v>
      </c>
      <c r="K110" s="8" t="b">
        <v>1</v>
      </c>
      <c r="L110" s="32" t="s">
        <v>249</v>
      </c>
      <c r="M110" s="8">
        <v>1.0</v>
      </c>
      <c r="N110" s="21">
        <f t="shared" si="2"/>
        <v>59.29</v>
      </c>
      <c r="P110" s="32" t="s">
        <v>244</v>
      </c>
      <c r="Q110" s="8">
        <v>4.0</v>
      </c>
      <c r="R110" s="29" t="b">
        <v>0</v>
      </c>
      <c r="S110" s="22">
        <f t="shared" si="3"/>
        <v>4</v>
      </c>
      <c r="T110" s="19">
        <f>IF(ISBLANK(P110), 0, VLOOKUP(P110, 'Price Sheet'!$A$2:$B1015, 2, false))</f>
        <v>13.6</v>
      </c>
      <c r="U110" s="33">
        <f t="shared" si="4"/>
        <v>54.4</v>
      </c>
      <c r="V110" s="37"/>
      <c r="W110" s="29"/>
      <c r="X110" s="29" t="b">
        <v>0</v>
      </c>
      <c r="Y110" s="22" t="str">
        <f t="shared" si="5"/>
        <v/>
      </c>
      <c r="Z110" s="7">
        <f>IF(ISBLANK(V110), 0, VLOOKUP(V110, 'Price Sheet'!$A$2:$B1015, 2, false))</f>
        <v>0</v>
      </c>
      <c r="AA110" s="33" t="str">
        <f t="shared" si="6"/>
        <v/>
      </c>
      <c r="AB110" s="37"/>
      <c r="AC110" s="29"/>
      <c r="AD110" s="29" t="b">
        <v>0</v>
      </c>
      <c r="AE110" s="22" t="str">
        <f t="shared" si="7"/>
        <v/>
      </c>
      <c r="AF110" s="7">
        <f>IF(ISBLANK(AB110), 0, VLOOKUP(AB110, 'Price Sheet'!$A$2:$B1015, 2, false))</f>
        <v>0</v>
      </c>
      <c r="AG110" s="33" t="str">
        <f t="shared" si="8"/>
        <v/>
      </c>
      <c r="AH110" s="37"/>
      <c r="AI110" s="29"/>
      <c r="AJ110" s="29" t="b">
        <v>0</v>
      </c>
      <c r="AK110" s="22" t="str">
        <f t="shared" si="9"/>
        <v/>
      </c>
      <c r="AL110" s="7">
        <f>IF(ISBLANK(AH110), 0, VLOOKUP(AH110, 'Price Sheet'!$A$2:$B1015, 2, false))</f>
        <v>0</v>
      </c>
      <c r="AM110" s="33" t="str">
        <f t="shared" si="10"/>
        <v/>
      </c>
      <c r="AN110" s="37"/>
      <c r="AO110" s="29"/>
      <c r="AP110" s="29" t="b">
        <v>0</v>
      </c>
      <c r="AQ110" s="22" t="str">
        <f t="shared" si="11"/>
        <v/>
      </c>
      <c r="AR110" s="7">
        <f>IF(ISBLANK(AN110), 0, VLOOKUP(AN110, 'Price Sheet'!$A$2:$B1015, 2, false))</f>
        <v>0</v>
      </c>
      <c r="AS110" s="33" t="str">
        <f t="shared" si="12"/>
        <v/>
      </c>
      <c r="AT110" s="37"/>
      <c r="AU110" s="29"/>
      <c r="AV110" s="29" t="b">
        <v>0</v>
      </c>
      <c r="AW110" s="22" t="str">
        <f t="shared" si="13"/>
        <v/>
      </c>
      <c r="AX110" s="7">
        <f>IF(ISBLANK(AT110), 0, VLOOKUP(AT110, 'Price Sheet'!$A$2:$B1015, 2, false))</f>
        <v>0</v>
      </c>
      <c r="AY110" s="33" t="str">
        <f t="shared" si="14"/>
        <v/>
      </c>
      <c r="AZ110" s="37"/>
      <c r="BA110" s="29"/>
      <c r="BB110" s="29" t="b">
        <v>0</v>
      </c>
      <c r="BC110" s="22" t="str">
        <f t="shared" si="15"/>
        <v/>
      </c>
      <c r="BD110" s="7">
        <f>IF(ISBLANK(AZ110), 0, VLOOKUP(AZ110, 'Price Sheet'!$A$2:$B1015, 2, false))</f>
        <v>0</v>
      </c>
      <c r="BE110" s="33" t="str">
        <f t="shared" si="16"/>
        <v/>
      </c>
      <c r="BF110" s="37"/>
      <c r="BG110" s="29"/>
      <c r="BH110" s="29" t="b">
        <v>0</v>
      </c>
      <c r="BI110" s="22" t="str">
        <f t="shared" si="17"/>
        <v/>
      </c>
      <c r="BJ110" s="7">
        <f>IF(ISBLANK(BF110), 0, VLOOKUP(BF110, 'Price Sheet'!$A$2:$B1015, 2, false))</f>
        <v>0</v>
      </c>
      <c r="BK110" s="33" t="str">
        <f t="shared" si="18"/>
        <v/>
      </c>
      <c r="BL110" s="37"/>
      <c r="BM110" s="29"/>
      <c r="BN110" s="29" t="b">
        <v>0</v>
      </c>
      <c r="BO110" s="22" t="str">
        <f t="shared" si="19"/>
        <v/>
      </c>
      <c r="BP110" s="7">
        <f>IF(ISBLANK(BL110), 0, VLOOKUP(BL110, 'Price Sheet'!$A$2:$B1015, 2, false))</f>
        <v>0</v>
      </c>
      <c r="BQ110" s="33" t="str">
        <f t="shared" si="20"/>
        <v/>
      </c>
    </row>
    <row r="111">
      <c r="A111" s="7" t="s">
        <v>250</v>
      </c>
      <c r="B111" s="19">
        <f t="shared" si="1"/>
        <v>28.16875</v>
      </c>
      <c r="C111" s="8" t="s">
        <v>170</v>
      </c>
      <c r="D111" s="8" t="s">
        <v>342</v>
      </c>
      <c r="E111" s="7" t="str">
        <f>IF(ISBLANK(D111), "", VLOOKUP(D111,'Crafting Tables'!$A$2:$B1015, 2, false))</f>
        <v>Modern</v>
      </c>
      <c r="F111" s="7">
        <f>IFERROR(IF(E111 = "None", 1, VLOOKUP(C111,General!$A$5:$L$35, SWITCH(E111, "Basic", 8, "Advanced", 10, "Modern", 12), false)),"")</f>
        <v>1</v>
      </c>
      <c r="G111" s="8">
        <v>180.0</v>
      </c>
      <c r="H111" s="7">
        <f>IFERROR(VLOOKUP(C111, General!$A$5:$L$35, 6, false) * G111 / 1000, 0)</f>
        <v>7.2</v>
      </c>
      <c r="I111" s="8">
        <v>90.0</v>
      </c>
      <c r="J111" s="22">
        <f>IFERROR(I111*VLOOKUP(D111,'Crafting Tables'!$1:$1000, 4, false)*F111,"")</f>
        <v>0.16875</v>
      </c>
      <c r="K111" s="8" t="b">
        <v>1</v>
      </c>
      <c r="L111" s="32" t="s">
        <v>250</v>
      </c>
      <c r="M111" s="8">
        <v>8.0</v>
      </c>
      <c r="N111" s="21">
        <f t="shared" si="2"/>
        <v>3.52109375</v>
      </c>
      <c r="P111" s="32" t="s">
        <v>244</v>
      </c>
      <c r="Q111" s="8">
        <v>4.0</v>
      </c>
      <c r="R111" s="29" t="b">
        <v>0</v>
      </c>
      <c r="S111" s="22">
        <f t="shared" si="3"/>
        <v>4</v>
      </c>
      <c r="T111" s="19">
        <f>IF(ISBLANK(P111), 0, VLOOKUP(P111, 'Price Sheet'!$A$2:$B1015, 2, false))</f>
        <v>13.6</v>
      </c>
      <c r="U111" s="33">
        <f t="shared" si="4"/>
        <v>54.4</v>
      </c>
      <c r="V111" s="32" t="s">
        <v>243</v>
      </c>
      <c r="W111" s="8">
        <v>-3.0</v>
      </c>
      <c r="X111" s="29" t="b">
        <v>0</v>
      </c>
      <c r="Y111" s="22">
        <f t="shared" si="5"/>
        <v>-3</v>
      </c>
      <c r="Z111" s="19">
        <f>IF(ISBLANK(V111), 0, VLOOKUP(V111, 'Price Sheet'!$A$2:$B1015, 2, false))</f>
        <v>11.2</v>
      </c>
      <c r="AA111" s="33">
        <f t="shared" si="6"/>
        <v>-33.6</v>
      </c>
      <c r="AB111" s="37"/>
      <c r="AC111" s="29"/>
      <c r="AD111" s="29" t="b">
        <v>0</v>
      </c>
      <c r="AE111" s="22" t="str">
        <f t="shared" si="7"/>
        <v/>
      </c>
      <c r="AF111" s="7">
        <f>IF(ISBLANK(AB111), 0, VLOOKUP(AB111, 'Price Sheet'!$A$2:$B1015, 2, false))</f>
        <v>0</v>
      </c>
      <c r="AG111" s="33" t="str">
        <f t="shared" si="8"/>
        <v/>
      </c>
      <c r="AH111" s="37"/>
      <c r="AI111" s="29"/>
      <c r="AJ111" s="29" t="b">
        <v>0</v>
      </c>
      <c r="AK111" s="22" t="str">
        <f t="shared" si="9"/>
        <v/>
      </c>
      <c r="AL111" s="7">
        <f>IF(ISBLANK(AH111), 0, VLOOKUP(AH111, 'Price Sheet'!$A$2:$B1015, 2, false))</f>
        <v>0</v>
      </c>
      <c r="AM111" s="33" t="str">
        <f t="shared" si="10"/>
        <v/>
      </c>
      <c r="AN111" s="37"/>
      <c r="AO111" s="29"/>
      <c r="AP111" s="29" t="b">
        <v>0</v>
      </c>
      <c r="AQ111" s="22" t="str">
        <f t="shared" si="11"/>
        <v/>
      </c>
      <c r="AR111" s="7">
        <f>IF(ISBLANK(AN111), 0, VLOOKUP(AN111, 'Price Sheet'!$A$2:$B1015, 2, false))</f>
        <v>0</v>
      </c>
      <c r="AS111" s="33" t="str">
        <f t="shared" si="12"/>
        <v/>
      </c>
      <c r="AT111" s="37"/>
      <c r="AU111" s="29"/>
      <c r="AV111" s="29" t="b">
        <v>0</v>
      </c>
      <c r="AW111" s="22" t="str">
        <f t="shared" si="13"/>
        <v/>
      </c>
      <c r="AX111" s="7">
        <f>IF(ISBLANK(AT111), 0, VLOOKUP(AT111, 'Price Sheet'!$A$2:$B1015, 2, false))</f>
        <v>0</v>
      </c>
      <c r="AY111" s="33" t="str">
        <f t="shared" si="14"/>
        <v/>
      </c>
      <c r="AZ111" s="37"/>
      <c r="BA111" s="29"/>
      <c r="BB111" s="29" t="b">
        <v>0</v>
      </c>
      <c r="BC111" s="22" t="str">
        <f t="shared" si="15"/>
        <v/>
      </c>
      <c r="BD111" s="7">
        <f>IF(ISBLANK(AZ111), 0, VLOOKUP(AZ111, 'Price Sheet'!$A$2:$B1015, 2, false))</f>
        <v>0</v>
      </c>
      <c r="BE111" s="33" t="str">
        <f t="shared" si="16"/>
        <v/>
      </c>
      <c r="BF111" s="37"/>
      <c r="BG111" s="29"/>
      <c r="BH111" s="29" t="b">
        <v>0</v>
      </c>
      <c r="BI111" s="22" t="str">
        <f t="shared" si="17"/>
        <v/>
      </c>
      <c r="BJ111" s="7">
        <f>IF(ISBLANK(BF111), 0, VLOOKUP(BF111, 'Price Sheet'!$A$2:$B1015, 2, false))</f>
        <v>0</v>
      </c>
      <c r="BK111" s="33" t="str">
        <f t="shared" si="18"/>
        <v/>
      </c>
      <c r="BL111" s="37"/>
      <c r="BM111" s="29"/>
      <c r="BN111" s="29" t="b">
        <v>0</v>
      </c>
      <c r="BO111" s="22" t="str">
        <f t="shared" si="19"/>
        <v/>
      </c>
      <c r="BP111" s="7">
        <f>IF(ISBLANK(BL111), 0, VLOOKUP(BL111, 'Price Sheet'!$A$2:$B1015, 2, false))</f>
        <v>0</v>
      </c>
      <c r="BQ111" s="33" t="str">
        <f t="shared" si="20"/>
        <v/>
      </c>
    </row>
    <row r="112">
      <c r="A112" s="7" t="s">
        <v>251</v>
      </c>
      <c r="B112" s="19">
        <f t="shared" si="1"/>
        <v>28.16875</v>
      </c>
      <c r="C112" s="8" t="s">
        <v>170</v>
      </c>
      <c r="D112" s="8" t="s">
        <v>342</v>
      </c>
      <c r="E112" s="7" t="str">
        <f>IF(ISBLANK(D112), "", VLOOKUP(D112,'Crafting Tables'!$A$2:$B1015, 2, false))</f>
        <v>Modern</v>
      </c>
      <c r="F112" s="7">
        <f>IFERROR(IF(E112 = "None", 1, VLOOKUP(C112,General!$A$5:$L$35, SWITCH(E112, "Basic", 8, "Advanced", 10, "Modern", 12), false)),"")</f>
        <v>1</v>
      </c>
      <c r="G112" s="8">
        <v>180.0</v>
      </c>
      <c r="H112" s="7">
        <f>IFERROR(VLOOKUP(C112, General!$A$5:$L$35, 6, false) * G112 / 1000, 0)</f>
        <v>7.2</v>
      </c>
      <c r="I112" s="8">
        <v>90.0</v>
      </c>
      <c r="J112" s="22">
        <f>IFERROR(I112*VLOOKUP(D112,'Crafting Tables'!$1:$1000, 4, false)*F112,"")</f>
        <v>0.16875</v>
      </c>
      <c r="K112" s="8" t="b">
        <v>1</v>
      </c>
      <c r="L112" s="32" t="s">
        <v>251</v>
      </c>
      <c r="M112" s="8">
        <v>2.0</v>
      </c>
      <c r="N112" s="21">
        <f t="shared" si="2"/>
        <v>14.084375</v>
      </c>
      <c r="P112" s="32" t="s">
        <v>244</v>
      </c>
      <c r="Q112" s="8">
        <v>4.0</v>
      </c>
      <c r="R112" s="29" t="b">
        <v>0</v>
      </c>
      <c r="S112" s="22">
        <f t="shared" si="3"/>
        <v>4</v>
      </c>
      <c r="T112" s="19">
        <f>IF(ISBLANK(P112), 0, VLOOKUP(P112, 'Price Sheet'!$A$2:$B1015, 2, false))</f>
        <v>13.6</v>
      </c>
      <c r="U112" s="33">
        <f t="shared" si="4"/>
        <v>54.4</v>
      </c>
      <c r="V112" s="32" t="s">
        <v>243</v>
      </c>
      <c r="W112" s="8">
        <v>-3.0</v>
      </c>
      <c r="X112" s="29" t="b">
        <v>0</v>
      </c>
      <c r="Y112" s="22">
        <f t="shared" si="5"/>
        <v>-3</v>
      </c>
      <c r="Z112" s="19">
        <f>IF(ISBLANK(V112), 0, VLOOKUP(V112, 'Price Sheet'!$A$2:$B1015, 2, false))</f>
        <v>11.2</v>
      </c>
      <c r="AA112" s="33">
        <f t="shared" si="6"/>
        <v>-33.6</v>
      </c>
      <c r="AB112" s="37"/>
      <c r="AC112" s="29"/>
      <c r="AD112" s="29" t="b">
        <v>0</v>
      </c>
      <c r="AE112" s="22" t="str">
        <f t="shared" si="7"/>
        <v/>
      </c>
      <c r="AF112" s="7">
        <f>IF(ISBLANK(AB112), 0, VLOOKUP(AB112, 'Price Sheet'!$A$2:$B1015, 2, false))</f>
        <v>0</v>
      </c>
      <c r="AG112" s="33" t="str">
        <f t="shared" si="8"/>
        <v/>
      </c>
      <c r="AH112" s="37"/>
      <c r="AI112" s="29"/>
      <c r="AJ112" s="29" t="b">
        <v>0</v>
      </c>
      <c r="AK112" s="22" t="str">
        <f t="shared" si="9"/>
        <v/>
      </c>
      <c r="AL112" s="7">
        <f>IF(ISBLANK(AH112), 0, VLOOKUP(AH112, 'Price Sheet'!$A$2:$B1015, 2, false))</f>
        <v>0</v>
      </c>
      <c r="AM112" s="33" t="str">
        <f t="shared" si="10"/>
        <v/>
      </c>
      <c r="AN112" s="37"/>
      <c r="AO112" s="29"/>
      <c r="AP112" s="29" t="b">
        <v>0</v>
      </c>
      <c r="AQ112" s="22" t="str">
        <f t="shared" si="11"/>
        <v/>
      </c>
      <c r="AR112" s="7">
        <f>IF(ISBLANK(AN112), 0, VLOOKUP(AN112, 'Price Sheet'!$A$2:$B1015, 2, false))</f>
        <v>0</v>
      </c>
      <c r="AS112" s="33" t="str">
        <f t="shared" si="12"/>
        <v/>
      </c>
      <c r="AT112" s="37"/>
      <c r="AU112" s="29"/>
      <c r="AV112" s="29" t="b">
        <v>0</v>
      </c>
      <c r="AW112" s="22" t="str">
        <f t="shared" si="13"/>
        <v/>
      </c>
      <c r="AX112" s="7">
        <f>IF(ISBLANK(AT112), 0, VLOOKUP(AT112, 'Price Sheet'!$A$2:$B1015, 2, false))</f>
        <v>0</v>
      </c>
      <c r="AY112" s="33" t="str">
        <f t="shared" si="14"/>
        <v/>
      </c>
      <c r="AZ112" s="37"/>
      <c r="BA112" s="29"/>
      <c r="BB112" s="29" t="b">
        <v>0</v>
      </c>
      <c r="BC112" s="22" t="str">
        <f t="shared" si="15"/>
        <v/>
      </c>
      <c r="BD112" s="7">
        <f>IF(ISBLANK(AZ112), 0, VLOOKUP(AZ112, 'Price Sheet'!$A$2:$B1015, 2, false))</f>
        <v>0</v>
      </c>
      <c r="BE112" s="33" t="str">
        <f t="shared" si="16"/>
        <v/>
      </c>
      <c r="BF112" s="37"/>
      <c r="BG112" s="29"/>
      <c r="BH112" s="29" t="b">
        <v>0</v>
      </c>
      <c r="BI112" s="22" t="str">
        <f t="shared" si="17"/>
        <v/>
      </c>
      <c r="BJ112" s="7">
        <f>IF(ISBLANK(BF112), 0, VLOOKUP(BF112, 'Price Sheet'!$A$2:$B1015, 2, false))</f>
        <v>0</v>
      </c>
      <c r="BK112" s="33" t="str">
        <f t="shared" si="18"/>
        <v/>
      </c>
      <c r="BL112" s="37"/>
      <c r="BM112" s="29"/>
      <c r="BN112" s="29" t="b">
        <v>0</v>
      </c>
      <c r="BO112" s="22" t="str">
        <f t="shared" si="19"/>
        <v/>
      </c>
      <c r="BP112" s="7">
        <f>IF(ISBLANK(BL112), 0, VLOOKUP(BL112, 'Price Sheet'!$A$2:$B1015, 2, false))</f>
        <v>0</v>
      </c>
      <c r="BQ112" s="33" t="str">
        <f t="shared" si="20"/>
        <v/>
      </c>
    </row>
    <row r="113">
      <c r="A113" s="7" t="s">
        <v>252</v>
      </c>
      <c r="B113" s="19">
        <f t="shared" si="1"/>
        <v>28.16875</v>
      </c>
      <c r="C113" s="8" t="s">
        <v>170</v>
      </c>
      <c r="D113" s="8" t="s">
        <v>342</v>
      </c>
      <c r="E113" s="7" t="str">
        <f>IF(ISBLANK(D113), "", VLOOKUP(D113,'Crafting Tables'!$A$2:$B1015, 2, false))</f>
        <v>Modern</v>
      </c>
      <c r="F113" s="7">
        <f>IFERROR(IF(E113 = "None", 1, VLOOKUP(C113,General!$A$5:$L$35, SWITCH(E113, "Basic", 8, "Advanced", 10, "Modern", 12), false)),"")</f>
        <v>1</v>
      </c>
      <c r="G113" s="8">
        <v>180.0</v>
      </c>
      <c r="H113" s="7">
        <f>IFERROR(VLOOKUP(C113, General!$A$5:$L$35, 6, false) * G113 / 1000, 0)</f>
        <v>7.2</v>
      </c>
      <c r="I113" s="8">
        <v>90.0</v>
      </c>
      <c r="J113" s="22">
        <f>IFERROR(I113*VLOOKUP(D113,'Crafting Tables'!$1:$1000, 4, false)*F113,"")</f>
        <v>0.16875</v>
      </c>
      <c r="K113" s="8" t="b">
        <v>1</v>
      </c>
      <c r="L113" s="32" t="s">
        <v>252</v>
      </c>
      <c r="M113" s="8">
        <v>2.0</v>
      </c>
      <c r="N113" s="21">
        <f t="shared" si="2"/>
        <v>14.084375</v>
      </c>
      <c r="P113" s="32" t="s">
        <v>244</v>
      </c>
      <c r="Q113" s="8">
        <v>4.0</v>
      </c>
      <c r="R113" s="29" t="b">
        <v>0</v>
      </c>
      <c r="S113" s="22">
        <f t="shared" si="3"/>
        <v>4</v>
      </c>
      <c r="T113" s="19">
        <f>IF(ISBLANK(P113), 0, VLOOKUP(P113, 'Price Sheet'!$A$2:$B1015, 2, false))</f>
        <v>13.6</v>
      </c>
      <c r="U113" s="33">
        <f t="shared" si="4"/>
        <v>54.4</v>
      </c>
      <c r="V113" s="32" t="s">
        <v>243</v>
      </c>
      <c r="W113" s="8">
        <v>-3.0</v>
      </c>
      <c r="X113" s="29" t="b">
        <v>0</v>
      </c>
      <c r="Y113" s="22">
        <f t="shared" si="5"/>
        <v>-3</v>
      </c>
      <c r="Z113" s="19">
        <f>IF(ISBLANK(V113), 0, VLOOKUP(V113, 'Price Sheet'!$A$2:$B1015, 2, false))</f>
        <v>11.2</v>
      </c>
      <c r="AA113" s="33">
        <f t="shared" si="6"/>
        <v>-33.6</v>
      </c>
      <c r="AB113" s="37"/>
      <c r="AC113" s="29"/>
      <c r="AD113" s="29" t="b">
        <v>0</v>
      </c>
      <c r="AE113" s="22" t="str">
        <f t="shared" si="7"/>
        <v/>
      </c>
      <c r="AF113" s="7">
        <f>IF(ISBLANK(AB113), 0, VLOOKUP(AB113, 'Price Sheet'!$A$2:$B1015, 2, false))</f>
        <v>0</v>
      </c>
      <c r="AG113" s="33" t="str">
        <f t="shared" si="8"/>
        <v/>
      </c>
      <c r="AH113" s="37"/>
      <c r="AI113" s="29"/>
      <c r="AJ113" s="29" t="b">
        <v>0</v>
      </c>
      <c r="AK113" s="22" t="str">
        <f t="shared" si="9"/>
        <v/>
      </c>
      <c r="AL113" s="7">
        <f>IF(ISBLANK(AH113), 0, VLOOKUP(AH113, 'Price Sheet'!$A$2:$B1015, 2, false))</f>
        <v>0</v>
      </c>
      <c r="AM113" s="33" t="str">
        <f t="shared" si="10"/>
        <v/>
      </c>
      <c r="AN113" s="37"/>
      <c r="AO113" s="29"/>
      <c r="AP113" s="29" t="b">
        <v>0</v>
      </c>
      <c r="AQ113" s="22" t="str">
        <f t="shared" si="11"/>
        <v/>
      </c>
      <c r="AR113" s="7">
        <f>IF(ISBLANK(AN113), 0, VLOOKUP(AN113, 'Price Sheet'!$A$2:$B1015, 2, false))</f>
        <v>0</v>
      </c>
      <c r="AS113" s="33" t="str">
        <f t="shared" si="12"/>
        <v/>
      </c>
      <c r="AT113" s="37"/>
      <c r="AU113" s="29"/>
      <c r="AV113" s="29" t="b">
        <v>0</v>
      </c>
      <c r="AW113" s="22" t="str">
        <f t="shared" si="13"/>
        <v/>
      </c>
      <c r="AX113" s="7">
        <f>IF(ISBLANK(AT113), 0, VLOOKUP(AT113, 'Price Sheet'!$A$2:$B1015, 2, false))</f>
        <v>0</v>
      </c>
      <c r="AY113" s="33" t="str">
        <f t="shared" si="14"/>
        <v/>
      </c>
      <c r="AZ113" s="37"/>
      <c r="BA113" s="29"/>
      <c r="BB113" s="29" t="b">
        <v>0</v>
      </c>
      <c r="BC113" s="22" t="str">
        <f t="shared" si="15"/>
        <v/>
      </c>
      <c r="BD113" s="7">
        <f>IF(ISBLANK(AZ113), 0, VLOOKUP(AZ113, 'Price Sheet'!$A$2:$B1015, 2, false))</f>
        <v>0</v>
      </c>
      <c r="BE113" s="33" t="str">
        <f t="shared" si="16"/>
        <v/>
      </c>
      <c r="BF113" s="37"/>
      <c r="BG113" s="29"/>
      <c r="BH113" s="29" t="b">
        <v>0</v>
      </c>
      <c r="BI113" s="22" t="str">
        <f t="shared" si="17"/>
        <v/>
      </c>
      <c r="BJ113" s="7">
        <f>IF(ISBLANK(BF113), 0, VLOOKUP(BF113, 'Price Sheet'!$A$2:$B1015, 2, false))</f>
        <v>0</v>
      </c>
      <c r="BK113" s="33" t="str">
        <f t="shared" si="18"/>
        <v/>
      </c>
      <c r="BL113" s="37"/>
      <c r="BM113" s="29"/>
      <c r="BN113" s="29" t="b">
        <v>0</v>
      </c>
      <c r="BO113" s="22" t="str">
        <f t="shared" si="19"/>
        <v/>
      </c>
      <c r="BP113" s="7">
        <f>IF(ISBLANK(BL113), 0, VLOOKUP(BL113, 'Price Sheet'!$A$2:$B1015, 2, false))</f>
        <v>0</v>
      </c>
      <c r="BQ113" s="33" t="str">
        <f t="shared" si="20"/>
        <v/>
      </c>
    </row>
    <row r="114">
      <c r="B114" s="19">
        <f t="shared" si="1"/>
        <v>0</v>
      </c>
      <c r="C114" s="29"/>
      <c r="D114" s="29"/>
      <c r="E114" s="7" t="str">
        <f>IF(ISBLANK(D114), "", VLOOKUP(D114,'Crafting Tables'!$A$2:$B1015, 2, false))</f>
        <v/>
      </c>
      <c r="F114" s="7" t="str">
        <f>IFERROR(IF(E114 = "None", 1, VLOOKUP(C114,General!$A$5:$L$35, SWITCH(E114, "Basic", 8, "Advanced", 10, "Modern", 12), false)),"")</f>
        <v/>
      </c>
      <c r="G114" s="29"/>
      <c r="H114" s="7">
        <f>IFERROR(VLOOKUP(C114, General!$A$5:$L$35, 6, false) * G114 / 1000, 0)</f>
        <v>0</v>
      </c>
      <c r="I114" s="29"/>
      <c r="J114" s="22" t="str">
        <f>IFERROR(I114*VLOOKUP(D114,'Crafting Tables'!$1:$1000, 4, false)*F114,"")</f>
        <v/>
      </c>
      <c r="K114" s="29" t="b">
        <v>0</v>
      </c>
      <c r="L114" s="37"/>
      <c r="M114" s="29"/>
      <c r="N114" s="21" t="str">
        <f t="shared" si="2"/>
        <v/>
      </c>
      <c r="P114" s="37"/>
      <c r="Q114" s="29"/>
      <c r="R114" s="29" t="b">
        <v>0</v>
      </c>
      <c r="S114" s="22" t="str">
        <f t="shared" si="3"/>
        <v/>
      </c>
      <c r="T114" s="7">
        <f>IF(ISBLANK(P114), 0, VLOOKUP(P114, 'Price Sheet'!$A$2:$B1015, 2, false))</f>
        <v>0</v>
      </c>
      <c r="U114" s="33" t="str">
        <f t="shared" si="4"/>
        <v/>
      </c>
      <c r="V114" s="37"/>
      <c r="W114" s="29"/>
      <c r="X114" s="29" t="b">
        <v>0</v>
      </c>
      <c r="Y114" s="22" t="str">
        <f t="shared" si="5"/>
        <v/>
      </c>
      <c r="Z114" s="7">
        <f>IF(ISBLANK(V114), 0, VLOOKUP(V114, 'Price Sheet'!$A$2:$B1015, 2, false))</f>
        <v>0</v>
      </c>
      <c r="AA114" s="33" t="str">
        <f t="shared" si="6"/>
        <v/>
      </c>
      <c r="AB114" s="37"/>
      <c r="AC114" s="29"/>
      <c r="AD114" s="29" t="b">
        <v>0</v>
      </c>
      <c r="AE114" s="22" t="str">
        <f t="shared" si="7"/>
        <v/>
      </c>
      <c r="AF114" s="7">
        <f>IF(ISBLANK(AB114), 0, VLOOKUP(AB114, 'Price Sheet'!$A$2:$B1015, 2, false))</f>
        <v>0</v>
      </c>
      <c r="AG114" s="33" t="str">
        <f t="shared" si="8"/>
        <v/>
      </c>
      <c r="AH114" s="37"/>
      <c r="AI114" s="29"/>
      <c r="AJ114" s="29" t="b">
        <v>0</v>
      </c>
      <c r="AK114" s="22" t="str">
        <f t="shared" si="9"/>
        <v/>
      </c>
      <c r="AL114" s="7">
        <f>IF(ISBLANK(AH114), 0, VLOOKUP(AH114, 'Price Sheet'!$A$2:$B1015, 2, false))</f>
        <v>0</v>
      </c>
      <c r="AM114" s="33" t="str">
        <f t="shared" si="10"/>
        <v/>
      </c>
      <c r="AN114" s="37"/>
      <c r="AO114" s="29"/>
      <c r="AP114" s="29" t="b">
        <v>0</v>
      </c>
      <c r="AQ114" s="22" t="str">
        <f t="shared" si="11"/>
        <v/>
      </c>
      <c r="AR114" s="7">
        <f>IF(ISBLANK(AN114), 0, VLOOKUP(AN114, 'Price Sheet'!$A$2:$B1015, 2, false))</f>
        <v>0</v>
      </c>
      <c r="AS114" s="33" t="str">
        <f t="shared" si="12"/>
        <v/>
      </c>
      <c r="AT114" s="37"/>
      <c r="AU114" s="29"/>
      <c r="AV114" s="29" t="b">
        <v>0</v>
      </c>
      <c r="AW114" s="22" t="str">
        <f t="shared" si="13"/>
        <v/>
      </c>
      <c r="AX114" s="7">
        <f>IF(ISBLANK(AT114), 0, VLOOKUP(AT114, 'Price Sheet'!$A$2:$B1015, 2, false))</f>
        <v>0</v>
      </c>
      <c r="AY114" s="33" t="str">
        <f t="shared" si="14"/>
        <v/>
      </c>
      <c r="AZ114" s="37"/>
      <c r="BA114" s="29"/>
      <c r="BB114" s="29" t="b">
        <v>0</v>
      </c>
      <c r="BC114" s="22" t="str">
        <f t="shared" si="15"/>
        <v/>
      </c>
      <c r="BD114" s="7">
        <f>IF(ISBLANK(AZ114), 0, VLOOKUP(AZ114, 'Price Sheet'!$A$2:$B1015, 2, false))</f>
        <v>0</v>
      </c>
      <c r="BE114" s="33" t="str">
        <f t="shared" si="16"/>
        <v/>
      </c>
      <c r="BF114" s="37"/>
      <c r="BG114" s="29"/>
      <c r="BH114" s="29" t="b">
        <v>0</v>
      </c>
      <c r="BI114" s="22" t="str">
        <f t="shared" si="17"/>
        <v/>
      </c>
      <c r="BJ114" s="7">
        <f>IF(ISBLANK(BF114), 0, VLOOKUP(BF114, 'Price Sheet'!$A$2:$B1015, 2, false))</f>
        <v>0</v>
      </c>
      <c r="BK114" s="33" t="str">
        <f t="shared" si="18"/>
        <v/>
      </c>
      <c r="BL114" s="37"/>
      <c r="BM114" s="29"/>
      <c r="BN114" s="29" t="b">
        <v>0</v>
      </c>
      <c r="BO114" s="22" t="str">
        <f t="shared" si="19"/>
        <v/>
      </c>
      <c r="BP114" s="7">
        <f>IF(ISBLANK(BL114), 0, VLOOKUP(BL114, 'Price Sheet'!$A$2:$B1015, 2, false))</f>
        <v>0</v>
      </c>
      <c r="BQ114" s="33" t="str">
        <f t="shared" si="20"/>
        <v/>
      </c>
    </row>
    <row r="115">
      <c r="A115" s="7" t="s">
        <v>256</v>
      </c>
      <c r="B115" s="19">
        <f t="shared" si="1"/>
        <v>178.6125</v>
      </c>
      <c r="C115" s="8" t="s">
        <v>130</v>
      </c>
      <c r="D115" s="8" t="s">
        <v>344</v>
      </c>
      <c r="E115" s="7" t="str">
        <f>IF(ISBLANK(D115), "", VLOOKUP(D115,'Crafting Tables'!$A$2:$B1015, 2, false))</f>
        <v>Modern</v>
      </c>
      <c r="F115" s="7">
        <f>IFERROR(IF(E115 = "None", 1, VLOOKUP(C115,General!$A$5:$L$35, SWITCH(E115, "Basic", 8, "Advanced", 10, "Modern", 12), false)),"")</f>
        <v>1</v>
      </c>
      <c r="G115" s="8">
        <v>90.0</v>
      </c>
      <c r="H115" s="7">
        <f>IFERROR(VLOOKUP(C115, General!$A$5:$L$35, 6, false) * G115 / 1000, 0)</f>
        <v>3.6</v>
      </c>
      <c r="I115" s="8">
        <v>120.0</v>
      </c>
      <c r="J115" s="22">
        <f>IFERROR(I115*VLOOKUP(D115,'Crafting Tables'!$1:$1000, 4, false)*F115,"")</f>
        <v>0</v>
      </c>
      <c r="K115" s="8" t="b">
        <v>1</v>
      </c>
      <c r="L115" s="32" t="s">
        <v>256</v>
      </c>
      <c r="M115" s="8">
        <v>1.0</v>
      </c>
      <c r="N115" s="21">
        <f t="shared" si="2"/>
        <v>178.6125</v>
      </c>
      <c r="P115" s="32" t="s">
        <v>251</v>
      </c>
      <c r="Q115" s="8">
        <v>4.0</v>
      </c>
      <c r="R115" s="29" t="b">
        <v>0</v>
      </c>
      <c r="S115" s="22">
        <f t="shared" si="3"/>
        <v>4</v>
      </c>
      <c r="T115" s="19">
        <f>IF(ISBLANK(P115), 0, VLOOKUP(P115, 'Price Sheet'!$A$2:$B1015, 2, false))</f>
        <v>42.253125</v>
      </c>
      <c r="U115" s="33">
        <f t="shared" si="4"/>
        <v>169.0125</v>
      </c>
      <c r="V115" s="32" t="s">
        <v>255</v>
      </c>
      <c r="W115" s="8">
        <v>2.0</v>
      </c>
      <c r="X115" s="29" t="b">
        <v>0</v>
      </c>
      <c r="Y115" s="22">
        <f t="shared" si="5"/>
        <v>2</v>
      </c>
      <c r="Z115" s="19">
        <f>IF(ISBLANK(V115), 0, VLOOKUP(V115, 'Price Sheet'!$A$2:$B1015, 2, false))</f>
        <v>3</v>
      </c>
      <c r="AA115" s="33">
        <f t="shared" si="6"/>
        <v>6</v>
      </c>
      <c r="AB115" s="37"/>
      <c r="AC115" s="29"/>
      <c r="AD115" s="29" t="b">
        <v>0</v>
      </c>
      <c r="AE115" s="22" t="str">
        <f t="shared" si="7"/>
        <v/>
      </c>
      <c r="AF115" s="7">
        <f>IF(ISBLANK(AB115), 0, VLOOKUP(AB115, 'Price Sheet'!$A$2:$B1015, 2, false))</f>
        <v>0</v>
      </c>
      <c r="AG115" s="33" t="str">
        <f t="shared" si="8"/>
        <v/>
      </c>
      <c r="AH115" s="37"/>
      <c r="AI115" s="29"/>
      <c r="AJ115" s="29" t="b">
        <v>0</v>
      </c>
      <c r="AK115" s="22" t="str">
        <f t="shared" si="9"/>
        <v/>
      </c>
      <c r="AL115" s="7">
        <f>IF(ISBLANK(AH115), 0, VLOOKUP(AH115, 'Price Sheet'!$A$2:$B1015, 2, false))</f>
        <v>0</v>
      </c>
      <c r="AM115" s="33" t="str">
        <f t="shared" si="10"/>
        <v/>
      </c>
      <c r="AN115" s="37"/>
      <c r="AO115" s="29"/>
      <c r="AP115" s="29" t="b">
        <v>0</v>
      </c>
      <c r="AQ115" s="22" t="str">
        <f t="shared" si="11"/>
        <v/>
      </c>
      <c r="AR115" s="7">
        <f>IF(ISBLANK(AN115), 0, VLOOKUP(AN115, 'Price Sheet'!$A$2:$B1015, 2, false))</f>
        <v>0</v>
      </c>
      <c r="AS115" s="33" t="str">
        <f t="shared" si="12"/>
        <v/>
      </c>
      <c r="AT115" s="37"/>
      <c r="AU115" s="29"/>
      <c r="AV115" s="29" t="b">
        <v>0</v>
      </c>
      <c r="AW115" s="22" t="str">
        <f t="shared" si="13"/>
        <v/>
      </c>
      <c r="AX115" s="7">
        <f>IF(ISBLANK(AT115), 0, VLOOKUP(AT115, 'Price Sheet'!$A$2:$B1015, 2, false))</f>
        <v>0</v>
      </c>
      <c r="AY115" s="33" t="str">
        <f t="shared" si="14"/>
        <v/>
      </c>
      <c r="AZ115" s="37"/>
      <c r="BA115" s="29"/>
      <c r="BB115" s="29" t="b">
        <v>0</v>
      </c>
      <c r="BC115" s="22" t="str">
        <f t="shared" si="15"/>
        <v/>
      </c>
      <c r="BD115" s="7">
        <f>IF(ISBLANK(AZ115), 0, VLOOKUP(AZ115, 'Price Sheet'!$A$2:$B1015, 2, false))</f>
        <v>0</v>
      </c>
      <c r="BE115" s="33" t="str">
        <f t="shared" si="16"/>
        <v/>
      </c>
      <c r="BF115" s="37"/>
      <c r="BG115" s="29"/>
      <c r="BH115" s="29" t="b">
        <v>0</v>
      </c>
      <c r="BI115" s="22" t="str">
        <f t="shared" si="17"/>
        <v/>
      </c>
      <c r="BJ115" s="7">
        <f>IF(ISBLANK(BF115), 0, VLOOKUP(BF115, 'Price Sheet'!$A$2:$B1015, 2, false))</f>
        <v>0</v>
      </c>
      <c r="BK115" s="33" t="str">
        <f t="shared" si="18"/>
        <v/>
      </c>
      <c r="BL115" s="37"/>
      <c r="BM115" s="29"/>
      <c r="BN115" s="29" t="b">
        <v>0</v>
      </c>
      <c r="BO115" s="22" t="str">
        <f t="shared" si="19"/>
        <v/>
      </c>
      <c r="BP115" s="7">
        <f>IF(ISBLANK(BL115), 0, VLOOKUP(BL115, 'Price Sheet'!$A$2:$B1015, 2, false))</f>
        <v>0</v>
      </c>
      <c r="BQ115" s="33" t="str">
        <f t="shared" si="20"/>
        <v/>
      </c>
    </row>
    <row r="116">
      <c r="A116" s="7" t="s">
        <v>492</v>
      </c>
      <c r="B116" s="19">
        <f t="shared" si="1"/>
        <v>2.2675</v>
      </c>
      <c r="C116" s="8" t="s">
        <v>130</v>
      </c>
      <c r="D116" s="8" t="s">
        <v>129</v>
      </c>
      <c r="E116" s="7" t="str">
        <f>IF(ISBLANK(D116), "", VLOOKUP(D116,'Crafting Tables'!$A$2:$B1015, 2, false))</f>
        <v>Advanced</v>
      </c>
      <c r="F116" s="7">
        <f>IFERROR(IF(E116 = "None", 1, VLOOKUP(C116,General!$A$5:$L$35, SWITCH(E116, "Basic", 8, "Advanced", 10, "Modern", 12), false)),"")</f>
        <v>0.5</v>
      </c>
      <c r="G116" s="8">
        <v>30.0</v>
      </c>
      <c r="H116" s="7">
        <f>IFERROR(VLOOKUP(C116, General!$A$5:$L$35, 6, false) * G116 / 1000, 0)</f>
        <v>1.2</v>
      </c>
      <c r="I116" s="29">
        <f>60*1.2</f>
        <v>72</v>
      </c>
      <c r="J116" s="22">
        <f>IFERROR(I116*VLOOKUP(D116,'Crafting Tables'!$1:$1000, 4, false)*F116,"")</f>
        <v>0.0675</v>
      </c>
      <c r="K116" s="8" t="b">
        <v>1</v>
      </c>
      <c r="L116" s="32" t="s">
        <v>255</v>
      </c>
      <c r="M116" s="8">
        <v>1.0</v>
      </c>
      <c r="N116" s="21">
        <f t="shared" si="2"/>
        <v>2.2675</v>
      </c>
      <c r="P116" s="32" t="s">
        <v>75</v>
      </c>
      <c r="Q116" s="8">
        <v>4.0</v>
      </c>
      <c r="R116" s="29" t="b">
        <v>0</v>
      </c>
      <c r="S116" s="22">
        <f t="shared" si="3"/>
        <v>2</v>
      </c>
      <c r="T116" s="19">
        <f>IF(ISBLANK(P116), 0, VLOOKUP(P116, 'Price Sheet'!$A$2:$B1015, 2, false))</f>
        <v>0.25</v>
      </c>
      <c r="U116" s="33">
        <f t="shared" si="4"/>
        <v>0.5</v>
      </c>
      <c r="V116" s="32" t="s">
        <v>67</v>
      </c>
      <c r="W116" s="8">
        <v>1.0</v>
      </c>
      <c r="X116" s="8" t="b">
        <v>1</v>
      </c>
      <c r="Y116" s="22">
        <f t="shared" si="5"/>
        <v>1</v>
      </c>
      <c r="Z116" s="19">
        <f>IF(ISBLANK(V116), 0, VLOOKUP(V116, 'Price Sheet'!$A$2:$B1015, 2, false))</f>
        <v>0.5</v>
      </c>
      <c r="AA116" s="33">
        <f t="shared" si="6"/>
        <v>0.5</v>
      </c>
      <c r="AB116" s="37"/>
      <c r="AC116" s="29"/>
      <c r="AD116" s="29" t="b">
        <v>0</v>
      </c>
      <c r="AE116" s="22" t="str">
        <f t="shared" si="7"/>
        <v/>
      </c>
      <c r="AF116" s="7">
        <f>IF(ISBLANK(AB116), 0, VLOOKUP(AB116, 'Price Sheet'!$A$2:$B1015, 2, false))</f>
        <v>0</v>
      </c>
      <c r="AG116" s="33" t="str">
        <f t="shared" si="8"/>
        <v/>
      </c>
      <c r="AH116" s="37"/>
      <c r="AI116" s="29"/>
      <c r="AJ116" s="29" t="b">
        <v>0</v>
      </c>
      <c r="AK116" s="22" t="str">
        <f t="shared" si="9"/>
        <v/>
      </c>
      <c r="AL116" s="7">
        <f>IF(ISBLANK(AH116), 0, VLOOKUP(AH116, 'Price Sheet'!$A$2:$B1015, 2, false))</f>
        <v>0</v>
      </c>
      <c r="AM116" s="33" t="str">
        <f t="shared" si="10"/>
        <v/>
      </c>
      <c r="AN116" s="37"/>
      <c r="AO116" s="29"/>
      <c r="AP116" s="29" t="b">
        <v>0</v>
      </c>
      <c r="AQ116" s="22" t="str">
        <f t="shared" si="11"/>
        <v/>
      </c>
      <c r="AR116" s="7">
        <f>IF(ISBLANK(AN116), 0, VLOOKUP(AN116, 'Price Sheet'!$A$2:$B1015, 2, false))</f>
        <v>0</v>
      </c>
      <c r="AS116" s="33" t="str">
        <f t="shared" si="12"/>
        <v/>
      </c>
      <c r="AT116" s="37"/>
      <c r="AU116" s="29"/>
      <c r="AV116" s="29" t="b">
        <v>0</v>
      </c>
      <c r="AW116" s="22" t="str">
        <f t="shared" si="13"/>
        <v/>
      </c>
      <c r="AX116" s="7">
        <f>IF(ISBLANK(AT116), 0, VLOOKUP(AT116, 'Price Sheet'!$A$2:$B1015, 2, false))</f>
        <v>0</v>
      </c>
      <c r="AY116" s="33" t="str">
        <f t="shared" si="14"/>
        <v/>
      </c>
      <c r="AZ116" s="37"/>
      <c r="BA116" s="29"/>
      <c r="BB116" s="29" t="b">
        <v>0</v>
      </c>
      <c r="BC116" s="22" t="str">
        <f t="shared" si="15"/>
        <v/>
      </c>
      <c r="BD116" s="7">
        <f>IF(ISBLANK(AZ116), 0, VLOOKUP(AZ116, 'Price Sheet'!$A$2:$B1015, 2, false))</f>
        <v>0</v>
      </c>
      <c r="BE116" s="33" t="str">
        <f t="shared" si="16"/>
        <v/>
      </c>
      <c r="BF116" s="37"/>
      <c r="BG116" s="29"/>
      <c r="BH116" s="29" t="b">
        <v>0</v>
      </c>
      <c r="BI116" s="22" t="str">
        <f t="shared" si="17"/>
        <v/>
      </c>
      <c r="BJ116" s="7">
        <f>IF(ISBLANK(BF116), 0, VLOOKUP(BF116, 'Price Sheet'!$A$2:$B1015, 2, false))</f>
        <v>0</v>
      </c>
      <c r="BK116" s="33" t="str">
        <f t="shared" si="18"/>
        <v/>
      </c>
      <c r="BL116" s="37"/>
      <c r="BM116" s="29"/>
      <c r="BN116" s="29" t="b">
        <v>0</v>
      </c>
      <c r="BO116" s="22" t="str">
        <f t="shared" si="19"/>
        <v/>
      </c>
      <c r="BP116" s="7">
        <f>IF(ISBLANK(BL116), 0, VLOOKUP(BL116, 'Price Sheet'!$A$2:$B1015, 2, false))</f>
        <v>0</v>
      </c>
      <c r="BQ116" s="33" t="str">
        <f t="shared" si="20"/>
        <v/>
      </c>
    </row>
    <row r="117">
      <c r="A117" s="7" t="s">
        <v>493</v>
      </c>
      <c r="B117" s="19">
        <f t="shared" si="1"/>
        <v>4.899166667</v>
      </c>
      <c r="C117" s="8" t="s">
        <v>130</v>
      </c>
      <c r="D117" s="8" t="s">
        <v>129</v>
      </c>
      <c r="E117" s="7" t="str">
        <f>IF(ISBLANK(D117), "", VLOOKUP(D117,'Crafting Tables'!$A$2:$B1015, 2, false))</f>
        <v>Advanced</v>
      </c>
      <c r="F117" s="7">
        <f>IFERROR(IF(E117 = "None", 1, VLOOKUP(C117,General!$A$5:$L$35, SWITCH(E117, "Basic", 8, "Advanced", 10, "Modern", 12), false)),"")</f>
        <v>0.5</v>
      </c>
      <c r="G117" s="8">
        <v>45.0</v>
      </c>
      <c r="H117" s="7">
        <f>IFERROR(VLOOKUP(C117, General!$A$5:$L$35, 6, false) * G117 / 1000, 0)</f>
        <v>1.8</v>
      </c>
      <c r="I117" s="8">
        <v>60.0</v>
      </c>
      <c r="J117" s="22">
        <f>IFERROR(I117*VLOOKUP(D117,'Crafting Tables'!$1:$1000, 4, false)*F117,"")</f>
        <v>0.05625</v>
      </c>
      <c r="K117" s="8" t="b">
        <v>0</v>
      </c>
      <c r="L117" s="32" t="s">
        <v>255</v>
      </c>
      <c r="M117" s="8">
        <v>1.0</v>
      </c>
      <c r="N117" s="21">
        <f t="shared" si="2"/>
        <v>4.899166667</v>
      </c>
      <c r="P117" s="32" t="s">
        <v>75</v>
      </c>
      <c r="Q117" s="8">
        <v>3.0</v>
      </c>
      <c r="R117" s="29" t="b">
        <v>0</v>
      </c>
      <c r="S117" s="22">
        <f t="shared" si="3"/>
        <v>1.5</v>
      </c>
      <c r="T117" s="19">
        <f>IF(ISBLANK(P117), 0, VLOOKUP(P117, 'Price Sheet'!$A$2:$B1015, 2, false))</f>
        <v>0.25</v>
      </c>
      <c r="U117" s="33">
        <f t="shared" si="4"/>
        <v>0.375</v>
      </c>
      <c r="V117" s="32" t="s">
        <v>211</v>
      </c>
      <c r="W117" s="8">
        <v>2.0</v>
      </c>
      <c r="X117" s="29" t="b">
        <v>0</v>
      </c>
      <c r="Y117" s="22">
        <f t="shared" si="5"/>
        <v>1</v>
      </c>
      <c r="Z117" s="19">
        <f>IF(ISBLANK(V117), 0, VLOOKUP(V117, 'Price Sheet'!$A$2:$B1015, 2, false))</f>
        <v>2.667916667</v>
      </c>
      <c r="AA117" s="33">
        <f t="shared" si="6"/>
        <v>2.667916667</v>
      </c>
      <c r="AB117" s="37"/>
      <c r="AC117" s="29"/>
      <c r="AD117" s="29" t="b">
        <v>0</v>
      </c>
      <c r="AE117" s="22" t="str">
        <f t="shared" si="7"/>
        <v/>
      </c>
      <c r="AF117" s="7">
        <f>IF(ISBLANK(AB117), 0, VLOOKUP(AB117, 'Price Sheet'!$A$2:$B1015, 2, false))</f>
        <v>0</v>
      </c>
      <c r="AG117" s="33" t="str">
        <f t="shared" si="8"/>
        <v/>
      </c>
      <c r="AH117" s="37"/>
      <c r="AI117" s="29"/>
      <c r="AJ117" s="29" t="b">
        <v>0</v>
      </c>
      <c r="AK117" s="22" t="str">
        <f t="shared" si="9"/>
        <v/>
      </c>
      <c r="AL117" s="7">
        <f>IF(ISBLANK(AH117), 0, VLOOKUP(AH117, 'Price Sheet'!$A$2:$B1015, 2, false))</f>
        <v>0</v>
      </c>
      <c r="AM117" s="33" t="str">
        <f t="shared" si="10"/>
        <v/>
      </c>
      <c r="AN117" s="37"/>
      <c r="AO117" s="29"/>
      <c r="AP117" s="29" t="b">
        <v>0</v>
      </c>
      <c r="AQ117" s="22" t="str">
        <f t="shared" si="11"/>
        <v/>
      </c>
      <c r="AR117" s="7">
        <f>IF(ISBLANK(AN117), 0, VLOOKUP(AN117, 'Price Sheet'!$A$2:$B1015, 2, false))</f>
        <v>0</v>
      </c>
      <c r="AS117" s="33" t="str">
        <f t="shared" si="12"/>
        <v/>
      </c>
      <c r="AT117" s="37"/>
      <c r="AU117" s="29"/>
      <c r="AV117" s="29" t="b">
        <v>0</v>
      </c>
      <c r="AW117" s="22" t="str">
        <f t="shared" si="13"/>
        <v/>
      </c>
      <c r="AX117" s="7">
        <f>IF(ISBLANK(AT117), 0, VLOOKUP(AT117, 'Price Sheet'!$A$2:$B1015, 2, false))</f>
        <v>0</v>
      </c>
      <c r="AY117" s="33" t="str">
        <f t="shared" si="14"/>
        <v/>
      </c>
      <c r="AZ117" s="37"/>
      <c r="BA117" s="29"/>
      <c r="BB117" s="29" t="b">
        <v>0</v>
      </c>
      <c r="BC117" s="22" t="str">
        <f t="shared" si="15"/>
        <v/>
      </c>
      <c r="BD117" s="7">
        <f>IF(ISBLANK(AZ117), 0, VLOOKUP(AZ117, 'Price Sheet'!$A$2:$B1015, 2, false))</f>
        <v>0</v>
      </c>
      <c r="BE117" s="33" t="str">
        <f t="shared" si="16"/>
        <v/>
      </c>
      <c r="BF117" s="37"/>
      <c r="BG117" s="29"/>
      <c r="BH117" s="29" t="b">
        <v>0</v>
      </c>
      <c r="BI117" s="22" t="str">
        <f t="shared" si="17"/>
        <v/>
      </c>
      <c r="BJ117" s="7">
        <f>IF(ISBLANK(BF117), 0, VLOOKUP(BF117, 'Price Sheet'!$A$2:$B1015, 2, false))</f>
        <v>0</v>
      </c>
      <c r="BK117" s="33" t="str">
        <f t="shared" si="18"/>
        <v/>
      </c>
      <c r="BL117" s="37"/>
      <c r="BM117" s="29"/>
      <c r="BN117" s="29" t="b">
        <v>0</v>
      </c>
      <c r="BO117" s="22" t="str">
        <f t="shared" si="19"/>
        <v/>
      </c>
      <c r="BP117" s="7">
        <f>IF(ISBLANK(BL117), 0, VLOOKUP(BL117, 'Price Sheet'!$A$2:$B1015, 2, false))</f>
        <v>0</v>
      </c>
      <c r="BQ117" s="33" t="str">
        <f t="shared" si="20"/>
        <v/>
      </c>
    </row>
    <row r="118">
      <c r="A118" s="7" t="s">
        <v>264</v>
      </c>
      <c r="B118" s="19">
        <f t="shared" si="1"/>
        <v>39.1125</v>
      </c>
      <c r="C118" s="8" t="s">
        <v>130</v>
      </c>
      <c r="D118" s="8" t="s">
        <v>129</v>
      </c>
      <c r="E118" s="7" t="str">
        <f>IF(ISBLANK(D118), "", VLOOKUP(D118,'Crafting Tables'!$A$2:$B1015, 2, false))</f>
        <v>Advanced</v>
      </c>
      <c r="F118" s="7">
        <f>IFERROR(IF(E118 = "None", 1, VLOOKUP(C118,General!$A$5:$L$35, SWITCH(E118, "Basic", 8, "Advanced", 10, "Modern", 12), false)),"")</f>
        <v>0.5</v>
      </c>
      <c r="G118" s="8">
        <v>60.0</v>
      </c>
      <c r="H118" s="7">
        <f>IFERROR(VLOOKUP(C118, General!$A$5:$L$35, 6, false) * G118 / 1000, 0)</f>
        <v>2.4</v>
      </c>
      <c r="I118" s="8">
        <v>120.0</v>
      </c>
      <c r="J118" s="22">
        <f>IFERROR(I118*VLOOKUP(D118,'Crafting Tables'!$1:$1000, 4, false)*F118,"")</f>
        <v>0.1125</v>
      </c>
      <c r="K118" s="8" t="b">
        <v>1</v>
      </c>
      <c r="L118" s="32" t="s">
        <v>264</v>
      </c>
      <c r="M118" s="8">
        <v>1.0</v>
      </c>
      <c r="N118" s="21">
        <f t="shared" si="2"/>
        <v>39.1125</v>
      </c>
      <c r="P118" s="32" t="s">
        <v>255</v>
      </c>
      <c r="Q118" s="8">
        <v>2.0</v>
      </c>
      <c r="R118" s="29" t="b">
        <v>0</v>
      </c>
      <c r="S118" s="22">
        <f t="shared" si="3"/>
        <v>1</v>
      </c>
      <c r="T118" s="19">
        <f>IF(ISBLANK(P118), 0, VLOOKUP(P118, 'Price Sheet'!$A$2:$B1015, 2, false))</f>
        <v>3</v>
      </c>
      <c r="U118" s="33">
        <f t="shared" si="4"/>
        <v>3</v>
      </c>
      <c r="V118" s="32" t="s">
        <v>257</v>
      </c>
      <c r="W118" s="8">
        <v>6.0</v>
      </c>
      <c r="X118" s="29" t="b">
        <v>0</v>
      </c>
      <c r="Y118" s="22">
        <f t="shared" si="5"/>
        <v>3</v>
      </c>
      <c r="Z118" s="19">
        <f>IF(ISBLANK(V118), 0, VLOOKUP(V118, 'Price Sheet'!$A$2:$B1015, 2, false))</f>
        <v>11.2</v>
      </c>
      <c r="AA118" s="33">
        <f t="shared" si="6"/>
        <v>33.6</v>
      </c>
      <c r="AB118" s="37"/>
      <c r="AC118" s="29"/>
      <c r="AD118" s="29" t="b">
        <v>0</v>
      </c>
      <c r="AE118" s="22" t="str">
        <f t="shared" si="7"/>
        <v/>
      </c>
      <c r="AF118" s="7">
        <f>IF(ISBLANK(AB118), 0, VLOOKUP(AB118, 'Price Sheet'!$A$2:$B1015, 2, false))</f>
        <v>0</v>
      </c>
      <c r="AG118" s="33" t="str">
        <f t="shared" si="8"/>
        <v/>
      </c>
      <c r="AH118" s="37"/>
      <c r="AI118" s="29"/>
      <c r="AJ118" s="29" t="b">
        <v>0</v>
      </c>
      <c r="AK118" s="22" t="str">
        <f t="shared" si="9"/>
        <v/>
      </c>
      <c r="AL118" s="7">
        <f>IF(ISBLANK(AH118), 0, VLOOKUP(AH118, 'Price Sheet'!$A$2:$B1015, 2, false))</f>
        <v>0</v>
      </c>
      <c r="AM118" s="33" t="str">
        <f t="shared" si="10"/>
        <v/>
      </c>
      <c r="AN118" s="37"/>
      <c r="AO118" s="29"/>
      <c r="AP118" s="29" t="b">
        <v>0</v>
      </c>
      <c r="AQ118" s="22" t="str">
        <f t="shared" si="11"/>
        <v/>
      </c>
      <c r="AR118" s="7">
        <f>IF(ISBLANK(AN118), 0, VLOOKUP(AN118, 'Price Sheet'!$A$2:$B1015, 2, false))</f>
        <v>0</v>
      </c>
      <c r="AS118" s="33" t="str">
        <f t="shared" si="12"/>
        <v/>
      </c>
      <c r="AT118" s="37"/>
      <c r="AU118" s="29"/>
      <c r="AV118" s="29" t="b">
        <v>0</v>
      </c>
      <c r="AW118" s="22" t="str">
        <f t="shared" si="13"/>
        <v/>
      </c>
      <c r="AX118" s="7">
        <f>IF(ISBLANK(AT118), 0, VLOOKUP(AT118, 'Price Sheet'!$A$2:$B1015, 2, false))</f>
        <v>0</v>
      </c>
      <c r="AY118" s="33" t="str">
        <f t="shared" si="14"/>
        <v/>
      </c>
      <c r="AZ118" s="37"/>
      <c r="BA118" s="29"/>
      <c r="BB118" s="29" t="b">
        <v>0</v>
      </c>
      <c r="BC118" s="22" t="str">
        <f t="shared" si="15"/>
        <v/>
      </c>
      <c r="BD118" s="7">
        <f>IF(ISBLANK(AZ118), 0, VLOOKUP(AZ118, 'Price Sheet'!$A$2:$B1015, 2, false))</f>
        <v>0</v>
      </c>
      <c r="BE118" s="33" t="str">
        <f t="shared" si="16"/>
        <v/>
      </c>
      <c r="BF118" s="37"/>
      <c r="BG118" s="29"/>
      <c r="BH118" s="29" t="b">
        <v>0</v>
      </c>
      <c r="BI118" s="22" t="str">
        <f t="shared" si="17"/>
        <v/>
      </c>
      <c r="BJ118" s="7">
        <f>IF(ISBLANK(BF118), 0, VLOOKUP(BF118, 'Price Sheet'!$A$2:$B1015, 2, false))</f>
        <v>0</v>
      </c>
      <c r="BK118" s="33" t="str">
        <f t="shared" si="18"/>
        <v/>
      </c>
      <c r="BL118" s="37"/>
      <c r="BM118" s="29"/>
      <c r="BN118" s="29" t="b">
        <v>0</v>
      </c>
      <c r="BO118" s="22" t="str">
        <f t="shared" si="19"/>
        <v/>
      </c>
      <c r="BP118" s="7">
        <f>IF(ISBLANK(BL118), 0, VLOOKUP(BL118, 'Price Sheet'!$A$2:$B1015, 2, false))</f>
        <v>0</v>
      </c>
      <c r="BQ118" s="33" t="str">
        <f t="shared" si="20"/>
        <v/>
      </c>
    </row>
    <row r="119">
      <c r="A119" s="7" t="s">
        <v>338</v>
      </c>
      <c r="B119" s="19">
        <f t="shared" si="1"/>
        <v>10.228125</v>
      </c>
      <c r="C119" s="8" t="s">
        <v>130</v>
      </c>
      <c r="D119" s="8" t="s">
        <v>129</v>
      </c>
      <c r="E119" s="7" t="str">
        <f>IF(ISBLANK(D119), "", VLOOKUP(D119,'Crafting Tables'!$A$2:$B1015, 2, false))</f>
        <v>Advanced</v>
      </c>
      <c r="F119" s="7">
        <f>IFERROR(IF(E119 = "None", 1, VLOOKUP(C119,General!$A$5:$L$35, SWITCH(E119, "Basic", 8, "Advanced", 10, "Modern", 12), false)),"")</f>
        <v>0.5</v>
      </c>
      <c r="G119" s="8">
        <v>30.0</v>
      </c>
      <c r="H119" s="7">
        <f>IFERROR(VLOOKUP(C119, General!$A$5:$L$35, 6, false) * G119 / 1000, 0)</f>
        <v>1.2</v>
      </c>
      <c r="I119" s="8">
        <v>30.0</v>
      </c>
      <c r="J119" s="22">
        <f>IFERROR(I119*VLOOKUP(D119,'Crafting Tables'!$1:$1000, 4, false)*F119,"")</f>
        <v>0.028125</v>
      </c>
      <c r="K119" s="8" t="b">
        <v>1</v>
      </c>
      <c r="L119" s="32" t="s">
        <v>338</v>
      </c>
      <c r="M119" s="8">
        <v>2.0</v>
      </c>
      <c r="N119" s="21">
        <f t="shared" si="2"/>
        <v>5.1140625</v>
      </c>
      <c r="P119" s="32" t="s">
        <v>255</v>
      </c>
      <c r="Q119" s="8">
        <v>6.0</v>
      </c>
      <c r="R119" s="29" t="b">
        <v>0</v>
      </c>
      <c r="S119" s="22">
        <f t="shared" si="3"/>
        <v>3</v>
      </c>
      <c r="T119" s="19">
        <f>IF(ISBLANK(P119), 0, VLOOKUP(P119, 'Price Sheet'!$A$2:$B1015, 2, false))</f>
        <v>3</v>
      </c>
      <c r="U119" s="33">
        <f t="shared" si="4"/>
        <v>9</v>
      </c>
      <c r="V119" s="37"/>
      <c r="W119" s="29"/>
      <c r="X119" s="29" t="b">
        <v>0</v>
      </c>
      <c r="Y119" s="22" t="str">
        <f t="shared" si="5"/>
        <v/>
      </c>
      <c r="Z119" s="7">
        <f>IF(ISBLANK(V119), 0, VLOOKUP(V119, 'Price Sheet'!$A$2:$B1015, 2, false))</f>
        <v>0</v>
      </c>
      <c r="AA119" s="33" t="str">
        <f t="shared" si="6"/>
        <v/>
      </c>
      <c r="AB119" s="37"/>
      <c r="AC119" s="29"/>
      <c r="AD119" s="29" t="b">
        <v>0</v>
      </c>
      <c r="AE119" s="22" t="str">
        <f t="shared" si="7"/>
        <v/>
      </c>
      <c r="AF119" s="7">
        <f>IF(ISBLANK(AB119), 0, VLOOKUP(AB119, 'Price Sheet'!$A$2:$B1015, 2, false))</f>
        <v>0</v>
      </c>
      <c r="AG119" s="33" t="str">
        <f t="shared" si="8"/>
        <v/>
      </c>
      <c r="AH119" s="37"/>
      <c r="AI119" s="29"/>
      <c r="AJ119" s="29" t="b">
        <v>0</v>
      </c>
      <c r="AK119" s="22" t="str">
        <f t="shared" si="9"/>
        <v/>
      </c>
      <c r="AL119" s="7">
        <f>IF(ISBLANK(AH119), 0, VLOOKUP(AH119, 'Price Sheet'!$A$2:$B1015, 2, false))</f>
        <v>0</v>
      </c>
      <c r="AM119" s="33" t="str">
        <f t="shared" si="10"/>
        <v/>
      </c>
      <c r="AN119" s="37"/>
      <c r="AO119" s="29"/>
      <c r="AP119" s="29" t="b">
        <v>0</v>
      </c>
      <c r="AQ119" s="22" t="str">
        <f t="shared" si="11"/>
        <v/>
      </c>
      <c r="AR119" s="7">
        <f>IF(ISBLANK(AN119), 0, VLOOKUP(AN119, 'Price Sheet'!$A$2:$B1015, 2, false))</f>
        <v>0</v>
      </c>
      <c r="AS119" s="33" t="str">
        <f t="shared" si="12"/>
        <v/>
      </c>
      <c r="AT119" s="37"/>
      <c r="AU119" s="29"/>
      <c r="AV119" s="29" t="b">
        <v>0</v>
      </c>
      <c r="AW119" s="22" t="str">
        <f t="shared" si="13"/>
        <v/>
      </c>
      <c r="AX119" s="7">
        <f>IF(ISBLANK(AT119), 0, VLOOKUP(AT119, 'Price Sheet'!$A$2:$B1015, 2, false))</f>
        <v>0</v>
      </c>
      <c r="AY119" s="33" t="str">
        <f t="shared" si="14"/>
        <v/>
      </c>
      <c r="AZ119" s="37"/>
      <c r="BA119" s="29"/>
      <c r="BB119" s="29" t="b">
        <v>0</v>
      </c>
      <c r="BC119" s="22" t="str">
        <f t="shared" si="15"/>
        <v/>
      </c>
      <c r="BD119" s="7">
        <f>IF(ISBLANK(AZ119), 0, VLOOKUP(AZ119, 'Price Sheet'!$A$2:$B1015, 2, false))</f>
        <v>0</v>
      </c>
      <c r="BE119" s="33" t="str">
        <f t="shared" si="16"/>
        <v/>
      </c>
      <c r="BF119" s="37"/>
      <c r="BG119" s="29"/>
      <c r="BH119" s="29" t="b">
        <v>0</v>
      </c>
      <c r="BI119" s="22" t="str">
        <f t="shared" si="17"/>
        <v/>
      </c>
      <c r="BJ119" s="7">
        <f>IF(ISBLANK(BF119), 0, VLOOKUP(BF119, 'Price Sheet'!$A$2:$B1015, 2, false))</f>
        <v>0</v>
      </c>
      <c r="BK119" s="33" t="str">
        <f t="shared" si="18"/>
        <v/>
      </c>
      <c r="BL119" s="37"/>
      <c r="BM119" s="29"/>
      <c r="BN119" s="29" t="b">
        <v>0</v>
      </c>
      <c r="BO119" s="22" t="str">
        <f t="shared" si="19"/>
        <v/>
      </c>
      <c r="BP119" s="7">
        <f>IF(ISBLANK(BL119), 0, VLOOKUP(BL119, 'Price Sheet'!$A$2:$B1015, 2, false))</f>
        <v>0</v>
      </c>
      <c r="BQ119" s="33" t="str">
        <f t="shared" si="20"/>
        <v/>
      </c>
    </row>
    <row r="120">
      <c r="A120" s="7" t="s">
        <v>261</v>
      </c>
      <c r="B120" s="19">
        <f t="shared" si="1"/>
        <v>885.8625</v>
      </c>
      <c r="C120" s="8" t="s">
        <v>159</v>
      </c>
      <c r="D120" s="8" t="s">
        <v>344</v>
      </c>
      <c r="E120" s="7" t="str">
        <f>IF(ISBLANK(D120), "", VLOOKUP(D120,'Crafting Tables'!$A$2:$B1015, 2, false))</f>
        <v>Modern</v>
      </c>
      <c r="F120" s="7">
        <f>IFERROR(IF(E120 = "None", 1, VLOOKUP(C120,General!$A$5:$L$35, SWITCH(E120, "Basic", 8, "Advanced", 10, "Modern", 12), false)),"")</f>
        <v>1</v>
      </c>
      <c r="G120" s="8">
        <v>60.0</v>
      </c>
      <c r="H120" s="7">
        <f>IFERROR(VLOOKUP(C120, General!$A$5:$L$35, 6, false) * G120 / 1000, 0)</f>
        <v>2.4</v>
      </c>
      <c r="I120" s="8">
        <v>120.0</v>
      </c>
      <c r="J120" s="22">
        <f>IFERROR(I120*VLOOKUP(D120,'Crafting Tables'!$1:$1000, 4, false)*F120,"")</f>
        <v>0</v>
      </c>
      <c r="K120" s="8" t="b">
        <v>1</v>
      </c>
      <c r="L120" s="32" t="s">
        <v>261</v>
      </c>
      <c r="M120" s="8">
        <v>1.0</v>
      </c>
      <c r="N120" s="21">
        <f t="shared" si="2"/>
        <v>885.8625</v>
      </c>
      <c r="P120" s="32" t="s">
        <v>256</v>
      </c>
      <c r="Q120" s="8">
        <v>4.0</v>
      </c>
      <c r="R120" s="29" t="b">
        <v>0</v>
      </c>
      <c r="S120" s="22">
        <f t="shared" si="3"/>
        <v>4</v>
      </c>
      <c r="T120" s="19">
        <f>IF(ISBLANK(P120), 0, VLOOKUP(P120, 'Price Sheet'!$A$2:$B1015, 2, false))</f>
        <v>178.6125</v>
      </c>
      <c r="U120" s="33">
        <f t="shared" si="4"/>
        <v>714.45</v>
      </c>
      <c r="V120" s="32" t="s">
        <v>248</v>
      </c>
      <c r="W120" s="8">
        <v>4.0</v>
      </c>
      <c r="X120" s="29" t="b">
        <v>0</v>
      </c>
      <c r="Y120" s="22">
        <f t="shared" si="5"/>
        <v>4</v>
      </c>
      <c r="Z120" s="19">
        <f>IF(ISBLANK(V120), 0, VLOOKUP(V120, 'Price Sheet'!$A$2:$B1015, 2, false))</f>
        <v>42.253125</v>
      </c>
      <c r="AA120" s="33">
        <f t="shared" si="6"/>
        <v>169.0125</v>
      </c>
      <c r="AB120" s="37"/>
      <c r="AC120" s="29"/>
      <c r="AD120" s="29" t="b">
        <v>0</v>
      </c>
      <c r="AE120" s="22" t="str">
        <f t="shared" si="7"/>
        <v/>
      </c>
      <c r="AF120" s="7">
        <f>IF(ISBLANK(AB120), 0, VLOOKUP(AB120, 'Price Sheet'!$A$2:$B1015, 2, false))</f>
        <v>0</v>
      </c>
      <c r="AG120" s="33" t="str">
        <f t="shared" si="8"/>
        <v/>
      </c>
      <c r="AH120" s="37"/>
      <c r="AI120" s="29"/>
      <c r="AJ120" s="29" t="b">
        <v>0</v>
      </c>
      <c r="AK120" s="22" t="str">
        <f t="shared" si="9"/>
        <v/>
      </c>
      <c r="AL120" s="7">
        <f>IF(ISBLANK(AH120), 0, VLOOKUP(AH120, 'Price Sheet'!$A$2:$B1015, 2, false))</f>
        <v>0</v>
      </c>
      <c r="AM120" s="33" t="str">
        <f t="shared" si="10"/>
        <v/>
      </c>
      <c r="AN120" s="37"/>
      <c r="AO120" s="29"/>
      <c r="AP120" s="29" t="b">
        <v>0</v>
      </c>
      <c r="AQ120" s="22" t="str">
        <f t="shared" si="11"/>
        <v/>
      </c>
      <c r="AR120" s="7">
        <f>IF(ISBLANK(AN120), 0, VLOOKUP(AN120, 'Price Sheet'!$A$2:$B1015, 2, false))</f>
        <v>0</v>
      </c>
      <c r="AS120" s="33" t="str">
        <f t="shared" si="12"/>
        <v/>
      </c>
      <c r="AT120" s="37"/>
      <c r="AU120" s="29"/>
      <c r="AV120" s="29" t="b">
        <v>0</v>
      </c>
      <c r="AW120" s="22" t="str">
        <f t="shared" si="13"/>
        <v/>
      </c>
      <c r="AX120" s="7">
        <f>IF(ISBLANK(AT120), 0, VLOOKUP(AT120, 'Price Sheet'!$A$2:$B1015, 2, false))</f>
        <v>0</v>
      </c>
      <c r="AY120" s="33" t="str">
        <f t="shared" si="14"/>
        <v/>
      </c>
      <c r="AZ120" s="37"/>
      <c r="BA120" s="29"/>
      <c r="BB120" s="29" t="b">
        <v>0</v>
      </c>
      <c r="BC120" s="22" t="str">
        <f t="shared" si="15"/>
        <v/>
      </c>
      <c r="BD120" s="7">
        <f>IF(ISBLANK(AZ120), 0, VLOOKUP(AZ120, 'Price Sheet'!$A$2:$B1015, 2, false))</f>
        <v>0</v>
      </c>
      <c r="BE120" s="33" t="str">
        <f t="shared" si="16"/>
        <v/>
      </c>
      <c r="BF120" s="37"/>
      <c r="BG120" s="29"/>
      <c r="BH120" s="29" t="b">
        <v>0</v>
      </c>
      <c r="BI120" s="22" t="str">
        <f t="shared" si="17"/>
        <v/>
      </c>
      <c r="BJ120" s="7">
        <f>IF(ISBLANK(BF120), 0, VLOOKUP(BF120, 'Price Sheet'!$A$2:$B1015, 2, false))</f>
        <v>0</v>
      </c>
      <c r="BK120" s="33" t="str">
        <f t="shared" si="18"/>
        <v/>
      </c>
      <c r="BL120" s="37"/>
      <c r="BM120" s="29"/>
      <c r="BN120" s="29" t="b">
        <v>0</v>
      </c>
      <c r="BO120" s="22" t="str">
        <f t="shared" si="19"/>
        <v/>
      </c>
      <c r="BP120" s="7">
        <f>IF(ISBLANK(BL120), 0, VLOOKUP(BL120, 'Price Sheet'!$A$2:$B1015, 2, false))</f>
        <v>0</v>
      </c>
      <c r="BQ120" s="33" t="str">
        <f t="shared" si="20"/>
        <v/>
      </c>
    </row>
    <row r="121">
      <c r="A121" s="7" t="s">
        <v>262</v>
      </c>
      <c r="B121" s="19">
        <f t="shared" si="1"/>
        <v>1893.225</v>
      </c>
      <c r="C121" s="8" t="s">
        <v>159</v>
      </c>
      <c r="D121" s="8" t="s">
        <v>344</v>
      </c>
      <c r="E121" s="7" t="str">
        <f>IF(ISBLANK(D121), "", VLOOKUP(D121,'Crafting Tables'!$A$2:$B1015, 2, false))</f>
        <v>Modern</v>
      </c>
      <c r="F121" s="7">
        <f>IFERROR(IF(E121 = "None", 1, VLOOKUP(C121,General!$A$5:$L$35, SWITCH(E121, "Basic", 8, "Advanced", 10, "Modern", 12), false)),"")</f>
        <v>1</v>
      </c>
      <c r="G121" s="8">
        <v>45.0</v>
      </c>
      <c r="H121" s="7">
        <f>IFERROR(VLOOKUP(C121, General!$A$5:$L$35, 6, false) * G121 / 1000, 0)</f>
        <v>1.8</v>
      </c>
      <c r="I121" s="29">
        <f t="shared" ref="I121:I123" si="21">0.8*60</f>
        <v>48</v>
      </c>
      <c r="J121" s="22">
        <f>IFERROR(I121*VLOOKUP(D121,'Crafting Tables'!$1:$1000, 4, false)*F121,"")</f>
        <v>0</v>
      </c>
      <c r="K121" s="8" t="b">
        <v>1</v>
      </c>
      <c r="L121" s="32" t="s">
        <v>262</v>
      </c>
      <c r="M121" s="8">
        <v>1.0</v>
      </c>
      <c r="N121" s="21">
        <f t="shared" si="2"/>
        <v>1893.225</v>
      </c>
      <c r="P121" s="32" t="s">
        <v>257</v>
      </c>
      <c r="Q121" s="8">
        <v>6.0</v>
      </c>
      <c r="R121" s="29" t="b">
        <v>0</v>
      </c>
      <c r="S121" s="22">
        <f t="shared" si="3"/>
        <v>6</v>
      </c>
      <c r="T121" s="19">
        <f>IF(ISBLANK(P121), 0, VLOOKUP(P121, 'Price Sheet'!$A$2:$B1015, 2, false))</f>
        <v>11.2</v>
      </c>
      <c r="U121" s="33">
        <f t="shared" si="4"/>
        <v>67.2</v>
      </c>
      <c r="V121" s="32" t="s">
        <v>259</v>
      </c>
      <c r="W121" s="8">
        <v>10.0</v>
      </c>
      <c r="X121" s="29" t="b">
        <v>0</v>
      </c>
      <c r="Y121" s="22">
        <f t="shared" si="5"/>
        <v>10</v>
      </c>
      <c r="Z121" s="19">
        <f>IF(ISBLANK(V121), 0, VLOOKUP(V121, 'Price Sheet'!$A$2:$B1015, 2, false))</f>
        <v>5.25</v>
      </c>
      <c r="AA121" s="33">
        <f t="shared" si="6"/>
        <v>52.5</v>
      </c>
      <c r="AB121" s="32" t="s">
        <v>261</v>
      </c>
      <c r="AC121" s="8">
        <v>2.0</v>
      </c>
      <c r="AD121" s="29" t="b">
        <v>0</v>
      </c>
      <c r="AE121" s="22">
        <f t="shared" si="7"/>
        <v>2</v>
      </c>
      <c r="AF121" s="19">
        <f>IF(ISBLANK(AB121), 0, VLOOKUP(AB121, 'Price Sheet'!$A$2:$B1015, 2, false))</f>
        <v>885.8625</v>
      </c>
      <c r="AG121" s="33">
        <f t="shared" si="8"/>
        <v>1771.725</v>
      </c>
      <c r="AH121" s="37"/>
      <c r="AI121" s="29"/>
      <c r="AJ121" s="29" t="b">
        <v>0</v>
      </c>
      <c r="AK121" s="22" t="str">
        <f t="shared" si="9"/>
        <v/>
      </c>
      <c r="AL121" s="7">
        <f>IF(ISBLANK(AH121), 0, VLOOKUP(AH121, 'Price Sheet'!$A$2:$B1015, 2, false))</f>
        <v>0</v>
      </c>
      <c r="AM121" s="33" t="str">
        <f t="shared" si="10"/>
        <v/>
      </c>
      <c r="AN121" s="37"/>
      <c r="AO121" s="29"/>
      <c r="AP121" s="29" t="b">
        <v>0</v>
      </c>
      <c r="AQ121" s="22" t="str">
        <f t="shared" si="11"/>
        <v/>
      </c>
      <c r="AR121" s="7">
        <f>IF(ISBLANK(AN121), 0, VLOOKUP(AN121, 'Price Sheet'!$A$2:$B1015, 2, false))</f>
        <v>0</v>
      </c>
      <c r="AS121" s="33" t="str">
        <f t="shared" si="12"/>
        <v/>
      </c>
      <c r="AT121" s="37"/>
      <c r="AU121" s="29"/>
      <c r="AV121" s="29" t="b">
        <v>0</v>
      </c>
      <c r="AW121" s="22" t="str">
        <f t="shared" si="13"/>
        <v/>
      </c>
      <c r="AX121" s="7">
        <f>IF(ISBLANK(AT121), 0, VLOOKUP(AT121, 'Price Sheet'!$A$2:$B1015, 2, false))</f>
        <v>0</v>
      </c>
      <c r="AY121" s="33" t="str">
        <f t="shared" si="14"/>
        <v/>
      </c>
      <c r="AZ121" s="37"/>
      <c r="BA121" s="29"/>
      <c r="BB121" s="29" t="b">
        <v>0</v>
      </c>
      <c r="BC121" s="22" t="str">
        <f t="shared" si="15"/>
        <v/>
      </c>
      <c r="BD121" s="7">
        <f>IF(ISBLANK(AZ121), 0, VLOOKUP(AZ121, 'Price Sheet'!$A$2:$B1015, 2, false))</f>
        <v>0</v>
      </c>
      <c r="BE121" s="33" t="str">
        <f t="shared" si="16"/>
        <v/>
      </c>
      <c r="BF121" s="37"/>
      <c r="BG121" s="29"/>
      <c r="BH121" s="29" t="b">
        <v>0</v>
      </c>
      <c r="BI121" s="22" t="str">
        <f t="shared" si="17"/>
        <v/>
      </c>
      <c r="BJ121" s="7">
        <f>IF(ISBLANK(BF121), 0, VLOOKUP(BF121, 'Price Sheet'!$A$2:$B1015, 2, false))</f>
        <v>0</v>
      </c>
      <c r="BK121" s="33" t="str">
        <f t="shared" si="18"/>
        <v/>
      </c>
      <c r="BL121" s="37"/>
      <c r="BM121" s="29"/>
      <c r="BN121" s="29" t="b">
        <v>0</v>
      </c>
      <c r="BO121" s="22" t="str">
        <f t="shared" si="19"/>
        <v/>
      </c>
      <c r="BP121" s="7">
        <f>IF(ISBLANK(BL121), 0, VLOOKUP(BL121, 'Price Sheet'!$A$2:$B1015, 2, false))</f>
        <v>0</v>
      </c>
      <c r="BQ121" s="33" t="str">
        <f t="shared" si="20"/>
        <v/>
      </c>
    </row>
    <row r="122">
      <c r="A122" s="7" t="s">
        <v>263</v>
      </c>
      <c r="B122" s="19">
        <f t="shared" si="1"/>
        <v>1868.425</v>
      </c>
      <c r="C122" s="8" t="s">
        <v>159</v>
      </c>
      <c r="D122" s="8" t="s">
        <v>344</v>
      </c>
      <c r="E122" s="7" t="str">
        <f>IF(ISBLANK(D122), "", VLOOKUP(D122,'Crafting Tables'!$A$2:$B1015, 2, false))</f>
        <v>Modern</v>
      </c>
      <c r="F122" s="7">
        <f>IFERROR(IF(E122 = "None", 1, VLOOKUP(C122,General!$A$5:$L$35, SWITCH(E122, "Basic", 8, "Advanced", 10, "Modern", 12), false)),"")</f>
        <v>1</v>
      </c>
      <c r="G122" s="8">
        <v>85.0</v>
      </c>
      <c r="H122" s="7">
        <f>IFERROR(VLOOKUP(C122, General!$A$5:$L$35, 6, false) * G122 / 1000, 0)</f>
        <v>3.4</v>
      </c>
      <c r="I122" s="29">
        <f t="shared" si="21"/>
        <v>48</v>
      </c>
      <c r="J122" s="22">
        <f>IFERROR(I122*VLOOKUP(D122,'Crafting Tables'!$1:$1000, 4, false)*F122,"")</f>
        <v>0</v>
      </c>
      <c r="K122" s="8" t="b">
        <v>1</v>
      </c>
      <c r="L122" s="32" t="s">
        <v>263</v>
      </c>
      <c r="M122" s="8">
        <v>1.0</v>
      </c>
      <c r="N122" s="21">
        <f t="shared" si="2"/>
        <v>1868.425</v>
      </c>
      <c r="P122" s="32" t="s">
        <v>258</v>
      </c>
      <c r="Q122" s="8">
        <v>4.0</v>
      </c>
      <c r="R122" s="29" t="b">
        <v>0</v>
      </c>
      <c r="S122" s="22">
        <f t="shared" si="3"/>
        <v>4</v>
      </c>
      <c r="T122" s="19">
        <f>IF(ISBLANK(P122), 0, VLOOKUP(P122, 'Price Sheet'!$A$2:$B1015, 2, false))</f>
        <v>-1</v>
      </c>
      <c r="U122" s="33">
        <f t="shared" si="4"/>
        <v>-4</v>
      </c>
      <c r="V122" s="32" t="s">
        <v>259</v>
      </c>
      <c r="W122" s="8">
        <v>10.0</v>
      </c>
      <c r="X122" s="29" t="b">
        <v>0</v>
      </c>
      <c r="Y122" s="22">
        <f t="shared" si="5"/>
        <v>10</v>
      </c>
      <c r="Z122" s="19">
        <f>IF(ISBLANK(V122), 0, VLOOKUP(V122, 'Price Sheet'!$A$2:$B1015, 2, false))</f>
        <v>5.25</v>
      </c>
      <c r="AA122" s="33">
        <f t="shared" si="6"/>
        <v>52.5</v>
      </c>
      <c r="AB122" s="32" t="s">
        <v>261</v>
      </c>
      <c r="AC122" s="8">
        <v>2.0</v>
      </c>
      <c r="AD122" s="29" t="b">
        <v>0</v>
      </c>
      <c r="AE122" s="22">
        <f t="shared" si="7"/>
        <v>2</v>
      </c>
      <c r="AF122" s="19">
        <f>IF(ISBLANK(AB122), 0, VLOOKUP(AB122, 'Price Sheet'!$A$2:$B1015, 2, false))</f>
        <v>885.8625</v>
      </c>
      <c r="AG122" s="33">
        <f t="shared" si="8"/>
        <v>1771.725</v>
      </c>
      <c r="AH122" s="32" t="s">
        <v>257</v>
      </c>
      <c r="AI122" s="8">
        <v>4.0</v>
      </c>
      <c r="AJ122" s="29" t="b">
        <v>0</v>
      </c>
      <c r="AK122" s="22">
        <f t="shared" si="9"/>
        <v>4</v>
      </c>
      <c r="AL122" s="19">
        <f>IF(ISBLANK(AH122), 0, VLOOKUP(AH122, 'Price Sheet'!$A$2:$B1015, 2, false))</f>
        <v>11.2</v>
      </c>
      <c r="AM122" s="33">
        <f t="shared" si="10"/>
        <v>44.8</v>
      </c>
      <c r="AN122" s="37"/>
      <c r="AO122" s="29"/>
      <c r="AP122" s="29" t="b">
        <v>0</v>
      </c>
      <c r="AQ122" s="22" t="str">
        <f t="shared" si="11"/>
        <v/>
      </c>
      <c r="AR122" s="7">
        <f>IF(ISBLANK(AN122), 0, VLOOKUP(AN122, 'Price Sheet'!$A$2:$B1015, 2, false))</f>
        <v>0</v>
      </c>
      <c r="AS122" s="33" t="str">
        <f t="shared" si="12"/>
        <v/>
      </c>
      <c r="AT122" s="37"/>
      <c r="AU122" s="29"/>
      <c r="AV122" s="29" t="b">
        <v>0</v>
      </c>
      <c r="AW122" s="22" t="str">
        <f t="shared" si="13"/>
        <v/>
      </c>
      <c r="AX122" s="7">
        <f>IF(ISBLANK(AT122), 0, VLOOKUP(AT122, 'Price Sheet'!$A$2:$B1015, 2, false))</f>
        <v>0</v>
      </c>
      <c r="AY122" s="33" t="str">
        <f t="shared" si="14"/>
        <v/>
      </c>
      <c r="AZ122" s="37"/>
      <c r="BA122" s="29"/>
      <c r="BB122" s="29" t="b">
        <v>0</v>
      </c>
      <c r="BC122" s="22" t="str">
        <f t="shared" si="15"/>
        <v/>
      </c>
      <c r="BD122" s="7">
        <f>IF(ISBLANK(AZ122), 0, VLOOKUP(AZ122, 'Price Sheet'!$A$2:$B1015, 2, false))</f>
        <v>0</v>
      </c>
      <c r="BE122" s="33" t="str">
        <f t="shared" si="16"/>
        <v/>
      </c>
      <c r="BF122" s="37"/>
      <c r="BG122" s="29"/>
      <c r="BH122" s="29" t="b">
        <v>0</v>
      </c>
      <c r="BI122" s="22" t="str">
        <f t="shared" si="17"/>
        <v/>
      </c>
      <c r="BJ122" s="7">
        <f>IF(ISBLANK(BF122), 0, VLOOKUP(BF122, 'Price Sheet'!$A$2:$B1015, 2, false))</f>
        <v>0</v>
      </c>
      <c r="BK122" s="33" t="str">
        <f t="shared" si="18"/>
        <v/>
      </c>
      <c r="BL122" s="37"/>
      <c r="BM122" s="29"/>
      <c r="BN122" s="29" t="b">
        <v>0</v>
      </c>
      <c r="BO122" s="22" t="str">
        <f t="shared" si="19"/>
        <v/>
      </c>
      <c r="BP122" s="7">
        <f>IF(ISBLANK(BL122), 0, VLOOKUP(BL122, 'Price Sheet'!$A$2:$B1015, 2, false))</f>
        <v>0</v>
      </c>
      <c r="BQ122" s="33" t="str">
        <f t="shared" si="20"/>
        <v/>
      </c>
    </row>
    <row r="123">
      <c r="A123" s="7" t="s">
        <v>259</v>
      </c>
      <c r="B123" s="19">
        <f t="shared" si="1"/>
        <v>21</v>
      </c>
      <c r="C123" s="8" t="s">
        <v>159</v>
      </c>
      <c r="D123" s="8" t="s">
        <v>344</v>
      </c>
      <c r="E123" s="7" t="str">
        <f>IF(ISBLANK(D123), "", VLOOKUP(D123,'Crafting Tables'!$A$2:$B1015, 2, false))</f>
        <v>Modern</v>
      </c>
      <c r="F123" s="7">
        <f>IFERROR(IF(E123 = "None", 1, VLOOKUP(C123,General!$A$5:$L$35, SWITCH(E123, "Basic", 8, "Advanced", 10, "Modern", 12), false)),"")</f>
        <v>1</v>
      </c>
      <c r="G123" s="8">
        <v>75.0</v>
      </c>
      <c r="H123" s="7">
        <f>IFERROR(VLOOKUP(C123, General!$A$5:$L$35, 6, false) * G123 / 1000, 0)</f>
        <v>3</v>
      </c>
      <c r="I123" s="29">
        <f t="shared" si="21"/>
        <v>48</v>
      </c>
      <c r="J123" s="22">
        <f>IFERROR(I123*VLOOKUP(D123,'Crafting Tables'!$1:$1000, 4, false)*F123,"")</f>
        <v>0</v>
      </c>
      <c r="K123" s="8" t="b">
        <v>1</v>
      </c>
      <c r="L123" s="32" t="s">
        <v>259</v>
      </c>
      <c r="M123" s="8">
        <v>4.0</v>
      </c>
      <c r="N123" s="21">
        <f t="shared" si="2"/>
        <v>5.25</v>
      </c>
      <c r="P123" s="32" t="s">
        <v>260</v>
      </c>
      <c r="Q123" s="8">
        <v>2.0</v>
      </c>
      <c r="R123" s="29" t="b">
        <v>0</v>
      </c>
      <c r="S123" s="22">
        <f t="shared" si="3"/>
        <v>2</v>
      </c>
      <c r="T123" s="19">
        <f>IF(ISBLANK(P123), 0, VLOOKUP(P123, 'Price Sheet'!$A$2:$B1015, 2, false))</f>
        <v>9</v>
      </c>
      <c r="U123" s="33">
        <f t="shared" si="4"/>
        <v>18</v>
      </c>
      <c r="V123" s="37"/>
      <c r="W123" s="29"/>
      <c r="X123" s="29" t="b">
        <v>0</v>
      </c>
      <c r="Y123" s="22" t="str">
        <f t="shared" si="5"/>
        <v/>
      </c>
      <c r="Z123" s="7">
        <f>IF(ISBLANK(V123), 0, VLOOKUP(V123, 'Price Sheet'!$A$2:$B1015, 2, false))</f>
        <v>0</v>
      </c>
      <c r="AA123" s="33" t="str">
        <f t="shared" si="6"/>
        <v/>
      </c>
      <c r="AB123" s="37"/>
      <c r="AC123" s="29"/>
      <c r="AD123" s="29" t="b">
        <v>0</v>
      </c>
      <c r="AE123" s="22" t="str">
        <f t="shared" si="7"/>
        <v/>
      </c>
      <c r="AF123" s="7">
        <f>IF(ISBLANK(AB123), 0, VLOOKUP(AB123, 'Price Sheet'!$A$2:$B1015, 2, false))</f>
        <v>0</v>
      </c>
      <c r="AG123" s="33" t="str">
        <f t="shared" si="8"/>
        <v/>
      </c>
      <c r="AH123" s="37"/>
      <c r="AI123" s="29"/>
      <c r="AJ123" s="29" t="b">
        <v>0</v>
      </c>
      <c r="AK123" s="22" t="str">
        <f t="shared" si="9"/>
        <v/>
      </c>
      <c r="AL123" s="7">
        <f>IF(ISBLANK(AH123), 0, VLOOKUP(AH123, 'Price Sheet'!$A$2:$B1015, 2, false))</f>
        <v>0</v>
      </c>
      <c r="AM123" s="33" t="str">
        <f t="shared" si="10"/>
        <v/>
      </c>
      <c r="AN123" s="37"/>
      <c r="AO123" s="29"/>
      <c r="AP123" s="29" t="b">
        <v>0</v>
      </c>
      <c r="AQ123" s="22" t="str">
        <f t="shared" si="11"/>
        <v/>
      </c>
      <c r="AR123" s="7">
        <f>IF(ISBLANK(AN123), 0, VLOOKUP(AN123, 'Price Sheet'!$A$2:$B1015, 2, false))</f>
        <v>0</v>
      </c>
      <c r="AS123" s="33" t="str">
        <f t="shared" si="12"/>
        <v/>
      </c>
      <c r="AT123" s="37"/>
      <c r="AU123" s="29"/>
      <c r="AV123" s="29" t="b">
        <v>0</v>
      </c>
      <c r="AW123" s="22" t="str">
        <f t="shared" si="13"/>
        <v/>
      </c>
      <c r="AX123" s="7">
        <f>IF(ISBLANK(AT123), 0, VLOOKUP(AT123, 'Price Sheet'!$A$2:$B1015, 2, false))</f>
        <v>0</v>
      </c>
      <c r="AY123" s="33" t="str">
        <f t="shared" si="14"/>
        <v/>
      </c>
      <c r="AZ123" s="37"/>
      <c r="BA123" s="29"/>
      <c r="BB123" s="29" t="b">
        <v>0</v>
      </c>
      <c r="BC123" s="22" t="str">
        <f t="shared" si="15"/>
        <v/>
      </c>
      <c r="BD123" s="7">
        <f>IF(ISBLANK(AZ123), 0, VLOOKUP(AZ123, 'Price Sheet'!$A$2:$B1015, 2, false))</f>
        <v>0</v>
      </c>
      <c r="BE123" s="33" t="str">
        <f t="shared" si="16"/>
        <v/>
      </c>
      <c r="BF123" s="37"/>
      <c r="BG123" s="29"/>
      <c r="BH123" s="29" t="b">
        <v>0</v>
      </c>
      <c r="BI123" s="22" t="str">
        <f t="shared" si="17"/>
        <v/>
      </c>
      <c r="BJ123" s="7">
        <f>IF(ISBLANK(BF123), 0, VLOOKUP(BF123, 'Price Sheet'!$A$2:$B1015, 2, false))</f>
        <v>0</v>
      </c>
      <c r="BK123" s="33" t="str">
        <f t="shared" si="18"/>
        <v/>
      </c>
      <c r="BL123" s="37"/>
      <c r="BM123" s="29"/>
      <c r="BN123" s="29" t="b">
        <v>0</v>
      </c>
      <c r="BO123" s="22" t="str">
        <f t="shared" si="19"/>
        <v/>
      </c>
      <c r="BP123" s="7">
        <f>IF(ISBLANK(BL123), 0, VLOOKUP(BL123, 'Price Sheet'!$A$2:$B1015, 2, false))</f>
        <v>0</v>
      </c>
      <c r="BQ123" s="33" t="str">
        <f t="shared" si="20"/>
        <v/>
      </c>
    </row>
    <row r="124">
      <c r="A124" s="7" t="s">
        <v>267</v>
      </c>
      <c r="B124" s="19">
        <f t="shared" si="1"/>
        <v>7711.0725</v>
      </c>
      <c r="C124" s="8" t="s">
        <v>167</v>
      </c>
      <c r="D124" s="8" t="s">
        <v>339</v>
      </c>
      <c r="E124" s="7" t="str">
        <f>IF(ISBLANK(D124), "", VLOOKUP(D124,'Crafting Tables'!$A$2:$B1015, 2, false))</f>
        <v>Modern</v>
      </c>
      <c r="F124" s="7">
        <f>IFERROR(IF(E124 = "None", 1, VLOOKUP(C124,General!$A$5:$L$35, SWITCH(E124, "Basic", 8, "Advanced", 10, "Modern", 12), false)),"")</f>
        <v>1</v>
      </c>
      <c r="G124" s="8">
        <v>60.0</v>
      </c>
      <c r="H124" s="7">
        <f>IFERROR(VLOOKUP(C124, General!$A$5:$L$35, 6, false) * G124 / 1000, 0)</f>
        <v>2.4</v>
      </c>
      <c r="I124" s="8">
        <v>180.0</v>
      </c>
      <c r="J124" s="22">
        <f>IFERROR(I124*VLOOKUP(D124,'Crafting Tables'!$1:$1000, 4, false)*F124,"")</f>
        <v>0</v>
      </c>
      <c r="K124" s="8" t="b">
        <v>1</v>
      </c>
      <c r="L124" s="32" t="s">
        <v>267</v>
      </c>
      <c r="M124" s="8">
        <v>1.0</v>
      </c>
      <c r="N124" s="21">
        <f t="shared" si="2"/>
        <v>7711.0725</v>
      </c>
      <c r="P124" s="32" t="s">
        <v>262</v>
      </c>
      <c r="Q124" s="8">
        <v>2.0</v>
      </c>
      <c r="R124" s="29" t="b">
        <v>0</v>
      </c>
      <c r="S124" s="22">
        <f t="shared" si="3"/>
        <v>2</v>
      </c>
      <c r="T124" s="19">
        <f>IF(ISBLANK(P124), 0, VLOOKUP(P124, 'Price Sheet'!$A$2:$B1015, 2, false))</f>
        <v>3407.805</v>
      </c>
      <c r="U124" s="33">
        <f t="shared" si="4"/>
        <v>6815.61</v>
      </c>
      <c r="V124" s="32" t="s">
        <v>256</v>
      </c>
      <c r="W124" s="8">
        <v>5.0</v>
      </c>
      <c r="X124" s="29" t="b">
        <v>0</v>
      </c>
      <c r="Y124" s="22">
        <f t="shared" si="5"/>
        <v>5</v>
      </c>
      <c r="Z124" s="19">
        <f>IF(ISBLANK(V124), 0, VLOOKUP(V124, 'Price Sheet'!$A$2:$B1015, 2, false))</f>
        <v>178.6125</v>
      </c>
      <c r="AA124" s="33">
        <f t="shared" si="6"/>
        <v>893.0625</v>
      </c>
      <c r="AB124" s="37"/>
      <c r="AC124" s="29"/>
      <c r="AD124" s="29" t="b">
        <v>0</v>
      </c>
      <c r="AE124" s="22" t="str">
        <f t="shared" si="7"/>
        <v/>
      </c>
      <c r="AF124" s="7">
        <f>IF(ISBLANK(AB124), 0, VLOOKUP(AB124, 'Price Sheet'!$A$2:$B1015, 2, false))</f>
        <v>0</v>
      </c>
      <c r="AG124" s="33" t="str">
        <f t="shared" si="8"/>
        <v/>
      </c>
      <c r="AH124" s="37"/>
      <c r="AI124" s="29"/>
      <c r="AJ124" s="29" t="b">
        <v>0</v>
      </c>
      <c r="AK124" s="22" t="str">
        <f t="shared" si="9"/>
        <v/>
      </c>
      <c r="AL124" s="7">
        <f>IF(ISBLANK(AH124), 0, VLOOKUP(AH124, 'Price Sheet'!$A$2:$B1015, 2, false))</f>
        <v>0</v>
      </c>
      <c r="AM124" s="33" t="str">
        <f t="shared" si="10"/>
        <v/>
      </c>
      <c r="AN124" s="37"/>
      <c r="AO124" s="29"/>
      <c r="AP124" s="29" t="b">
        <v>0</v>
      </c>
      <c r="AQ124" s="22" t="str">
        <f t="shared" si="11"/>
        <v/>
      </c>
      <c r="AR124" s="7">
        <f>IF(ISBLANK(AN124), 0, VLOOKUP(AN124, 'Price Sheet'!$A$2:$B1015, 2, false))</f>
        <v>0</v>
      </c>
      <c r="AS124" s="33" t="str">
        <f t="shared" si="12"/>
        <v/>
      </c>
      <c r="AT124" s="37"/>
      <c r="AU124" s="29"/>
      <c r="AV124" s="29" t="b">
        <v>0</v>
      </c>
      <c r="AW124" s="22" t="str">
        <f t="shared" si="13"/>
        <v/>
      </c>
      <c r="AX124" s="7">
        <f>IF(ISBLANK(AT124), 0, VLOOKUP(AT124, 'Price Sheet'!$A$2:$B1015, 2, false))</f>
        <v>0</v>
      </c>
      <c r="AY124" s="33" t="str">
        <f t="shared" si="14"/>
        <v/>
      </c>
      <c r="AZ124" s="37"/>
      <c r="BA124" s="29"/>
      <c r="BB124" s="29" t="b">
        <v>0</v>
      </c>
      <c r="BC124" s="22" t="str">
        <f t="shared" si="15"/>
        <v/>
      </c>
      <c r="BD124" s="7">
        <f>IF(ISBLANK(AZ124), 0, VLOOKUP(AZ124, 'Price Sheet'!$A$2:$B1015, 2, false))</f>
        <v>0</v>
      </c>
      <c r="BE124" s="33" t="str">
        <f t="shared" si="16"/>
        <v/>
      </c>
      <c r="BF124" s="37"/>
      <c r="BG124" s="29"/>
      <c r="BH124" s="29" t="b">
        <v>0</v>
      </c>
      <c r="BI124" s="22" t="str">
        <f t="shared" si="17"/>
        <v/>
      </c>
      <c r="BJ124" s="7">
        <f>IF(ISBLANK(BF124), 0, VLOOKUP(BF124, 'Price Sheet'!$A$2:$B1015, 2, false))</f>
        <v>0</v>
      </c>
      <c r="BK124" s="33" t="str">
        <f t="shared" si="18"/>
        <v/>
      </c>
      <c r="BL124" s="37"/>
      <c r="BM124" s="29"/>
      <c r="BN124" s="29" t="b">
        <v>0</v>
      </c>
      <c r="BO124" s="22" t="str">
        <f t="shared" si="19"/>
        <v/>
      </c>
      <c r="BP124" s="7">
        <f>IF(ISBLANK(BL124), 0, VLOOKUP(BL124, 'Price Sheet'!$A$2:$B1015, 2, false))</f>
        <v>0</v>
      </c>
      <c r="BQ124" s="33" t="str">
        <f t="shared" si="20"/>
        <v/>
      </c>
    </row>
    <row r="125">
      <c r="A125" s="7" t="s">
        <v>268</v>
      </c>
      <c r="B125" s="19">
        <f t="shared" si="1"/>
        <v>13827.95083</v>
      </c>
      <c r="C125" s="8" t="s">
        <v>159</v>
      </c>
      <c r="D125" s="8" t="s">
        <v>344</v>
      </c>
      <c r="E125" s="7" t="str">
        <f>IF(ISBLANK(D125), "", VLOOKUP(D125,'Crafting Tables'!$A$2:$B1015, 2, false))</f>
        <v>Modern</v>
      </c>
      <c r="F125" s="7">
        <f>IFERROR(IF(E125 = "None", 1, VLOOKUP(C125,General!$A$5:$L$35, SWITCH(E125, "Basic", 8, "Advanced", 10, "Modern", 12), false)),"")</f>
        <v>1</v>
      </c>
      <c r="G125" s="8">
        <v>360.0</v>
      </c>
      <c r="H125" s="7">
        <f>IFERROR(VLOOKUP(C125, General!$A$5:$L$35, 6, false) * G125 / 1000, 0)</f>
        <v>14.4</v>
      </c>
      <c r="I125" s="8">
        <v>120.0</v>
      </c>
      <c r="J125" s="22">
        <f>IFERROR(I125*VLOOKUP(D125,'Crafting Tables'!$1:$1000, 4, false)*F125,"")</f>
        <v>0</v>
      </c>
      <c r="K125" s="8" t="b">
        <v>1</v>
      </c>
      <c r="L125" s="32" t="s">
        <v>268</v>
      </c>
      <c r="M125" s="8">
        <v>1.0</v>
      </c>
      <c r="N125" s="21">
        <f t="shared" si="2"/>
        <v>13827.95083</v>
      </c>
      <c r="P125" s="32" t="s">
        <v>262</v>
      </c>
      <c r="Q125" s="8">
        <v>4.0</v>
      </c>
      <c r="R125" s="29" t="b">
        <v>0</v>
      </c>
      <c r="S125" s="22">
        <f t="shared" si="3"/>
        <v>4</v>
      </c>
      <c r="T125" s="19">
        <f>IF(ISBLANK(P125), 0, VLOOKUP(P125, 'Price Sheet'!$A$2:$B1015, 2, false))</f>
        <v>3407.805</v>
      </c>
      <c r="U125" s="33">
        <f t="shared" si="4"/>
        <v>13631.22</v>
      </c>
      <c r="V125" s="32" t="s">
        <v>257</v>
      </c>
      <c r="W125" s="8">
        <v>10.0</v>
      </c>
      <c r="X125" s="29" t="b">
        <v>0</v>
      </c>
      <c r="Y125" s="22">
        <f t="shared" si="5"/>
        <v>10</v>
      </c>
      <c r="Z125" s="19">
        <f>IF(ISBLANK(V125), 0, VLOOKUP(V125, 'Price Sheet'!$A$2:$B1015, 2, false))</f>
        <v>11.2</v>
      </c>
      <c r="AA125" s="33">
        <f t="shared" si="6"/>
        <v>112</v>
      </c>
      <c r="AB125" s="32" t="s">
        <v>215</v>
      </c>
      <c r="AC125" s="8">
        <v>8.0</v>
      </c>
      <c r="AD125" s="29" t="b">
        <v>0</v>
      </c>
      <c r="AE125" s="22">
        <f t="shared" si="7"/>
        <v>8</v>
      </c>
      <c r="AF125" s="19">
        <f>IF(ISBLANK(AB125), 0, VLOOKUP(AB125, 'Price Sheet'!$A$2:$B1015, 2, false))</f>
        <v>8.791354167</v>
      </c>
      <c r="AG125" s="33">
        <f t="shared" si="8"/>
        <v>70.33083333</v>
      </c>
      <c r="AH125" s="37"/>
      <c r="AI125" s="29"/>
      <c r="AJ125" s="29" t="b">
        <v>0</v>
      </c>
      <c r="AK125" s="22" t="str">
        <f t="shared" si="9"/>
        <v/>
      </c>
      <c r="AL125" s="7">
        <f>IF(ISBLANK(AH125), 0, VLOOKUP(AH125, 'Price Sheet'!$A$2:$B1015, 2, false))</f>
        <v>0</v>
      </c>
      <c r="AM125" s="33" t="str">
        <f t="shared" si="10"/>
        <v/>
      </c>
      <c r="AN125" s="37"/>
      <c r="AO125" s="29"/>
      <c r="AP125" s="29" t="b">
        <v>0</v>
      </c>
      <c r="AQ125" s="22" t="str">
        <f t="shared" si="11"/>
        <v/>
      </c>
      <c r="AR125" s="7">
        <f>IF(ISBLANK(AN125), 0, VLOOKUP(AN125, 'Price Sheet'!$A$2:$B1015, 2, false))</f>
        <v>0</v>
      </c>
      <c r="AS125" s="33" t="str">
        <f t="shared" si="12"/>
        <v/>
      </c>
      <c r="AT125" s="37"/>
      <c r="AU125" s="29"/>
      <c r="AV125" s="29" t="b">
        <v>0</v>
      </c>
      <c r="AW125" s="22" t="str">
        <f t="shared" si="13"/>
        <v/>
      </c>
      <c r="AX125" s="7">
        <f>IF(ISBLANK(AT125), 0, VLOOKUP(AT125, 'Price Sheet'!$A$2:$B1015, 2, false))</f>
        <v>0</v>
      </c>
      <c r="AY125" s="33" t="str">
        <f t="shared" si="14"/>
        <v/>
      </c>
      <c r="AZ125" s="37"/>
      <c r="BA125" s="29"/>
      <c r="BB125" s="29" t="b">
        <v>0</v>
      </c>
      <c r="BC125" s="22" t="str">
        <f t="shared" si="15"/>
        <v/>
      </c>
      <c r="BD125" s="7">
        <f>IF(ISBLANK(AZ125), 0, VLOOKUP(AZ125, 'Price Sheet'!$A$2:$B1015, 2, false))</f>
        <v>0</v>
      </c>
      <c r="BE125" s="33" t="str">
        <f t="shared" si="16"/>
        <v/>
      </c>
      <c r="BF125" s="37"/>
      <c r="BG125" s="29"/>
      <c r="BH125" s="29" t="b">
        <v>0</v>
      </c>
      <c r="BI125" s="22" t="str">
        <f t="shared" si="17"/>
        <v/>
      </c>
      <c r="BJ125" s="7">
        <f>IF(ISBLANK(BF125), 0, VLOOKUP(BF125, 'Price Sheet'!$A$2:$B1015, 2, false))</f>
        <v>0</v>
      </c>
      <c r="BK125" s="33" t="str">
        <f t="shared" si="18"/>
        <v/>
      </c>
      <c r="BL125" s="37"/>
      <c r="BM125" s="29"/>
      <c r="BN125" s="29" t="b">
        <v>0</v>
      </c>
      <c r="BO125" s="22" t="str">
        <f t="shared" si="19"/>
        <v/>
      </c>
      <c r="BP125" s="7">
        <f>IF(ISBLANK(BL125), 0, VLOOKUP(BL125, 'Price Sheet'!$A$2:$B1015, 2, false))</f>
        <v>0</v>
      </c>
      <c r="BQ125" s="33" t="str">
        <f t="shared" si="20"/>
        <v/>
      </c>
    </row>
    <row r="126">
      <c r="A126" s="7" t="s">
        <v>265</v>
      </c>
      <c r="B126" s="19">
        <f t="shared" si="1"/>
        <v>162154.0617</v>
      </c>
      <c r="C126" s="8" t="s">
        <v>159</v>
      </c>
      <c r="D126" s="8" t="s">
        <v>344</v>
      </c>
      <c r="E126" s="7" t="str">
        <f>IF(ISBLANK(D126), "", VLOOKUP(D126,'Crafting Tables'!$A$2:$B1015, 2, false))</f>
        <v>Modern</v>
      </c>
      <c r="F126" s="7">
        <f>IFERROR(IF(E126 = "None", 1, VLOOKUP(C126,General!$A$5:$L$35, SWITCH(E126, "Basic", 8, "Advanced", 10, "Modern", 12), false)),"")</f>
        <v>1</v>
      </c>
      <c r="G126" s="8">
        <v>1200.0</v>
      </c>
      <c r="H126" s="7">
        <f>IFERROR(VLOOKUP(C126, General!$A$5:$L$35, 6, false) * G126 / 1000, 0)</f>
        <v>48</v>
      </c>
      <c r="I126" s="29">
        <f>75*60</f>
        <v>4500</v>
      </c>
      <c r="J126" s="22">
        <f>IFERROR(I126*VLOOKUP(D126,'Crafting Tables'!$1:$1000, 4, false)*F126,"")</f>
        <v>0</v>
      </c>
      <c r="K126" s="8" t="b">
        <v>1</v>
      </c>
      <c r="L126" s="32" t="s">
        <v>265</v>
      </c>
      <c r="M126" s="8">
        <v>1.0</v>
      </c>
      <c r="N126" s="21">
        <f t="shared" si="2"/>
        <v>162154.0617</v>
      </c>
      <c r="P126" s="32" t="s">
        <v>207</v>
      </c>
      <c r="Q126" s="8">
        <v>30.0</v>
      </c>
      <c r="R126" s="29" t="b">
        <v>0</v>
      </c>
      <c r="S126" s="22">
        <f t="shared" si="3"/>
        <v>30</v>
      </c>
      <c r="T126" s="19">
        <f>IF(ISBLANK(P126), 0, VLOOKUP(P126, 'Price Sheet'!$A$2:$B1015, 2, false))</f>
        <v>5.6565625</v>
      </c>
      <c r="U126" s="33">
        <f t="shared" si="4"/>
        <v>169.696875</v>
      </c>
      <c r="V126" s="32" t="s">
        <v>268</v>
      </c>
      <c r="W126" s="8">
        <v>5.0</v>
      </c>
      <c r="X126" s="29" t="b">
        <v>0</v>
      </c>
      <c r="Y126" s="22">
        <f t="shared" si="5"/>
        <v>5</v>
      </c>
      <c r="Z126" s="19">
        <f>IF(ISBLANK(V126), 0, VLOOKUP(V126, 'Price Sheet'!$A$2:$B1015, 2, false))</f>
        <v>13827.95083</v>
      </c>
      <c r="AA126" s="33">
        <f t="shared" si="6"/>
        <v>69139.75417</v>
      </c>
      <c r="AB126" s="32" t="s">
        <v>267</v>
      </c>
      <c r="AC126" s="8">
        <v>12.0</v>
      </c>
      <c r="AD126" s="29" t="b">
        <v>0</v>
      </c>
      <c r="AE126" s="22">
        <f t="shared" si="7"/>
        <v>12</v>
      </c>
      <c r="AF126" s="19">
        <f>IF(ISBLANK(AB126), 0, VLOOKUP(AB126, 'Price Sheet'!$A$2:$B1015, 2, false))</f>
        <v>7711.0725</v>
      </c>
      <c r="AG126" s="33">
        <f t="shared" si="8"/>
        <v>92532.87</v>
      </c>
      <c r="AH126" s="32" t="s">
        <v>215</v>
      </c>
      <c r="AI126" s="8">
        <v>30.0</v>
      </c>
      <c r="AJ126" s="29" t="b">
        <v>0</v>
      </c>
      <c r="AK126" s="22">
        <f t="shared" si="9"/>
        <v>30</v>
      </c>
      <c r="AL126" s="19">
        <f>IF(ISBLANK(AH126), 0, VLOOKUP(AH126, 'Price Sheet'!$A$2:$B1015, 2, false))</f>
        <v>8.791354167</v>
      </c>
      <c r="AM126" s="33">
        <f t="shared" si="10"/>
        <v>263.740625</v>
      </c>
      <c r="AN126" s="37"/>
      <c r="AO126" s="29"/>
      <c r="AP126" s="29" t="b">
        <v>0</v>
      </c>
      <c r="AQ126" s="22" t="str">
        <f t="shared" si="11"/>
        <v/>
      </c>
      <c r="AR126" s="7">
        <f>IF(ISBLANK(AN126), 0, VLOOKUP(AN126, 'Price Sheet'!$A$2:$B1015, 2, false))</f>
        <v>0</v>
      </c>
      <c r="AS126" s="33" t="str">
        <f t="shared" si="12"/>
        <v/>
      </c>
      <c r="AT126" s="37"/>
      <c r="AU126" s="29"/>
      <c r="AV126" s="29" t="b">
        <v>0</v>
      </c>
      <c r="AW126" s="22" t="str">
        <f t="shared" si="13"/>
        <v/>
      </c>
      <c r="AX126" s="7">
        <f>IF(ISBLANK(AT126), 0, VLOOKUP(AT126, 'Price Sheet'!$A$2:$B1015, 2, false))</f>
        <v>0</v>
      </c>
      <c r="AY126" s="33" t="str">
        <f t="shared" si="14"/>
        <v/>
      </c>
      <c r="AZ126" s="37"/>
      <c r="BA126" s="29"/>
      <c r="BB126" s="29" t="b">
        <v>0</v>
      </c>
      <c r="BC126" s="22" t="str">
        <f t="shared" si="15"/>
        <v/>
      </c>
      <c r="BD126" s="7">
        <f>IF(ISBLANK(AZ126), 0, VLOOKUP(AZ126, 'Price Sheet'!$A$2:$B1015, 2, false))</f>
        <v>0</v>
      </c>
      <c r="BE126" s="33" t="str">
        <f t="shared" si="16"/>
        <v/>
      </c>
      <c r="BF126" s="37"/>
      <c r="BG126" s="29"/>
      <c r="BH126" s="29" t="b">
        <v>0</v>
      </c>
      <c r="BI126" s="22" t="str">
        <f t="shared" si="17"/>
        <v/>
      </c>
      <c r="BJ126" s="7">
        <f>IF(ISBLANK(BF126), 0, VLOOKUP(BF126, 'Price Sheet'!$A$2:$B1015, 2, false))</f>
        <v>0</v>
      </c>
      <c r="BK126" s="33" t="str">
        <f t="shared" si="18"/>
        <v/>
      </c>
      <c r="BL126" s="37"/>
      <c r="BM126" s="29"/>
      <c r="BN126" s="29" t="b">
        <v>0</v>
      </c>
      <c r="BO126" s="22" t="str">
        <f t="shared" si="19"/>
        <v/>
      </c>
      <c r="BP126" s="7">
        <f>IF(ISBLANK(BL126), 0, VLOOKUP(BL126, 'Price Sheet'!$A$2:$B1015, 2, false))</f>
        <v>0</v>
      </c>
      <c r="BQ126" s="33" t="str">
        <f t="shared" si="20"/>
        <v/>
      </c>
    </row>
    <row r="127">
      <c r="A127" s="7" t="s">
        <v>274</v>
      </c>
      <c r="B127" s="19">
        <f t="shared" si="1"/>
        <v>89080.51625</v>
      </c>
      <c r="C127" s="8" t="s">
        <v>159</v>
      </c>
      <c r="D127" s="8" t="s">
        <v>344</v>
      </c>
      <c r="E127" s="7" t="str">
        <f>IF(ISBLANK(D127), "", VLOOKUP(D127,'Crafting Tables'!$A$2:$B1015, 2, false))</f>
        <v>Modern</v>
      </c>
      <c r="F127" s="7">
        <f>IFERROR(IF(E127 = "None", 1, VLOOKUP(C127,General!$A$5:$L$35, SWITCH(E127, "Basic", 8, "Advanced", 10, "Modern", 12), false)),"")</f>
        <v>1</v>
      </c>
      <c r="G127" s="8">
        <v>600.0</v>
      </c>
      <c r="H127" s="7">
        <f>IFERROR(VLOOKUP(C127, General!$A$5:$L$35, 6, false) * G127 / 1000, 0)</f>
        <v>24</v>
      </c>
      <c r="I127" s="29">
        <f t="shared" ref="I127:I128" si="22">20*60</f>
        <v>1200</v>
      </c>
      <c r="J127" s="22">
        <f>IFERROR(I127*VLOOKUP(D127,'Crafting Tables'!$1:$1000, 4, false)*F127,"")</f>
        <v>0</v>
      </c>
      <c r="K127" s="8" t="b">
        <v>1</v>
      </c>
      <c r="L127" s="32" t="s">
        <v>274</v>
      </c>
      <c r="M127" s="8">
        <v>1.0</v>
      </c>
      <c r="N127" s="21">
        <f t="shared" si="2"/>
        <v>89080.51625</v>
      </c>
      <c r="P127" s="32" t="s">
        <v>215</v>
      </c>
      <c r="Q127" s="8">
        <v>12.0</v>
      </c>
      <c r="R127" s="29" t="b">
        <v>0</v>
      </c>
      <c r="S127" s="22">
        <f t="shared" si="3"/>
        <v>12</v>
      </c>
      <c r="T127" s="19">
        <f>IF(ISBLANK(P127), 0, VLOOKUP(P127, 'Price Sheet'!$A$2:$B1015, 2, false))</f>
        <v>8.791354167</v>
      </c>
      <c r="U127" s="33">
        <f t="shared" si="4"/>
        <v>105.49625</v>
      </c>
      <c r="V127" s="32" t="s">
        <v>267</v>
      </c>
      <c r="W127" s="8">
        <v>8.0</v>
      </c>
      <c r="X127" s="29" t="b">
        <v>0</v>
      </c>
      <c r="Y127" s="22">
        <f t="shared" si="5"/>
        <v>8</v>
      </c>
      <c r="Z127" s="19">
        <f>IF(ISBLANK(V127), 0, VLOOKUP(V127, 'Price Sheet'!$A$2:$B1015, 2, false))</f>
        <v>7711.0725</v>
      </c>
      <c r="AA127" s="33">
        <f t="shared" si="6"/>
        <v>61688.58</v>
      </c>
      <c r="AB127" s="32" t="s">
        <v>262</v>
      </c>
      <c r="AC127" s="8">
        <v>8.0</v>
      </c>
      <c r="AD127" s="29" t="b">
        <v>0</v>
      </c>
      <c r="AE127" s="22">
        <f t="shared" si="7"/>
        <v>8</v>
      </c>
      <c r="AF127" s="19">
        <f>IF(ISBLANK(AB127), 0, VLOOKUP(AB127, 'Price Sheet'!$A$2:$B1015, 2, false))</f>
        <v>3407.805</v>
      </c>
      <c r="AG127" s="33">
        <f t="shared" si="8"/>
        <v>27262.44</v>
      </c>
      <c r="AH127" s="37"/>
      <c r="AI127" s="29"/>
      <c r="AJ127" s="29" t="b">
        <v>0</v>
      </c>
      <c r="AK127" s="22" t="str">
        <f t="shared" si="9"/>
        <v/>
      </c>
      <c r="AL127" s="7">
        <f>IF(ISBLANK(AH127), 0, VLOOKUP(AH127, 'Price Sheet'!$A$2:$B1015, 2, false))</f>
        <v>0</v>
      </c>
      <c r="AM127" s="33" t="str">
        <f t="shared" si="10"/>
        <v/>
      </c>
      <c r="AN127" s="37"/>
      <c r="AO127" s="29"/>
      <c r="AP127" s="29" t="b">
        <v>0</v>
      </c>
      <c r="AQ127" s="22" t="str">
        <f t="shared" si="11"/>
        <v/>
      </c>
      <c r="AR127" s="7">
        <f>IF(ISBLANK(AN127), 0, VLOOKUP(AN127, 'Price Sheet'!$A$2:$B1015, 2, false))</f>
        <v>0</v>
      </c>
      <c r="AS127" s="33" t="str">
        <f t="shared" si="12"/>
        <v/>
      </c>
      <c r="AT127" s="37"/>
      <c r="AU127" s="29"/>
      <c r="AV127" s="29" t="b">
        <v>0</v>
      </c>
      <c r="AW127" s="22" t="str">
        <f t="shared" si="13"/>
        <v/>
      </c>
      <c r="AX127" s="7">
        <f>IF(ISBLANK(AT127), 0, VLOOKUP(AT127, 'Price Sheet'!$A$2:$B1015, 2, false))</f>
        <v>0</v>
      </c>
      <c r="AY127" s="33" t="str">
        <f t="shared" si="14"/>
        <v/>
      </c>
      <c r="AZ127" s="37"/>
      <c r="BA127" s="29"/>
      <c r="BB127" s="29" t="b">
        <v>0</v>
      </c>
      <c r="BC127" s="22" t="str">
        <f t="shared" si="15"/>
        <v/>
      </c>
      <c r="BD127" s="7">
        <f>IF(ISBLANK(AZ127), 0, VLOOKUP(AZ127, 'Price Sheet'!$A$2:$B1015, 2, false))</f>
        <v>0</v>
      </c>
      <c r="BE127" s="33" t="str">
        <f t="shared" si="16"/>
        <v/>
      </c>
      <c r="BF127" s="37"/>
      <c r="BG127" s="29"/>
      <c r="BH127" s="29" t="b">
        <v>0</v>
      </c>
      <c r="BI127" s="22" t="str">
        <f t="shared" si="17"/>
        <v/>
      </c>
      <c r="BJ127" s="7">
        <f>IF(ISBLANK(BF127), 0, VLOOKUP(BF127, 'Price Sheet'!$A$2:$B1015, 2, false))</f>
        <v>0</v>
      </c>
      <c r="BK127" s="33" t="str">
        <f t="shared" si="18"/>
        <v/>
      </c>
      <c r="BL127" s="37"/>
      <c r="BM127" s="29"/>
      <c r="BN127" s="29" t="b">
        <v>0</v>
      </c>
      <c r="BO127" s="22" t="str">
        <f t="shared" si="19"/>
        <v/>
      </c>
      <c r="BP127" s="7">
        <f>IF(ISBLANK(BL127), 0, VLOOKUP(BL127, 'Price Sheet'!$A$2:$B1015, 2, false))</f>
        <v>0</v>
      </c>
      <c r="BQ127" s="33" t="str">
        <f t="shared" si="20"/>
        <v/>
      </c>
    </row>
    <row r="128">
      <c r="A128" s="7" t="s">
        <v>276</v>
      </c>
      <c r="B128" s="19">
        <f t="shared" si="1"/>
        <v>44566.48083</v>
      </c>
      <c r="C128" s="8" t="s">
        <v>159</v>
      </c>
      <c r="D128" s="8" t="s">
        <v>265</v>
      </c>
      <c r="E128" s="7" t="str">
        <f>IF(ISBLANK(D128), "", VLOOKUP(D128,'Crafting Tables'!$A$2:$B1015, 2, false))</f>
        <v>Modern</v>
      </c>
      <c r="F128" s="7">
        <f>IFERROR(IF(E128 = "None", 1, VLOOKUP(C128,General!$A$5:$L$35, SWITCH(E128, "Basic", 8, "Advanced", 10, "Modern", 12), false)),"")</f>
        <v>1</v>
      </c>
      <c r="G128" s="8">
        <v>1200.0</v>
      </c>
      <c r="H128" s="7">
        <f>IFERROR(VLOOKUP(C128, General!$A$5:$L$35, 6, false) * G128 / 1000, 0)</f>
        <v>48</v>
      </c>
      <c r="I128" s="29">
        <f t="shared" si="22"/>
        <v>1200</v>
      </c>
      <c r="J128" s="22">
        <f>IFERROR(I128*VLOOKUP(D128,'Crafting Tables'!$1:$1000, 4, false)*F128,"")</f>
        <v>0</v>
      </c>
      <c r="K128" s="8" t="b">
        <v>1</v>
      </c>
      <c r="L128" s="32" t="s">
        <v>276</v>
      </c>
      <c r="M128" s="8">
        <v>1.0</v>
      </c>
      <c r="N128" s="21">
        <f t="shared" si="2"/>
        <v>44566.48083</v>
      </c>
      <c r="P128" s="32" t="s">
        <v>215</v>
      </c>
      <c r="Q128" s="8">
        <v>8.0</v>
      </c>
      <c r="R128" s="29" t="b">
        <v>0</v>
      </c>
      <c r="S128" s="22">
        <f t="shared" si="3"/>
        <v>8</v>
      </c>
      <c r="T128" s="19">
        <f>IF(ISBLANK(P128), 0, VLOOKUP(P128, 'Price Sheet'!$A$2:$B1015, 2, false))</f>
        <v>8.791354167</v>
      </c>
      <c r="U128" s="33">
        <f t="shared" si="4"/>
        <v>70.33083333</v>
      </c>
      <c r="V128" s="32" t="s">
        <v>146</v>
      </c>
      <c r="W128" s="8">
        <v>4.0</v>
      </c>
      <c r="X128" s="8" t="b">
        <v>0</v>
      </c>
      <c r="Y128" s="22">
        <f t="shared" si="5"/>
        <v>4</v>
      </c>
      <c r="Z128" s="19">
        <f>IF(ISBLANK(V128), 0, VLOOKUP(V128, 'Price Sheet'!$A$2:$B1015, 2, false))</f>
        <v>37.8</v>
      </c>
      <c r="AA128" s="33">
        <f t="shared" si="6"/>
        <v>151.2</v>
      </c>
      <c r="AB128" s="32" t="s">
        <v>263</v>
      </c>
      <c r="AC128" s="8">
        <v>4.0</v>
      </c>
      <c r="AD128" s="29" t="b">
        <v>0</v>
      </c>
      <c r="AE128" s="22">
        <f t="shared" si="7"/>
        <v>4</v>
      </c>
      <c r="AF128" s="19">
        <f>IF(ISBLANK(AB128), 0, VLOOKUP(AB128, 'Price Sheet'!$A$2:$B1015, 2, false))</f>
        <v>3363.165</v>
      </c>
      <c r="AG128" s="33">
        <f t="shared" si="8"/>
        <v>13452.66</v>
      </c>
      <c r="AH128" s="32" t="s">
        <v>267</v>
      </c>
      <c r="AI128" s="8">
        <v>4.0</v>
      </c>
      <c r="AJ128" s="29" t="b">
        <v>0</v>
      </c>
      <c r="AK128" s="22">
        <f t="shared" si="9"/>
        <v>4</v>
      </c>
      <c r="AL128" s="19">
        <f>IF(ISBLANK(AH128), 0, VLOOKUP(AH128, 'Price Sheet'!$A$2:$B1015, 2, false))</f>
        <v>7711.0725</v>
      </c>
      <c r="AM128" s="33">
        <f t="shared" si="10"/>
        <v>30844.29</v>
      </c>
      <c r="AN128" s="37"/>
      <c r="AO128" s="29"/>
      <c r="AP128" s="29" t="b">
        <v>0</v>
      </c>
      <c r="AQ128" s="22" t="str">
        <f t="shared" si="11"/>
        <v/>
      </c>
      <c r="AR128" s="7">
        <f>IF(ISBLANK(AN128), 0, VLOOKUP(AN128, 'Price Sheet'!$A$2:$B1015, 2, false))</f>
        <v>0</v>
      </c>
      <c r="AS128" s="33" t="str">
        <f t="shared" si="12"/>
        <v/>
      </c>
      <c r="AT128" s="37"/>
      <c r="AU128" s="29"/>
      <c r="AV128" s="29" t="b">
        <v>0</v>
      </c>
      <c r="AW128" s="22" t="str">
        <f t="shared" si="13"/>
        <v/>
      </c>
      <c r="AX128" s="7">
        <f>IF(ISBLANK(AT128), 0, VLOOKUP(AT128, 'Price Sheet'!$A$2:$B1015, 2, false))</f>
        <v>0</v>
      </c>
      <c r="AY128" s="33" t="str">
        <f t="shared" si="14"/>
        <v/>
      </c>
      <c r="AZ128" s="37"/>
      <c r="BA128" s="29"/>
      <c r="BB128" s="29" t="b">
        <v>0</v>
      </c>
      <c r="BC128" s="22" t="str">
        <f t="shared" si="15"/>
        <v/>
      </c>
      <c r="BD128" s="7">
        <f>IF(ISBLANK(AZ128), 0, VLOOKUP(AZ128, 'Price Sheet'!$A$2:$B1015, 2, false))</f>
        <v>0</v>
      </c>
      <c r="BE128" s="33" t="str">
        <f t="shared" si="16"/>
        <v/>
      </c>
      <c r="BF128" s="37"/>
      <c r="BG128" s="29"/>
      <c r="BH128" s="29" t="b">
        <v>0</v>
      </c>
      <c r="BI128" s="22" t="str">
        <f t="shared" si="17"/>
        <v/>
      </c>
      <c r="BJ128" s="7">
        <f>IF(ISBLANK(BF128), 0, VLOOKUP(BF128, 'Price Sheet'!$A$2:$B1015, 2, false))</f>
        <v>0</v>
      </c>
      <c r="BK128" s="33" t="str">
        <f t="shared" si="18"/>
        <v/>
      </c>
      <c r="BL128" s="37"/>
      <c r="BM128" s="29"/>
      <c r="BN128" s="29" t="b">
        <v>0</v>
      </c>
      <c r="BO128" s="22" t="str">
        <f t="shared" si="19"/>
        <v/>
      </c>
      <c r="BP128" s="7">
        <f>IF(ISBLANK(BL128), 0, VLOOKUP(BL128, 'Price Sheet'!$A$2:$B1015, 2, false))</f>
        <v>0</v>
      </c>
      <c r="BQ128" s="33" t="str">
        <f t="shared" si="20"/>
        <v/>
      </c>
    </row>
    <row r="129">
      <c r="A129" s="7" t="s">
        <v>283</v>
      </c>
      <c r="B129" s="19">
        <f t="shared" si="1"/>
        <v>28875.7949</v>
      </c>
      <c r="C129" s="8" t="s">
        <v>159</v>
      </c>
      <c r="D129" s="8" t="s">
        <v>265</v>
      </c>
      <c r="E129" s="7" t="str">
        <f>IF(ISBLANK(D129), "", VLOOKUP(D129,'Crafting Tables'!$A$2:$B1015, 2, false))</f>
        <v>Modern</v>
      </c>
      <c r="F129" s="7">
        <f>IFERROR(IF(E129 = "None", 1, VLOOKUP(C129,General!$A$5:$L$35, SWITCH(E129, "Basic", 8, "Advanced", 10, "Modern", 12), false)),"")</f>
        <v>1</v>
      </c>
      <c r="G129" s="8">
        <v>1200.0</v>
      </c>
      <c r="H129" s="7">
        <f>IFERROR(VLOOKUP(C129, General!$A$5:$L$35, 6, false) * G129 / 1000, 0)</f>
        <v>48</v>
      </c>
      <c r="I129" s="29">
        <f>2.5*60</f>
        <v>150</v>
      </c>
      <c r="J129" s="22">
        <f>IFERROR(I129*VLOOKUP(D129,'Crafting Tables'!$1:$1000, 4, false)*F129,"")</f>
        <v>0</v>
      </c>
      <c r="K129" s="8" t="b">
        <v>1</v>
      </c>
      <c r="L129" s="32" t="s">
        <v>283</v>
      </c>
      <c r="M129" s="8">
        <v>1.0</v>
      </c>
      <c r="N129" s="21">
        <f t="shared" si="2"/>
        <v>28875.7949</v>
      </c>
      <c r="P129" s="32" t="s">
        <v>215</v>
      </c>
      <c r="Q129" s="8">
        <v>25.0</v>
      </c>
      <c r="R129" s="29" t="b">
        <v>0</v>
      </c>
      <c r="S129" s="22">
        <f t="shared" si="3"/>
        <v>25</v>
      </c>
      <c r="T129" s="19">
        <f>IF(ISBLANK(P129), 0, VLOOKUP(P129, 'Price Sheet'!$A$2:$B1015, 2, false))</f>
        <v>8.791354167</v>
      </c>
      <c r="U129" s="33">
        <f t="shared" si="4"/>
        <v>219.7838542</v>
      </c>
      <c r="V129" s="32" t="s">
        <v>252</v>
      </c>
      <c r="W129" s="8">
        <v>25.0</v>
      </c>
      <c r="X129" s="29" t="b">
        <v>0</v>
      </c>
      <c r="Y129" s="22">
        <f t="shared" si="5"/>
        <v>25</v>
      </c>
      <c r="Z129" s="19">
        <f>IF(ISBLANK(V129), 0, VLOOKUP(V129, 'Price Sheet'!$A$2:$B1015, 2, false))</f>
        <v>14.084375</v>
      </c>
      <c r="AA129" s="33">
        <f t="shared" si="6"/>
        <v>352.109375</v>
      </c>
      <c r="AB129" s="32" t="s">
        <v>284</v>
      </c>
      <c r="AC129" s="8">
        <v>20.0</v>
      </c>
      <c r="AD129" s="29" t="b">
        <v>0</v>
      </c>
      <c r="AE129" s="22">
        <f t="shared" si="7"/>
        <v>20</v>
      </c>
      <c r="AF129" s="19">
        <f>IF(ISBLANK(AB129), 0, VLOOKUP(AB129, 'Price Sheet'!$A$2:$B1015, 2, false))</f>
        <v>30</v>
      </c>
      <c r="AG129" s="33">
        <f t="shared" si="8"/>
        <v>600</v>
      </c>
      <c r="AH129" s="32" t="s">
        <v>268</v>
      </c>
      <c r="AI129" s="8">
        <v>2.0</v>
      </c>
      <c r="AJ129" s="8" t="b">
        <v>1</v>
      </c>
      <c r="AK129" s="22">
        <f t="shared" si="9"/>
        <v>2</v>
      </c>
      <c r="AL129" s="19">
        <f>IF(ISBLANK(AH129), 0, VLOOKUP(AH129, 'Price Sheet'!$A$2:$B1015, 2, false))</f>
        <v>13827.95083</v>
      </c>
      <c r="AM129" s="33">
        <f t="shared" si="10"/>
        <v>27655.90167</v>
      </c>
      <c r="AN129" s="37"/>
      <c r="AO129" s="29"/>
      <c r="AP129" s="29" t="b">
        <v>0</v>
      </c>
      <c r="AQ129" s="22" t="str">
        <f t="shared" si="11"/>
        <v/>
      </c>
      <c r="AR129" s="7">
        <f>IF(ISBLANK(AN129), 0, VLOOKUP(AN129, 'Price Sheet'!$A$2:$B1015, 2, false))</f>
        <v>0</v>
      </c>
      <c r="AS129" s="33" t="str">
        <f t="shared" si="12"/>
        <v/>
      </c>
      <c r="AT129" s="37"/>
      <c r="AU129" s="29"/>
      <c r="AV129" s="29" t="b">
        <v>0</v>
      </c>
      <c r="AW129" s="22" t="str">
        <f t="shared" si="13"/>
        <v/>
      </c>
      <c r="AX129" s="7">
        <f>IF(ISBLANK(AT129), 0, VLOOKUP(AT129, 'Price Sheet'!$A$2:$B1015, 2, false))</f>
        <v>0</v>
      </c>
      <c r="AY129" s="33" t="str">
        <f t="shared" si="14"/>
        <v/>
      </c>
      <c r="AZ129" s="37"/>
      <c r="BA129" s="29"/>
      <c r="BB129" s="29" t="b">
        <v>0</v>
      </c>
      <c r="BC129" s="22" t="str">
        <f t="shared" si="15"/>
        <v/>
      </c>
      <c r="BD129" s="7">
        <f>IF(ISBLANK(AZ129), 0, VLOOKUP(AZ129, 'Price Sheet'!$A$2:$B1015, 2, false))</f>
        <v>0</v>
      </c>
      <c r="BE129" s="33" t="str">
        <f t="shared" si="16"/>
        <v/>
      </c>
      <c r="BF129" s="37"/>
      <c r="BG129" s="29"/>
      <c r="BH129" s="29" t="b">
        <v>0</v>
      </c>
      <c r="BI129" s="22" t="str">
        <f t="shared" si="17"/>
        <v/>
      </c>
      <c r="BJ129" s="7">
        <f>IF(ISBLANK(BF129), 0, VLOOKUP(BF129, 'Price Sheet'!$A$2:$B1015, 2, false))</f>
        <v>0</v>
      </c>
      <c r="BK129" s="33" t="str">
        <f t="shared" si="18"/>
        <v/>
      </c>
      <c r="BL129" s="37"/>
      <c r="BM129" s="29"/>
      <c r="BN129" s="29" t="b">
        <v>0</v>
      </c>
      <c r="BO129" s="22" t="str">
        <f t="shared" si="19"/>
        <v/>
      </c>
      <c r="BP129" s="7">
        <f>IF(ISBLANK(BL129), 0, VLOOKUP(BL129, 'Price Sheet'!$A$2:$B1015, 2, false))</f>
        <v>0</v>
      </c>
      <c r="BQ129" s="33" t="str">
        <f t="shared" si="20"/>
        <v/>
      </c>
    </row>
    <row r="130">
      <c r="B130" s="19">
        <f t="shared" si="1"/>
        <v>0</v>
      </c>
      <c r="C130" s="29"/>
      <c r="D130" s="29"/>
      <c r="E130" s="7" t="str">
        <f>IF(ISBLANK(D130), "", VLOOKUP(D130,'Crafting Tables'!$A$2:$B1015, 2, false))</f>
        <v/>
      </c>
      <c r="F130" s="7" t="str">
        <f>IFERROR(IF(E130 = "None", 1, VLOOKUP(C130,General!$A$5:$L$35, SWITCH(E130, "Basic", 8, "Advanced", 10, "Modern", 12), false)),"")</f>
        <v/>
      </c>
      <c r="G130" s="29"/>
      <c r="H130" s="7">
        <f>IFERROR(VLOOKUP(C130, General!$A$5:$L$35, 6, false) * G130 / 1000, 0)</f>
        <v>0</v>
      </c>
      <c r="I130" s="29"/>
      <c r="J130" s="22" t="str">
        <f>IFERROR(I130*VLOOKUP(D130,'Crafting Tables'!$1:$1000, 4, false)*F130,"")</f>
        <v/>
      </c>
      <c r="K130" s="29" t="b">
        <v>0</v>
      </c>
      <c r="L130" s="37"/>
      <c r="M130" s="29"/>
      <c r="N130" s="21" t="str">
        <f t="shared" si="2"/>
        <v/>
      </c>
      <c r="P130" s="37"/>
      <c r="Q130" s="29"/>
      <c r="R130" s="29" t="b">
        <v>0</v>
      </c>
      <c r="S130" s="22" t="str">
        <f t="shared" si="3"/>
        <v/>
      </c>
      <c r="T130" s="7">
        <f>IF(ISBLANK(P130), 0, VLOOKUP(P130, 'Price Sheet'!$A$2:$B1015, 2, false))</f>
        <v>0</v>
      </c>
      <c r="U130" s="33" t="str">
        <f t="shared" si="4"/>
        <v/>
      </c>
      <c r="V130" s="37"/>
      <c r="W130" s="29"/>
      <c r="X130" s="29" t="b">
        <v>0</v>
      </c>
      <c r="Y130" s="22" t="str">
        <f t="shared" si="5"/>
        <v/>
      </c>
      <c r="Z130" s="7">
        <f>IF(ISBLANK(V130), 0, VLOOKUP(V130, 'Price Sheet'!$A$2:$B1015, 2, false))</f>
        <v>0</v>
      </c>
      <c r="AA130" s="33" t="str">
        <f t="shared" si="6"/>
        <v/>
      </c>
      <c r="AB130" s="37"/>
      <c r="AC130" s="29"/>
      <c r="AD130" s="29" t="b">
        <v>0</v>
      </c>
      <c r="AE130" s="22" t="str">
        <f t="shared" si="7"/>
        <v/>
      </c>
      <c r="AF130" s="7">
        <f>IF(ISBLANK(AB130), 0, VLOOKUP(AB130, 'Price Sheet'!$A$2:$B1015, 2, false))</f>
        <v>0</v>
      </c>
      <c r="AG130" s="33" t="str">
        <f t="shared" si="8"/>
        <v/>
      </c>
      <c r="AH130" s="37"/>
      <c r="AI130" s="29"/>
      <c r="AJ130" s="29" t="b">
        <v>0</v>
      </c>
      <c r="AK130" s="22" t="str">
        <f t="shared" si="9"/>
        <v/>
      </c>
      <c r="AL130" s="7">
        <f>IF(ISBLANK(AH130), 0, VLOOKUP(AH130, 'Price Sheet'!$A$2:$B1015, 2, false))</f>
        <v>0</v>
      </c>
      <c r="AM130" s="33" t="str">
        <f t="shared" si="10"/>
        <v/>
      </c>
      <c r="AN130" s="37"/>
      <c r="AO130" s="29"/>
      <c r="AP130" s="29" t="b">
        <v>0</v>
      </c>
      <c r="AQ130" s="22" t="str">
        <f t="shared" si="11"/>
        <v/>
      </c>
      <c r="AR130" s="7">
        <f>IF(ISBLANK(AN130), 0, VLOOKUP(AN130, 'Price Sheet'!$A$2:$B1015, 2, false))</f>
        <v>0</v>
      </c>
      <c r="AS130" s="33" t="str">
        <f t="shared" si="12"/>
        <v/>
      </c>
      <c r="AT130" s="37"/>
      <c r="AU130" s="29"/>
      <c r="AV130" s="29" t="b">
        <v>0</v>
      </c>
      <c r="AW130" s="22" t="str">
        <f t="shared" si="13"/>
        <v/>
      </c>
      <c r="AX130" s="7">
        <f>IF(ISBLANK(AT130), 0, VLOOKUP(AT130, 'Price Sheet'!$A$2:$B1015, 2, false))</f>
        <v>0</v>
      </c>
      <c r="AY130" s="33" t="str">
        <f t="shared" si="14"/>
        <v/>
      </c>
      <c r="AZ130" s="37"/>
      <c r="BA130" s="29"/>
      <c r="BB130" s="29" t="b">
        <v>0</v>
      </c>
      <c r="BC130" s="22" t="str">
        <f t="shared" si="15"/>
        <v/>
      </c>
      <c r="BD130" s="7">
        <f>IF(ISBLANK(AZ130), 0, VLOOKUP(AZ130, 'Price Sheet'!$A$2:$B1015, 2, false))</f>
        <v>0</v>
      </c>
      <c r="BE130" s="33" t="str">
        <f t="shared" si="16"/>
        <v/>
      </c>
      <c r="BF130" s="37"/>
      <c r="BG130" s="29"/>
      <c r="BH130" s="29" t="b">
        <v>0</v>
      </c>
      <c r="BI130" s="22" t="str">
        <f t="shared" si="17"/>
        <v/>
      </c>
      <c r="BJ130" s="7">
        <f>IF(ISBLANK(BF130), 0, VLOOKUP(BF130, 'Price Sheet'!$A$2:$B1015, 2, false))</f>
        <v>0</v>
      </c>
      <c r="BK130" s="33" t="str">
        <f t="shared" si="18"/>
        <v/>
      </c>
      <c r="BL130" s="37"/>
      <c r="BM130" s="29"/>
      <c r="BN130" s="29" t="b">
        <v>0</v>
      </c>
      <c r="BO130" s="22" t="str">
        <f t="shared" si="19"/>
        <v/>
      </c>
      <c r="BP130" s="7">
        <f>IF(ISBLANK(BL130), 0, VLOOKUP(BL130, 'Price Sheet'!$A$2:$B1015, 2, false))</f>
        <v>0</v>
      </c>
      <c r="BQ130" s="33" t="str">
        <f t="shared" si="20"/>
        <v/>
      </c>
    </row>
    <row r="131">
      <c r="A131" s="7" t="s">
        <v>494</v>
      </c>
      <c r="B131" s="19">
        <f t="shared" si="1"/>
        <v>121726.02</v>
      </c>
      <c r="C131" s="8" t="s">
        <v>162</v>
      </c>
      <c r="D131" s="8" t="s">
        <v>265</v>
      </c>
      <c r="E131" s="7" t="str">
        <f>IF(ISBLANK(D131), "", VLOOKUP(D131,'Crafting Tables'!$A$2:$B1015, 2, false))</f>
        <v>Modern</v>
      </c>
      <c r="F131" s="7">
        <f>IFERROR(IF(E131 = "None", 1, VLOOKUP(C131,General!$A$5:$L$35, SWITCH(E131, "Basic", 8, "Advanced", 10, "Modern", 12), false)),"")</f>
        <v>1</v>
      </c>
      <c r="G131" s="8">
        <v>2400.0</v>
      </c>
      <c r="H131" s="7">
        <f>IFERROR(VLOOKUP(C131, General!$A$5:$L$35, 6, false) * G131 / 1000, 0)</f>
        <v>96</v>
      </c>
      <c r="I131" s="29">
        <f>40*60</f>
        <v>2400</v>
      </c>
      <c r="J131" s="22">
        <f>IFERROR(I131*VLOOKUP(D131,'Crafting Tables'!$1:$1000, 4, false)*F131,"")</f>
        <v>0</v>
      </c>
      <c r="K131" s="8" t="b">
        <v>1</v>
      </c>
      <c r="L131" s="32" t="s">
        <v>494</v>
      </c>
      <c r="M131" s="8">
        <v>1.0</v>
      </c>
      <c r="N131" s="21">
        <f t="shared" si="2"/>
        <v>121726.02</v>
      </c>
      <c r="P131" s="32" t="s">
        <v>277</v>
      </c>
      <c r="Q131" s="8">
        <v>48.0</v>
      </c>
      <c r="R131" s="29" t="b">
        <v>0</v>
      </c>
      <c r="S131" s="22">
        <f t="shared" si="3"/>
        <v>48</v>
      </c>
      <c r="T131" s="19">
        <f>IF(ISBLANK(P131), 0, VLOOKUP(P131, 'Price Sheet'!$A$2:$B1015, 2, false))</f>
        <v>30</v>
      </c>
      <c r="U131" s="33">
        <f t="shared" si="4"/>
        <v>1440</v>
      </c>
      <c r="V131" s="32" t="s">
        <v>263</v>
      </c>
      <c r="W131" s="8">
        <v>32.0</v>
      </c>
      <c r="X131" s="29" t="b">
        <v>0</v>
      </c>
      <c r="Y131" s="22">
        <f t="shared" si="5"/>
        <v>32</v>
      </c>
      <c r="Z131" s="19">
        <f>IF(ISBLANK(V131), 0, VLOOKUP(V131, 'Price Sheet'!$A$2:$B1015, 2, false))</f>
        <v>3363.165</v>
      </c>
      <c r="AA131" s="33">
        <f t="shared" si="6"/>
        <v>107621.28</v>
      </c>
      <c r="AB131" s="32" t="s">
        <v>279</v>
      </c>
      <c r="AC131" s="8">
        <v>32.0</v>
      </c>
      <c r="AD131" s="29" t="b">
        <v>0</v>
      </c>
      <c r="AE131" s="22">
        <f t="shared" si="7"/>
        <v>32</v>
      </c>
      <c r="AF131" s="19">
        <f>IF(ISBLANK(AB131), 0, VLOOKUP(AB131, 'Price Sheet'!$A$2:$B1015, 2, false))</f>
        <v>5</v>
      </c>
      <c r="AG131" s="33">
        <f t="shared" si="8"/>
        <v>160</v>
      </c>
      <c r="AH131" s="32" t="s">
        <v>218</v>
      </c>
      <c r="AI131" s="8">
        <v>64.0</v>
      </c>
      <c r="AJ131" s="29" t="b">
        <v>0</v>
      </c>
      <c r="AK131" s="22">
        <f t="shared" si="9"/>
        <v>64</v>
      </c>
      <c r="AL131" s="19">
        <f>IF(ISBLANK(AH131), 0, VLOOKUP(AH131, 'Price Sheet'!$A$2:$B1015, 2, false))</f>
        <v>4.5115625</v>
      </c>
      <c r="AM131" s="33">
        <f t="shared" si="10"/>
        <v>288.74</v>
      </c>
      <c r="AN131" s="32" t="s">
        <v>280</v>
      </c>
      <c r="AO131" s="8">
        <v>1.0</v>
      </c>
      <c r="AP131" s="8" t="b">
        <v>1</v>
      </c>
      <c r="AQ131" s="22">
        <f t="shared" si="11"/>
        <v>1</v>
      </c>
      <c r="AR131" s="19">
        <f>IF(ISBLANK(AN131), 0, VLOOKUP(AN131, 'Price Sheet'!$A$2:$B1015, 2, false))</f>
        <v>6000</v>
      </c>
      <c r="AS131" s="33">
        <f t="shared" si="12"/>
        <v>6000</v>
      </c>
      <c r="AT131" s="32" t="s">
        <v>281</v>
      </c>
      <c r="AU131" s="8">
        <v>24.0</v>
      </c>
      <c r="AV131" s="29" t="b">
        <v>0</v>
      </c>
      <c r="AW131" s="22">
        <f t="shared" si="13"/>
        <v>24</v>
      </c>
      <c r="AX131" s="19">
        <f>IF(ISBLANK(AT131), 0, VLOOKUP(AT131, 'Price Sheet'!$A$2:$B1015, 2, false))</f>
        <v>250</v>
      </c>
      <c r="AY131" s="33">
        <f t="shared" si="14"/>
        <v>6000</v>
      </c>
      <c r="AZ131" s="32" t="s">
        <v>282</v>
      </c>
      <c r="BA131" s="8">
        <v>1.0</v>
      </c>
      <c r="BB131" s="8" t="b">
        <v>1</v>
      </c>
      <c r="BC131" s="22">
        <f t="shared" si="15"/>
        <v>1</v>
      </c>
      <c r="BD131" s="19">
        <f>IF(ISBLANK(AZ131), 0, VLOOKUP(AZ131, 'Price Sheet'!$A$2:$B1015, 2, false))</f>
        <v>120</v>
      </c>
      <c r="BE131" s="33">
        <f t="shared" si="16"/>
        <v>120</v>
      </c>
      <c r="BF131" s="37"/>
      <c r="BG131" s="29"/>
      <c r="BH131" s="29" t="b">
        <v>0</v>
      </c>
      <c r="BI131" s="22" t="str">
        <f t="shared" si="17"/>
        <v/>
      </c>
      <c r="BJ131" s="7">
        <f>IF(ISBLANK(BF131), 0, VLOOKUP(BF131, 'Price Sheet'!$A$2:$B1015, 2, false))</f>
        <v>0</v>
      </c>
      <c r="BK131" s="33" t="str">
        <f t="shared" si="18"/>
        <v/>
      </c>
      <c r="BL131" s="37"/>
      <c r="BM131" s="29"/>
      <c r="BN131" s="29" t="b">
        <v>0</v>
      </c>
      <c r="BO131" s="22" t="str">
        <f t="shared" si="19"/>
        <v/>
      </c>
      <c r="BP131" s="7">
        <f>IF(ISBLANK(BL131), 0, VLOOKUP(BL131, 'Price Sheet'!$A$2:$B1015, 2, false))</f>
        <v>0</v>
      </c>
      <c r="BQ131" s="33" t="str">
        <f t="shared" si="20"/>
        <v/>
      </c>
    </row>
    <row r="132">
      <c r="A132" s="7" t="s">
        <v>257</v>
      </c>
      <c r="B132" s="19">
        <f t="shared" si="1"/>
        <v>22.4</v>
      </c>
      <c r="C132" s="8" t="s">
        <v>167</v>
      </c>
      <c r="D132" s="8" t="s">
        <v>351</v>
      </c>
      <c r="E132" s="7" t="str">
        <f>IF(ISBLANK(D132), "", VLOOKUP(D132,'Crafting Tables'!$A$2:$B1015, 2, false))</f>
        <v>Advanced</v>
      </c>
      <c r="F132" s="7">
        <f>IFERROR(IF(E132 = "None", 1, VLOOKUP(C132,General!$A$5:$L$35, SWITCH(E132, "Basic", 8, "Advanced", 10, "Modern", 12), false)),"")</f>
        <v>1</v>
      </c>
      <c r="G132" s="8">
        <v>60.0</v>
      </c>
      <c r="H132" s="7">
        <f>IFERROR(VLOOKUP(C132, General!$A$5:$L$35, 6, false) * G132 / 1000, 0)</f>
        <v>2.4</v>
      </c>
      <c r="I132" s="8">
        <v>12.0</v>
      </c>
      <c r="J132" s="22">
        <f>IFERROR(I132*VLOOKUP(D132,'Crafting Tables'!$1:$1000, 4, false)*F132,"")</f>
        <v>0</v>
      </c>
      <c r="K132" s="8" t="b">
        <v>1</v>
      </c>
      <c r="L132" s="32" t="s">
        <v>257</v>
      </c>
      <c r="M132" s="8">
        <v>2.0</v>
      </c>
      <c r="N132" s="21">
        <f t="shared" si="2"/>
        <v>11.2</v>
      </c>
      <c r="P132" s="32" t="s">
        <v>206</v>
      </c>
      <c r="Q132" s="8">
        <v>4.0</v>
      </c>
      <c r="R132" s="29" t="b">
        <v>0</v>
      </c>
      <c r="S132" s="22">
        <f t="shared" si="3"/>
        <v>4</v>
      </c>
      <c r="T132" s="19">
        <f>IF(ISBLANK(P132), 0, VLOOKUP(P132, 'Price Sheet'!$A$2:$B1015, 2, false))</f>
        <v>5</v>
      </c>
      <c r="U132" s="33">
        <f t="shared" si="4"/>
        <v>20</v>
      </c>
      <c r="V132" s="37"/>
      <c r="W132" s="29"/>
      <c r="X132" s="29" t="b">
        <v>0</v>
      </c>
      <c r="Y132" s="22" t="str">
        <f t="shared" si="5"/>
        <v/>
      </c>
      <c r="Z132" s="7">
        <f>IF(ISBLANK(V132), 0, VLOOKUP(V132, 'Price Sheet'!$A$2:$B1015, 2, false))</f>
        <v>0</v>
      </c>
      <c r="AA132" s="33" t="str">
        <f t="shared" si="6"/>
        <v/>
      </c>
      <c r="AB132" s="37"/>
      <c r="AC132" s="29"/>
      <c r="AD132" s="29" t="b">
        <v>0</v>
      </c>
      <c r="AE132" s="22" t="str">
        <f t="shared" si="7"/>
        <v/>
      </c>
      <c r="AF132" s="7">
        <f>IF(ISBLANK(AB132), 0, VLOOKUP(AB132, 'Price Sheet'!$A$2:$B1015, 2, false))</f>
        <v>0</v>
      </c>
      <c r="AG132" s="33" t="str">
        <f t="shared" si="8"/>
        <v/>
      </c>
      <c r="AH132" s="37"/>
      <c r="AI132" s="29"/>
      <c r="AJ132" s="29" t="b">
        <v>0</v>
      </c>
      <c r="AK132" s="22" t="str">
        <f t="shared" si="9"/>
        <v/>
      </c>
      <c r="AL132" s="7">
        <f>IF(ISBLANK(AH132), 0, VLOOKUP(AH132, 'Price Sheet'!$A$2:$B1015, 2, false))</f>
        <v>0</v>
      </c>
      <c r="AM132" s="33" t="str">
        <f t="shared" si="10"/>
        <v/>
      </c>
      <c r="AN132" s="37"/>
      <c r="AO132" s="29"/>
      <c r="AP132" s="29" t="b">
        <v>0</v>
      </c>
      <c r="AQ132" s="22" t="str">
        <f t="shared" si="11"/>
        <v/>
      </c>
      <c r="AR132" s="7">
        <f>IF(ISBLANK(AN132), 0, VLOOKUP(AN132, 'Price Sheet'!$A$2:$B1015, 2, false))</f>
        <v>0</v>
      </c>
      <c r="AS132" s="33" t="str">
        <f t="shared" si="12"/>
        <v/>
      </c>
      <c r="AT132" s="37"/>
      <c r="AU132" s="29"/>
      <c r="AV132" s="29" t="b">
        <v>0</v>
      </c>
      <c r="AW132" s="22" t="str">
        <f t="shared" si="13"/>
        <v/>
      </c>
      <c r="AX132" s="7">
        <f>IF(ISBLANK(AT132), 0, VLOOKUP(AT132, 'Price Sheet'!$A$2:$B1015, 2, false))</f>
        <v>0</v>
      </c>
      <c r="AY132" s="33" t="str">
        <f t="shared" si="14"/>
        <v/>
      </c>
      <c r="AZ132" s="37"/>
      <c r="BA132" s="29"/>
      <c r="BB132" s="29" t="b">
        <v>0</v>
      </c>
      <c r="BC132" s="22" t="str">
        <f t="shared" si="15"/>
        <v/>
      </c>
      <c r="BD132" s="7">
        <f>IF(ISBLANK(AZ132), 0, VLOOKUP(AZ132, 'Price Sheet'!$A$2:$B1015, 2, false))</f>
        <v>0</v>
      </c>
      <c r="BE132" s="33" t="str">
        <f t="shared" si="16"/>
        <v/>
      </c>
      <c r="BF132" s="37"/>
      <c r="BG132" s="29"/>
      <c r="BH132" s="29" t="b">
        <v>0</v>
      </c>
      <c r="BI132" s="22" t="str">
        <f t="shared" si="17"/>
        <v/>
      </c>
      <c r="BJ132" s="7">
        <f>IF(ISBLANK(BF132), 0, VLOOKUP(BF132, 'Price Sheet'!$A$2:$B1015, 2, false))</f>
        <v>0</v>
      </c>
      <c r="BK132" s="33" t="str">
        <f t="shared" si="18"/>
        <v/>
      </c>
      <c r="BL132" s="37"/>
      <c r="BM132" s="29"/>
      <c r="BN132" s="29" t="b">
        <v>0</v>
      </c>
      <c r="BO132" s="22" t="str">
        <f t="shared" si="19"/>
        <v/>
      </c>
      <c r="BP132" s="7">
        <f>IF(ISBLANK(BL132), 0, VLOOKUP(BL132, 'Price Sheet'!$A$2:$B1015, 2, false))</f>
        <v>0</v>
      </c>
      <c r="BQ132" s="33" t="str">
        <f t="shared" si="20"/>
        <v/>
      </c>
    </row>
    <row r="133">
      <c r="A133" s="7" t="s">
        <v>258</v>
      </c>
      <c r="B133" s="19">
        <f t="shared" si="1"/>
        <v>0</v>
      </c>
      <c r="C133" s="29"/>
      <c r="D133" s="29"/>
      <c r="E133" s="7" t="str">
        <f>IF(ISBLANK(D133), "", VLOOKUP(D133,'Crafting Tables'!$A$2:$B1015, 2, false))</f>
        <v/>
      </c>
      <c r="F133" s="7" t="str">
        <f>IFERROR(IF(E133 = "None", 1, VLOOKUP(C133,General!$A$5:$L$35, SWITCH(E133, "Basic", 8, "Advanced", 10, "Modern", 12), false)),"")</f>
        <v/>
      </c>
      <c r="G133" s="29"/>
      <c r="H133" s="7">
        <f>IFERROR(VLOOKUP(C133, General!$A$5:$L$35, 6, false) * G133 / 1000, 0)</f>
        <v>0</v>
      </c>
      <c r="I133" s="29"/>
      <c r="J133" s="22" t="str">
        <f>IFERROR(I133*VLOOKUP(D133,'Crafting Tables'!$1:$1000, 4, false)*F133,"")</f>
        <v/>
      </c>
      <c r="K133" s="29" t="b">
        <v>0</v>
      </c>
      <c r="L133" s="37"/>
      <c r="M133" s="29"/>
      <c r="N133" s="21" t="str">
        <f t="shared" si="2"/>
        <v/>
      </c>
      <c r="P133" s="37"/>
      <c r="Q133" s="29"/>
      <c r="R133" s="29" t="b">
        <v>0</v>
      </c>
      <c r="S133" s="22" t="str">
        <f t="shared" si="3"/>
        <v/>
      </c>
      <c r="T133" s="7">
        <f>IF(ISBLANK(P133), 0, VLOOKUP(P133, 'Price Sheet'!$A$2:$B1015, 2, false))</f>
        <v>0</v>
      </c>
      <c r="U133" s="33" t="str">
        <f t="shared" si="4"/>
        <v/>
      </c>
      <c r="V133" s="37"/>
      <c r="W133" s="29"/>
      <c r="X133" s="29" t="b">
        <v>0</v>
      </c>
      <c r="Y133" s="22" t="str">
        <f t="shared" si="5"/>
        <v/>
      </c>
      <c r="Z133" s="7">
        <f>IF(ISBLANK(V133), 0, VLOOKUP(V133, 'Price Sheet'!$A$2:$B1015, 2, false))</f>
        <v>0</v>
      </c>
      <c r="AA133" s="33" t="str">
        <f t="shared" si="6"/>
        <v/>
      </c>
      <c r="AB133" s="37"/>
      <c r="AC133" s="29"/>
      <c r="AD133" s="29" t="b">
        <v>0</v>
      </c>
      <c r="AE133" s="22" t="str">
        <f t="shared" si="7"/>
        <v/>
      </c>
      <c r="AF133" s="7">
        <f>IF(ISBLANK(AB133), 0, VLOOKUP(AB133, 'Price Sheet'!$A$2:$B1015, 2, false))</f>
        <v>0</v>
      </c>
      <c r="AG133" s="33" t="str">
        <f t="shared" si="8"/>
        <v/>
      </c>
      <c r="AH133" s="37"/>
      <c r="AI133" s="29"/>
      <c r="AJ133" s="29" t="b">
        <v>0</v>
      </c>
      <c r="AK133" s="22" t="str">
        <f t="shared" si="9"/>
        <v/>
      </c>
      <c r="AL133" s="7">
        <f>IF(ISBLANK(AH133), 0, VLOOKUP(AH133, 'Price Sheet'!$A$2:$B1015, 2, false))</f>
        <v>0</v>
      </c>
      <c r="AM133" s="33" t="str">
        <f t="shared" si="10"/>
        <v/>
      </c>
      <c r="AN133" s="37"/>
      <c r="AO133" s="29"/>
      <c r="AP133" s="29" t="b">
        <v>0</v>
      </c>
      <c r="AQ133" s="22" t="str">
        <f t="shared" si="11"/>
        <v/>
      </c>
      <c r="AR133" s="7">
        <f>IF(ISBLANK(AN133), 0, VLOOKUP(AN133, 'Price Sheet'!$A$2:$B1015, 2, false))</f>
        <v>0</v>
      </c>
      <c r="AS133" s="33" t="str">
        <f t="shared" si="12"/>
        <v/>
      </c>
      <c r="AT133" s="37"/>
      <c r="AU133" s="29"/>
      <c r="AV133" s="29" t="b">
        <v>0</v>
      </c>
      <c r="AW133" s="22" t="str">
        <f t="shared" si="13"/>
        <v/>
      </c>
      <c r="AX133" s="7">
        <f>IF(ISBLANK(AT133), 0, VLOOKUP(AT133, 'Price Sheet'!$A$2:$B1015, 2, false))</f>
        <v>0</v>
      </c>
      <c r="AY133" s="33" t="str">
        <f t="shared" si="14"/>
        <v/>
      </c>
      <c r="AZ133" s="37"/>
      <c r="BA133" s="29"/>
      <c r="BB133" s="29" t="b">
        <v>0</v>
      </c>
      <c r="BC133" s="22" t="str">
        <f t="shared" si="15"/>
        <v/>
      </c>
      <c r="BD133" s="7">
        <f>IF(ISBLANK(AZ133), 0, VLOOKUP(AZ133, 'Price Sheet'!$A$2:$B1015, 2, false))</f>
        <v>0</v>
      </c>
      <c r="BE133" s="33" t="str">
        <f t="shared" si="16"/>
        <v/>
      </c>
      <c r="BF133" s="37"/>
      <c r="BG133" s="29"/>
      <c r="BH133" s="29" t="b">
        <v>0</v>
      </c>
      <c r="BI133" s="22" t="str">
        <f t="shared" si="17"/>
        <v/>
      </c>
      <c r="BJ133" s="7">
        <f>IF(ISBLANK(BF133), 0, VLOOKUP(BF133, 'Price Sheet'!$A$2:$B1015, 2, false))</f>
        <v>0</v>
      </c>
      <c r="BK133" s="33" t="str">
        <f t="shared" si="18"/>
        <v/>
      </c>
      <c r="BL133" s="37"/>
      <c r="BM133" s="29"/>
      <c r="BN133" s="29" t="b">
        <v>0</v>
      </c>
      <c r="BO133" s="22" t="str">
        <f t="shared" si="19"/>
        <v/>
      </c>
      <c r="BP133" s="7">
        <f>IF(ISBLANK(BL133), 0, VLOOKUP(BL133, 'Price Sheet'!$A$2:$B1015, 2, false))</f>
        <v>0</v>
      </c>
      <c r="BQ133" s="33" t="str">
        <f t="shared" si="20"/>
        <v/>
      </c>
    </row>
    <row r="134">
      <c r="B134" s="19">
        <f t="shared" si="1"/>
        <v>0</v>
      </c>
      <c r="C134" s="29"/>
      <c r="D134" s="29"/>
      <c r="E134" s="7" t="str">
        <f>IF(ISBLANK(D134), "", VLOOKUP(D134,'Crafting Tables'!$A$2:$B1015, 2, false))</f>
        <v/>
      </c>
      <c r="F134" s="7" t="str">
        <f>IFERROR(IF(E134 = "None", 1, VLOOKUP(C134,General!$A$5:$L$35, SWITCH(E134, "Basic", 8, "Advanced", 10, "Modern", 12), false)),"")</f>
        <v/>
      </c>
      <c r="G134" s="29"/>
      <c r="H134" s="7">
        <f>IFERROR(VLOOKUP(C134, General!$A$5:$L$35, 6, false) * G134 / 1000, 0)</f>
        <v>0</v>
      </c>
      <c r="I134" s="29"/>
      <c r="J134" s="22" t="str">
        <f>IFERROR(I134*VLOOKUP(D134,'Crafting Tables'!$1:$1000, 4, false)*F134,"")</f>
        <v/>
      </c>
      <c r="K134" s="29" t="b">
        <v>0</v>
      </c>
      <c r="L134" s="37"/>
      <c r="M134" s="29"/>
      <c r="N134" s="21" t="str">
        <f t="shared" si="2"/>
        <v/>
      </c>
      <c r="P134" s="37"/>
      <c r="Q134" s="29"/>
      <c r="R134" s="29" t="b">
        <v>0</v>
      </c>
      <c r="S134" s="22" t="str">
        <f t="shared" si="3"/>
        <v/>
      </c>
      <c r="T134" s="7">
        <f>IF(ISBLANK(P134), 0, VLOOKUP(P134, 'Price Sheet'!$A$2:$B1015, 2, false))</f>
        <v>0</v>
      </c>
      <c r="U134" s="33" t="str">
        <f t="shared" si="4"/>
        <v/>
      </c>
      <c r="V134" s="37"/>
      <c r="W134" s="29"/>
      <c r="X134" s="29" t="b">
        <v>0</v>
      </c>
      <c r="Y134" s="22" t="str">
        <f t="shared" si="5"/>
        <v/>
      </c>
      <c r="Z134" s="7">
        <f>IF(ISBLANK(V134), 0, VLOOKUP(V134, 'Price Sheet'!$A$2:$B1015, 2, false))</f>
        <v>0</v>
      </c>
      <c r="AA134" s="33" t="str">
        <f t="shared" si="6"/>
        <v/>
      </c>
      <c r="AB134" s="37"/>
      <c r="AC134" s="29"/>
      <c r="AD134" s="29" t="b">
        <v>0</v>
      </c>
      <c r="AE134" s="22" t="str">
        <f t="shared" si="7"/>
        <v/>
      </c>
      <c r="AF134" s="7">
        <f>IF(ISBLANK(AB134), 0, VLOOKUP(AB134, 'Price Sheet'!$A$2:$B1015, 2, false))</f>
        <v>0</v>
      </c>
      <c r="AG134" s="33" t="str">
        <f t="shared" si="8"/>
        <v/>
      </c>
      <c r="AH134" s="37"/>
      <c r="AI134" s="29"/>
      <c r="AJ134" s="29" t="b">
        <v>0</v>
      </c>
      <c r="AK134" s="22" t="str">
        <f t="shared" si="9"/>
        <v/>
      </c>
      <c r="AL134" s="7">
        <f>IF(ISBLANK(AH134), 0, VLOOKUP(AH134, 'Price Sheet'!$A$2:$B1015, 2, false))</f>
        <v>0</v>
      </c>
      <c r="AM134" s="33" t="str">
        <f t="shared" si="10"/>
        <v/>
      </c>
      <c r="AN134" s="37"/>
      <c r="AO134" s="29"/>
      <c r="AP134" s="29" t="b">
        <v>0</v>
      </c>
      <c r="AQ134" s="22" t="str">
        <f t="shared" si="11"/>
        <v/>
      </c>
      <c r="AR134" s="7">
        <f>IF(ISBLANK(AN134), 0, VLOOKUP(AN134, 'Price Sheet'!$A$2:$B1015, 2, false))</f>
        <v>0</v>
      </c>
      <c r="AS134" s="33" t="str">
        <f t="shared" si="12"/>
        <v/>
      </c>
      <c r="AT134" s="37"/>
      <c r="AU134" s="29"/>
      <c r="AV134" s="29" t="b">
        <v>0</v>
      </c>
      <c r="AW134" s="22" t="str">
        <f t="shared" si="13"/>
        <v/>
      </c>
      <c r="AX134" s="7">
        <f>IF(ISBLANK(AT134), 0, VLOOKUP(AT134, 'Price Sheet'!$A$2:$B1015, 2, false))</f>
        <v>0</v>
      </c>
      <c r="AY134" s="33" t="str">
        <f t="shared" si="14"/>
        <v/>
      </c>
      <c r="AZ134" s="37"/>
      <c r="BA134" s="29"/>
      <c r="BB134" s="29" t="b">
        <v>0</v>
      </c>
      <c r="BC134" s="22" t="str">
        <f t="shared" si="15"/>
        <v/>
      </c>
      <c r="BD134" s="7">
        <f>IF(ISBLANK(AZ134), 0, VLOOKUP(AZ134, 'Price Sheet'!$A$2:$B1015, 2, false))</f>
        <v>0</v>
      </c>
      <c r="BE134" s="33" t="str">
        <f t="shared" si="16"/>
        <v/>
      </c>
      <c r="BF134" s="37"/>
      <c r="BG134" s="29"/>
      <c r="BH134" s="29" t="b">
        <v>0</v>
      </c>
      <c r="BI134" s="22" t="str">
        <f t="shared" si="17"/>
        <v/>
      </c>
      <c r="BJ134" s="7">
        <f>IF(ISBLANK(BF134), 0, VLOOKUP(BF134, 'Price Sheet'!$A$2:$B1015, 2, false))</f>
        <v>0</v>
      </c>
      <c r="BK134" s="33" t="str">
        <f t="shared" si="18"/>
        <v/>
      </c>
      <c r="BL134" s="37"/>
      <c r="BM134" s="29"/>
      <c r="BN134" s="29" t="b">
        <v>0</v>
      </c>
      <c r="BO134" s="22" t="str">
        <f t="shared" si="19"/>
        <v/>
      </c>
      <c r="BP134" s="7">
        <f>IF(ISBLANK(BL134), 0, VLOOKUP(BL134, 'Price Sheet'!$A$2:$B1015, 2, false))</f>
        <v>0</v>
      </c>
      <c r="BQ134" s="33" t="str">
        <f t="shared" si="20"/>
        <v/>
      </c>
    </row>
    <row r="135">
      <c r="A135" s="7" t="s">
        <v>288</v>
      </c>
      <c r="B135" s="19">
        <f t="shared" si="1"/>
        <v>195.4774</v>
      </c>
      <c r="C135" s="8" t="s">
        <v>134</v>
      </c>
      <c r="D135" s="8" t="s">
        <v>302</v>
      </c>
      <c r="E135" s="7" t="str">
        <f>IF(ISBLANK(D135), "", VLOOKUP(D135,'Crafting Tables'!$A$2:$B1015, 2, false))</f>
        <v>None</v>
      </c>
      <c r="F135" s="7">
        <f>IFERROR(IF(E135 = "None", 1, VLOOKUP(C135,General!$A$5:$L$35, SWITCH(E135, "Basic", 8, "Advanced", 10, "Modern", 12), false)),"")</f>
        <v>1</v>
      </c>
      <c r="G135" s="8">
        <v>600.0</v>
      </c>
      <c r="H135" s="7">
        <f>IFERROR(VLOOKUP(C135, General!$A$5:$L$35, 6, false) * G135 / 1000, 0)</f>
        <v>24</v>
      </c>
      <c r="I135" s="8">
        <v>60.0</v>
      </c>
      <c r="J135" s="22">
        <f>IFERROR(I135*VLOOKUP(D135,'Crafting Tables'!$1:$1000, 4, false)*F135,"")</f>
        <v>0</v>
      </c>
      <c r="K135" s="8" t="b">
        <v>0</v>
      </c>
      <c r="L135" s="32" t="s">
        <v>288</v>
      </c>
      <c r="M135" s="8">
        <v>1.0</v>
      </c>
      <c r="N135" s="21">
        <f t="shared" si="2"/>
        <v>195.4774</v>
      </c>
      <c r="P135" s="32" t="s">
        <v>126</v>
      </c>
      <c r="Q135" s="8">
        <v>30.0</v>
      </c>
      <c r="R135" s="8" t="b">
        <v>1</v>
      </c>
      <c r="S135" s="22">
        <f t="shared" si="3"/>
        <v>30</v>
      </c>
      <c r="T135" s="19">
        <f>IF(ISBLANK(P135), 0, VLOOKUP(P135, 'Price Sheet'!$A$2:$B1015, 2, false))</f>
        <v>4</v>
      </c>
      <c r="U135" s="33">
        <f t="shared" si="4"/>
        <v>120</v>
      </c>
      <c r="V135" s="32" t="s">
        <v>286</v>
      </c>
      <c r="W135" s="8">
        <v>20.0</v>
      </c>
      <c r="X135" s="8" t="b">
        <v>1</v>
      </c>
      <c r="Y135" s="22">
        <f t="shared" si="5"/>
        <v>20</v>
      </c>
      <c r="Z135" s="19">
        <f>IF(ISBLANK(V135), 0, VLOOKUP(V135, 'Price Sheet'!$A$2:$B1015, 2, false))</f>
        <v>2.4</v>
      </c>
      <c r="AA135" s="33">
        <f t="shared" si="6"/>
        <v>48</v>
      </c>
      <c r="AB135" s="32" t="s">
        <v>173</v>
      </c>
      <c r="AC135" s="8">
        <v>1.0</v>
      </c>
      <c r="AD135" s="8" t="b">
        <v>1</v>
      </c>
      <c r="AE135" s="22">
        <f t="shared" si="7"/>
        <v>1</v>
      </c>
      <c r="AF135" s="19">
        <f>IF(ISBLANK(AB135), 0, VLOOKUP(AB135, 'Price Sheet'!$A$2:$B1015, 2, false))</f>
        <v>-2</v>
      </c>
      <c r="AG135" s="33">
        <f t="shared" si="8"/>
        <v>-2</v>
      </c>
      <c r="AH135" s="32" t="s">
        <v>226</v>
      </c>
      <c r="AI135" s="8">
        <v>4.0</v>
      </c>
      <c r="AJ135" s="8" t="b">
        <v>1</v>
      </c>
      <c r="AK135" s="22">
        <f t="shared" si="9"/>
        <v>4</v>
      </c>
      <c r="AL135" s="19">
        <f>IF(ISBLANK(AH135), 0, VLOOKUP(AH135, 'Price Sheet'!$A$2:$B1015, 2, false))</f>
        <v>1.36935</v>
      </c>
      <c r="AM135" s="33">
        <f t="shared" si="10"/>
        <v>5.4774</v>
      </c>
      <c r="AN135" s="37"/>
      <c r="AO135" s="29"/>
      <c r="AP135" s="29" t="b">
        <v>0</v>
      </c>
      <c r="AQ135" s="22" t="str">
        <f t="shared" si="11"/>
        <v/>
      </c>
      <c r="AR135" s="7">
        <f>IF(ISBLANK(AN135), 0, VLOOKUP(AN135, 'Price Sheet'!$A$2:$B1015, 2, false))</f>
        <v>0</v>
      </c>
      <c r="AS135" s="33" t="str">
        <f t="shared" si="12"/>
        <v/>
      </c>
      <c r="AT135" s="37"/>
      <c r="AU135" s="29"/>
      <c r="AV135" s="29" t="b">
        <v>0</v>
      </c>
      <c r="AW135" s="22" t="str">
        <f t="shared" si="13"/>
        <v/>
      </c>
      <c r="AX135" s="7">
        <f>IF(ISBLANK(AT135), 0, VLOOKUP(AT135, 'Price Sheet'!$A$2:$B1015, 2, false))</f>
        <v>0</v>
      </c>
      <c r="AY135" s="33" t="str">
        <f t="shared" si="14"/>
        <v/>
      </c>
      <c r="AZ135" s="37"/>
      <c r="BA135" s="29"/>
      <c r="BB135" s="29" t="b">
        <v>0</v>
      </c>
      <c r="BC135" s="22" t="str">
        <f t="shared" si="15"/>
        <v/>
      </c>
      <c r="BD135" s="7">
        <f>IF(ISBLANK(AZ135), 0, VLOOKUP(AZ135, 'Price Sheet'!$A$2:$B1015, 2, false))</f>
        <v>0</v>
      </c>
      <c r="BE135" s="33" t="str">
        <f t="shared" si="16"/>
        <v/>
      </c>
      <c r="BF135" s="37"/>
      <c r="BG135" s="29"/>
      <c r="BH135" s="29" t="b">
        <v>0</v>
      </c>
      <c r="BI135" s="22" t="str">
        <f t="shared" si="17"/>
        <v/>
      </c>
      <c r="BJ135" s="7">
        <f>IF(ISBLANK(BF135), 0, VLOOKUP(BF135, 'Price Sheet'!$A$2:$B1015, 2, false))</f>
        <v>0</v>
      </c>
      <c r="BK135" s="33" t="str">
        <f t="shared" si="18"/>
        <v/>
      </c>
      <c r="BL135" s="37"/>
      <c r="BM135" s="29"/>
      <c r="BN135" s="29" t="b">
        <v>0</v>
      </c>
      <c r="BO135" s="22" t="str">
        <f t="shared" si="19"/>
        <v/>
      </c>
      <c r="BP135" s="7">
        <f>IF(ISBLANK(BL135), 0, VLOOKUP(BL135, 'Price Sheet'!$A$2:$B1015, 2, false))</f>
        <v>0</v>
      </c>
      <c r="BQ135" s="33" t="str">
        <f t="shared" si="20"/>
        <v/>
      </c>
    </row>
    <row r="136">
      <c r="A136" s="7" t="s">
        <v>495</v>
      </c>
      <c r="B136" s="19">
        <f t="shared" si="1"/>
        <v>165.4774</v>
      </c>
      <c r="C136" s="8" t="s">
        <v>130</v>
      </c>
      <c r="D136" s="8" t="s">
        <v>302</v>
      </c>
      <c r="E136" s="7" t="str">
        <f>IF(ISBLANK(D136), "", VLOOKUP(D136,'Crafting Tables'!$A$2:$B1015, 2, false))</f>
        <v>None</v>
      </c>
      <c r="F136" s="7">
        <f>IFERROR(IF(E136 = "None", 1, VLOOKUP(C136,General!$A$5:$L$35, SWITCH(E136, "Basic", 8, "Advanced", 10, "Modern", 12), false)),"")</f>
        <v>1</v>
      </c>
      <c r="G136" s="8">
        <v>600.0</v>
      </c>
      <c r="H136" s="7">
        <f>IFERROR(VLOOKUP(C136, General!$A$5:$L$35, 6, false) * G136 / 1000, 0)</f>
        <v>24</v>
      </c>
      <c r="I136" s="8">
        <v>60.0</v>
      </c>
      <c r="J136" s="22">
        <f>IFERROR(I136*VLOOKUP(D136,'Crafting Tables'!$1:$1000, 4, false)*F136,"")</f>
        <v>0</v>
      </c>
      <c r="K136" s="8" t="b">
        <v>1</v>
      </c>
      <c r="L136" s="32" t="s">
        <v>288</v>
      </c>
      <c r="M136" s="8">
        <v>1.0</v>
      </c>
      <c r="N136" s="21">
        <f t="shared" si="2"/>
        <v>165.4774</v>
      </c>
      <c r="P136" s="32" t="s">
        <v>255</v>
      </c>
      <c r="Q136" s="8">
        <v>30.0</v>
      </c>
      <c r="R136" s="8" t="b">
        <v>1</v>
      </c>
      <c r="S136" s="22">
        <f t="shared" si="3"/>
        <v>30</v>
      </c>
      <c r="T136" s="19">
        <f>IF(ISBLANK(P136), 0, VLOOKUP(P136, 'Price Sheet'!$A$2:$B1015, 2, false))</f>
        <v>3</v>
      </c>
      <c r="U136" s="33">
        <f t="shared" si="4"/>
        <v>90</v>
      </c>
      <c r="V136" s="32" t="s">
        <v>286</v>
      </c>
      <c r="W136" s="8">
        <v>20.0</v>
      </c>
      <c r="X136" s="8" t="b">
        <v>1</v>
      </c>
      <c r="Y136" s="22">
        <f t="shared" si="5"/>
        <v>20</v>
      </c>
      <c r="Z136" s="19">
        <f>IF(ISBLANK(V136), 0, VLOOKUP(V136, 'Price Sheet'!$A$2:$B1015, 2, false))</f>
        <v>2.4</v>
      </c>
      <c r="AA136" s="33">
        <f t="shared" si="6"/>
        <v>48</v>
      </c>
      <c r="AB136" s="32" t="s">
        <v>173</v>
      </c>
      <c r="AC136" s="8">
        <v>1.0</v>
      </c>
      <c r="AD136" s="8" t="b">
        <v>1</v>
      </c>
      <c r="AE136" s="22">
        <f t="shared" si="7"/>
        <v>1</v>
      </c>
      <c r="AF136" s="19">
        <f>IF(ISBLANK(AB136), 0, VLOOKUP(AB136, 'Price Sheet'!$A$2:$B1015, 2, false))</f>
        <v>-2</v>
      </c>
      <c r="AG136" s="33">
        <f t="shared" si="8"/>
        <v>-2</v>
      </c>
      <c r="AH136" s="32" t="s">
        <v>226</v>
      </c>
      <c r="AI136" s="8">
        <v>4.0</v>
      </c>
      <c r="AJ136" s="8" t="b">
        <v>1</v>
      </c>
      <c r="AK136" s="22">
        <f t="shared" si="9"/>
        <v>4</v>
      </c>
      <c r="AL136" s="19">
        <f>IF(ISBLANK(AH136), 0, VLOOKUP(AH136, 'Price Sheet'!$A$2:$B1015, 2, false))</f>
        <v>1.36935</v>
      </c>
      <c r="AM136" s="33">
        <f t="shared" si="10"/>
        <v>5.4774</v>
      </c>
      <c r="AN136" s="37"/>
      <c r="AO136" s="29"/>
      <c r="AP136" s="29" t="b">
        <v>0</v>
      </c>
      <c r="AQ136" s="22" t="str">
        <f t="shared" si="11"/>
        <v/>
      </c>
      <c r="AR136" s="7">
        <f>IF(ISBLANK(AN136), 0, VLOOKUP(AN136, 'Price Sheet'!$A$2:$B1015, 2, false))</f>
        <v>0</v>
      </c>
      <c r="AS136" s="33" t="str">
        <f t="shared" si="12"/>
        <v/>
      </c>
      <c r="AT136" s="37"/>
      <c r="AU136" s="29"/>
      <c r="AV136" s="29" t="b">
        <v>0</v>
      </c>
      <c r="AW136" s="22" t="str">
        <f t="shared" si="13"/>
        <v/>
      </c>
      <c r="AX136" s="7">
        <f>IF(ISBLANK(AT136), 0, VLOOKUP(AT136, 'Price Sheet'!$A$2:$B1015, 2, false))</f>
        <v>0</v>
      </c>
      <c r="AY136" s="33" t="str">
        <f t="shared" si="14"/>
        <v/>
      </c>
      <c r="AZ136" s="37"/>
      <c r="BA136" s="29"/>
      <c r="BB136" s="29" t="b">
        <v>0</v>
      </c>
      <c r="BC136" s="22" t="str">
        <f t="shared" si="15"/>
        <v/>
      </c>
      <c r="BD136" s="7">
        <f>IF(ISBLANK(AZ136), 0, VLOOKUP(AZ136, 'Price Sheet'!$A$2:$B1015, 2, false))</f>
        <v>0</v>
      </c>
      <c r="BE136" s="33" t="str">
        <f t="shared" si="16"/>
        <v/>
      </c>
      <c r="BF136" s="37"/>
      <c r="BG136" s="29"/>
      <c r="BH136" s="29" t="b">
        <v>0</v>
      </c>
      <c r="BI136" s="22" t="str">
        <f t="shared" si="17"/>
        <v/>
      </c>
      <c r="BJ136" s="7">
        <f>IF(ISBLANK(BF136), 0, VLOOKUP(BF136, 'Price Sheet'!$A$2:$B1015, 2, false))</f>
        <v>0</v>
      </c>
      <c r="BK136" s="33" t="str">
        <f t="shared" si="18"/>
        <v/>
      </c>
      <c r="BL136" s="37"/>
      <c r="BM136" s="29"/>
      <c r="BN136" s="29" t="b">
        <v>0</v>
      </c>
      <c r="BO136" s="22" t="str">
        <f t="shared" si="19"/>
        <v/>
      </c>
      <c r="BP136" s="7">
        <f>IF(ISBLANK(BL136), 0, VLOOKUP(BL136, 'Price Sheet'!$A$2:$B1015, 2, false))</f>
        <v>0</v>
      </c>
      <c r="BQ136" s="33" t="str">
        <f t="shared" si="20"/>
        <v/>
      </c>
    </row>
    <row r="137">
      <c r="A137" s="7" t="s">
        <v>298</v>
      </c>
      <c r="B137" s="19">
        <f t="shared" si="1"/>
        <v>4.3854</v>
      </c>
      <c r="C137" s="8" t="s">
        <v>182</v>
      </c>
      <c r="D137" s="8" t="s">
        <v>350</v>
      </c>
      <c r="E137" s="7" t="str">
        <f>IF(ISBLANK(D137), "", VLOOKUP(D137,'Crafting Tables'!$A$2:$B1015, 2, false))</f>
        <v>Basic</v>
      </c>
      <c r="F137" s="7">
        <f>IFERROR(IF(E137 = "None", 1, VLOOKUP(C137,General!$A$5:$L$35, SWITCH(E137, "Basic", 8, "Advanced", 10, "Modern", 12), false)),"")</f>
        <v>0.55</v>
      </c>
      <c r="G137" s="8">
        <v>35.0</v>
      </c>
      <c r="H137" s="7">
        <f>IFERROR(VLOOKUP(C137, General!$A$5:$L$35, 6, false) * G137 / 1000, 0)</f>
        <v>1.4</v>
      </c>
      <c r="I137" s="8">
        <v>120.0</v>
      </c>
      <c r="J137" s="22">
        <f>IFERROR(I137*VLOOKUP(D137,'Crafting Tables'!$1:$1000, 4, false)*F137,"")</f>
        <v>0</v>
      </c>
      <c r="K137" s="8" t="b">
        <v>1</v>
      </c>
      <c r="L137" s="32" t="s">
        <v>298</v>
      </c>
      <c r="M137" s="8">
        <v>4.0</v>
      </c>
      <c r="N137" s="21">
        <f t="shared" si="2"/>
        <v>1.09635</v>
      </c>
      <c r="P137" s="32" t="s">
        <v>120</v>
      </c>
      <c r="Q137" s="8">
        <v>4.0</v>
      </c>
      <c r="R137" s="29" t="b">
        <v>0</v>
      </c>
      <c r="S137" s="22">
        <f t="shared" si="3"/>
        <v>2.2</v>
      </c>
      <c r="T137" s="19">
        <f>IF(ISBLANK(P137), 0, VLOOKUP(P137, 'Price Sheet'!$A$2:$B1015, 2, false))</f>
        <v>0.107</v>
      </c>
      <c r="U137" s="33">
        <f t="shared" si="4"/>
        <v>0.2354</v>
      </c>
      <c r="V137" s="32" t="s">
        <v>297</v>
      </c>
      <c r="W137" s="8">
        <v>2.0</v>
      </c>
      <c r="X137" s="29" t="b">
        <v>0</v>
      </c>
      <c r="Y137" s="22">
        <f t="shared" si="5"/>
        <v>1.1</v>
      </c>
      <c r="Z137" s="19">
        <f>IF(ISBLANK(V137), 0, VLOOKUP(V137, 'Price Sheet'!$A$2:$B1015, 2, false))</f>
        <v>1.5</v>
      </c>
      <c r="AA137" s="33">
        <f t="shared" si="6"/>
        <v>1.65</v>
      </c>
      <c r="AB137" s="32" t="s">
        <v>293</v>
      </c>
      <c r="AC137" s="8">
        <v>2.0</v>
      </c>
      <c r="AD137" s="29" t="b">
        <v>0</v>
      </c>
      <c r="AE137" s="22">
        <f t="shared" si="7"/>
        <v>1.1</v>
      </c>
      <c r="AF137" s="19">
        <f>IF(ISBLANK(AB137), 0, VLOOKUP(AB137, 'Price Sheet'!$A$2:$B1015, 2, false))</f>
        <v>1</v>
      </c>
      <c r="AG137" s="33">
        <f t="shared" si="8"/>
        <v>1.1</v>
      </c>
      <c r="AH137" s="37"/>
      <c r="AI137" s="29"/>
      <c r="AJ137" s="29" t="b">
        <v>0</v>
      </c>
      <c r="AK137" s="22" t="str">
        <f t="shared" si="9"/>
        <v/>
      </c>
      <c r="AL137" s="7">
        <f>IF(ISBLANK(AH137), 0, VLOOKUP(AH137, 'Price Sheet'!$A$2:$B1015, 2, false))</f>
        <v>0</v>
      </c>
      <c r="AM137" s="33" t="str">
        <f t="shared" si="10"/>
        <v/>
      </c>
      <c r="AN137" s="37"/>
      <c r="AO137" s="29"/>
      <c r="AP137" s="29" t="b">
        <v>0</v>
      </c>
      <c r="AQ137" s="22" t="str">
        <f t="shared" si="11"/>
        <v/>
      </c>
      <c r="AR137" s="7">
        <f>IF(ISBLANK(AN137), 0, VLOOKUP(AN137, 'Price Sheet'!$A$2:$B1015, 2, false))</f>
        <v>0</v>
      </c>
      <c r="AS137" s="33" t="str">
        <f t="shared" si="12"/>
        <v/>
      </c>
      <c r="AT137" s="37"/>
      <c r="AU137" s="29"/>
      <c r="AV137" s="29" t="b">
        <v>0</v>
      </c>
      <c r="AW137" s="22" t="str">
        <f t="shared" si="13"/>
        <v/>
      </c>
      <c r="AX137" s="7">
        <f>IF(ISBLANK(AT137), 0, VLOOKUP(AT137, 'Price Sheet'!$A$2:$B1015, 2, false))</f>
        <v>0</v>
      </c>
      <c r="AY137" s="33" t="str">
        <f t="shared" si="14"/>
        <v/>
      </c>
      <c r="AZ137" s="37"/>
      <c r="BA137" s="29"/>
      <c r="BB137" s="29" t="b">
        <v>0</v>
      </c>
      <c r="BC137" s="22" t="str">
        <f t="shared" si="15"/>
        <v/>
      </c>
      <c r="BD137" s="7">
        <f>IF(ISBLANK(AZ137), 0, VLOOKUP(AZ137, 'Price Sheet'!$A$2:$B1015, 2, false))</f>
        <v>0</v>
      </c>
      <c r="BE137" s="33" t="str">
        <f t="shared" si="16"/>
        <v/>
      </c>
      <c r="BF137" s="37"/>
      <c r="BG137" s="29"/>
      <c r="BH137" s="29" t="b">
        <v>0</v>
      </c>
      <c r="BI137" s="22" t="str">
        <f t="shared" si="17"/>
        <v/>
      </c>
      <c r="BJ137" s="7">
        <f>IF(ISBLANK(BF137), 0, VLOOKUP(BF137, 'Price Sheet'!$A$2:$B1015, 2, false))</f>
        <v>0</v>
      </c>
      <c r="BK137" s="33" t="str">
        <f t="shared" si="18"/>
        <v/>
      </c>
      <c r="BL137" s="37"/>
      <c r="BM137" s="29"/>
      <c r="BN137" s="29" t="b">
        <v>0</v>
      </c>
      <c r="BO137" s="22" t="str">
        <f t="shared" si="19"/>
        <v/>
      </c>
      <c r="BP137" s="7">
        <f>IF(ISBLANK(BL137), 0, VLOOKUP(BL137, 'Price Sheet'!$A$2:$B1015, 2, false))</f>
        <v>0</v>
      </c>
      <c r="BQ137" s="33" t="str">
        <f t="shared" si="20"/>
        <v/>
      </c>
    </row>
    <row r="138">
      <c r="B138" s="19">
        <f t="shared" si="1"/>
        <v>0</v>
      </c>
      <c r="C138" s="29"/>
      <c r="D138" s="29"/>
      <c r="E138" s="7" t="str">
        <f>IF(ISBLANK(D138), "", VLOOKUP(D138,'Crafting Tables'!$A$2:$B1015, 2, false))</f>
        <v/>
      </c>
      <c r="F138" s="7" t="str">
        <f>IFERROR(IF(E138 = "None", 1, VLOOKUP(C138,General!$A$5:$L$35, SWITCH(E138, "Basic", 8, "Advanced", 10, "Modern", 12), false)),"")</f>
        <v/>
      </c>
      <c r="G138" s="29"/>
      <c r="H138" s="7">
        <f>IFERROR(VLOOKUP(C138, General!$A$5:$L$35, 6, false) * G138 / 1000, 0)</f>
        <v>0</v>
      </c>
      <c r="I138" s="29"/>
      <c r="J138" s="22" t="str">
        <f>IFERROR(I138*VLOOKUP(D138,'Crafting Tables'!$1:$1000, 4, false)*F138,"")</f>
        <v/>
      </c>
      <c r="K138" s="29" t="b">
        <v>0</v>
      </c>
      <c r="L138" s="37"/>
      <c r="M138" s="29"/>
      <c r="N138" s="21" t="str">
        <f t="shared" si="2"/>
        <v/>
      </c>
      <c r="P138" s="37"/>
      <c r="Q138" s="29"/>
      <c r="R138" s="29" t="b">
        <v>0</v>
      </c>
      <c r="S138" s="22" t="str">
        <f t="shared" si="3"/>
        <v/>
      </c>
      <c r="T138" s="7">
        <f>IF(ISBLANK(P138), 0, VLOOKUP(P138, 'Price Sheet'!$A$2:$B1015, 2, false))</f>
        <v>0</v>
      </c>
      <c r="U138" s="33" t="str">
        <f t="shared" si="4"/>
        <v/>
      </c>
      <c r="V138" s="37"/>
      <c r="W138" s="29"/>
      <c r="X138" s="29" t="b">
        <v>0</v>
      </c>
      <c r="Y138" s="22" t="str">
        <f t="shared" si="5"/>
        <v/>
      </c>
      <c r="Z138" s="7">
        <f>IF(ISBLANK(V138), 0, VLOOKUP(V138, 'Price Sheet'!$A$2:$B1015, 2, false))</f>
        <v>0</v>
      </c>
      <c r="AA138" s="33" t="str">
        <f t="shared" si="6"/>
        <v/>
      </c>
      <c r="AB138" s="37"/>
      <c r="AC138" s="29"/>
      <c r="AD138" s="29" t="b">
        <v>0</v>
      </c>
      <c r="AE138" s="22" t="str">
        <f t="shared" si="7"/>
        <v/>
      </c>
      <c r="AF138" s="7">
        <f>IF(ISBLANK(AB138), 0, VLOOKUP(AB138, 'Price Sheet'!$A$2:$B1015, 2, false))</f>
        <v>0</v>
      </c>
      <c r="AG138" s="33" t="str">
        <f t="shared" si="8"/>
        <v/>
      </c>
      <c r="AH138" s="37"/>
      <c r="AI138" s="29"/>
      <c r="AJ138" s="29" t="b">
        <v>0</v>
      </c>
      <c r="AK138" s="22" t="str">
        <f t="shared" si="9"/>
        <v/>
      </c>
      <c r="AL138" s="7">
        <f>IF(ISBLANK(AH138), 0, VLOOKUP(AH138, 'Price Sheet'!$A$2:$B1015, 2, false))</f>
        <v>0</v>
      </c>
      <c r="AM138" s="33" t="str">
        <f t="shared" si="10"/>
        <v/>
      </c>
      <c r="AN138" s="37"/>
      <c r="AO138" s="29"/>
      <c r="AP138" s="29" t="b">
        <v>0</v>
      </c>
      <c r="AQ138" s="22" t="str">
        <f t="shared" si="11"/>
        <v/>
      </c>
      <c r="AR138" s="7">
        <f>IF(ISBLANK(AN138), 0, VLOOKUP(AN138, 'Price Sheet'!$A$2:$B1015, 2, false))</f>
        <v>0</v>
      </c>
      <c r="AS138" s="33" t="str">
        <f t="shared" si="12"/>
        <v/>
      </c>
      <c r="AT138" s="37"/>
      <c r="AU138" s="29"/>
      <c r="AV138" s="29" t="b">
        <v>0</v>
      </c>
      <c r="AW138" s="22" t="str">
        <f t="shared" si="13"/>
        <v/>
      </c>
      <c r="AX138" s="7">
        <f>IF(ISBLANK(AT138), 0, VLOOKUP(AT138, 'Price Sheet'!$A$2:$B1015, 2, false))</f>
        <v>0</v>
      </c>
      <c r="AY138" s="33" t="str">
        <f t="shared" si="14"/>
        <v/>
      </c>
      <c r="AZ138" s="37"/>
      <c r="BA138" s="29"/>
      <c r="BB138" s="29" t="b">
        <v>0</v>
      </c>
      <c r="BC138" s="22" t="str">
        <f t="shared" si="15"/>
        <v/>
      </c>
      <c r="BD138" s="7">
        <f>IF(ISBLANK(AZ138), 0, VLOOKUP(AZ138, 'Price Sheet'!$A$2:$B1015, 2, false))</f>
        <v>0</v>
      </c>
      <c r="BE138" s="33" t="str">
        <f t="shared" si="16"/>
        <v/>
      </c>
      <c r="BF138" s="37"/>
      <c r="BG138" s="29"/>
      <c r="BH138" s="29" t="b">
        <v>0</v>
      </c>
      <c r="BI138" s="22" t="str">
        <f t="shared" si="17"/>
        <v/>
      </c>
      <c r="BJ138" s="7">
        <f>IF(ISBLANK(BF138), 0, VLOOKUP(BF138, 'Price Sheet'!$A$2:$B1015, 2, false))</f>
        <v>0</v>
      </c>
      <c r="BK138" s="33" t="str">
        <f t="shared" si="18"/>
        <v/>
      </c>
      <c r="BL138" s="37"/>
      <c r="BM138" s="29"/>
      <c r="BN138" s="29" t="b">
        <v>0</v>
      </c>
      <c r="BO138" s="22" t="str">
        <f t="shared" si="19"/>
        <v/>
      </c>
      <c r="BP138" s="7">
        <f>IF(ISBLANK(BL138), 0, VLOOKUP(BL138, 'Price Sheet'!$A$2:$B1015, 2, false))</f>
        <v>0</v>
      </c>
      <c r="BQ138" s="33" t="str">
        <f t="shared" si="20"/>
        <v/>
      </c>
    </row>
    <row r="139">
      <c r="A139" s="7" t="s">
        <v>302</v>
      </c>
      <c r="B139" s="19">
        <f t="shared" si="1"/>
        <v>157.8</v>
      </c>
      <c r="C139" s="8" t="s">
        <v>167</v>
      </c>
      <c r="D139" s="8" t="s">
        <v>351</v>
      </c>
      <c r="E139" s="7" t="str">
        <f>IF(ISBLANK(D139), "", VLOOKUP(D139,'Crafting Tables'!$A$2:$B1015, 2, false))</f>
        <v>Advanced</v>
      </c>
      <c r="F139" s="7">
        <f>IFERROR(IF(E139 = "None", 1, VLOOKUP(C139,General!$A$5:$L$35, SWITCH(E139, "Basic", 8, "Advanced", 10, "Modern", 12), false)),"")</f>
        <v>1</v>
      </c>
      <c r="G139" s="8">
        <v>120.0</v>
      </c>
      <c r="H139" s="7">
        <f>IFERROR(VLOOKUP(C139, General!$A$5:$L$35, 6, false) * G139 / 1000, 0)</f>
        <v>4.8</v>
      </c>
      <c r="I139" s="29">
        <f>60*15</f>
        <v>900</v>
      </c>
      <c r="J139" s="22">
        <f>IFERROR(I139*VLOOKUP(D139,'Crafting Tables'!$1:$1000, 4, false)*F139,"")</f>
        <v>0</v>
      </c>
      <c r="K139" s="8" t="b">
        <v>1</v>
      </c>
      <c r="L139" s="32" t="s">
        <v>302</v>
      </c>
      <c r="M139" s="8">
        <v>1.0</v>
      </c>
      <c r="N139" s="21">
        <f t="shared" si="2"/>
        <v>157.8</v>
      </c>
      <c r="P139" s="32" t="s">
        <v>199</v>
      </c>
      <c r="Q139" s="8">
        <v>20.0</v>
      </c>
      <c r="R139" s="29" t="b">
        <v>0</v>
      </c>
      <c r="S139" s="22">
        <f t="shared" si="3"/>
        <v>20</v>
      </c>
      <c r="T139" s="19">
        <f>IF(ISBLANK(P139), 0, VLOOKUP(P139, 'Price Sheet'!$A$2:$B1015, 2, false))</f>
        <v>4</v>
      </c>
      <c r="U139" s="33">
        <f t="shared" si="4"/>
        <v>80</v>
      </c>
      <c r="V139" s="32" t="s">
        <v>255</v>
      </c>
      <c r="W139" s="8">
        <v>15.0</v>
      </c>
      <c r="X139" s="29" t="b">
        <v>0</v>
      </c>
      <c r="Y139" s="22">
        <f t="shared" si="5"/>
        <v>15</v>
      </c>
      <c r="Z139" s="19">
        <f>IF(ISBLANK(V139), 0, VLOOKUP(V139, 'Price Sheet'!$A$2:$B1015, 2, false))</f>
        <v>3</v>
      </c>
      <c r="AA139" s="33">
        <f t="shared" si="6"/>
        <v>45</v>
      </c>
      <c r="AB139" s="32" t="s">
        <v>152</v>
      </c>
      <c r="AC139" s="8">
        <v>8.0</v>
      </c>
      <c r="AD139" s="29" t="b">
        <v>0</v>
      </c>
      <c r="AE139" s="22">
        <f t="shared" si="7"/>
        <v>8</v>
      </c>
      <c r="AF139" s="19">
        <f>IF(ISBLANK(AB139), 0, VLOOKUP(AB139, 'Price Sheet'!$A$2:$B1015, 2, false))</f>
        <v>3.5</v>
      </c>
      <c r="AG139" s="33">
        <f t="shared" si="8"/>
        <v>28</v>
      </c>
      <c r="AH139" s="37"/>
      <c r="AI139" s="29"/>
      <c r="AJ139" s="29" t="b">
        <v>0</v>
      </c>
      <c r="AK139" s="22" t="str">
        <f t="shared" si="9"/>
        <v/>
      </c>
      <c r="AL139" s="7">
        <f>IF(ISBLANK(AH139), 0, VLOOKUP(AH139, 'Price Sheet'!$A$2:$B1015, 2, false))</f>
        <v>0</v>
      </c>
      <c r="AM139" s="33" t="str">
        <f t="shared" si="10"/>
        <v/>
      </c>
      <c r="AN139" s="37"/>
      <c r="AO139" s="29"/>
      <c r="AP139" s="29" t="b">
        <v>0</v>
      </c>
      <c r="AQ139" s="22" t="str">
        <f t="shared" si="11"/>
        <v/>
      </c>
      <c r="AR139" s="7">
        <f>IF(ISBLANK(AN139), 0, VLOOKUP(AN139, 'Price Sheet'!$A$2:$B1015, 2, false))</f>
        <v>0</v>
      </c>
      <c r="AS139" s="33" t="str">
        <f t="shared" si="12"/>
        <v/>
      </c>
      <c r="AT139" s="37"/>
      <c r="AU139" s="29"/>
      <c r="AV139" s="29" t="b">
        <v>0</v>
      </c>
      <c r="AW139" s="22" t="str">
        <f t="shared" si="13"/>
        <v/>
      </c>
      <c r="AX139" s="7">
        <f>IF(ISBLANK(AT139), 0, VLOOKUP(AT139, 'Price Sheet'!$A$2:$B1015, 2, false))</f>
        <v>0</v>
      </c>
      <c r="AY139" s="33" t="str">
        <f t="shared" si="14"/>
        <v/>
      </c>
      <c r="AZ139" s="37"/>
      <c r="BA139" s="29"/>
      <c r="BB139" s="29" t="b">
        <v>0</v>
      </c>
      <c r="BC139" s="22" t="str">
        <f t="shared" si="15"/>
        <v/>
      </c>
      <c r="BD139" s="7">
        <f>IF(ISBLANK(AZ139), 0, VLOOKUP(AZ139, 'Price Sheet'!$A$2:$B1015, 2, false))</f>
        <v>0</v>
      </c>
      <c r="BE139" s="33" t="str">
        <f t="shared" si="16"/>
        <v/>
      </c>
      <c r="BF139" s="37"/>
      <c r="BG139" s="29"/>
      <c r="BH139" s="29" t="b">
        <v>0</v>
      </c>
      <c r="BI139" s="22" t="str">
        <f t="shared" si="17"/>
        <v/>
      </c>
      <c r="BJ139" s="7">
        <f>IF(ISBLANK(BF139), 0, VLOOKUP(BF139, 'Price Sheet'!$A$2:$B1015, 2, false))</f>
        <v>0</v>
      </c>
      <c r="BK139" s="33" t="str">
        <f t="shared" si="18"/>
        <v/>
      </c>
      <c r="BL139" s="37"/>
      <c r="BM139" s="29"/>
      <c r="BN139" s="29" t="b">
        <v>0</v>
      </c>
      <c r="BO139" s="22" t="str">
        <f t="shared" si="19"/>
        <v/>
      </c>
      <c r="BP139" s="7">
        <f>IF(ISBLANK(BL139), 0, VLOOKUP(BL139, 'Price Sheet'!$A$2:$B1015, 2, false))</f>
        <v>0</v>
      </c>
      <c r="BQ139" s="33" t="str">
        <f t="shared" si="20"/>
        <v/>
      </c>
    </row>
    <row r="140">
      <c r="A140" s="7" t="s">
        <v>303</v>
      </c>
      <c r="B140" s="19">
        <f t="shared" si="1"/>
        <v>7</v>
      </c>
      <c r="C140" s="8" t="s">
        <v>167</v>
      </c>
      <c r="D140" s="8" t="s">
        <v>355</v>
      </c>
      <c r="E140" s="7" t="str">
        <f>IF(ISBLANK(D140), "", VLOOKUP(D140,'Crafting Tables'!$A$2:$B1015, 2, false))</f>
        <v>Advanced</v>
      </c>
      <c r="F140" s="7">
        <f>IFERROR(IF(E140 = "None", 1, VLOOKUP(C140,General!$A$5:$L$35, SWITCH(E140, "Basic", 8, "Advanced", 10, "Modern", 12), false)),"")</f>
        <v>1</v>
      </c>
      <c r="G140" s="8">
        <v>75.0</v>
      </c>
      <c r="H140" s="7">
        <f>IFERROR(VLOOKUP(C140, General!$A$5:$L$35, 6, false) * G140 / 1000, 0)</f>
        <v>3</v>
      </c>
      <c r="I140" s="29">
        <f>0.4*60</f>
        <v>24</v>
      </c>
      <c r="J140" s="22">
        <f>IFERROR(I140*VLOOKUP(D140,'Crafting Tables'!$1:$1000, 4, false)*F140,"")</f>
        <v>0</v>
      </c>
      <c r="K140" s="8" t="b">
        <v>1</v>
      </c>
      <c r="L140" s="32" t="s">
        <v>303</v>
      </c>
      <c r="M140" s="8">
        <v>1.0</v>
      </c>
      <c r="N140" s="21">
        <f t="shared" si="2"/>
        <v>7</v>
      </c>
      <c r="P140" s="32" t="s">
        <v>199</v>
      </c>
      <c r="Q140" s="8">
        <v>1.0</v>
      </c>
      <c r="R140" s="29" t="b">
        <v>0</v>
      </c>
      <c r="S140" s="22">
        <f t="shared" si="3"/>
        <v>1</v>
      </c>
      <c r="T140" s="19">
        <f>IF(ISBLANK(P140), 0, VLOOKUP(P140, 'Price Sheet'!$A$2:$B1015, 2, false))</f>
        <v>4</v>
      </c>
      <c r="U140" s="33">
        <f t="shared" si="4"/>
        <v>4</v>
      </c>
      <c r="V140" s="37"/>
      <c r="W140" s="29"/>
      <c r="X140" s="29" t="b">
        <v>0</v>
      </c>
      <c r="Y140" s="22" t="str">
        <f t="shared" si="5"/>
        <v/>
      </c>
      <c r="Z140" s="7">
        <f>IF(ISBLANK(V140), 0, VLOOKUP(V140, 'Price Sheet'!$A$2:$B1015, 2, false))</f>
        <v>0</v>
      </c>
      <c r="AA140" s="33" t="str">
        <f t="shared" si="6"/>
        <v/>
      </c>
      <c r="AB140" s="37"/>
      <c r="AC140" s="29"/>
      <c r="AD140" s="29" t="b">
        <v>0</v>
      </c>
      <c r="AE140" s="22" t="str">
        <f t="shared" si="7"/>
        <v/>
      </c>
      <c r="AF140" s="7">
        <f>IF(ISBLANK(AB140), 0, VLOOKUP(AB140, 'Price Sheet'!$A$2:$B1015, 2, false))</f>
        <v>0</v>
      </c>
      <c r="AG140" s="33" t="str">
        <f t="shared" si="8"/>
        <v/>
      </c>
      <c r="AH140" s="37"/>
      <c r="AI140" s="29"/>
      <c r="AJ140" s="29" t="b">
        <v>0</v>
      </c>
      <c r="AK140" s="22" t="str">
        <f t="shared" si="9"/>
        <v/>
      </c>
      <c r="AL140" s="7">
        <f>IF(ISBLANK(AH140), 0, VLOOKUP(AH140, 'Price Sheet'!$A$2:$B1015, 2, false))</f>
        <v>0</v>
      </c>
      <c r="AM140" s="33" t="str">
        <f t="shared" si="10"/>
        <v/>
      </c>
      <c r="AN140" s="37"/>
      <c r="AO140" s="29"/>
      <c r="AP140" s="29" t="b">
        <v>0</v>
      </c>
      <c r="AQ140" s="22" t="str">
        <f t="shared" si="11"/>
        <v/>
      </c>
      <c r="AR140" s="7">
        <f>IF(ISBLANK(AN140), 0, VLOOKUP(AN140, 'Price Sheet'!$A$2:$B1015, 2, false))</f>
        <v>0</v>
      </c>
      <c r="AS140" s="33" t="str">
        <f t="shared" si="12"/>
        <v/>
      </c>
      <c r="AT140" s="37"/>
      <c r="AU140" s="29"/>
      <c r="AV140" s="29" t="b">
        <v>0</v>
      </c>
      <c r="AW140" s="22" t="str">
        <f t="shared" si="13"/>
        <v/>
      </c>
      <c r="AX140" s="7">
        <f>IF(ISBLANK(AT140), 0, VLOOKUP(AT140, 'Price Sheet'!$A$2:$B1015, 2, false))</f>
        <v>0</v>
      </c>
      <c r="AY140" s="33" t="str">
        <f t="shared" si="14"/>
        <v/>
      </c>
      <c r="AZ140" s="37"/>
      <c r="BA140" s="29"/>
      <c r="BB140" s="29" t="b">
        <v>0</v>
      </c>
      <c r="BC140" s="22" t="str">
        <f t="shared" si="15"/>
        <v/>
      </c>
      <c r="BD140" s="7">
        <f>IF(ISBLANK(AZ140), 0, VLOOKUP(AZ140, 'Price Sheet'!$A$2:$B1015, 2, false))</f>
        <v>0</v>
      </c>
      <c r="BE140" s="33" t="str">
        <f t="shared" si="16"/>
        <v/>
      </c>
      <c r="BF140" s="37"/>
      <c r="BG140" s="29"/>
      <c r="BH140" s="29" t="b">
        <v>0</v>
      </c>
      <c r="BI140" s="22" t="str">
        <f t="shared" si="17"/>
        <v/>
      </c>
      <c r="BJ140" s="7">
        <f>IF(ISBLANK(BF140), 0, VLOOKUP(BF140, 'Price Sheet'!$A$2:$B1015, 2, false))</f>
        <v>0</v>
      </c>
      <c r="BK140" s="33" t="str">
        <f t="shared" si="18"/>
        <v/>
      </c>
      <c r="BL140" s="37"/>
      <c r="BM140" s="29"/>
      <c r="BN140" s="29" t="b">
        <v>0</v>
      </c>
      <c r="BO140" s="22" t="str">
        <f t="shared" si="19"/>
        <v/>
      </c>
      <c r="BP140" s="7">
        <f>IF(ISBLANK(BL140), 0, VLOOKUP(BL140, 'Price Sheet'!$A$2:$B1015, 2, false))</f>
        <v>0</v>
      </c>
      <c r="BQ140" s="33" t="str">
        <f t="shared" si="20"/>
        <v/>
      </c>
    </row>
    <row r="141">
      <c r="A141" s="7" t="s">
        <v>305</v>
      </c>
      <c r="B141" s="19">
        <f t="shared" si="1"/>
        <v>6.4</v>
      </c>
      <c r="C141" s="8" t="s">
        <v>167</v>
      </c>
      <c r="D141" s="8" t="s">
        <v>358</v>
      </c>
      <c r="E141" s="7" t="str">
        <f>IF(ISBLANK(D141), "", VLOOKUP(D141,'Crafting Tables'!$A$2:$B1015, 2, false))</f>
        <v>Advanced</v>
      </c>
      <c r="F141" s="7">
        <f>IFERROR(IF(E141 = "None", 1, VLOOKUP(C141,General!$A$5:$L$35, SWITCH(E141, "Basic", 8, "Advanced", 10, "Modern", 12), false)),"")</f>
        <v>1</v>
      </c>
      <c r="G141" s="8">
        <v>60.0</v>
      </c>
      <c r="H141" s="7">
        <f>IFERROR(VLOOKUP(C141, General!$A$5:$L$35, 6, false) * G141 / 1000, 0)</f>
        <v>2.4</v>
      </c>
      <c r="I141" s="8">
        <v>120.0</v>
      </c>
      <c r="J141" s="22">
        <f>IFERROR(I141*VLOOKUP(D141,'Crafting Tables'!$1:$1000, 4, false)*F141,"")</f>
        <v>0</v>
      </c>
      <c r="K141" s="8" t="b">
        <v>1</v>
      </c>
      <c r="L141" s="32" t="s">
        <v>305</v>
      </c>
      <c r="M141" s="8">
        <v>1.0</v>
      </c>
      <c r="N141" s="21">
        <f t="shared" si="2"/>
        <v>6.4</v>
      </c>
      <c r="P141" s="32" t="s">
        <v>199</v>
      </c>
      <c r="Q141" s="8">
        <v>1.0</v>
      </c>
      <c r="R141" s="29" t="b">
        <v>0</v>
      </c>
      <c r="S141" s="22">
        <f t="shared" si="3"/>
        <v>1</v>
      </c>
      <c r="T141" s="19">
        <f>IF(ISBLANK(P141), 0, VLOOKUP(P141, 'Price Sheet'!$A$2:$B1015, 2, false))</f>
        <v>4</v>
      </c>
      <c r="U141" s="33">
        <f t="shared" si="4"/>
        <v>4</v>
      </c>
      <c r="V141" s="37"/>
      <c r="W141" s="29"/>
      <c r="X141" s="29" t="b">
        <v>0</v>
      </c>
      <c r="Y141" s="22" t="str">
        <f t="shared" si="5"/>
        <v/>
      </c>
      <c r="Z141" s="7">
        <f>IF(ISBLANK(V141), 0, VLOOKUP(V141, 'Price Sheet'!$A$2:$B1015, 2, false))</f>
        <v>0</v>
      </c>
      <c r="AA141" s="33" t="str">
        <f t="shared" si="6"/>
        <v/>
      </c>
      <c r="AB141" s="37"/>
      <c r="AC141" s="29"/>
      <c r="AD141" s="29" t="b">
        <v>0</v>
      </c>
      <c r="AE141" s="22" t="str">
        <f t="shared" si="7"/>
        <v/>
      </c>
      <c r="AF141" s="7">
        <f>IF(ISBLANK(AB141), 0, VLOOKUP(AB141, 'Price Sheet'!$A$2:$B1015, 2, false))</f>
        <v>0</v>
      </c>
      <c r="AG141" s="33" t="str">
        <f t="shared" si="8"/>
        <v/>
      </c>
      <c r="AH141" s="37"/>
      <c r="AI141" s="29"/>
      <c r="AJ141" s="29" t="b">
        <v>0</v>
      </c>
      <c r="AK141" s="22" t="str">
        <f t="shared" si="9"/>
        <v/>
      </c>
      <c r="AL141" s="7">
        <f>IF(ISBLANK(AH141), 0, VLOOKUP(AH141, 'Price Sheet'!$A$2:$B1015, 2, false))</f>
        <v>0</v>
      </c>
      <c r="AM141" s="33" t="str">
        <f t="shared" si="10"/>
        <v/>
      </c>
      <c r="AN141" s="37"/>
      <c r="AO141" s="29"/>
      <c r="AP141" s="29" t="b">
        <v>0</v>
      </c>
      <c r="AQ141" s="22" t="str">
        <f t="shared" si="11"/>
        <v/>
      </c>
      <c r="AR141" s="7">
        <f>IF(ISBLANK(AN141), 0, VLOOKUP(AN141, 'Price Sheet'!$A$2:$B1015, 2, false))</f>
        <v>0</v>
      </c>
      <c r="AS141" s="33" t="str">
        <f t="shared" si="12"/>
        <v/>
      </c>
      <c r="AT141" s="37"/>
      <c r="AU141" s="29"/>
      <c r="AV141" s="29" t="b">
        <v>0</v>
      </c>
      <c r="AW141" s="22" t="str">
        <f t="shared" si="13"/>
        <v/>
      </c>
      <c r="AX141" s="7">
        <f>IF(ISBLANK(AT141), 0, VLOOKUP(AT141, 'Price Sheet'!$A$2:$B1015, 2, false))</f>
        <v>0</v>
      </c>
      <c r="AY141" s="33" t="str">
        <f t="shared" si="14"/>
        <v/>
      </c>
      <c r="AZ141" s="37"/>
      <c r="BA141" s="29"/>
      <c r="BB141" s="29" t="b">
        <v>0</v>
      </c>
      <c r="BC141" s="22" t="str">
        <f t="shared" si="15"/>
        <v/>
      </c>
      <c r="BD141" s="7">
        <f>IF(ISBLANK(AZ141), 0, VLOOKUP(AZ141, 'Price Sheet'!$A$2:$B1015, 2, false))</f>
        <v>0</v>
      </c>
      <c r="BE141" s="33" t="str">
        <f t="shared" si="16"/>
        <v/>
      </c>
      <c r="BF141" s="37"/>
      <c r="BG141" s="29"/>
      <c r="BH141" s="29" t="b">
        <v>0</v>
      </c>
      <c r="BI141" s="22" t="str">
        <f t="shared" si="17"/>
        <v/>
      </c>
      <c r="BJ141" s="7">
        <f>IF(ISBLANK(BF141), 0, VLOOKUP(BF141, 'Price Sheet'!$A$2:$B1015, 2, false))</f>
        <v>0</v>
      </c>
      <c r="BK141" s="33" t="str">
        <f t="shared" si="18"/>
        <v/>
      </c>
      <c r="BL141" s="37"/>
      <c r="BM141" s="29"/>
      <c r="BN141" s="29" t="b">
        <v>0</v>
      </c>
      <c r="BO141" s="22" t="str">
        <f t="shared" si="19"/>
        <v/>
      </c>
      <c r="BP141" s="7">
        <f>IF(ISBLANK(BL141), 0, VLOOKUP(BL141, 'Price Sheet'!$A$2:$B1015, 2, false))</f>
        <v>0</v>
      </c>
      <c r="BQ141" s="33" t="str">
        <f t="shared" si="20"/>
        <v/>
      </c>
    </row>
    <row r="142">
      <c r="A142" s="7" t="s">
        <v>306</v>
      </c>
      <c r="B142" s="19">
        <f t="shared" si="1"/>
        <v>102.8</v>
      </c>
      <c r="C142" s="8" t="s">
        <v>167</v>
      </c>
      <c r="D142" s="8" t="s">
        <v>351</v>
      </c>
      <c r="E142" s="7" t="str">
        <f>IF(ISBLANK(D142), "", VLOOKUP(D142,'Crafting Tables'!$A$2:$B1015, 2, false))</f>
        <v>Advanced</v>
      </c>
      <c r="F142" s="7">
        <f>IFERROR(IF(E142 = "None", 1, VLOOKUP(C142,General!$A$5:$L$35, SWITCH(E142, "Basic", 8, "Advanced", 10, "Modern", 12), false)),"")</f>
        <v>1</v>
      </c>
      <c r="G142" s="8">
        <v>240.0</v>
      </c>
      <c r="H142" s="7">
        <f>IFERROR(VLOOKUP(C142, General!$A$5:$L$35, 6, false) * G142 / 1000, 0)</f>
        <v>9.6</v>
      </c>
      <c r="I142" s="8">
        <v>60.0</v>
      </c>
      <c r="J142" s="22">
        <f>IFERROR(I142*VLOOKUP(D142,'Crafting Tables'!$1:$1000, 4, false)*F142,"")</f>
        <v>0</v>
      </c>
      <c r="K142" s="8" t="b">
        <v>1</v>
      </c>
      <c r="L142" s="32" t="s">
        <v>306</v>
      </c>
      <c r="M142" s="8">
        <v>1.0</v>
      </c>
      <c r="N142" s="21">
        <f t="shared" si="2"/>
        <v>102.8</v>
      </c>
      <c r="P142" s="32" t="s">
        <v>303</v>
      </c>
      <c r="Q142" s="8">
        <v>6.0</v>
      </c>
      <c r="R142" s="29" t="b">
        <v>0</v>
      </c>
      <c r="S142" s="22">
        <f t="shared" si="3"/>
        <v>6</v>
      </c>
      <c r="T142" s="19">
        <f>IF(ISBLANK(P142), 0, VLOOKUP(P142, 'Price Sheet'!$A$2:$B1015, 2, false))</f>
        <v>7</v>
      </c>
      <c r="U142" s="33">
        <f t="shared" si="4"/>
        <v>42</v>
      </c>
      <c r="V142" s="32" t="s">
        <v>305</v>
      </c>
      <c r="W142" s="8">
        <v>8.0</v>
      </c>
      <c r="X142" s="29" t="b">
        <v>0</v>
      </c>
      <c r="Y142" s="22">
        <f t="shared" si="5"/>
        <v>8</v>
      </c>
      <c r="Z142" s="19">
        <f>IF(ISBLANK(V142), 0, VLOOKUP(V142, 'Price Sheet'!$A$2:$B1015, 2, false))</f>
        <v>6.4</v>
      </c>
      <c r="AA142" s="33">
        <f t="shared" si="6"/>
        <v>51.2</v>
      </c>
      <c r="AB142" s="37"/>
      <c r="AC142" s="29"/>
      <c r="AD142" s="29" t="b">
        <v>0</v>
      </c>
      <c r="AE142" s="22" t="str">
        <f t="shared" si="7"/>
        <v/>
      </c>
      <c r="AF142" s="7">
        <f>IF(ISBLANK(AB142), 0, VLOOKUP(AB142, 'Price Sheet'!$A$2:$B1015, 2, false))</f>
        <v>0</v>
      </c>
      <c r="AG142" s="33" t="str">
        <f t="shared" si="8"/>
        <v/>
      </c>
      <c r="AH142" s="37"/>
      <c r="AI142" s="29"/>
      <c r="AJ142" s="29" t="b">
        <v>0</v>
      </c>
      <c r="AK142" s="22" t="str">
        <f t="shared" si="9"/>
        <v/>
      </c>
      <c r="AL142" s="7">
        <f>IF(ISBLANK(AH142), 0, VLOOKUP(AH142, 'Price Sheet'!$A$2:$B1015, 2, false))</f>
        <v>0</v>
      </c>
      <c r="AM142" s="33" t="str">
        <f t="shared" si="10"/>
        <v/>
      </c>
      <c r="AN142" s="37"/>
      <c r="AO142" s="29"/>
      <c r="AP142" s="29" t="b">
        <v>0</v>
      </c>
      <c r="AQ142" s="22" t="str">
        <f t="shared" si="11"/>
        <v/>
      </c>
      <c r="AR142" s="7">
        <f>IF(ISBLANK(AN142), 0, VLOOKUP(AN142, 'Price Sheet'!$A$2:$B1015, 2, false))</f>
        <v>0</v>
      </c>
      <c r="AS142" s="33" t="str">
        <f t="shared" si="12"/>
        <v/>
      </c>
      <c r="AT142" s="37"/>
      <c r="AU142" s="29"/>
      <c r="AV142" s="29" t="b">
        <v>0</v>
      </c>
      <c r="AW142" s="22" t="str">
        <f t="shared" si="13"/>
        <v/>
      </c>
      <c r="AX142" s="7">
        <f>IF(ISBLANK(AT142), 0, VLOOKUP(AT142, 'Price Sheet'!$A$2:$B1015, 2, false))</f>
        <v>0</v>
      </c>
      <c r="AY142" s="33" t="str">
        <f t="shared" si="14"/>
        <v/>
      </c>
      <c r="AZ142" s="37"/>
      <c r="BA142" s="29"/>
      <c r="BB142" s="29" t="b">
        <v>0</v>
      </c>
      <c r="BC142" s="22" t="str">
        <f t="shared" si="15"/>
        <v/>
      </c>
      <c r="BD142" s="7">
        <f>IF(ISBLANK(AZ142), 0, VLOOKUP(AZ142, 'Price Sheet'!$A$2:$B1015, 2, false))</f>
        <v>0</v>
      </c>
      <c r="BE142" s="33" t="str">
        <f t="shared" si="16"/>
        <v/>
      </c>
      <c r="BF142" s="37"/>
      <c r="BG142" s="29"/>
      <c r="BH142" s="29" t="b">
        <v>0</v>
      </c>
      <c r="BI142" s="22" t="str">
        <f t="shared" si="17"/>
        <v/>
      </c>
      <c r="BJ142" s="7">
        <f>IF(ISBLANK(BF142), 0, VLOOKUP(BF142, 'Price Sheet'!$A$2:$B1015, 2, false))</f>
        <v>0</v>
      </c>
      <c r="BK142" s="33" t="str">
        <f t="shared" si="18"/>
        <v/>
      </c>
      <c r="BL142" s="37"/>
      <c r="BM142" s="29"/>
      <c r="BN142" s="29" t="b">
        <v>0</v>
      </c>
      <c r="BO142" s="22" t="str">
        <f t="shared" si="19"/>
        <v/>
      </c>
      <c r="BP142" s="7">
        <f>IF(ISBLANK(BL142), 0, VLOOKUP(BL142, 'Price Sheet'!$A$2:$B1015, 2, false))</f>
        <v>0</v>
      </c>
      <c r="BQ142" s="33" t="str">
        <f t="shared" si="20"/>
        <v/>
      </c>
    </row>
    <row r="143">
      <c r="A143" s="7" t="s">
        <v>322</v>
      </c>
      <c r="B143" s="19">
        <f t="shared" si="1"/>
        <v>18.4</v>
      </c>
      <c r="C143" s="8" t="s">
        <v>167</v>
      </c>
      <c r="D143" s="8" t="s">
        <v>358</v>
      </c>
      <c r="E143" s="7" t="str">
        <f>IF(ISBLANK(D143), "", VLOOKUP(D143,'Crafting Tables'!$A$2:$B1015, 2, false))</f>
        <v>Advanced</v>
      </c>
      <c r="F143" s="7">
        <f>IFERROR(IF(E143 = "None", 1, VLOOKUP(C143,General!$A$5:$L$35, SWITCH(E143, "Basic", 8, "Advanced", 10, "Modern", 12), false)),"")</f>
        <v>1</v>
      </c>
      <c r="G143" s="8">
        <v>60.0</v>
      </c>
      <c r="H143" s="7">
        <f>IFERROR(VLOOKUP(C143, General!$A$5:$L$35, 6, false) * G143 / 1000, 0)</f>
        <v>2.4</v>
      </c>
      <c r="I143" s="8">
        <v>90.0</v>
      </c>
      <c r="J143" s="22">
        <f>IFERROR(I143*VLOOKUP(D143,'Crafting Tables'!$1:$1000, 4, false)*F143,"")</f>
        <v>0</v>
      </c>
      <c r="K143" s="8" t="b">
        <v>1</v>
      </c>
      <c r="L143" s="32" t="s">
        <v>322</v>
      </c>
      <c r="M143" s="8">
        <v>1.0</v>
      </c>
      <c r="N143" s="21">
        <f t="shared" si="2"/>
        <v>18.4</v>
      </c>
      <c r="P143" s="32" t="s">
        <v>307</v>
      </c>
      <c r="Q143" s="8">
        <v>2.0</v>
      </c>
      <c r="R143" s="29" t="b">
        <v>0</v>
      </c>
      <c r="S143" s="22">
        <f t="shared" si="3"/>
        <v>2</v>
      </c>
      <c r="T143" s="19">
        <f>IF(ISBLANK(P143), 0, VLOOKUP(P143, 'Price Sheet'!$A$2:$B1015, 2, false))</f>
        <v>4</v>
      </c>
      <c r="U143" s="33">
        <f t="shared" si="4"/>
        <v>8</v>
      </c>
      <c r="V143" s="32" t="s">
        <v>199</v>
      </c>
      <c r="W143" s="8">
        <v>2.0</v>
      </c>
      <c r="X143" s="29" t="b">
        <v>0</v>
      </c>
      <c r="Y143" s="22">
        <f t="shared" si="5"/>
        <v>2</v>
      </c>
      <c r="Z143" s="19">
        <f>IF(ISBLANK(V143), 0, VLOOKUP(V143, 'Price Sheet'!$A$2:$B1015, 2, false))</f>
        <v>4</v>
      </c>
      <c r="AA143" s="33">
        <f t="shared" si="6"/>
        <v>8</v>
      </c>
      <c r="AB143" s="37"/>
      <c r="AC143" s="29"/>
      <c r="AD143" s="29" t="b">
        <v>0</v>
      </c>
      <c r="AE143" s="22" t="str">
        <f t="shared" si="7"/>
        <v/>
      </c>
      <c r="AF143" s="7">
        <f>IF(ISBLANK(AB143), 0, VLOOKUP(AB143, 'Price Sheet'!$A$2:$B1015, 2, false))</f>
        <v>0</v>
      </c>
      <c r="AG143" s="33" t="str">
        <f t="shared" si="8"/>
        <v/>
      </c>
      <c r="AH143" s="37"/>
      <c r="AI143" s="29"/>
      <c r="AJ143" s="29" t="b">
        <v>0</v>
      </c>
      <c r="AK143" s="22" t="str">
        <f t="shared" si="9"/>
        <v/>
      </c>
      <c r="AL143" s="7">
        <f>IF(ISBLANK(AH143), 0, VLOOKUP(AH143, 'Price Sheet'!$A$2:$B1015, 2, false))</f>
        <v>0</v>
      </c>
      <c r="AM143" s="33" t="str">
        <f t="shared" si="10"/>
        <v/>
      </c>
      <c r="AN143" s="37"/>
      <c r="AO143" s="29"/>
      <c r="AP143" s="29" t="b">
        <v>0</v>
      </c>
      <c r="AQ143" s="22" t="str">
        <f t="shared" si="11"/>
        <v/>
      </c>
      <c r="AR143" s="7">
        <f>IF(ISBLANK(AN143), 0, VLOOKUP(AN143, 'Price Sheet'!$A$2:$B1015, 2, false))</f>
        <v>0</v>
      </c>
      <c r="AS143" s="33" t="str">
        <f t="shared" si="12"/>
        <v/>
      </c>
      <c r="AT143" s="37"/>
      <c r="AU143" s="29"/>
      <c r="AV143" s="29" t="b">
        <v>0</v>
      </c>
      <c r="AW143" s="22" t="str">
        <f t="shared" si="13"/>
        <v/>
      </c>
      <c r="AX143" s="7">
        <f>IF(ISBLANK(AT143), 0, VLOOKUP(AT143, 'Price Sheet'!$A$2:$B1015, 2, false))</f>
        <v>0</v>
      </c>
      <c r="AY143" s="33" t="str">
        <f t="shared" si="14"/>
        <v/>
      </c>
      <c r="AZ143" s="37"/>
      <c r="BA143" s="29"/>
      <c r="BB143" s="29" t="b">
        <v>0</v>
      </c>
      <c r="BC143" s="22" t="str">
        <f t="shared" si="15"/>
        <v/>
      </c>
      <c r="BD143" s="7">
        <f>IF(ISBLANK(AZ143), 0, VLOOKUP(AZ143, 'Price Sheet'!$A$2:$B1015, 2, false))</f>
        <v>0</v>
      </c>
      <c r="BE143" s="33" t="str">
        <f t="shared" si="16"/>
        <v/>
      </c>
      <c r="BF143" s="37"/>
      <c r="BG143" s="29"/>
      <c r="BH143" s="29" t="b">
        <v>0</v>
      </c>
      <c r="BI143" s="22" t="str">
        <f t="shared" si="17"/>
        <v/>
      </c>
      <c r="BJ143" s="7">
        <f>IF(ISBLANK(BF143), 0, VLOOKUP(BF143, 'Price Sheet'!$A$2:$B1015, 2, false))</f>
        <v>0</v>
      </c>
      <c r="BK143" s="33" t="str">
        <f t="shared" si="18"/>
        <v/>
      </c>
      <c r="BL143" s="37"/>
      <c r="BM143" s="29"/>
      <c r="BN143" s="29" t="b">
        <v>0</v>
      </c>
      <c r="BO143" s="22" t="str">
        <f t="shared" si="19"/>
        <v/>
      </c>
      <c r="BP143" s="7">
        <f>IF(ISBLANK(BL143), 0, VLOOKUP(BL143, 'Price Sheet'!$A$2:$B1015, 2, false))</f>
        <v>0</v>
      </c>
      <c r="BQ143" s="33" t="str">
        <f t="shared" si="20"/>
        <v/>
      </c>
    </row>
    <row r="144">
      <c r="A144" s="7" t="s">
        <v>310</v>
      </c>
      <c r="B144" s="19">
        <f t="shared" si="1"/>
        <v>162</v>
      </c>
      <c r="C144" s="8" t="s">
        <v>167</v>
      </c>
      <c r="D144" s="8" t="s">
        <v>351</v>
      </c>
      <c r="E144" s="7" t="str">
        <f>IF(ISBLANK(D144), "", VLOOKUP(D144,'Crafting Tables'!$A$2:$B1015, 2, false))</f>
        <v>Advanced</v>
      </c>
      <c r="F144" s="7">
        <f>IFERROR(IF(E144 = "None", 1, VLOOKUP(C144,General!$A$5:$L$35, SWITCH(E144, "Basic", 8, "Advanced", 10, "Modern", 12), false)),"")</f>
        <v>1</v>
      </c>
      <c r="G144" s="8">
        <v>450.0</v>
      </c>
      <c r="H144" s="7">
        <f>IFERROR(VLOOKUP(C144, General!$A$5:$L$35, 6, false) * G144 / 1000, 0)</f>
        <v>18</v>
      </c>
      <c r="I144" s="8">
        <v>600.0</v>
      </c>
      <c r="J144" s="22">
        <f>IFERROR(I144*VLOOKUP(D144,'Crafting Tables'!$1:$1000, 4, false)*F144,"")</f>
        <v>0</v>
      </c>
      <c r="K144" s="8" t="b">
        <v>1</v>
      </c>
      <c r="L144" s="32" t="s">
        <v>310</v>
      </c>
      <c r="M144" s="8">
        <v>1.0</v>
      </c>
      <c r="N144" s="21">
        <f t="shared" si="2"/>
        <v>162</v>
      </c>
      <c r="P144" s="32" t="s">
        <v>199</v>
      </c>
      <c r="Q144" s="8">
        <v>24.0</v>
      </c>
      <c r="R144" s="29" t="b">
        <v>0</v>
      </c>
      <c r="S144" s="22">
        <f t="shared" si="3"/>
        <v>24</v>
      </c>
      <c r="T144" s="19">
        <f>IF(ISBLANK(P144), 0, VLOOKUP(P144, 'Price Sheet'!$A$2:$B1015, 2, false))</f>
        <v>4</v>
      </c>
      <c r="U144" s="33">
        <f t="shared" si="4"/>
        <v>96</v>
      </c>
      <c r="V144" s="32" t="s">
        <v>307</v>
      </c>
      <c r="W144" s="8">
        <v>12.0</v>
      </c>
      <c r="X144" s="29" t="b">
        <v>0</v>
      </c>
      <c r="Y144" s="22">
        <f t="shared" si="5"/>
        <v>12</v>
      </c>
      <c r="Z144" s="19">
        <f>IF(ISBLANK(V144), 0, VLOOKUP(V144, 'Price Sheet'!$A$2:$B1015, 2, false))</f>
        <v>4</v>
      </c>
      <c r="AA144" s="33">
        <f t="shared" si="6"/>
        <v>48</v>
      </c>
      <c r="AB144" s="37"/>
      <c r="AC144" s="29"/>
      <c r="AD144" s="29" t="b">
        <v>0</v>
      </c>
      <c r="AE144" s="22" t="str">
        <f t="shared" si="7"/>
        <v/>
      </c>
      <c r="AF144" s="7">
        <f>IF(ISBLANK(AB144), 0, VLOOKUP(AB144, 'Price Sheet'!$A$2:$B1015, 2, false))</f>
        <v>0</v>
      </c>
      <c r="AG144" s="33" t="str">
        <f t="shared" si="8"/>
        <v/>
      </c>
      <c r="AH144" s="37"/>
      <c r="AI144" s="29"/>
      <c r="AJ144" s="29" t="b">
        <v>0</v>
      </c>
      <c r="AK144" s="22" t="str">
        <f t="shared" si="9"/>
        <v/>
      </c>
      <c r="AL144" s="7">
        <f>IF(ISBLANK(AH144), 0, VLOOKUP(AH144, 'Price Sheet'!$A$2:$B1015, 2, false))</f>
        <v>0</v>
      </c>
      <c r="AM144" s="33" t="str">
        <f t="shared" si="10"/>
        <v/>
      </c>
      <c r="AN144" s="37"/>
      <c r="AO144" s="29"/>
      <c r="AP144" s="29" t="b">
        <v>0</v>
      </c>
      <c r="AQ144" s="22" t="str">
        <f t="shared" si="11"/>
        <v/>
      </c>
      <c r="AR144" s="7">
        <f>IF(ISBLANK(AN144), 0, VLOOKUP(AN144, 'Price Sheet'!$A$2:$B1015, 2, false))</f>
        <v>0</v>
      </c>
      <c r="AS144" s="33" t="str">
        <f t="shared" si="12"/>
        <v/>
      </c>
      <c r="AT144" s="37"/>
      <c r="AU144" s="29"/>
      <c r="AV144" s="29" t="b">
        <v>0</v>
      </c>
      <c r="AW144" s="22" t="str">
        <f t="shared" si="13"/>
        <v/>
      </c>
      <c r="AX144" s="7">
        <f>IF(ISBLANK(AT144), 0, VLOOKUP(AT144, 'Price Sheet'!$A$2:$B1015, 2, false))</f>
        <v>0</v>
      </c>
      <c r="AY144" s="33" t="str">
        <f t="shared" si="14"/>
        <v/>
      </c>
      <c r="AZ144" s="37"/>
      <c r="BA144" s="29"/>
      <c r="BB144" s="29" t="b">
        <v>0</v>
      </c>
      <c r="BC144" s="22" t="str">
        <f t="shared" si="15"/>
        <v/>
      </c>
      <c r="BD144" s="7">
        <f>IF(ISBLANK(AZ144), 0, VLOOKUP(AZ144, 'Price Sheet'!$A$2:$B1015, 2, false))</f>
        <v>0</v>
      </c>
      <c r="BE144" s="33" t="str">
        <f t="shared" si="16"/>
        <v/>
      </c>
      <c r="BF144" s="37"/>
      <c r="BG144" s="29"/>
      <c r="BH144" s="29" t="b">
        <v>0</v>
      </c>
      <c r="BI144" s="22" t="str">
        <f t="shared" si="17"/>
        <v/>
      </c>
      <c r="BJ144" s="7">
        <f>IF(ISBLANK(BF144), 0, VLOOKUP(BF144, 'Price Sheet'!$A$2:$B1015, 2, false))</f>
        <v>0</v>
      </c>
      <c r="BK144" s="33" t="str">
        <f t="shared" si="18"/>
        <v/>
      </c>
      <c r="BL144" s="37"/>
      <c r="BM144" s="29"/>
      <c r="BN144" s="29" t="b">
        <v>0</v>
      </c>
      <c r="BO144" s="22" t="str">
        <f t="shared" si="19"/>
        <v/>
      </c>
      <c r="BP144" s="7">
        <f>IF(ISBLANK(BL144), 0, VLOOKUP(BL144, 'Price Sheet'!$A$2:$B1015, 2, false))</f>
        <v>0</v>
      </c>
      <c r="BQ144" s="33" t="str">
        <f t="shared" si="20"/>
        <v/>
      </c>
    </row>
    <row r="145">
      <c r="A145" s="7" t="s">
        <v>311</v>
      </c>
      <c r="B145" s="19">
        <f t="shared" si="1"/>
        <v>7.4</v>
      </c>
      <c r="C145" s="8" t="s">
        <v>167</v>
      </c>
      <c r="D145" s="8" t="s">
        <v>358</v>
      </c>
      <c r="E145" s="7" t="str">
        <f>IF(ISBLANK(D145), "", VLOOKUP(D145,'Crafting Tables'!$A$2:$B1015, 2, false))</f>
        <v>Advanced</v>
      </c>
      <c r="F145" s="7">
        <f>IFERROR(IF(E145 = "None", 1, VLOOKUP(C145,General!$A$5:$L$35, SWITCH(E145, "Basic", 8, "Advanced", 10, "Modern", 12), false)),"")</f>
        <v>1</v>
      </c>
      <c r="G145" s="8">
        <v>60.0</v>
      </c>
      <c r="H145" s="7">
        <f>IFERROR(VLOOKUP(C145, General!$A$5:$L$35, 6, false) * G145 / 1000, 0)</f>
        <v>2.4</v>
      </c>
      <c r="I145" s="8">
        <v>120.0</v>
      </c>
      <c r="J145" s="22">
        <f>IFERROR(I145*VLOOKUP(D145,'Crafting Tables'!$1:$1000, 4, false)*F145,"")</f>
        <v>0</v>
      </c>
      <c r="K145" s="8" t="b">
        <v>1</v>
      </c>
      <c r="L145" s="32" t="s">
        <v>311</v>
      </c>
      <c r="M145" s="8">
        <v>1.0</v>
      </c>
      <c r="N145" s="21">
        <f t="shared" si="2"/>
        <v>7.4</v>
      </c>
      <c r="P145" s="32" t="s">
        <v>206</v>
      </c>
      <c r="Q145" s="8">
        <v>1.0</v>
      </c>
      <c r="R145" s="29" t="b">
        <v>0</v>
      </c>
      <c r="S145" s="22">
        <f t="shared" si="3"/>
        <v>1</v>
      </c>
      <c r="T145" s="19">
        <f>IF(ISBLANK(P145), 0, VLOOKUP(P145, 'Price Sheet'!$A$2:$B1015, 2, false))</f>
        <v>5</v>
      </c>
      <c r="U145" s="33">
        <f t="shared" si="4"/>
        <v>5</v>
      </c>
      <c r="V145" s="37"/>
      <c r="W145" s="29"/>
      <c r="X145" s="29" t="b">
        <v>0</v>
      </c>
      <c r="Y145" s="22" t="str">
        <f t="shared" si="5"/>
        <v/>
      </c>
      <c r="Z145" s="7">
        <f>IF(ISBLANK(V145), 0, VLOOKUP(V145, 'Price Sheet'!$A$2:$B1015, 2, false))</f>
        <v>0</v>
      </c>
      <c r="AA145" s="33" t="str">
        <f t="shared" si="6"/>
        <v/>
      </c>
      <c r="AB145" s="37"/>
      <c r="AC145" s="29"/>
      <c r="AD145" s="29" t="b">
        <v>0</v>
      </c>
      <c r="AE145" s="22" t="str">
        <f t="shared" si="7"/>
        <v/>
      </c>
      <c r="AF145" s="7">
        <f>IF(ISBLANK(AB145), 0, VLOOKUP(AB145, 'Price Sheet'!$A$2:$B1015, 2, false))</f>
        <v>0</v>
      </c>
      <c r="AG145" s="33" t="str">
        <f t="shared" si="8"/>
        <v/>
      </c>
      <c r="AH145" s="37"/>
      <c r="AI145" s="29"/>
      <c r="AJ145" s="29" t="b">
        <v>0</v>
      </c>
      <c r="AK145" s="22" t="str">
        <f t="shared" si="9"/>
        <v/>
      </c>
      <c r="AL145" s="7">
        <f>IF(ISBLANK(AH145), 0, VLOOKUP(AH145, 'Price Sheet'!$A$2:$B1015, 2, false))</f>
        <v>0</v>
      </c>
      <c r="AM145" s="33" t="str">
        <f t="shared" si="10"/>
        <v/>
      </c>
      <c r="AN145" s="37"/>
      <c r="AO145" s="29"/>
      <c r="AP145" s="29" t="b">
        <v>0</v>
      </c>
      <c r="AQ145" s="22" t="str">
        <f t="shared" si="11"/>
        <v/>
      </c>
      <c r="AR145" s="7">
        <f>IF(ISBLANK(AN145), 0, VLOOKUP(AN145, 'Price Sheet'!$A$2:$B1015, 2, false))</f>
        <v>0</v>
      </c>
      <c r="AS145" s="33" t="str">
        <f t="shared" si="12"/>
        <v/>
      </c>
      <c r="AT145" s="37"/>
      <c r="AU145" s="29"/>
      <c r="AV145" s="29" t="b">
        <v>0</v>
      </c>
      <c r="AW145" s="22" t="str">
        <f t="shared" si="13"/>
        <v/>
      </c>
      <c r="AX145" s="7">
        <f>IF(ISBLANK(AT145), 0, VLOOKUP(AT145, 'Price Sheet'!$A$2:$B1015, 2, false))</f>
        <v>0</v>
      </c>
      <c r="AY145" s="33" t="str">
        <f t="shared" si="14"/>
        <v/>
      </c>
      <c r="AZ145" s="37"/>
      <c r="BA145" s="29"/>
      <c r="BB145" s="29" t="b">
        <v>0</v>
      </c>
      <c r="BC145" s="22" t="str">
        <f t="shared" si="15"/>
        <v/>
      </c>
      <c r="BD145" s="7">
        <f>IF(ISBLANK(AZ145), 0, VLOOKUP(AZ145, 'Price Sheet'!$A$2:$B1015, 2, false))</f>
        <v>0</v>
      </c>
      <c r="BE145" s="33" t="str">
        <f t="shared" si="16"/>
        <v/>
      </c>
      <c r="BF145" s="37"/>
      <c r="BG145" s="29"/>
      <c r="BH145" s="29" t="b">
        <v>0</v>
      </c>
      <c r="BI145" s="22" t="str">
        <f t="shared" si="17"/>
        <v/>
      </c>
      <c r="BJ145" s="7">
        <f>IF(ISBLANK(BF145), 0, VLOOKUP(BF145, 'Price Sheet'!$A$2:$B1015, 2, false))</f>
        <v>0</v>
      </c>
      <c r="BK145" s="33" t="str">
        <f t="shared" si="18"/>
        <v/>
      </c>
      <c r="BL145" s="37"/>
      <c r="BM145" s="29"/>
      <c r="BN145" s="29" t="b">
        <v>0</v>
      </c>
      <c r="BO145" s="22" t="str">
        <f t="shared" si="19"/>
        <v/>
      </c>
      <c r="BP145" s="7">
        <f>IF(ISBLANK(BL145), 0, VLOOKUP(BL145, 'Price Sheet'!$A$2:$B1015, 2, false))</f>
        <v>0</v>
      </c>
      <c r="BQ145" s="33" t="str">
        <f t="shared" si="20"/>
        <v/>
      </c>
    </row>
    <row r="146">
      <c r="A146" s="7" t="s">
        <v>312</v>
      </c>
      <c r="B146" s="19">
        <f t="shared" si="1"/>
        <v>5</v>
      </c>
      <c r="C146" s="8" t="s">
        <v>167</v>
      </c>
      <c r="D146" s="8" t="s">
        <v>360</v>
      </c>
      <c r="E146" s="7" t="str">
        <f>IF(ISBLANK(D146), "", VLOOKUP(D146,'Crafting Tables'!$A$2:$B1015, 2, false))</f>
        <v>Advanced</v>
      </c>
      <c r="F146" s="7">
        <f>IFERROR(IF(E146 = "None", 1, VLOOKUP(C146,General!$A$5:$L$35, SWITCH(E146, "Basic", 8, "Advanced", 10, "Modern", 12), false)),"")</f>
        <v>1</v>
      </c>
      <c r="G146" s="8">
        <v>25.0</v>
      </c>
      <c r="H146" s="7">
        <f>IFERROR(VLOOKUP(C146, General!$A$5:$L$35, 6, false) * G146 / 1000, 0)</f>
        <v>1</v>
      </c>
      <c r="I146" s="8">
        <v>120.0</v>
      </c>
      <c r="J146" s="22">
        <f>IFERROR(I146*VLOOKUP(D146,'Crafting Tables'!$1:$1000, 4, false)*F146,"")</f>
        <v>0</v>
      </c>
      <c r="K146" s="8" t="b">
        <v>1</v>
      </c>
      <c r="L146" s="32" t="s">
        <v>312</v>
      </c>
      <c r="M146" s="8">
        <v>4.0</v>
      </c>
      <c r="N146" s="21">
        <f t="shared" si="2"/>
        <v>1.25</v>
      </c>
      <c r="P146" s="32" t="s">
        <v>199</v>
      </c>
      <c r="Q146" s="8">
        <v>1.0</v>
      </c>
      <c r="R146" s="29" t="b">
        <v>0</v>
      </c>
      <c r="S146" s="22">
        <f t="shared" si="3"/>
        <v>1</v>
      </c>
      <c r="T146" s="19">
        <f>IF(ISBLANK(P146), 0, VLOOKUP(P146, 'Price Sheet'!$A$2:$B1015, 2, false))</f>
        <v>4</v>
      </c>
      <c r="U146" s="33">
        <f t="shared" si="4"/>
        <v>4</v>
      </c>
      <c r="V146" s="37"/>
      <c r="W146" s="29"/>
      <c r="X146" s="29" t="b">
        <v>0</v>
      </c>
      <c r="Y146" s="22" t="str">
        <f t="shared" si="5"/>
        <v/>
      </c>
      <c r="Z146" s="7">
        <f>IF(ISBLANK(V146), 0, VLOOKUP(V146, 'Price Sheet'!$A$2:$B1015, 2, false))</f>
        <v>0</v>
      </c>
      <c r="AA146" s="33" t="str">
        <f t="shared" si="6"/>
        <v/>
      </c>
      <c r="AB146" s="37"/>
      <c r="AC146" s="29"/>
      <c r="AD146" s="29" t="b">
        <v>0</v>
      </c>
      <c r="AE146" s="22" t="str">
        <f t="shared" si="7"/>
        <v/>
      </c>
      <c r="AF146" s="7">
        <f>IF(ISBLANK(AB146), 0, VLOOKUP(AB146, 'Price Sheet'!$A$2:$B1015, 2, false))</f>
        <v>0</v>
      </c>
      <c r="AG146" s="33" t="str">
        <f t="shared" si="8"/>
        <v/>
      </c>
      <c r="AH146" s="37"/>
      <c r="AI146" s="29"/>
      <c r="AJ146" s="29" t="b">
        <v>0</v>
      </c>
      <c r="AK146" s="22" t="str">
        <f t="shared" si="9"/>
        <v/>
      </c>
      <c r="AL146" s="7">
        <f>IF(ISBLANK(AH146), 0, VLOOKUP(AH146, 'Price Sheet'!$A$2:$B1015, 2, false))</f>
        <v>0</v>
      </c>
      <c r="AM146" s="33" t="str">
        <f t="shared" si="10"/>
        <v/>
      </c>
      <c r="AN146" s="37"/>
      <c r="AO146" s="29"/>
      <c r="AP146" s="29" t="b">
        <v>0</v>
      </c>
      <c r="AQ146" s="22" t="str">
        <f t="shared" si="11"/>
        <v/>
      </c>
      <c r="AR146" s="7">
        <f>IF(ISBLANK(AN146), 0, VLOOKUP(AN146, 'Price Sheet'!$A$2:$B1015, 2, false))</f>
        <v>0</v>
      </c>
      <c r="AS146" s="33" t="str">
        <f t="shared" si="12"/>
        <v/>
      </c>
      <c r="AT146" s="37"/>
      <c r="AU146" s="29"/>
      <c r="AV146" s="29" t="b">
        <v>0</v>
      </c>
      <c r="AW146" s="22" t="str">
        <f t="shared" si="13"/>
        <v/>
      </c>
      <c r="AX146" s="7">
        <f>IF(ISBLANK(AT146), 0, VLOOKUP(AT146, 'Price Sheet'!$A$2:$B1015, 2, false))</f>
        <v>0</v>
      </c>
      <c r="AY146" s="33" t="str">
        <f t="shared" si="14"/>
        <v/>
      </c>
      <c r="AZ146" s="37"/>
      <c r="BA146" s="29"/>
      <c r="BB146" s="29" t="b">
        <v>0</v>
      </c>
      <c r="BC146" s="22" t="str">
        <f t="shared" si="15"/>
        <v/>
      </c>
      <c r="BD146" s="7">
        <f>IF(ISBLANK(AZ146), 0, VLOOKUP(AZ146, 'Price Sheet'!$A$2:$B1015, 2, false))</f>
        <v>0</v>
      </c>
      <c r="BE146" s="33" t="str">
        <f t="shared" si="16"/>
        <v/>
      </c>
      <c r="BF146" s="37"/>
      <c r="BG146" s="29"/>
      <c r="BH146" s="29" t="b">
        <v>0</v>
      </c>
      <c r="BI146" s="22" t="str">
        <f t="shared" si="17"/>
        <v/>
      </c>
      <c r="BJ146" s="7">
        <f>IF(ISBLANK(BF146), 0, VLOOKUP(BF146, 'Price Sheet'!$A$2:$B1015, 2, false))</f>
        <v>0</v>
      </c>
      <c r="BK146" s="33" t="str">
        <f t="shared" si="18"/>
        <v/>
      </c>
      <c r="BL146" s="37"/>
      <c r="BM146" s="29"/>
      <c r="BN146" s="29" t="b">
        <v>0</v>
      </c>
      <c r="BO146" s="22" t="str">
        <f t="shared" si="19"/>
        <v/>
      </c>
      <c r="BP146" s="7">
        <f>IF(ISBLANK(BL146), 0, VLOOKUP(BL146, 'Price Sheet'!$A$2:$B1015, 2, false))</f>
        <v>0</v>
      </c>
      <c r="BQ146" s="33" t="str">
        <f t="shared" si="20"/>
        <v/>
      </c>
    </row>
    <row r="147">
      <c r="A147" s="7" t="s">
        <v>314</v>
      </c>
      <c r="B147" s="19">
        <f t="shared" si="1"/>
        <v>145.3</v>
      </c>
      <c r="C147" s="8" t="s">
        <v>167</v>
      </c>
      <c r="D147" s="8" t="s">
        <v>351</v>
      </c>
      <c r="E147" s="7" t="str">
        <f>IF(ISBLANK(D147), "", VLOOKUP(D147,'Crafting Tables'!$A$2:$B1015, 2, false))</f>
        <v>Advanced</v>
      </c>
      <c r="F147" s="7">
        <f>IFERROR(IF(E147 = "None", 1, VLOOKUP(C147,General!$A$5:$L$35, SWITCH(E147, "Basic", 8, "Advanced", 10, "Modern", 12), false)),"")</f>
        <v>1</v>
      </c>
      <c r="G147" s="8">
        <v>180.0</v>
      </c>
      <c r="H147" s="7">
        <f>IFERROR(VLOOKUP(C147, General!$A$5:$L$35, 6, false) * G147 / 1000, 0)</f>
        <v>7.2</v>
      </c>
      <c r="I147" s="8">
        <v>120.0</v>
      </c>
      <c r="J147" s="22">
        <f>IFERROR(I147*VLOOKUP(D147,'Crafting Tables'!$1:$1000, 4, false)*F147,"")</f>
        <v>0</v>
      </c>
      <c r="K147" s="8" t="b">
        <v>1</v>
      </c>
      <c r="L147" s="32" t="s">
        <v>314</v>
      </c>
      <c r="M147" s="8">
        <v>1.0</v>
      </c>
      <c r="N147" s="21">
        <f t="shared" si="2"/>
        <v>145.3</v>
      </c>
      <c r="P147" s="32" t="s">
        <v>305</v>
      </c>
      <c r="Q147" s="8">
        <v>15.0</v>
      </c>
      <c r="R147" s="29" t="b">
        <v>0</v>
      </c>
      <c r="S147" s="22">
        <f t="shared" si="3"/>
        <v>15</v>
      </c>
      <c r="T147" s="19">
        <f>IF(ISBLANK(P147), 0, VLOOKUP(P147, 'Price Sheet'!$A$2:$B1015, 2, false))</f>
        <v>6.4</v>
      </c>
      <c r="U147" s="33">
        <f t="shared" si="4"/>
        <v>96</v>
      </c>
      <c r="V147" s="32" t="s">
        <v>312</v>
      </c>
      <c r="W147" s="8">
        <v>10.0</v>
      </c>
      <c r="X147" s="29" t="b">
        <v>0</v>
      </c>
      <c r="Y147" s="22">
        <f t="shared" si="5"/>
        <v>10</v>
      </c>
      <c r="Z147" s="19">
        <f>IF(ISBLANK(V147), 0, VLOOKUP(V147, 'Price Sheet'!$A$2:$B1015, 2, false))</f>
        <v>1.25</v>
      </c>
      <c r="AA147" s="33">
        <f t="shared" si="6"/>
        <v>12.5</v>
      </c>
      <c r="AB147" s="32" t="s">
        <v>311</v>
      </c>
      <c r="AC147" s="8">
        <v>4.0</v>
      </c>
      <c r="AD147" s="29" t="b">
        <v>0</v>
      </c>
      <c r="AE147" s="22">
        <f t="shared" si="7"/>
        <v>4</v>
      </c>
      <c r="AF147" s="19">
        <f>IF(ISBLANK(AB147), 0, VLOOKUP(AB147, 'Price Sheet'!$A$2:$B1015, 2, false))</f>
        <v>7.4</v>
      </c>
      <c r="AG147" s="33">
        <f t="shared" si="8"/>
        <v>29.6</v>
      </c>
      <c r="AH147" s="37"/>
      <c r="AI147" s="29"/>
      <c r="AJ147" s="29" t="b">
        <v>0</v>
      </c>
      <c r="AK147" s="22" t="str">
        <f t="shared" si="9"/>
        <v/>
      </c>
      <c r="AL147" s="7">
        <f>IF(ISBLANK(AH147), 0, VLOOKUP(AH147, 'Price Sheet'!$A$2:$B1015, 2, false))</f>
        <v>0</v>
      </c>
      <c r="AM147" s="33" t="str">
        <f t="shared" si="10"/>
        <v/>
      </c>
      <c r="AN147" s="37"/>
      <c r="AO147" s="29"/>
      <c r="AP147" s="29" t="b">
        <v>0</v>
      </c>
      <c r="AQ147" s="22" t="str">
        <f t="shared" si="11"/>
        <v/>
      </c>
      <c r="AR147" s="7">
        <f>IF(ISBLANK(AN147), 0, VLOOKUP(AN147, 'Price Sheet'!$A$2:$B1015, 2, false))</f>
        <v>0</v>
      </c>
      <c r="AS147" s="33" t="str">
        <f t="shared" si="12"/>
        <v/>
      </c>
      <c r="AT147" s="37"/>
      <c r="AU147" s="29"/>
      <c r="AV147" s="29" t="b">
        <v>0</v>
      </c>
      <c r="AW147" s="22" t="str">
        <f t="shared" si="13"/>
        <v/>
      </c>
      <c r="AX147" s="7">
        <f>IF(ISBLANK(AT147), 0, VLOOKUP(AT147, 'Price Sheet'!$A$2:$B1015, 2, false))</f>
        <v>0</v>
      </c>
      <c r="AY147" s="33" t="str">
        <f t="shared" si="14"/>
        <v/>
      </c>
      <c r="AZ147" s="37"/>
      <c r="BA147" s="29"/>
      <c r="BB147" s="29" t="b">
        <v>0</v>
      </c>
      <c r="BC147" s="22" t="str">
        <f t="shared" si="15"/>
        <v/>
      </c>
      <c r="BD147" s="7">
        <f>IF(ISBLANK(AZ147), 0, VLOOKUP(AZ147, 'Price Sheet'!$A$2:$B1015, 2, false))</f>
        <v>0</v>
      </c>
      <c r="BE147" s="33" t="str">
        <f t="shared" si="16"/>
        <v/>
      </c>
      <c r="BF147" s="37"/>
      <c r="BG147" s="29"/>
      <c r="BH147" s="29" t="b">
        <v>0</v>
      </c>
      <c r="BI147" s="22" t="str">
        <f t="shared" si="17"/>
        <v/>
      </c>
      <c r="BJ147" s="7">
        <f>IF(ISBLANK(BF147), 0, VLOOKUP(BF147, 'Price Sheet'!$A$2:$B1015, 2, false))</f>
        <v>0</v>
      </c>
      <c r="BK147" s="33" t="str">
        <f t="shared" si="18"/>
        <v/>
      </c>
      <c r="BL147" s="37"/>
      <c r="BM147" s="29"/>
      <c r="BN147" s="29" t="b">
        <v>0</v>
      </c>
      <c r="BO147" s="22" t="str">
        <f t="shared" si="19"/>
        <v/>
      </c>
      <c r="BP147" s="7">
        <f>IF(ISBLANK(BL147), 0, VLOOKUP(BL147, 'Price Sheet'!$A$2:$B1015, 2, false))</f>
        <v>0</v>
      </c>
      <c r="BQ147" s="33" t="str">
        <f t="shared" si="20"/>
        <v/>
      </c>
    </row>
    <row r="148">
      <c r="A148" s="7" t="s">
        <v>315</v>
      </c>
      <c r="B148" s="19">
        <f t="shared" si="1"/>
        <v>104.6</v>
      </c>
      <c r="C148" s="8" t="s">
        <v>167</v>
      </c>
      <c r="D148" s="8" t="s">
        <v>351</v>
      </c>
      <c r="E148" s="7" t="str">
        <f>IF(ISBLANK(D148), "", VLOOKUP(D148,'Crafting Tables'!$A$2:$B1015, 2, false))</f>
        <v>Advanced</v>
      </c>
      <c r="F148" s="7">
        <f>IFERROR(IF(E148 = "None", 1, VLOOKUP(C148,General!$A$5:$L$35, SWITCH(E148, "Basic", 8, "Advanced", 10, "Modern", 12), false)),"")</f>
        <v>1</v>
      </c>
      <c r="G148" s="8">
        <v>120.0</v>
      </c>
      <c r="H148" s="7">
        <f>IFERROR(VLOOKUP(C148, General!$A$5:$L$35, 6, false) * G148 / 1000, 0)</f>
        <v>4.8</v>
      </c>
      <c r="I148" s="8">
        <v>300.0</v>
      </c>
      <c r="J148" s="22">
        <f>IFERROR(I148*VLOOKUP(D148,'Crafting Tables'!$1:$1000, 4, false)*F148,"")</f>
        <v>0</v>
      </c>
      <c r="K148" s="8" t="b">
        <v>1</v>
      </c>
      <c r="L148" s="32" t="s">
        <v>315</v>
      </c>
      <c r="M148" s="8">
        <v>1.0</v>
      </c>
      <c r="N148" s="21">
        <f t="shared" si="2"/>
        <v>104.6</v>
      </c>
      <c r="P148" s="32" t="s">
        <v>199</v>
      </c>
      <c r="Q148" s="8">
        <v>5.0</v>
      </c>
      <c r="R148" s="29" t="b">
        <v>0</v>
      </c>
      <c r="S148" s="22">
        <f t="shared" si="3"/>
        <v>5</v>
      </c>
      <c r="T148" s="19">
        <f>IF(ISBLANK(P148), 0, VLOOKUP(P148, 'Price Sheet'!$A$2:$B1015, 2, false))</f>
        <v>4</v>
      </c>
      <c r="U148" s="33">
        <f t="shared" si="4"/>
        <v>20</v>
      </c>
      <c r="V148" s="32" t="s">
        <v>312</v>
      </c>
      <c r="W148" s="8">
        <v>14.0</v>
      </c>
      <c r="X148" s="29" t="b">
        <v>0</v>
      </c>
      <c r="Y148" s="22">
        <f t="shared" si="5"/>
        <v>14</v>
      </c>
      <c r="Z148" s="19">
        <f>IF(ISBLANK(V148), 0, VLOOKUP(V148, 'Price Sheet'!$A$2:$B1015, 2, false))</f>
        <v>1.25</v>
      </c>
      <c r="AA148" s="33">
        <f t="shared" si="6"/>
        <v>17.5</v>
      </c>
      <c r="AB148" s="32" t="s">
        <v>303</v>
      </c>
      <c r="AC148" s="8">
        <v>8.0</v>
      </c>
      <c r="AD148" s="29" t="b">
        <v>0</v>
      </c>
      <c r="AE148" s="22">
        <f t="shared" si="7"/>
        <v>8</v>
      </c>
      <c r="AF148" s="19">
        <f>IF(ISBLANK(AB148), 0, VLOOKUP(AB148, 'Price Sheet'!$A$2:$B1015, 2, false))</f>
        <v>7</v>
      </c>
      <c r="AG148" s="33">
        <f t="shared" si="8"/>
        <v>56</v>
      </c>
      <c r="AH148" s="32" t="s">
        <v>83</v>
      </c>
      <c r="AI148" s="8">
        <v>14.0</v>
      </c>
      <c r="AJ148" s="29" t="b">
        <v>0</v>
      </c>
      <c r="AK148" s="22">
        <f t="shared" si="9"/>
        <v>14</v>
      </c>
      <c r="AL148" s="19">
        <f>IF(ISBLANK(AH148), 0, VLOOKUP(AH148, 'Price Sheet'!$A$2:$B1015, 2, false))</f>
        <v>0.45</v>
      </c>
      <c r="AM148" s="33">
        <f t="shared" si="10"/>
        <v>6.3</v>
      </c>
      <c r="AN148" s="37"/>
      <c r="AO148" s="29"/>
      <c r="AP148" s="29" t="b">
        <v>0</v>
      </c>
      <c r="AQ148" s="22" t="str">
        <f t="shared" si="11"/>
        <v/>
      </c>
      <c r="AR148" s="7">
        <f>IF(ISBLANK(AN148), 0, VLOOKUP(AN148, 'Price Sheet'!$A$2:$B1015, 2, false))</f>
        <v>0</v>
      </c>
      <c r="AS148" s="33" t="str">
        <f t="shared" si="12"/>
        <v/>
      </c>
      <c r="AT148" s="37"/>
      <c r="AU148" s="29"/>
      <c r="AV148" s="29" t="b">
        <v>0</v>
      </c>
      <c r="AW148" s="22" t="str">
        <f t="shared" si="13"/>
        <v/>
      </c>
      <c r="AX148" s="7">
        <f>IF(ISBLANK(AT148), 0, VLOOKUP(AT148, 'Price Sheet'!$A$2:$B1015, 2, false))</f>
        <v>0</v>
      </c>
      <c r="AY148" s="33" t="str">
        <f t="shared" si="14"/>
        <v/>
      </c>
      <c r="AZ148" s="37"/>
      <c r="BA148" s="29"/>
      <c r="BB148" s="29" t="b">
        <v>0</v>
      </c>
      <c r="BC148" s="22" t="str">
        <f t="shared" si="15"/>
        <v/>
      </c>
      <c r="BD148" s="7">
        <f>IF(ISBLANK(AZ148), 0, VLOOKUP(AZ148, 'Price Sheet'!$A$2:$B1015, 2, false))</f>
        <v>0</v>
      </c>
      <c r="BE148" s="33" t="str">
        <f t="shared" si="16"/>
        <v/>
      </c>
      <c r="BF148" s="37"/>
      <c r="BG148" s="29"/>
      <c r="BH148" s="29" t="b">
        <v>0</v>
      </c>
      <c r="BI148" s="22" t="str">
        <f t="shared" si="17"/>
        <v/>
      </c>
      <c r="BJ148" s="7">
        <f>IF(ISBLANK(BF148), 0, VLOOKUP(BF148, 'Price Sheet'!$A$2:$B1015, 2, false))</f>
        <v>0</v>
      </c>
      <c r="BK148" s="33" t="str">
        <f t="shared" si="18"/>
        <v/>
      </c>
      <c r="BL148" s="37"/>
      <c r="BM148" s="29"/>
      <c r="BN148" s="29" t="b">
        <v>0</v>
      </c>
      <c r="BO148" s="22" t="str">
        <f t="shared" si="19"/>
        <v/>
      </c>
      <c r="BP148" s="7">
        <f>IF(ISBLANK(BL148), 0, VLOOKUP(BL148, 'Price Sheet'!$A$2:$B1015, 2, false))</f>
        <v>0</v>
      </c>
      <c r="BQ148" s="33" t="str">
        <f t="shared" si="20"/>
        <v/>
      </c>
    </row>
    <row r="149">
      <c r="A149" s="7" t="s">
        <v>317</v>
      </c>
      <c r="B149" s="19">
        <f t="shared" si="1"/>
        <v>260.75</v>
      </c>
      <c r="C149" s="8" t="s">
        <v>167</v>
      </c>
      <c r="D149" s="8" t="s">
        <v>351</v>
      </c>
      <c r="E149" s="7" t="str">
        <f>IF(ISBLANK(D149), "", VLOOKUP(D149,'Crafting Tables'!$A$2:$B1015, 2, false))</f>
        <v>Advanced</v>
      </c>
      <c r="F149" s="7">
        <f>IFERROR(IF(E149 = "None", 1, VLOOKUP(C149,General!$A$5:$L$35, SWITCH(E149, "Basic", 8, "Advanced", 10, "Modern", 12), false)),"")</f>
        <v>1</v>
      </c>
      <c r="G149" s="8">
        <v>300.0</v>
      </c>
      <c r="H149" s="7">
        <f>IFERROR(VLOOKUP(C149, General!$A$5:$L$35, 6, false) * G149 / 1000, 0)</f>
        <v>12</v>
      </c>
      <c r="I149" s="8">
        <v>300.0</v>
      </c>
      <c r="J149" s="22">
        <f>IFERROR(I149*VLOOKUP(D149,'Crafting Tables'!$1:$1000, 4, false)*F149,"")</f>
        <v>0</v>
      </c>
      <c r="K149" s="8" t="b">
        <v>1</v>
      </c>
      <c r="L149" s="32" t="s">
        <v>317</v>
      </c>
      <c r="M149" s="8">
        <v>1.0</v>
      </c>
      <c r="N149" s="21">
        <f t="shared" si="2"/>
        <v>260.75</v>
      </c>
      <c r="P149" s="32" t="s">
        <v>199</v>
      </c>
      <c r="Q149" s="8">
        <v>40.0</v>
      </c>
      <c r="R149" s="29" t="b">
        <v>0</v>
      </c>
      <c r="S149" s="22">
        <f t="shared" si="3"/>
        <v>40</v>
      </c>
      <c r="T149" s="19">
        <f>IF(ISBLANK(P149), 0, VLOOKUP(P149, 'Price Sheet'!$A$2:$B1015, 2, false))</f>
        <v>4</v>
      </c>
      <c r="U149" s="33">
        <f t="shared" si="4"/>
        <v>160</v>
      </c>
      <c r="V149" s="32" t="s">
        <v>312</v>
      </c>
      <c r="W149" s="8">
        <v>15.0</v>
      </c>
      <c r="X149" s="29" t="b">
        <v>0</v>
      </c>
      <c r="Y149" s="22">
        <f t="shared" si="5"/>
        <v>15</v>
      </c>
      <c r="Z149" s="19">
        <f>IF(ISBLANK(V149), 0, VLOOKUP(V149, 'Price Sheet'!$A$2:$B1015, 2, false))</f>
        <v>1.25</v>
      </c>
      <c r="AA149" s="33">
        <f t="shared" si="6"/>
        <v>18.75</v>
      </c>
      <c r="AB149" s="32" t="s">
        <v>303</v>
      </c>
      <c r="AC149" s="8">
        <v>10.0</v>
      </c>
      <c r="AD149" s="29" t="b">
        <v>0</v>
      </c>
      <c r="AE149" s="22">
        <f t="shared" si="7"/>
        <v>10</v>
      </c>
      <c r="AF149" s="19">
        <f>IF(ISBLANK(AB149), 0, VLOOKUP(AB149, 'Price Sheet'!$A$2:$B1015, 2, false))</f>
        <v>7</v>
      </c>
      <c r="AG149" s="33">
        <f t="shared" si="8"/>
        <v>70</v>
      </c>
      <c r="AH149" s="37"/>
      <c r="AI149" s="29"/>
      <c r="AJ149" s="29" t="b">
        <v>0</v>
      </c>
      <c r="AK149" s="22" t="str">
        <f t="shared" si="9"/>
        <v/>
      </c>
      <c r="AL149" s="7">
        <f>IF(ISBLANK(AH149), 0, VLOOKUP(AH149, 'Price Sheet'!$A$2:$B1015, 2, false))</f>
        <v>0</v>
      </c>
      <c r="AM149" s="33" t="str">
        <f t="shared" si="10"/>
        <v/>
      </c>
      <c r="AN149" s="37"/>
      <c r="AO149" s="29"/>
      <c r="AP149" s="29" t="b">
        <v>0</v>
      </c>
      <c r="AQ149" s="22" t="str">
        <f t="shared" si="11"/>
        <v/>
      </c>
      <c r="AR149" s="7">
        <f>IF(ISBLANK(AN149), 0, VLOOKUP(AN149, 'Price Sheet'!$A$2:$B1015, 2, false))</f>
        <v>0</v>
      </c>
      <c r="AS149" s="33" t="str">
        <f t="shared" si="12"/>
        <v/>
      </c>
      <c r="AT149" s="37"/>
      <c r="AU149" s="29"/>
      <c r="AV149" s="29" t="b">
        <v>0</v>
      </c>
      <c r="AW149" s="22" t="str">
        <f t="shared" si="13"/>
        <v/>
      </c>
      <c r="AX149" s="7">
        <f>IF(ISBLANK(AT149), 0, VLOOKUP(AT149, 'Price Sheet'!$A$2:$B1015, 2, false))</f>
        <v>0</v>
      </c>
      <c r="AY149" s="33" t="str">
        <f t="shared" si="14"/>
        <v/>
      </c>
      <c r="AZ149" s="37"/>
      <c r="BA149" s="29"/>
      <c r="BB149" s="29" t="b">
        <v>0</v>
      </c>
      <c r="BC149" s="22" t="str">
        <f t="shared" si="15"/>
        <v/>
      </c>
      <c r="BD149" s="7">
        <f>IF(ISBLANK(AZ149), 0, VLOOKUP(AZ149, 'Price Sheet'!$A$2:$B1015, 2, false))</f>
        <v>0</v>
      </c>
      <c r="BE149" s="33" t="str">
        <f t="shared" si="16"/>
        <v/>
      </c>
      <c r="BF149" s="37"/>
      <c r="BG149" s="29"/>
      <c r="BH149" s="29" t="b">
        <v>0</v>
      </c>
      <c r="BI149" s="22" t="str">
        <f t="shared" si="17"/>
        <v/>
      </c>
      <c r="BJ149" s="7">
        <f>IF(ISBLANK(BF149), 0, VLOOKUP(BF149, 'Price Sheet'!$A$2:$B1015, 2, false))</f>
        <v>0</v>
      </c>
      <c r="BK149" s="33" t="str">
        <f t="shared" si="18"/>
        <v/>
      </c>
      <c r="BL149" s="37"/>
      <c r="BM149" s="29"/>
      <c r="BN149" s="29" t="b">
        <v>0</v>
      </c>
      <c r="BO149" s="22" t="str">
        <f t="shared" si="19"/>
        <v/>
      </c>
      <c r="BP149" s="7">
        <f>IF(ISBLANK(BL149), 0, VLOOKUP(BL149, 'Price Sheet'!$A$2:$B1015, 2, false))</f>
        <v>0</v>
      </c>
      <c r="BQ149" s="33" t="str">
        <f t="shared" si="20"/>
        <v/>
      </c>
    </row>
    <row r="150">
      <c r="A150" s="7" t="s">
        <v>318</v>
      </c>
      <c r="B150" s="19">
        <f t="shared" si="1"/>
        <v>356.6774</v>
      </c>
      <c r="C150" s="8" t="s">
        <v>167</v>
      </c>
      <c r="D150" s="8" t="s">
        <v>302</v>
      </c>
      <c r="E150" s="7" t="str">
        <f>IF(ISBLANK(D150), "", VLOOKUP(D150,'Crafting Tables'!$A$2:$B1015, 2, false))</f>
        <v>None</v>
      </c>
      <c r="F150" s="7">
        <f>IFERROR(IF(E150 = "None", 1, VLOOKUP(C150,General!$A$5:$L$35, SWITCH(E150, "Basic", 8, "Advanced", 10, "Modern", 12), false)),"")</f>
        <v>1</v>
      </c>
      <c r="G150" s="8">
        <v>600.0</v>
      </c>
      <c r="H150" s="7">
        <f>IFERROR(VLOOKUP(C150, General!$A$5:$L$35, 6, false) * G150 / 1000, 0)</f>
        <v>24</v>
      </c>
      <c r="I150" s="8">
        <v>60.0</v>
      </c>
      <c r="J150" s="22">
        <f>IFERROR(I150*VLOOKUP(D150,'Crafting Tables'!$1:$1000, 4, false)*F150,"")</f>
        <v>0</v>
      </c>
      <c r="K150" s="8" t="b">
        <v>1</v>
      </c>
      <c r="L150" s="32" t="s">
        <v>318</v>
      </c>
      <c r="M150" s="8">
        <v>1.0</v>
      </c>
      <c r="N150" s="21">
        <f t="shared" si="2"/>
        <v>356.6774</v>
      </c>
      <c r="P150" s="32" t="s">
        <v>319</v>
      </c>
      <c r="Q150" s="8">
        <v>8.0</v>
      </c>
      <c r="R150" s="29" t="b">
        <v>0</v>
      </c>
      <c r="S150" s="22">
        <f t="shared" si="3"/>
        <v>8</v>
      </c>
      <c r="T150" s="19">
        <f>IF(ISBLANK(P150), 0, VLOOKUP(P150, 'Price Sheet'!$A$2:$B1015, 2, false))</f>
        <v>11</v>
      </c>
      <c r="U150" s="33">
        <f t="shared" si="4"/>
        <v>88</v>
      </c>
      <c r="V150" s="32" t="s">
        <v>305</v>
      </c>
      <c r="W150" s="8">
        <v>8.0</v>
      </c>
      <c r="X150" s="29" t="b">
        <v>0</v>
      </c>
      <c r="Y150" s="22">
        <f t="shared" si="5"/>
        <v>8</v>
      </c>
      <c r="Z150" s="19">
        <f>IF(ISBLANK(V150), 0, VLOOKUP(V150, 'Price Sheet'!$A$2:$B1015, 2, false))</f>
        <v>6.4</v>
      </c>
      <c r="AA150" s="33">
        <f t="shared" si="6"/>
        <v>51.2</v>
      </c>
      <c r="AB150" s="32" t="s">
        <v>303</v>
      </c>
      <c r="AC150" s="8">
        <v>20.0</v>
      </c>
      <c r="AD150" s="29" t="b">
        <v>0</v>
      </c>
      <c r="AE150" s="22">
        <f t="shared" si="7"/>
        <v>20</v>
      </c>
      <c r="AF150" s="19">
        <f>IF(ISBLANK(AB150), 0, VLOOKUP(AB150, 'Price Sheet'!$A$2:$B1015, 2, false))</f>
        <v>7</v>
      </c>
      <c r="AG150" s="33">
        <f t="shared" si="8"/>
        <v>140</v>
      </c>
      <c r="AH150" s="32" t="s">
        <v>226</v>
      </c>
      <c r="AI150" s="8">
        <v>4.0</v>
      </c>
      <c r="AJ150" s="29" t="b">
        <v>0</v>
      </c>
      <c r="AK150" s="22">
        <f t="shared" si="9"/>
        <v>4</v>
      </c>
      <c r="AL150" s="19">
        <f>IF(ISBLANK(AH150), 0, VLOOKUP(AH150, 'Price Sheet'!$A$2:$B1015, 2, false))</f>
        <v>1.36935</v>
      </c>
      <c r="AM150" s="33">
        <f t="shared" si="10"/>
        <v>5.4774</v>
      </c>
      <c r="AN150" s="32" t="s">
        <v>286</v>
      </c>
      <c r="AO150" s="8">
        <v>20.0</v>
      </c>
      <c r="AP150" s="29" t="b">
        <v>0</v>
      </c>
      <c r="AQ150" s="22">
        <f t="shared" si="11"/>
        <v>20</v>
      </c>
      <c r="AR150" s="19">
        <f>IF(ISBLANK(AN150), 0, VLOOKUP(AN150, 'Price Sheet'!$A$2:$B1015, 2, false))</f>
        <v>2.4</v>
      </c>
      <c r="AS150" s="33">
        <f t="shared" si="12"/>
        <v>48</v>
      </c>
      <c r="AT150" s="37"/>
      <c r="AU150" s="29"/>
      <c r="AV150" s="29" t="b">
        <v>0</v>
      </c>
      <c r="AW150" s="22" t="str">
        <f t="shared" si="13"/>
        <v/>
      </c>
      <c r="AX150" s="7">
        <f>IF(ISBLANK(AT150), 0, VLOOKUP(AT150, 'Price Sheet'!$A$2:$B1015, 2, false))</f>
        <v>0</v>
      </c>
      <c r="AY150" s="33" t="str">
        <f t="shared" si="14"/>
        <v/>
      </c>
      <c r="AZ150" s="37"/>
      <c r="BA150" s="29"/>
      <c r="BB150" s="29" t="b">
        <v>0</v>
      </c>
      <c r="BC150" s="22" t="str">
        <f t="shared" si="15"/>
        <v/>
      </c>
      <c r="BD150" s="7">
        <f>IF(ISBLANK(AZ150), 0, VLOOKUP(AZ150, 'Price Sheet'!$A$2:$B1015, 2, false))</f>
        <v>0</v>
      </c>
      <c r="BE150" s="33" t="str">
        <f t="shared" si="16"/>
        <v/>
      </c>
      <c r="BF150" s="37"/>
      <c r="BG150" s="29"/>
      <c r="BH150" s="29" t="b">
        <v>0</v>
      </c>
      <c r="BI150" s="22" t="str">
        <f t="shared" si="17"/>
        <v/>
      </c>
      <c r="BJ150" s="7">
        <f>IF(ISBLANK(BF150), 0, VLOOKUP(BF150, 'Price Sheet'!$A$2:$B1015, 2, false))</f>
        <v>0</v>
      </c>
      <c r="BK150" s="33" t="str">
        <f t="shared" si="18"/>
        <v/>
      </c>
      <c r="BL150" s="37"/>
      <c r="BM150" s="29"/>
      <c r="BN150" s="29" t="b">
        <v>0</v>
      </c>
      <c r="BO150" s="22" t="str">
        <f t="shared" si="19"/>
        <v/>
      </c>
      <c r="BP150" s="7">
        <f>IF(ISBLANK(BL150), 0, VLOOKUP(BL150, 'Price Sheet'!$A$2:$B1015, 2, false))</f>
        <v>0</v>
      </c>
      <c r="BQ150" s="33" t="str">
        <f t="shared" si="20"/>
        <v/>
      </c>
    </row>
    <row r="151">
      <c r="A151" s="7" t="s">
        <v>319</v>
      </c>
      <c r="B151" s="19">
        <f t="shared" si="1"/>
        <v>11</v>
      </c>
      <c r="C151" s="8" t="s">
        <v>167</v>
      </c>
      <c r="D151" s="8" t="s">
        <v>360</v>
      </c>
      <c r="E151" s="7" t="str">
        <f>IF(ISBLANK(D151), "", VLOOKUP(D151,'Crafting Tables'!$A$2:$B1015, 2, false))</f>
        <v>Advanced</v>
      </c>
      <c r="F151" s="7">
        <f>IFERROR(IF(E151 = "None", 1, VLOOKUP(C151,General!$A$5:$L$35, SWITCH(E151, "Basic", 8, "Advanced", 10, "Modern", 12), false)),"")</f>
        <v>1</v>
      </c>
      <c r="G151" s="8">
        <v>75.0</v>
      </c>
      <c r="H151" s="7">
        <f>IFERROR(VLOOKUP(C151, General!$A$5:$L$35, 6, false) * G151 / 1000, 0)</f>
        <v>3</v>
      </c>
      <c r="I151" s="8">
        <v>120.0</v>
      </c>
      <c r="J151" s="22">
        <f>IFERROR(I151*VLOOKUP(D151,'Crafting Tables'!$1:$1000, 4, false)*F151,"")</f>
        <v>0</v>
      </c>
      <c r="K151" s="8" t="b">
        <v>1</v>
      </c>
      <c r="L151" s="32" t="s">
        <v>319</v>
      </c>
      <c r="M151" s="8">
        <v>1.0</v>
      </c>
      <c r="N151" s="21">
        <f t="shared" si="2"/>
        <v>11</v>
      </c>
      <c r="P151" s="32" t="s">
        <v>199</v>
      </c>
      <c r="Q151" s="8">
        <v>2.0</v>
      </c>
      <c r="R151" s="29" t="b">
        <v>0</v>
      </c>
      <c r="S151" s="22">
        <f t="shared" si="3"/>
        <v>2</v>
      </c>
      <c r="T151" s="19">
        <f>IF(ISBLANK(P151), 0, VLOOKUP(P151, 'Price Sheet'!$A$2:$B1015, 2, false))</f>
        <v>4</v>
      </c>
      <c r="U151" s="33">
        <f t="shared" si="4"/>
        <v>8</v>
      </c>
      <c r="V151" s="37"/>
      <c r="W151" s="29"/>
      <c r="X151" s="29" t="b">
        <v>0</v>
      </c>
      <c r="Y151" s="22" t="str">
        <f t="shared" si="5"/>
        <v/>
      </c>
      <c r="Z151" s="7">
        <f>IF(ISBLANK(V151), 0, VLOOKUP(V151, 'Price Sheet'!$A$2:$B1015, 2, false))</f>
        <v>0</v>
      </c>
      <c r="AA151" s="33" t="str">
        <f t="shared" si="6"/>
        <v/>
      </c>
      <c r="AB151" s="37"/>
      <c r="AC151" s="29"/>
      <c r="AD151" s="29" t="b">
        <v>0</v>
      </c>
      <c r="AE151" s="22" t="str">
        <f t="shared" si="7"/>
        <v/>
      </c>
      <c r="AF151" s="7">
        <f>IF(ISBLANK(AB151), 0, VLOOKUP(AB151, 'Price Sheet'!$A$2:$B1015, 2, false))</f>
        <v>0</v>
      </c>
      <c r="AG151" s="33" t="str">
        <f t="shared" si="8"/>
        <v/>
      </c>
      <c r="AH151" s="37"/>
      <c r="AI151" s="29"/>
      <c r="AJ151" s="29" t="b">
        <v>0</v>
      </c>
      <c r="AK151" s="22" t="str">
        <f t="shared" si="9"/>
        <v/>
      </c>
      <c r="AL151" s="7">
        <f>IF(ISBLANK(AH151), 0, VLOOKUP(AH151, 'Price Sheet'!$A$2:$B1015, 2, false))</f>
        <v>0</v>
      </c>
      <c r="AM151" s="33" t="str">
        <f t="shared" si="10"/>
        <v/>
      </c>
      <c r="AN151" s="37"/>
      <c r="AO151" s="29"/>
      <c r="AP151" s="29" t="b">
        <v>0</v>
      </c>
      <c r="AQ151" s="22" t="str">
        <f t="shared" si="11"/>
        <v/>
      </c>
      <c r="AR151" s="7">
        <f>IF(ISBLANK(AN151), 0, VLOOKUP(AN151, 'Price Sheet'!$A$2:$B1015, 2, false))</f>
        <v>0</v>
      </c>
      <c r="AS151" s="33" t="str">
        <f t="shared" si="12"/>
        <v/>
      </c>
      <c r="AT151" s="37"/>
      <c r="AU151" s="29"/>
      <c r="AV151" s="29" t="b">
        <v>0</v>
      </c>
      <c r="AW151" s="22" t="str">
        <f t="shared" si="13"/>
        <v/>
      </c>
      <c r="AX151" s="7">
        <f>IF(ISBLANK(AT151), 0, VLOOKUP(AT151, 'Price Sheet'!$A$2:$B1015, 2, false))</f>
        <v>0</v>
      </c>
      <c r="AY151" s="33" t="str">
        <f t="shared" si="14"/>
        <v/>
      </c>
      <c r="AZ151" s="37"/>
      <c r="BA151" s="29"/>
      <c r="BB151" s="29" t="b">
        <v>0</v>
      </c>
      <c r="BC151" s="22" t="str">
        <f t="shared" si="15"/>
        <v/>
      </c>
      <c r="BD151" s="7">
        <f>IF(ISBLANK(AZ151), 0, VLOOKUP(AZ151, 'Price Sheet'!$A$2:$B1015, 2, false))</f>
        <v>0</v>
      </c>
      <c r="BE151" s="33" t="str">
        <f t="shared" si="16"/>
        <v/>
      </c>
      <c r="BF151" s="37"/>
      <c r="BG151" s="29"/>
      <c r="BH151" s="29" t="b">
        <v>0</v>
      </c>
      <c r="BI151" s="22" t="str">
        <f t="shared" si="17"/>
        <v/>
      </c>
      <c r="BJ151" s="7">
        <f>IF(ISBLANK(BF151), 0, VLOOKUP(BF151, 'Price Sheet'!$A$2:$B1015, 2, false))</f>
        <v>0</v>
      </c>
      <c r="BK151" s="33" t="str">
        <f t="shared" si="18"/>
        <v/>
      </c>
      <c r="BL151" s="37"/>
      <c r="BM151" s="29"/>
      <c r="BN151" s="29" t="b">
        <v>0</v>
      </c>
      <c r="BO151" s="22" t="str">
        <f t="shared" si="19"/>
        <v/>
      </c>
      <c r="BP151" s="7">
        <f>IF(ISBLANK(BL151), 0, VLOOKUP(BL151, 'Price Sheet'!$A$2:$B1015, 2, false))</f>
        <v>0</v>
      </c>
      <c r="BQ151" s="33" t="str">
        <f t="shared" si="20"/>
        <v/>
      </c>
    </row>
    <row r="152">
      <c r="A152" s="7" t="s">
        <v>321</v>
      </c>
      <c r="B152" s="19">
        <f t="shared" si="1"/>
        <v>862.4</v>
      </c>
      <c r="C152" s="8" t="s">
        <v>167</v>
      </c>
      <c r="D152" s="8" t="s">
        <v>351</v>
      </c>
      <c r="E152" s="7" t="str">
        <f>IF(ISBLANK(D152), "", VLOOKUP(D152,'Crafting Tables'!$A$2:$B1015, 2, false))</f>
        <v>Advanced</v>
      </c>
      <c r="F152" s="7">
        <f>IFERROR(IF(E152 = "None", 1, VLOOKUP(C152,General!$A$5:$L$35, SWITCH(E152, "Basic", 8, "Advanced", 10, "Modern", 12), false)),"")</f>
        <v>1</v>
      </c>
      <c r="G152" s="8">
        <v>1200.0</v>
      </c>
      <c r="H152" s="7">
        <f>IFERROR(VLOOKUP(C152, General!$A$5:$L$35, 6, false) * G152 / 1000, 0)</f>
        <v>48</v>
      </c>
      <c r="I152" s="8">
        <v>240.0</v>
      </c>
      <c r="J152" s="22">
        <f>IFERROR(I152*VLOOKUP(D152,'Crafting Tables'!$1:$1000, 4, false)*F152,"")</f>
        <v>0</v>
      </c>
      <c r="K152" s="8" t="b">
        <v>1</v>
      </c>
      <c r="L152" s="32" t="s">
        <v>321</v>
      </c>
      <c r="M152" s="8">
        <v>1.0</v>
      </c>
      <c r="N152" s="21">
        <f t="shared" si="2"/>
        <v>862.4</v>
      </c>
      <c r="P152" s="32" t="s">
        <v>322</v>
      </c>
      <c r="Q152" s="8">
        <v>8.0</v>
      </c>
      <c r="R152" s="29" t="b">
        <v>0</v>
      </c>
      <c r="S152" s="22">
        <f t="shared" si="3"/>
        <v>8</v>
      </c>
      <c r="T152" s="19">
        <f>IF(ISBLANK(P152), 0, VLOOKUP(P152, 'Price Sheet'!$A$2:$B1015, 2, false))</f>
        <v>18.4</v>
      </c>
      <c r="U152" s="33">
        <f t="shared" si="4"/>
        <v>147.2</v>
      </c>
      <c r="V152" s="32" t="s">
        <v>312</v>
      </c>
      <c r="W152" s="8">
        <v>18.0</v>
      </c>
      <c r="X152" s="29" t="b">
        <v>0</v>
      </c>
      <c r="Y152" s="22">
        <f t="shared" si="5"/>
        <v>18</v>
      </c>
      <c r="Z152" s="19">
        <f>IF(ISBLANK(V152), 0, VLOOKUP(V152, 'Price Sheet'!$A$2:$B1015, 2, false))</f>
        <v>1.25</v>
      </c>
      <c r="AA152" s="33">
        <f t="shared" si="6"/>
        <v>22.5</v>
      </c>
      <c r="AB152" s="32" t="s">
        <v>305</v>
      </c>
      <c r="AC152" s="8">
        <v>12.0</v>
      </c>
      <c r="AD152" s="29" t="b">
        <v>0</v>
      </c>
      <c r="AE152" s="22">
        <f t="shared" si="7"/>
        <v>12</v>
      </c>
      <c r="AF152" s="19">
        <f>IF(ISBLANK(AB152), 0, VLOOKUP(AB152, 'Price Sheet'!$A$2:$B1015, 2, false))</f>
        <v>6.4</v>
      </c>
      <c r="AG152" s="33">
        <f t="shared" si="8"/>
        <v>76.8</v>
      </c>
      <c r="AH152" s="32" t="s">
        <v>314</v>
      </c>
      <c r="AI152" s="8">
        <v>3.0</v>
      </c>
      <c r="AJ152" s="29" t="b">
        <v>0</v>
      </c>
      <c r="AK152" s="22">
        <f t="shared" si="9"/>
        <v>3</v>
      </c>
      <c r="AL152" s="19">
        <f>IF(ISBLANK(AH152), 0, VLOOKUP(AH152, 'Price Sheet'!$A$2:$B1015, 2, false))</f>
        <v>145.3</v>
      </c>
      <c r="AM152" s="33">
        <f t="shared" si="10"/>
        <v>435.9</v>
      </c>
      <c r="AN152" s="32" t="s">
        <v>303</v>
      </c>
      <c r="AO152" s="8">
        <v>12.0</v>
      </c>
      <c r="AP152" s="29" t="b">
        <v>0</v>
      </c>
      <c r="AQ152" s="22">
        <f t="shared" si="11"/>
        <v>12</v>
      </c>
      <c r="AR152" s="19">
        <f>IF(ISBLANK(AN152), 0, VLOOKUP(AN152, 'Price Sheet'!$A$2:$B1015, 2, false))</f>
        <v>7</v>
      </c>
      <c r="AS152" s="33">
        <f t="shared" si="12"/>
        <v>84</v>
      </c>
      <c r="AT152" s="32" t="s">
        <v>320</v>
      </c>
      <c r="AU152" s="8">
        <v>6.0</v>
      </c>
      <c r="AV152" s="29" t="b">
        <v>0</v>
      </c>
      <c r="AW152" s="22">
        <f t="shared" si="13"/>
        <v>6</v>
      </c>
      <c r="AX152" s="19">
        <f>IF(ISBLANK(AT152), 0, VLOOKUP(AT152, 'Price Sheet'!$A$2:$B1015, 2, false))</f>
        <v>8</v>
      </c>
      <c r="AY152" s="33">
        <f t="shared" si="14"/>
        <v>48</v>
      </c>
      <c r="AZ152" s="37"/>
      <c r="BA152" s="29"/>
      <c r="BB152" s="29" t="b">
        <v>0</v>
      </c>
      <c r="BC152" s="22" t="str">
        <f t="shared" si="15"/>
        <v/>
      </c>
      <c r="BD152" s="7">
        <f>IF(ISBLANK(AZ152), 0, VLOOKUP(AZ152, 'Price Sheet'!$A$2:$B1015, 2, false))</f>
        <v>0</v>
      </c>
      <c r="BE152" s="33" t="str">
        <f t="shared" si="16"/>
        <v/>
      </c>
      <c r="BF152" s="37"/>
      <c r="BG152" s="29"/>
      <c r="BH152" s="29" t="b">
        <v>0</v>
      </c>
      <c r="BI152" s="22" t="str">
        <f t="shared" si="17"/>
        <v/>
      </c>
      <c r="BJ152" s="7">
        <f>IF(ISBLANK(BF152), 0, VLOOKUP(BF152, 'Price Sheet'!$A$2:$B1015, 2, false))</f>
        <v>0</v>
      </c>
      <c r="BK152" s="33" t="str">
        <f t="shared" si="18"/>
        <v/>
      </c>
      <c r="BL152" s="37"/>
      <c r="BM152" s="29"/>
      <c r="BN152" s="29" t="b">
        <v>0</v>
      </c>
      <c r="BO152" s="22" t="str">
        <f t="shared" si="19"/>
        <v/>
      </c>
      <c r="BP152" s="7">
        <f>IF(ISBLANK(BL152), 0, VLOOKUP(BL152, 'Price Sheet'!$A$2:$B1015, 2, false))</f>
        <v>0</v>
      </c>
      <c r="BQ152" s="33" t="str">
        <f t="shared" si="20"/>
        <v/>
      </c>
    </row>
    <row r="153">
      <c r="A153" s="7" t="s">
        <v>326</v>
      </c>
      <c r="B153" s="19">
        <f t="shared" si="1"/>
        <v>1366.425</v>
      </c>
      <c r="C153" s="8" t="s">
        <v>167</v>
      </c>
      <c r="D153" s="8" t="s">
        <v>363</v>
      </c>
      <c r="E153" s="7" t="str">
        <f>IF(ISBLANK(D153), "", VLOOKUP(D153,'Crafting Tables'!$A$2:$B1015, 2, false))</f>
        <v>Advanced</v>
      </c>
      <c r="F153" s="7">
        <f>IFERROR(IF(E153 = "None", 1, VLOOKUP(C153,General!$A$5:$L$35, SWITCH(E153, "Basic", 8, "Advanced", 10, "Modern", 12), false)),"")</f>
        <v>1</v>
      </c>
      <c r="G153" s="8">
        <v>1000.0</v>
      </c>
      <c r="H153" s="7">
        <f>IFERROR(VLOOKUP(C153, General!$A$5:$L$35, 6, false) * G153 / 1000, 0)</f>
        <v>40</v>
      </c>
      <c r="I153" s="8">
        <v>600.0</v>
      </c>
      <c r="J153" s="22">
        <f>IFERROR(I153*VLOOKUP(D153,'Crafting Tables'!$1:$1000, 4, false)*F153,"")</f>
        <v>0</v>
      </c>
      <c r="K153" s="8" t="b">
        <v>1</v>
      </c>
      <c r="L153" s="32" t="s">
        <v>326</v>
      </c>
      <c r="M153" s="8">
        <v>1.0</v>
      </c>
      <c r="N153" s="21">
        <f t="shared" si="2"/>
        <v>1366.425</v>
      </c>
      <c r="P153" s="32" t="s">
        <v>307</v>
      </c>
      <c r="Q153" s="8">
        <v>8.0</v>
      </c>
      <c r="R153" s="29" t="b">
        <v>0</v>
      </c>
      <c r="S153" s="22">
        <f t="shared" si="3"/>
        <v>8</v>
      </c>
      <c r="T153" s="19">
        <f>IF(ISBLANK(P153), 0, VLOOKUP(P153, 'Price Sheet'!$A$2:$B1015, 2, false))</f>
        <v>4</v>
      </c>
      <c r="U153" s="33">
        <f t="shared" si="4"/>
        <v>32</v>
      </c>
      <c r="V153" s="32" t="s">
        <v>312</v>
      </c>
      <c r="W153" s="8">
        <v>24.0</v>
      </c>
      <c r="X153" s="29" t="b">
        <v>0</v>
      </c>
      <c r="Y153" s="22">
        <f t="shared" si="5"/>
        <v>24</v>
      </c>
      <c r="Z153" s="19">
        <f>IF(ISBLANK(V153), 0, VLOOKUP(V153, 'Price Sheet'!$A$2:$B1015, 2, false))</f>
        <v>1.25</v>
      </c>
      <c r="AA153" s="33">
        <f t="shared" si="6"/>
        <v>30</v>
      </c>
      <c r="AB153" s="32" t="s">
        <v>325</v>
      </c>
      <c r="AC153" s="8">
        <v>20.0</v>
      </c>
      <c r="AD153" s="29" t="b">
        <v>0</v>
      </c>
      <c r="AE153" s="22">
        <f t="shared" si="7"/>
        <v>20</v>
      </c>
      <c r="AF153" s="19">
        <f>IF(ISBLANK(AB153), 0, VLOOKUP(AB153, 'Price Sheet'!$A$2:$B1015, 2, false))</f>
        <v>2</v>
      </c>
      <c r="AG153" s="33">
        <f t="shared" si="8"/>
        <v>40</v>
      </c>
      <c r="AH153" s="32" t="s">
        <v>152</v>
      </c>
      <c r="AI153" s="8">
        <v>30.0</v>
      </c>
      <c r="AJ153" s="29" t="b">
        <v>0</v>
      </c>
      <c r="AK153" s="22">
        <f t="shared" si="9"/>
        <v>30</v>
      </c>
      <c r="AL153" s="19">
        <f>IF(ISBLANK(AH153), 0, VLOOKUP(AH153, 'Price Sheet'!$A$2:$B1015, 2, false))</f>
        <v>3.5</v>
      </c>
      <c r="AM153" s="33">
        <f t="shared" si="10"/>
        <v>105</v>
      </c>
      <c r="AN153" s="32" t="s">
        <v>321</v>
      </c>
      <c r="AO153" s="8">
        <v>1.0</v>
      </c>
      <c r="AP153" s="8" t="b">
        <v>1</v>
      </c>
      <c r="AQ153" s="22">
        <f t="shared" si="11"/>
        <v>1</v>
      </c>
      <c r="AR153" s="19">
        <f>IF(ISBLANK(AN153), 0, VLOOKUP(AN153, 'Price Sheet'!$A$2:$B1015, 2, false))</f>
        <v>862.4</v>
      </c>
      <c r="AS153" s="33">
        <f t="shared" si="12"/>
        <v>862.4</v>
      </c>
      <c r="AT153" s="32" t="s">
        <v>323</v>
      </c>
      <c r="AU153" s="8">
        <v>4.0</v>
      </c>
      <c r="AV153" s="8" t="b">
        <v>1</v>
      </c>
      <c r="AW153" s="22">
        <f t="shared" si="13"/>
        <v>4</v>
      </c>
      <c r="AX153" s="19">
        <f>IF(ISBLANK(AT153), 0, VLOOKUP(AT153, 'Price Sheet'!$A$2:$B1015, 2, false))</f>
        <v>20</v>
      </c>
      <c r="AY153" s="33">
        <f t="shared" si="14"/>
        <v>80</v>
      </c>
      <c r="AZ153" s="32" t="s">
        <v>319</v>
      </c>
      <c r="BA153" s="8">
        <v>2.0</v>
      </c>
      <c r="BB153" s="8" t="b">
        <v>1</v>
      </c>
      <c r="BC153" s="22">
        <f t="shared" si="15"/>
        <v>2</v>
      </c>
      <c r="BD153" s="19">
        <f>IF(ISBLANK(AZ153), 0, VLOOKUP(AZ153, 'Price Sheet'!$A$2:$B1015, 2, false))</f>
        <v>11</v>
      </c>
      <c r="BE153" s="33">
        <f t="shared" si="16"/>
        <v>22</v>
      </c>
      <c r="BF153" s="32" t="s">
        <v>264</v>
      </c>
      <c r="BG153" s="8">
        <v>2.0</v>
      </c>
      <c r="BH153" s="8" t="b">
        <v>1</v>
      </c>
      <c r="BI153" s="22">
        <f t="shared" si="17"/>
        <v>2</v>
      </c>
      <c r="BJ153" s="19">
        <f>IF(ISBLANK(BF153), 0, VLOOKUP(BF153, 'Price Sheet'!$A$2:$B1015, 2, false))</f>
        <v>39.1125</v>
      </c>
      <c r="BK153" s="33">
        <f t="shared" si="18"/>
        <v>78.225</v>
      </c>
      <c r="BL153" s="32" t="s">
        <v>305</v>
      </c>
      <c r="BM153" s="8">
        <v>12.0</v>
      </c>
      <c r="BN153" s="8" t="b">
        <v>0</v>
      </c>
      <c r="BO153" s="22">
        <f t="shared" si="19"/>
        <v>12</v>
      </c>
      <c r="BP153" s="19">
        <f>IF(ISBLANK(BL153), 0, VLOOKUP(BL153, 'Price Sheet'!$A$2:$B1015, 2, false))</f>
        <v>6.4</v>
      </c>
      <c r="BQ153" s="33">
        <f t="shared" si="20"/>
        <v>76.8</v>
      </c>
    </row>
    <row r="154">
      <c r="A154" s="7" t="s">
        <v>329</v>
      </c>
      <c r="B154" s="19">
        <f t="shared" si="1"/>
        <v>78.5</v>
      </c>
      <c r="C154" s="8" t="s">
        <v>167</v>
      </c>
      <c r="D154" s="8" t="s">
        <v>363</v>
      </c>
      <c r="E154" s="7" t="str">
        <f>IF(ISBLANK(D154), "", VLOOKUP(D154,'Crafting Tables'!$A$2:$B1015, 2, false))</f>
        <v>Advanced</v>
      </c>
      <c r="F154" s="7">
        <f>IFERROR(IF(E154 = "None", 1, VLOOKUP(C154,General!$A$5:$L$35, SWITCH(E154, "Basic", 8, "Advanced", 10, "Modern", 12), false)),"")</f>
        <v>1</v>
      </c>
      <c r="G154" s="8">
        <v>120.0</v>
      </c>
      <c r="H154" s="7">
        <f>IFERROR(VLOOKUP(C154, General!$A$5:$L$35, 6, false) * G154 / 1000, 0)</f>
        <v>4.8</v>
      </c>
      <c r="I154" s="8">
        <v>60.0</v>
      </c>
      <c r="J154" s="22">
        <f>IFERROR(I154*VLOOKUP(D154,'Crafting Tables'!$1:$1000, 4, false)*F154,"")</f>
        <v>0</v>
      </c>
      <c r="K154" s="8" t="b">
        <v>1</v>
      </c>
      <c r="L154" s="32" t="s">
        <v>329</v>
      </c>
      <c r="M154" s="8">
        <v>1.0</v>
      </c>
      <c r="N154" s="21">
        <f t="shared" si="2"/>
        <v>78.5</v>
      </c>
      <c r="P154" s="32" t="s">
        <v>305</v>
      </c>
      <c r="Q154" s="8">
        <v>8.0</v>
      </c>
      <c r="R154" s="29" t="b">
        <v>0</v>
      </c>
      <c r="S154" s="22">
        <f t="shared" si="3"/>
        <v>8</v>
      </c>
      <c r="T154" s="19">
        <f>IF(ISBLANK(P154), 0, VLOOKUP(P154, 'Price Sheet'!$A$2:$B1015, 2, false))</f>
        <v>6.4</v>
      </c>
      <c r="U154" s="33">
        <f t="shared" si="4"/>
        <v>51.2</v>
      </c>
      <c r="V154" s="32" t="s">
        <v>312</v>
      </c>
      <c r="W154" s="8">
        <v>18.0</v>
      </c>
      <c r="X154" s="29" t="b">
        <v>0</v>
      </c>
      <c r="Y154" s="22">
        <f t="shared" si="5"/>
        <v>18</v>
      </c>
      <c r="Z154" s="19">
        <f>IF(ISBLANK(V154), 0, VLOOKUP(V154, 'Price Sheet'!$A$2:$B1015, 2, false))</f>
        <v>1.25</v>
      </c>
      <c r="AA154" s="33">
        <f t="shared" si="6"/>
        <v>22.5</v>
      </c>
      <c r="AB154" s="37"/>
      <c r="AC154" s="29"/>
      <c r="AD154" s="29" t="b">
        <v>0</v>
      </c>
      <c r="AE154" s="22" t="str">
        <f t="shared" si="7"/>
        <v/>
      </c>
      <c r="AF154" s="7">
        <f>IF(ISBLANK(AB154), 0, VLOOKUP(AB154, 'Price Sheet'!$A$2:$B1015, 2, false))</f>
        <v>0</v>
      </c>
      <c r="AG154" s="33" t="str">
        <f t="shared" si="8"/>
        <v/>
      </c>
      <c r="AH154" s="37"/>
      <c r="AI154" s="29"/>
      <c r="AJ154" s="29" t="b">
        <v>0</v>
      </c>
      <c r="AK154" s="22" t="str">
        <f t="shared" si="9"/>
        <v/>
      </c>
      <c r="AL154" s="7">
        <f>IF(ISBLANK(AH154), 0, VLOOKUP(AH154, 'Price Sheet'!$A$2:$B1015, 2, false))</f>
        <v>0</v>
      </c>
      <c r="AM154" s="33" t="str">
        <f t="shared" si="10"/>
        <v/>
      </c>
      <c r="AN154" s="37"/>
      <c r="AO154" s="29"/>
      <c r="AP154" s="29" t="b">
        <v>0</v>
      </c>
      <c r="AQ154" s="22" t="str">
        <f t="shared" si="11"/>
        <v/>
      </c>
      <c r="AR154" s="7">
        <f>IF(ISBLANK(AN154), 0, VLOOKUP(AN154, 'Price Sheet'!$A$2:$B1015, 2, false))</f>
        <v>0</v>
      </c>
      <c r="AS154" s="33" t="str">
        <f t="shared" si="12"/>
        <v/>
      </c>
      <c r="AT154" s="37"/>
      <c r="AU154" s="29"/>
      <c r="AV154" s="29" t="b">
        <v>0</v>
      </c>
      <c r="AW154" s="22" t="str">
        <f t="shared" si="13"/>
        <v/>
      </c>
      <c r="AX154" s="7">
        <f>IF(ISBLANK(AT154), 0, VLOOKUP(AT154, 'Price Sheet'!$A$2:$B1015, 2, false))</f>
        <v>0</v>
      </c>
      <c r="AY154" s="33" t="str">
        <f t="shared" si="14"/>
        <v/>
      </c>
      <c r="AZ154" s="37"/>
      <c r="BA154" s="29"/>
      <c r="BB154" s="29" t="b">
        <v>0</v>
      </c>
      <c r="BC154" s="22" t="str">
        <f t="shared" si="15"/>
        <v/>
      </c>
      <c r="BD154" s="7">
        <f>IF(ISBLANK(AZ154), 0, VLOOKUP(AZ154, 'Price Sheet'!$A$2:$B1015, 2, false))</f>
        <v>0</v>
      </c>
      <c r="BE154" s="33" t="str">
        <f t="shared" si="16"/>
        <v/>
      </c>
      <c r="BF154" s="37"/>
      <c r="BG154" s="29"/>
      <c r="BH154" s="29" t="b">
        <v>0</v>
      </c>
      <c r="BI154" s="22" t="str">
        <f t="shared" si="17"/>
        <v/>
      </c>
      <c r="BJ154" s="7">
        <f>IF(ISBLANK(BF154), 0, VLOOKUP(BF154, 'Price Sheet'!$A$2:$B1015, 2, false))</f>
        <v>0</v>
      </c>
      <c r="BK154" s="33" t="str">
        <f t="shared" si="18"/>
        <v/>
      </c>
      <c r="BL154" s="37"/>
      <c r="BM154" s="29"/>
      <c r="BN154" s="29" t="b">
        <v>0</v>
      </c>
      <c r="BO154" s="22" t="str">
        <f t="shared" si="19"/>
        <v/>
      </c>
      <c r="BP154" s="7">
        <f>IF(ISBLANK(BL154), 0, VLOOKUP(BL154, 'Price Sheet'!$A$2:$B1015, 2, false))</f>
        <v>0</v>
      </c>
      <c r="BQ154" s="33" t="str">
        <f t="shared" si="20"/>
        <v/>
      </c>
    </row>
    <row r="155">
      <c r="A155" s="7" t="s">
        <v>330</v>
      </c>
      <c r="B155" s="19">
        <f t="shared" si="1"/>
        <v>128.6</v>
      </c>
      <c r="C155" s="8" t="s">
        <v>167</v>
      </c>
      <c r="D155" s="8" t="s">
        <v>363</v>
      </c>
      <c r="E155" s="7" t="str">
        <f>IF(ISBLANK(D155), "", VLOOKUP(D155,'Crafting Tables'!$A$2:$B1015, 2, false))</f>
        <v>Advanced</v>
      </c>
      <c r="F155" s="7">
        <f>IFERROR(IF(E155 = "None", 1, VLOOKUP(C155,General!$A$5:$L$35, SWITCH(E155, "Basic", 8, "Advanced", 10, "Modern", 12), false)),"")</f>
        <v>1</v>
      </c>
      <c r="G155" s="8">
        <v>120.0</v>
      </c>
      <c r="H155" s="7">
        <f>IFERROR(VLOOKUP(C155, General!$A$5:$L$35, 6, false) * G155 / 1000, 0)</f>
        <v>4.8</v>
      </c>
      <c r="I155" s="8">
        <v>60.0</v>
      </c>
      <c r="J155" s="22">
        <f>IFERROR(I155*VLOOKUP(D155,'Crafting Tables'!$1:$1000, 4, false)*F155,"")</f>
        <v>0</v>
      </c>
      <c r="K155" s="8" t="b">
        <v>1</v>
      </c>
      <c r="L155" s="32" t="s">
        <v>330</v>
      </c>
      <c r="M155" s="8">
        <v>1.0</v>
      </c>
      <c r="N155" s="21">
        <f t="shared" si="2"/>
        <v>128.6</v>
      </c>
      <c r="P155" s="32" t="s">
        <v>305</v>
      </c>
      <c r="Q155" s="8">
        <v>12.0</v>
      </c>
      <c r="R155" s="29" t="b">
        <v>0</v>
      </c>
      <c r="S155" s="22">
        <f t="shared" si="3"/>
        <v>12</v>
      </c>
      <c r="T155" s="19">
        <f>IF(ISBLANK(P155), 0, VLOOKUP(P155, 'Price Sheet'!$A$2:$B1015, 2, false))</f>
        <v>6.4</v>
      </c>
      <c r="U155" s="33">
        <f t="shared" si="4"/>
        <v>76.8</v>
      </c>
      <c r="V155" s="32" t="s">
        <v>312</v>
      </c>
      <c r="W155" s="8">
        <v>12.0</v>
      </c>
      <c r="X155" s="29" t="b">
        <v>0</v>
      </c>
      <c r="Y155" s="22">
        <f t="shared" si="5"/>
        <v>12</v>
      </c>
      <c r="Z155" s="19">
        <f>IF(ISBLANK(V155), 0, VLOOKUP(V155, 'Price Sheet'!$A$2:$B1015, 2, false))</f>
        <v>1.25</v>
      </c>
      <c r="AA155" s="33">
        <f t="shared" si="6"/>
        <v>15</v>
      </c>
      <c r="AB155" s="32" t="s">
        <v>307</v>
      </c>
      <c r="AC155" s="8">
        <v>8.0</v>
      </c>
      <c r="AD155" s="29" t="b">
        <v>0</v>
      </c>
      <c r="AE155" s="22">
        <f t="shared" si="7"/>
        <v>8</v>
      </c>
      <c r="AF155" s="19">
        <f>IF(ISBLANK(AB155), 0, VLOOKUP(AB155, 'Price Sheet'!$A$2:$B1015, 2, false))</f>
        <v>4</v>
      </c>
      <c r="AG155" s="33">
        <f t="shared" si="8"/>
        <v>32</v>
      </c>
      <c r="AH155" s="37"/>
      <c r="AI155" s="29"/>
      <c r="AJ155" s="29" t="b">
        <v>0</v>
      </c>
      <c r="AK155" s="22" t="str">
        <f t="shared" si="9"/>
        <v/>
      </c>
      <c r="AL155" s="7">
        <f>IF(ISBLANK(AH155), 0, VLOOKUP(AH155, 'Price Sheet'!$A$2:$B1015, 2, false))</f>
        <v>0</v>
      </c>
      <c r="AM155" s="33" t="str">
        <f t="shared" si="10"/>
        <v/>
      </c>
      <c r="AN155" s="37"/>
      <c r="AO155" s="29"/>
      <c r="AP155" s="29" t="b">
        <v>0</v>
      </c>
      <c r="AQ155" s="22" t="str">
        <f t="shared" si="11"/>
        <v/>
      </c>
      <c r="AR155" s="7">
        <f>IF(ISBLANK(AN155), 0, VLOOKUP(AN155, 'Price Sheet'!$A$2:$B1015, 2, false))</f>
        <v>0</v>
      </c>
      <c r="AS155" s="33" t="str">
        <f t="shared" si="12"/>
        <v/>
      </c>
      <c r="AT155" s="37"/>
      <c r="AU155" s="29"/>
      <c r="AV155" s="29" t="b">
        <v>0</v>
      </c>
      <c r="AW155" s="22" t="str">
        <f t="shared" si="13"/>
        <v/>
      </c>
      <c r="AX155" s="7">
        <f>IF(ISBLANK(AT155), 0, VLOOKUP(AT155, 'Price Sheet'!$A$2:$B1015, 2, false))</f>
        <v>0</v>
      </c>
      <c r="AY155" s="33" t="str">
        <f t="shared" si="14"/>
        <v/>
      </c>
      <c r="AZ155" s="37"/>
      <c r="BA155" s="29"/>
      <c r="BB155" s="29" t="b">
        <v>0</v>
      </c>
      <c r="BC155" s="22" t="str">
        <f t="shared" si="15"/>
        <v/>
      </c>
      <c r="BD155" s="7">
        <f>IF(ISBLANK(AZ155), 0, VLOOKUP(AZ155, 'Price Sheet'!$A$2:$B1015, 2, false))</f>
        <v>0</v>
      </c>
      <c r="BE155" s="33" t="str">
        <f t="shared" si="16"/>
        <v/>
      </c>
      <c r="BF155" s="37"/>
      <c r="BG155" s="29"/>
      <c r="BH155" s="29" t="b">
        <v>0</v>
      </c>
      <c r="BI155" s="22" t="str">
        <f t="shared" si="17"/>
        <v/>
      </c>
      <c r="BJ155" s="7">
        <f>IF(ISBLANK(BF155), 0, VLOOKUP(BF155, 'Price Sheet'!$A$2:$B1015, 2, false))</f>
        <v>0</v>
      </c>
      <c r="BK155" s="33" t="str">
        <f t="shared" si="18"/>
        <v/>
      </c>
      <c r="BL155" s="37"/>
      <c r="BM155" s="29"/>
      <c r="BN155" s="29" t="b">
        <v>0</v>
      </c>
      <c r="BO155" s="22" t="str">
        <f t="shared" si="19"/>
        <v/>
      </c>
      <c r="BP155" s="7">
        <f>IF(ISBLANK(BL155), 0, VLOOKUP(BL155, 'Price Sheet'!$A$2:$B1015, 2, false))</f>
        <v>0</v>
      </c>
      <c r="BQ155" s="33" t="str">
        <f t="shared" si="20"/>
        <v/>
      </c>
    </row>
    <row r="156">
      <c r="A156" s="7" t="s">
        <v>332</v>
      </c>
      <c r="B156" s="19">
        <f t="shared" si="1"/>
        <v>110.5</v>
      </c>
      <c r="C156" s="8" t="s">
        <v>167</v>
      </c>
      <c r="D156" s="8" t="s">
        <v>363</v>
      </c>
      <c r="E156" s="7" t="str">
        <f>IF(ISBLANK(D156), "", VLOOKUP(D156,'Crafting Tables'!$A$2:$B1015, 2, false))</f>
        <v>Advanced</v>
      </c>
      <c r="F156" s="7">
        <f>IFERROR(IF(E156 = "None", 1, VLOOKUP(C156,General!$A$5:$L$35, SWITCH(E156, "Basic", 8, "Advanced", 10, "Modern", 12), false)),"")</f>
        <v>1</v>
      </c>
      <c r="G156" s="8">
        <v>120.0</v>
      </c>
      <c r="H156" s="7">
        <f>IFERROR(VLOOKUP(C156, General!$A$5:$L$35, 6, false) * G156 / 1000, 0)</f>
        <v>4.8</v>
      </c>
      <c r="I156" s="8">
        <v>60.0</v>
      </c>
      <c r="J156" s="22">
        <f>IFERROR(I156*VLOOKUP(D156,'Crafting Tables'!$1:$1000, 4, false)*F156,"")</f>
        <v>0</v>
      </c>
      <c r="K156" s="8" t="b">
        <v>1</v>
      </c>
      <c r="L156" s="32" t="s">
        <v>332</v>
      </c>
      <c r="M156" s="8">
        <v>1.0</v>
      </c>
      <c r="N156" s="21">
        <f t="shared" si="2"/>
        <v>110.5</v>
      </c>
      <c r="P156" s="32" t="s">
        <v>305</v>
      </c>
      <c r="Q156" s="8">
        <v>8.0</v>
      </c>
      <c r="R156" s="29" t="b">
        <v>0</v>
      </c>
      <c r="S156" s="22">
        <f t="shared" si="3"/>
        <v>8</v>
      </c>
      <c r="T156" s="19">
        <f>IF(ISBLANK(P156), 0, VLOOKUP(P156, 'Price Sheet'!$A$2:$B1015, 2, false))</f>
        <v>6.4</v>
      </c>
      <c r="U156" s="33">
        <f t="shared" si="4"/>
        <v>51.2</v>
      </c>
      <c r="V156" s="32" t="s">
        <v>312</v>
      </c>
      <c r="W156" s="8">
        <v>18.0</v>
      </c>
      <c r="X156" s="29" t="b">
        <v>0</v>
      </c>
      <c r="Y156" s="22">
        <f t="shared" si="5"/>
        <v>18</v>
      </c>
      <c r="Z156" s="19">
        <f>IF(ISBLANK(V156), 0, VLOOKUP(V156, 'Price Sheet'!$A$2:$B1015, 2, false))</f>
        <v>1.25</v>
      </c>
      <c r="AA156" s="33">
        <f t="shared" si="6"/>
        <v>22.5</v>
      </c>
      <c r="AB156" s="32" t="s">
        <v>307</v>
      </c>
      <c r="AC156" s="8">
        <v>8.0</v>
      </c>
      <c r="AD156" s="29" t="b">
        <v>0</v>
      </c>
      <c r="AE156" s="22">
        <f t="shared" si="7"/>
        <v>8</v>
      </c>
      <c r="AF156" s="19">
        <f>IF(ISBLANK(AB156), 0, VLOOKUP(AB156, 'Price Sheet'!$A$2:$B1015, 2, false))</f>
        <v>4</v>
      </c>
      <c r="AG156" s="33">
        <f t="shared" si="8"/>
        <v>32</v>
      </c>
      <c r="AH156" s="37"/>
      <c r="AI156" s="29"/>
      <c r="AJ156" s="29" t="b">
        <v>0</v>
      </c>
      <c r="AK156" s="22" t="str">
        <f t="shared" si="9"/>
        <v/>
      </c>
      <c r="AL156" s="7">
        <f>IF(ISBLANK(AH156), 0, VLOOKUP(AH156, 'Price Sheet'!$A$2:$B1015, 2, false))</f>
        <v>0</v>
      </c>
      <c r="AM156" s="33" t="str">
        <f t="shared" si="10"/>
        <v/>
      </c>
      <c r="AN156" s="37"/>
      <c r="AO156" s="29"/>
      <c r="AP156" s="29" t="b">
        <v>0</v>
      </c>
      <c r="AQ156" s="22" t="str">
        <f t="shared" si="11"/>
        <v/>
      </c>
      <c r="AR156" s="7">
        <f>IF(ISBLANK(AN156), 0, VLOOKUP(AN156, 'Price Sheet'!$A$2:$B1015, 2, false))</f>
        <v>0</v>
      </c>
      <c r="AS156" s="33" t="str">
        <f t="shared" si="12"/>
        <v/>
      </c>
      <c r="AT156" s="37"/>
      <c r="AU156" s="29"/>
      <c r="AV156" s="29" t="b">
        <v>0</v>
      </c>
      <c r="AW156" s="22" t="str">
        <f t="shared" si="13"/>
        <v/>
      </c>
      <c r="AX156" s="7">
        <f>IF(ISBLANK(AT156), 0, VLOOKUP(AT156, 'Price Sheet'!$A$2:$B1015, 2, false))</f>
        <v>0</v>
      </c>
      <c r="AY156" s="33" t="str">
        <f t="shared" si="14"/>
        <v/>
      </c>
      <c r="AZ156" s="37"/>
      <c r="BA156" s="29"/>
      <c r="BB156" s="29" t="b">
        <v>0</v>
      </c>
      <c r="BC156" s="22" t="str">
        <f t="shared" si="15"/>
        <v/>
      </c>
      <c r="BD156" s="7">
        <f>IF(ISBLANK(AZ156), 0, VLOOKUP(AZ156, 'Price Sheet'!$A$2:$B1015, 2, false))</f>
        <v>0</v>
      </c>
      <c r="BE156" s="33" t="str">
        <f t="shared" si="16"/>
        <v/>
      </c>
      <c r="BF156" s="37"/>
      <c r="BG156" s="29"/>
      <c r="BH156" s="29" t="b">
        <v>0</v>
      </c>
      <c r="BI156" s="22" t="str">
        <f t="shared" si="17"/>
        <v/>
      </c>
      <c r="BJ156" s="7">
        <f>IF(ISBLANK(BF156), 0, VLOOKUP(BF156, 'Price Sheet'!$A$2:$B1015, 2, false))</f>
        <v>0</v>
      </c>
      <c r="BK156" s="33" t="str">
        <f t="shared" si="18"/>
        <v/>
      </c>
      <c r="BL156" s="37"/>
      <c r="BM156" s="29"/>
      <c r="BN156" s="29" t="b">
        <v>0</v>
      </c>
      <c r="BO156" s="22" t="str">
        <f t="shared" si="19"/>
        <v/>
      </c>
      <c r="BP156" s="7">
        <f>IF(ISBLANK(BL156), 0, VLOOKUP(BL156, 'Price Sheet'!$A$2:$B1015, 2, false))</f>
        <v>0</v>
      </c>
      <c r="BQ156" s="33" t="str">
        <f t="shared" si="20"/>
        <v/>
      </c>
    </row>
    <row r="157">
      <c r="A157" s="7" t="s">
        <v>334</v>
      </c>
      <c r="B157" s="19">
        <f t="shared" si="1"/>
        <v>78.5</v>
      </c>
      <c r="C157" s="8" t="s">
        <v>167</v>
      </c>
      <c r="D157" s="8" t="s">
        <v>363</v>
      </c>
      <c r="E157" s="7" t="str">
        <f>IF(ISBLANK(D157), "", VLOOKUP(D157,'Crafting Tables'!$A$2:$B1015, 2, false))</f>
        <v>Advanced</v>
      </c>
      <c r="F157" s="7">
        <f>IFERROR(IF(E157 = "None", 1, VLOOKUP(C157,General!$A$5:$L$35, SWITCH(E157, "Basic", 8, "Advanced", 10, "Modern", 12), false)),"")</f>
        <v>1</v>
      </c>
      <c r="G157" s="8">
        <v>120.0</v>
      </c>
      <c r="H157" s="7">
        <f>IFERROR(VLOOKUP(C157, General!$A$5:$L$35, 6, false) * G157 / 1000, 0)</f>
        <v>4.8</v>
      </c>
      <c r="I157" s="8">
        <v>60.0</v>
      </c>
      <c r="J157" s="22">
        <f>IFERROR(I157*VLOOKUP(D157,'Crafting Tables'!$1:$1000, 4, false)*F157,"")</f>
        <v>0</v>
      </c>
      <c r="K157" s="8" t="b">
        <v>1</v>
      </c>
      <c r="L157" s="32" t="s">
        <v>334</v>
      </c>
      <c r="M157" s="8">
        <v>1.0</v>
      </c>
      <c r="N157" s="21">
        <f t="shared" si="2"/>
        <v>78.5</v>
      </c>
      <c r="P157" s="32" t="s">
        <v>305</v>
      </c>
      <c r="Q157" s="8">
        <v>8.0</v>
      </c>
      <c r="R157" s="29" t="b">
        <v>0</v>
      </c>
      <c r="S157" s="22">
        <f t="shared" si="3"/>
        <v>8</v>
      </c>
      <c r="T157" s="19">
        <f>IF(ISBLANK(P157), 0, VLOOKUP(P157, 'Price Sheet'!$A$2:$B1015, 2, false))</f>
        <v>6.4</v>
      </c>
      <c r="U157" s="33">
        <f t="shared" si="4"/>
        <v>51.2</v>
      </c>
      <c r="V157" s="32" t="s">
        <v>312</v>
      </c>
      <c r="W157" s="8">
        <v>18.0</v>
      </c>
      <c r="X157" s="29" t="b">
        <v>0</v>
      </c>
      <c r="Y157" s="22">
        <f t="shared" si="5"/>
        <v>18</v>
      </c>
      <c r="Z157" s="19">
        <f>IF(ISBLANK(V157), 0, VLOOKUP(V157, 'Price Sheet'!$A$2:$B1015, 2, false))</f>
        <v>1.25</v>
      </c>
      <c r="AA157" s="33">
        <f t="shared" si="6"/>
        <v>22.5</v>
      </c>
      <c r="AB157" s="37"/>
      <c r="AC157" s="29"/>
      <c r="AD157" s="29" t="b">
        <v>0</v>
      </c>
      <c r="AE157" s="22" t="str">
        <f t="shared" si="7"/>
        <v/>
      </c>
      <c r="AF157" s="7">
        <f>IF(ISBLANK(AB157), 0, VLOOKUP(AB157, 'Price Sheet'!$A$2:$B1015, 2, false))</f>
        <v>0</v>
      </c>
      <c r="AG157" s="33" t="str">
        <f t="shared" si="8"/>
        <v/>
      </c>
      <c r="AH157" s="37"/>
      <c r="AI157" s="29"/>
      <c r="AJ157" s="29" t="b">
        <v>0</v>
      </c>
      <c r="AK157" s="22" t="str">
        <f t="shared" si="9"/>
        <v/>
      </c>
      <c r="AL157" s="7">
        <f>IF(ISBLANK(AH157), 0, VLOOKUP(AH157, 'Price Sheet'!$A$2:$B1015, 2, false))</f>
        <v>0</v>
      </c>
      <c r="AM157" s="33" t="str">
        <f t="shared" si="10"/>
        <v/>
      </c>
      <c r="AN157" s="37"/>
      <c r="AO157" s="29"/>
      <c r="AP157" s="29" t="b">
        <v>0</v>
      </c>
      <c r="AQ157" s="22" t="str">
        <f t="shared" si="11"/>
        <v/>
      </c>
      <c r="AR157" s="7">
        <f>IF(ISBLANK(AN157), 0, VLOOKUP(AN157, 'Price Sheet'!$A$2:$B1015, 2, false))</f>
        <v>0</v>
      </c>
      <c r="AS157" s="33" t="str">
        <f t="shared" si="12"/>
        <v/>
      </c>
      <c r="AT157" s="37"/>
      <c r="AU157" s="29"/>
      <c r="AV157" s="29" t="b">
        <v>0</v>
      </c>
      <c r="AW157" s="22" t="str">
        <f t="shared" si="13"/>
        <v/>
      </c>
      <c r="AX157" s="7">
        <f>IF(ISBLANK(AT157), 0, VLOOKUP(AT157, 'Price Sheet'!$A$2:$B1015, 2, false))</f>
        <v>0</v>
      </c>
      <c r="AY157" s="33" t="str">
        <f t="shared" si="14"/>
        <v/>
      </c>
      <c r="AZ157" s="37"/>
      <c r="BA157" s="29"/>
      <c r="BB157" s="29" t="b">
        <v>0</v>
      </c>
      <c r="BC157" s="22" t="str">
        <f t="shared" si="15"/>
        <v/>
      </c>
      <c r="BD157" s="7">
        <f>IF(ISBLANK(AZ157), 0, VLOOKUP(AZ157, 'Price Sheet'!$A$2:$B1015, 2, false))</f>
        <v>0</v>
      </c>
      <c r="BE157" s="33" t="str">
        <f t="shared" si="16"/>
        <v/>
      </c>
      <c r="BF157" s="37"/>
      <c r="BG157" s="29"/>
      <c r="BH157" s="29" t="b">
        <v>0</v>
      </c>
      <c r="BI157" s="22" t="str">
        <f t="shared" si="17"/>
        <v/>
      </c>
      <c r="BJ157" s="7">
        <f>IF(ISBLANK(BF157), 0, VLOOKUP(BF157, 'Price Sheet'!$A$2:$B1015, 2, false))</f>
        <v>0</v>
      </c>
      <c r="BK157" s="33" t="str">
        <f t="shared" si="18"/>
        <v/>
      </c>
      <c r="BL157" s="37"/>
      <c r="BM157" s="29"/>
      <c r="BN157" s="29" t="b">
        <v>0</v>
      </c>
      <c r="BO157" s="22" t="str">
        <f t="shared" si="19"/>
        <v/>
      </c>
      <c r="BP157" s="7">
        <f>IF(ISBLANK(BL157), 0, VLOOKUP(BL157, 'Price Sheet'!$A$2:$B1015, 2, false))</f>
        <v>0</v>
      </c>
      <c r="BQ157" s="33" t="str">
        <f t="shared" si="20"/>
        <v/>
      </c>
    </row>
    <row r="158">
      <c r="A158" s="7" t="s">
        <v>336</v>
      </c>
      <c r="B158" s="19">
        <f t="shared" si="1"/>
        <v>1366.425</v>
      </c>
      <c r="C158" s="8" t="s">
        <v>167</v>
      </c>
      <c r="D158" s="8" t="s">
        <v>363</v>
      </c>
      <c r="E158" s="7" t="str">
        <f>IF(ISBLANK(D158), "", VLOOKUP(D158,'Crafting Tables'!$A$2:$B1015, 2, false))</f>
        <v>Advanced</v>
      </c>
      <c r="F158" s="7">
        <f>IFERROR(IF(E158 = "None", 1, VLOOKUP(C158,General!$A$5:$L$35, SWITCH(E158, "Basic", 8, "Advanced", 10, "Modern", 12), false)),"")</f>
        <v>1</v>
      </c>
      <c r="G158" s="8">
        <v>1000.0</v>
      </c>
      <c r="H158" s="7">
        <f>IFERROR(VLOOKUP(C158, General!$A$5:$L$35, 6, false) * G158 / 1000, 0)</f>
        <v>40</v>
      </c>
      <c r="I158" s="8">
        <v>600.0</v>
      </c>
      <c r="J158" s="22">
        <f>IFERROR(I158*VLOOKUP(D158,'Crafting Tables'!$1:$1000, 4, false)*F158,"")</f>
        <v>0</v>
      </c>
      <c r="K158" s="8" t="b">
        <v>1</v>
      </c>
      <c r="L158" s="32" t="s">
        <v>336</v>
      </c>
      <c r="M158" s="8">
        <v>1.0</v>
      </c>
      <c r="N158" s="21">
        <f t="shared" si="2"/>
        <v>1366.425</v>
      </c>
      <c r="P158" s="32" t="s">
        <v>305</v>
      </c>
      <c r="Q158" s="8">
        <v>12.0</v>
      </c>
      <c r="R158" s="29" t="b">
        <v>0</v>
      </c>
      <c r="S158" s="22">
        <f t="shared" si="3"/>
        <v>12</v>
      </c>
      <c r="T158" s="19">
        <f>IF(ISBLANK(P158), 0, VLOOKUP(P158, 'Price Sheet'!$A$2:$B1015, 2, false))</f>
        <v>6.4</v>
      </c>
      <c r="U158" s="33">
        <f t="shared" si="4"/>
        <v>76.8</v>
      </c>
      <c r="V158" s="32" t="s">
        <v>307</v>
      </c>
      <c r="W158" s="8">
        <v>8.0</v>
      </c>
      <c r="X158" s="29" t="b">
        <v>0</v>
      </c>
      <c r="Y158" s="22">
        <f t="shared" si="5"/>
        <v>8</v>
      </c>
      <c r="Z158" s="19">
        <f>IF(ISBLANK(V158), 0, VLOOKUP(V158, 'Price Sheet'!$A$2:$B1015, 2, false))</f>
        <v>4</v>
      </c>
      <c r="AA158" s="33">
        <f t="shared" si="6"/>
        <v>32</v>
      </c>
      <c r="AB158" s="32" t="s">
        <v>312</v>
      </c>
      <c r="AC158" s="8">
        <v>24.0</v>
      </c>
      <c r="AD158" s="29" t="b">
        <v>0</v>
      </c>
      <c r="AE158" s="22">
        <f t="shared" si="7"/>
        <v>24</v>
      </c>
      <c r="AF158" s="19">
        <f>IF(ISBLANK(AB158), 0, VLOOKUP(AB158, 'Price Sheet'!$A$2:$B1015, 2, false))</f>
        <v>1.25</v>
      </c>
      <c r="AG158" s="33">
        <f t="shared" si="8"/>
        <v>30</v>
      </c>
      <c r="AH158" s="32" t="s">
        <v>325</v>
      </c>
      <c r="AI158" s="8">
        <v>20.0</v>
      </c>
      <c r="AJ158" s="29" t="b">
        <v>0</v>
      </c>
      <c r="AK158" s="22">
        <f t="shared" si="9"/>
        <v>20</v>
      </c>
      <c r="AL158" s="19">
        <f>IF(ISBLANK(AH158), 0, VLOOKUP(AH158, 'Price Sheet'!$A$2:$B1015, 2, false))</f>
        <v>2</v>
      </c>
      <c r="AM158" s="33">
        <f t="shared" si="10"/>
        <v>40</v>
      </c>
      <c r="AN158" s="32" t="s">
        <v>152</v>
      </c>
      <c r="AO158" s="8">
        <v>30.0</v>
      </c>
      <c r="AP158" s="29" t="b">
        <v>0</v>
      </c>
      <c r="AQ158" s="22">
        <f t="shared" si="11"/>
        <v>30</v>
      </c>
      <c r="AR158" s="19">
        <f>IF(ISBLANK(AN158), 0, VLOOKUP(AN158, 'Price Sheet'!$A$2:$B1015, 2, false))</f>
        <v>3.5</v>
      </c>
      <c r="AS158" s="33">
        <f t="shared" si="12"/>
        <v>105</v>
      </c>
      <c r="AT158" s="32" t="s">
        <v>321</v>
      </c>
      <c r="AU158" s="8">
        <v>1.0</v>
      </c>
      <c r="AV158" s="8" t="b">
        <v>1</v>
      </c>
      <c r="AW158" s="22">
        <f t="shared" si="13"/>
        <v>1</v>
      </c>
      <c r="AX158" s="19">
        <f>IF(ISBLANK(AT158), 0, VLOOKUP(AT158, 'Price Sheet'!$A$2:$B1015, 2, false))</f>
        <v>862.4</v>
      </c>
      <c r="AY158" s="33">
        <f t="shared" si="14"/>
        <v>862.4</v>
      </c>
      <c r="AZ158" s="32" t="s">
        <v>323</v>
      </c>
      <c r="BA158" s="8">
        <v>4.0</v>
      </c>
      <c r="BB158" s="8" t="b">
        <v>1</v>
      </c>
      <c r="BC158" s="22">
        <f t="shared" si="15"/>
        <v>4</v>
      </c>
      <c r="BD158" s="19">
        <f>IF(ISBLANK(AZ158), 0, VLOOKUP(AZ158, 'Price Sheet'!$A$2:$B1015, 2, false))</f>
        <v>20</v>
      </c>
      <c r="BE158" s="33">
        <f t="shared" si="16"/>
        <v>80</v>
      </c>
      <c r="BF158" s="32" t="s">
        <v>319</v>
      </c>
      <c r="BG158" s="8">
        <v>2.0</v>
      </c>
      <c r="BH158" s="8" t="b">
        <v>1</v>
      </c>
      <c r="BI158" s="22">
        <f t="shared" si="17"/>
        <v>2</v>
      </c>
      <c r="BJ158" s="19">
        <f>IF(ISBLANK(BF158), 0, VLOOKUP(BF158, 'Price Sheet'!$A$2:$B1015, 2, false))</f>
        <v>11</v>
      </c>
      <c r="BK158" s="33">
        <f t="shared" si="18"/>
        <v>22</v>
      </c>
      <c r="BL158" s="32" t="s">
        <v>264</v>
      </c>
      <c r="BM158" s="8">
        <v>2.0</v>
      </c>
      <c r="BN158" s="8" t="b">
        <v>1</v>
      </c>
      <c r="BO158" s="22">
        <f t="shared" si="19"/>
        <v>2</v>
      </c>
      <c r="BP158" s="19">
        <f>IF(ISBLANK(BL158), 0, VLOOKUP(BL158, 'Price Sheet'!$A$2:$B1015, 2, false))</f>
        <v>39.1125</v>
      </c>
      <c r="BQ158" s="33">
        <f t="shared" si="20"/>
        <v>78.225</v>
      </c>
    </row>
    <row r="159">
      <c r="A159" s="7" t="s">
        <v>340</v>
      </c>
      <c r="B159" s="19">
        <f t="shared" si="1"/>
        <v>128</v>
      </c>
      <c r="C159" s="8" t="s">
        <v>167</v>
      </c>
      <c r="D159" s="8" t="s">
        <v>351</v>
      </c>
      <c r="E159" s="7" t="str">
        <f>IF(ISBLANK(D159), "", VLOOKUP(D159,'Crafting Tables'!$A$2:$B1015, 2, false))</f>
        <v>Advanced</v>
      </c>
      <c r="F159" s="7">
        <f>IFERROR(IF(E159 = "None", 1, VLOOKUP(C159,General!$A$5:$L$35, SWITCH(E159, "Basic", 8, "Advanced", 10, "Modern", 12), false)),"")</f>
        <v>1</v>
      </c>
      <c r="G159" s="8">
        <v>800.0</v>
      </c>
      <c r="H159" s="7">
        <f>IFERROR(VLOOKUP(C159, General!$A$5:$L$35, 6, false) * G159 / 1000, 0)</f>
        <v>32</v>
      </c>
      <c r="I159" s="8">
        <v>300.0</v>
      </c>
      <c r="J159" s="22">
        <f>IFERROR(I159*VLOOKUP(D159,'Crafting Tables'!$1:$1000, 4, false)*F159,"")</f>
        <v>0</v>
      </c>
      <c r="K159" s="8" t="b">
        <v>1</v>
      </c>
      <c r="L159" s="32" t="s">
        <v>340</v>
      </c>
      <c r="M159" s="8">
        <v>1.0</v>
      </c>
      <c r="N159" s="21">
        <f t="shared" si="2"/>
        <v>128</v>
      </c>
      <c r="P159" s="32" t="s">
        <v>305</v>
      </c>
      <c r="Q159" s="8">
        <v>6.0</v>
      </c>
      <c r="R159" s="29" t="b">
        <v>0</v>
      </c>
      <c r="S159" s="22">
        <f t="shared" si="3"/>
        <v>6</v>
      </c>
      <c r="T159" s="19">
        <f>IF(ISBLANK(P159), 0, VLOOKUP(P159, 'Price Sheet'!$A$2:$B1015, 2, false))</f>
        <v>6.4</v>
      </c>
      <c r="U159" s="33">
        <f t="shared" si="4"/>
        <v>38.4</v>
      </c>
      <c r="V159" s="32" t="s">
        <v>286</v>
      </c>
      <c r="W159" s="8">
        <v>4.0</v>
      </c>
      <c r="X159" s="29" t="b">
        <v>0</v>
      </c>
      <c r="Y159" s="22">
        <f t="shared" si="5"/>
        <v>4</v>
      </c>
      <c r="Z159" s="19">
        <f>IF(ISBLANK(V159), 0, VLOOKUP(V159, 'Price Sheet'!$A$2:$B1015, 2, false))</f>
        <v>2.4</v>
      </c>
      <c r="AA159" s="33">
        <f t="shared" si="6"/>
        <v>9.6</v>
      </c>
      <c r="AB159" s="32" t="s">
        <v>111</v>
      </c>
      <c r="AC159" s="8">
        <v>2.0</v>
      </c>
      <c r="AD159" s="29" t="b">
        <v>0</v>
      </c>
      <c r="AE159" s="22">
        <f t="shared" si="7"/>
        <v>2</v>
      </c>
      <c r="AF159" s="19">
        <f>IF(ISBLANK(AB159), 0, VLOOKUP(AB159, 'Price Sheet'!$A$2:$B1015, 2, false))</f>
        <v>10</v>
      </c>
      <c r="AG159" s="33">
        <f t="shared" si="8"/>
        <v>20</v>
      </c>
      <c r="AH159" s="32" t="s">
        <v>152</v>
      </c>
      <c r="AI159" s="8">
        <v>8.0</v>
      </c>
      <c r="AJ159" s="29" t="b">
        <v>0</v>
      </c>
      <c r="AK159" s="22">
        <f t="shared" si="9"/>
        <v>8</v>
      </c>
      <c r="AL159" s="19">
        <f>IF(ISBLANK(AH159), 0, VLOOKUP(AH159, 'Price Sheet'!$A$2:$B1015, 2, false))</f>
        <v>3.5</v>
      </c>
      <c r="AM159" s="33">
        <f t="shared" si="10"/>
        <v>28</v>
      </c>
      <c r="AN159" s="37"/>
      <c r="AO159" s="29"/>
      <c r="AP159" s="29" t="b">
        <v>0</v>
      </c>
      <c r="AQ159" s="22" t="str">
        <f t="shared" si="11"/>
        <v/>
      </c>
      <c r="AR159" s="7">
        <f>IF(ISBLANK(AN159), 0, VLOOKUP(AN159, 'Price Sheet'!$A$2:$B1015, 2, false))</f>
        <v>0</v>
      </c>
      <c r="AS159" s="33" t="str">
        <f t="shared" si="12"/>
        <v/>
      </c>
      <c r="AT159" s="37"/>
      <c r="AU159" s="29"/>
      <c r="AV159" s="29" t="b">
        <v>0</v>
      </c>
      <c r="AW159" s="22" t="str">
        <f t="shared" si="13"/>
        <v/>
      </c>
      <c r="AX159" s="7">
        <f>IF(ISBLANK(AT159), 0, VLOOKUP(AT159, 'Price Sheet'!$A$2:$B1015, 2, false))</f>
        <v>0</v>
      </c>
      <c r="AY159" s="33" t="str">
        <f t="shared" si="14"/>
        <v/>
      </c>
      <c r="AZ159" s="37"/>
      <c r="BA159" s="29"/>
      <c r="BB159" s="29" t="b">
        <v>0</v>
      </c>
      <c r="BC159" s="22" t="str">
        <f t="shared" si="15"/>
        <v/>
      </c>
      <c r="BD159" s="7">
        <f>IF(ISBLANK(AZ159), 0, VLOOKUP(AZ159, 'Price Sheet'!$A$2:$B1015, 2, false))</f>
        <v>0</v>
      </c>
      <c r="BE159" s="33" t="str">
        <f t="shared" si="16"/>
        <v/>
      </c>
      <c r="BF159" s="37"/>
      <c r="BG159" s="29"/>
      <c r="BH159" s="29" t="b">
        <v>0</v>
      </c>
      <c r="BI159" s="22" t="str">
        <f t="shared" si="17"/>
        <v/>
      </c>
      <c r="BJ159" s="7">
        <f>IF(ISBLANK(BF159), 0, VLOOKUP(BF159, 'Price Sheet'!$A$2:$B1015, 2, false))</f>
        <v>0</v>
      </c>
      <c r="BK159" s="33" t="str">
        <f t="shared" si="18"/>
        <v/>
      </c>
      <c r="BL159" s="37"/>
      <c r="BM159" s="29"/>
      <c r="BN159" s="29" t="b">
        <v>0</v>
      </c>
      <c r="BO159" s="22" t="str">
        <f t="shared" si="19"/>
        <v/>
      </c>
      <c r="BP159" s="7">
        <f>IF(ISBLANK(BL159), 0, VLOOKUP(BL159, 'Price Sheet'!$A$2:$B1015, 2, false))</f>
        <v>0</v>
      </c>
      <c r="BQ159" s="33" t="str">
        <f t="shared" si="20"/>
        <v/>
      </c>
    </row>
    <row r="160">
      <c r="A160" s="7" t="s">
        <v>341</v>
      </c>
      <c r="B160" s="19">
        <f t="shared" si="1"/>
        <v>386.4925</v>
      </c>
      <c r="C160" s="8" t="s">
        <v>167</v>
      </c>
      <c r="D160" s="8" t="s">
        <v>363</v>
      </c>
      <c r="E160" s="7" t="str">
        <f>IF(ISBLANK(D160), "", VLOOKUP(D160,'Crafting Tables'!$A$2:$B1015, 2, false))</f>
        <v>Advanced</v>
      </c>
      <c r="F160" s="7">
        <f>IFERROR(IF(E160 = "None", 1, VLOOKUP(C160,General!$A$5:$L$35, SWITCH(E160, "Basic", 8, "Advanced", 10, "Modern", 12), false)),"")</f>
        <v>1</v>
      </c>
      <c r="G160" s="8">
        <v>300.0</v>
      </c>
      <c r="H160" s="7">
        <f>IFERROR(VLOOKUP(C160, General!$A$5:$L$35, 6, false) * G160 / 1000, 0)</f>
        <v>12</v>
      </c>
      <c r="I160" s="8">
        <v>240.0</v>
      </c>
      <c r="J160" s="22">
        <f>IFERROR(I160*VLOOKUP(D160,'Crafting Tables'!$1:$1000, 4, false)*F160,"")</f>
        <v>0</v>
      </c>
      <c r="K160" s="8" t="b">
        <v>1</v>
      </c>
      <c r="L160" s="32" t="s">
        <v>341</v>
      </c>
      <c r="M160" s="8">
        <v>1.0</v>
      </c>
      <c r="N160" s="21">
        <f t="shared" si="2"/>
        <v>386.4925</v>
      </c>
      <c r="P160" s="32" t="s">
        <v>322</v>
      </c>
      <c r="Q160" s="8">
        <v>6.0</v>
      </c>
      <c r="R160" s="29" t="b">
        <v>0</v>
      </c>
      <c r="S160" s="22">
        <f t="shared" si="3"/>
        <v>6</v>
      </c>
      <c r="T160" s="19">
        <f>IF(ISBLANK(P160), 0, VLOOKUP(P160, 'Price Sheet'!$A$2:$B1015, 2, false))</f>
        <v>18.4</v>
      </c>
      <c r="U160" s="33">
        <f t="shared" si="4"/>
        <v>110.4</v>
      </c>
      <c r="V160" s="32" t="s">
        <v>146</v>
      </c>
      <c r="W160" s="8">
        <v>4.0</v>
      </c>
      <c r="X160" s="29" t="b">
        <v>0</v>
      </c>
      <c r="Y160" s="22">
        <f t="shared" si="5"/>
        <v>4</v>
      </c>
      <c r="Z160" s="19">
        <f>IF(ISBLANK(V160), 0, VLOOKUP(V160, 'Price Sheet'!$A$2:$B1015, 2, false))</f>
        <v>37.8</v>
      </c>
      <c r="AA160" s="33">
        <f t="shared" si="6"/>
        <v>151.2</v>
      </c>
      <c r="AB160" s="32" t="s">
        <v>305</v>
      </c>
      <c r="AC160" s="8">
        <v>12.0</v>
      </c>
      <c r="AD160" s="29" t="b">
        <v>0</v>
      </c>
      <c r="AE160" s="22">
        <f t="shared" si="7"/>
        <v>12</v>
      </c>
      <c r="AF160" s="19">
        <f>IF(ISBLANK(AB160), 0, VLOOKUP(AB160, 'Price Sheet'!$A$2:$B1015, 2, false))</f>
        <v>6.4</v>
      </c>
      <c r="AG160" s="33">
        <f t="shared" si="8"/>
        <v>76.8</v>
      </c>
      <c r="AH160" s="32" t="s">
        <v>218</v>
      </c>
      <c r="AI160" s="8">
        <v>8.0</v>
      </c>
      <c r="AJ160" s="29" t="b">
        <v>0</v>
      </c>
      <c r="AK160" s="22">
        <f t="shared" si="9"/>
        <v>8</v>
      </c>
      <c r="AL160" s="19">
        <f>IF(ISBLANK(AH160), 0, VLOOKUP(AH160, 'Price Sheet'!$A$2:$B1015, 2, false))</f>
        <v>4.5115625</v>
      </c>
      <c r="AM160" s="33">
        <f t="shared" si="10"/>
        <v>36.0925</v>
      </c>
      <c r="AN160" s="37"/>
      <c r="AO160" s="29"/>
      <c r="AP160" s="29" t="b">
        <v>0</v>
      </c>
      <c r="AQ160" s="22" t="str">
        <f t="shared" si="11"/>
        <v/>
      </c>
      <c r="AR160" s="7">
        <f>IF(ISBLANK(AN160), 0, VLOOKUP(AN160, 'Price Sheet'!$A$2:$B1015, 2, false))</f>
        <v>0</v>
      </c>
      <c r="AS160" s="33" t="str">
        <f t="shared" si="12"/>
        <v/>
      </c>
      <c r="AT160" s="37"/>
      <c r="AU160" s="29"/>
      <c r="AV160" s="29" t="b">
        <v>0</v>
      </c>
      <c r="AW160" s="22" t="str">
        <f t="shared" si="13"/>
        <v/>
      </c>
      <c r="AX160" s="7">
        <f>IF(ISBLANK(AT160), 0, VLOOKUP(AT160, 'Price Sheet'!$A$2:$B1015, 2, false))</f>
        <v>0</v>
      </c>
      <c r="AY160" s="33" t="str">
        <f t="shared" si="14"/>
        <v/>
      </c>
      <c r="AZ160" s="37"/>
      <c r="BA160" s="29"/>
      <c r="BB160" s="29" t="b">
        <v>0</v>
      </c>
      <c r="BC160" s="22" t="str">
        <f t="shared" si="15"/>
        <v/>
      </c>
      <c r="BD160" s="7">
        <f>IF(ISBLANK(AZ160), 0, VLOOKUP(AZ160, 'Price Sheet'!$A$2:$B1015, 2, false))</f>
        <v>0</v>
      </c>
      <c r="BE160" s="33" t="str">
        <f t="shared" si="16"/>
        <v/>
      </c>
      <c r="BF160" s="37"/>
      <c r="BG160" s="29"/>
      <c r="BH160" s="29" t="b">
        <v>0</v>
      </c>
      <c r="BI160" s="22" t="str">
        <f t="shared" si="17"/>
        <v/>
      </c>
      <c r="BJ160" s="7">
        <f>IF(ISBLANK(BF160), 0, VLOOKUP(BF160, 'Price Sheet'!$A$2:$B1015, 2, false))</f>
        <v>0</v>
      </c>
      <c r="BK160" s="33" t="str">
        <f t="shared" si="18"/>
        <v/>
      </c>
      <c r="BL160" s="37"/>
      <c r="BM160" s="29"/>
      <c r="BN160" s="29" t="b">
        <v>0</v>
      </c>
      <c r="BO160" s="22" t="str">
        <f t="shared" si="19"/>
        <v/>
      </c>
      <c r="BP160" s="7">
        <f>IF(ISBLANK(BL160), 0, VLOOKUP(BL160, 'Price Sheet'!$A$2:$B1015, 2, false))</f>
        <v>0</v>
      </c>
      <c r="BQ160" s="33" t="str">
        <f t="shared" si="20"/>
        <v/>
      </c>
    </row>
    <row r="161">
      <c r="A161" s="7" t="s">
        <v>239</v>
      </c>
      <c r="B161" s="19">
        <f t="shared" si="1"/>
        <v>516.4925</v>
      </c>
      <c r="C161" s="8" t="s">
        <v>167</v>
      </c>
      <c r="D161" s="8" t="s">
        <v>363</v>
      </c>
      <c r="E161" s="7" t="str">
        <f>IF(ISBLANK(D161), "", VLOOKUP(D161,'Crafting Tables'!$A$2:$B1015, 2, false))</f>
        <v>Advanced</v>
      </c>
      <c r="F161" s="7">
        <f>IFERROR(IF(E161 = "None", 1, VLOOKUP(C161,General!$A$5:$L$35, SWITCH(E161, "Basic", 8, "Advanced", 10, "Modern", 12), false)),"")</f>
        <v>1</v>
      </c>
      <c r="G161" s="8">
        <v>60.0</v>
      </c>
      <c r="H161" s="7">
        <f>IFERROR(VLOOKUP(C161, General!$A$5:$L$35, 6, false) * G161 / 1000, 0)</f>
        <v>2.4</v>
      </c>
      <c r="I161" s="29">
        <f>7.5*60</f>
        <v>450</v>
      </c>
      <c r="J161" s="22">
        <f>IFERROR(I161*VLOOKUP(D161,'Crafting Tables'!$1:$1000, 4, false)*F161,"")</f>
        <v>0</v>
      </c>
      <c r="K161" s="8" t="b">
        <v>1</v>
      </c>
      <c r="L161" s="32" t="s">
        <v>239</v>
      </c>
      <c r="M161" s="8">
        <v>1.0</v>
      </c>
      <c r="N161" s="21">
        <f t="shared" si="2"/>
        <v>516.4925</v>
      </c>
      <c r="P161" s="32" t="s">
        <v>496</v>
      </c>
      <c r="Q161" s="8">
        <v>4.0</v>
      </c>
      <c r="R161" s="29" t="b">
        <v>0</v>
      </c>
      <c r="S161" s="22">
        <f t="shared" si="3"/>
        <v>4</v>
      </c>
      <c r="T161" s="19">
        <f>IF(ISBLANK(P161), 0, VLOOKUP(P161, 'Price Sheet'!$A$2:$B1015, 2, false))</f>
        <v>18.4</v>
      </c>
      <c r="U161" s="33">
        <f t="shared" si="4"/>
        <v>73.6</v>
      </c>
      <c r="V161" s="32" t="s">
        <v>199</v>
      </c>
      <c r="W161" s="8">
        <v>12.0</v>
      </c>
      <c r="X161" s="29" t="b">
        <v>0</v>
      </c>
      <c r="Y161" s="22">
        <f t="shared" si="5"/>
        <v>12</v>
      </c>
      <c r="Z161" s="19">
        <f>IF(ISBLANK(V161), 0, VLOOKUP(V161, 'Price Sheet'!$A$2:$B1015, 2, false))</f>
        <v>4</v>
      </c>
      <c r="AA161" s="33">
        <f t="shared" si="6"/>
        <v>48</v>
      </c>
      <c r="AB161" s="32" t="s">
        <v>309</v>
      </c>
      <c r="AC161" s="8">
        <v>4.0</v>
      </c>
      <c r="AD161" s="29" t="b">
        <v>0</v>
      </c>
      <c r="AE161" s="22">
        <f t="shared" si="7"/>
        <v>4</v>
      </c>
      <c r="AF161" s="19">
        <f>IF(ISBLANK(AB161), 0, VLOOKUP(AB161, 'Price Sheet'!$A$2:$B1015, 2, false))</f>
        <v>1.5</v>
      </c>
      <c r="AG161" s="33">
        <f t="shared" si="8"/>
        <v>6</v>
      </c>
      <c r="AH161" s="32" t="s">
        <v>341</v>
      </c>
      <c r="AI161" s="8">
        <v>1.0</v>
      </c>
      <c r="AJ161" s="8" t="b">
        <v>1</v>
      </c>
      <c r="AK161" s="22">
        <f t="shared" si="9"/>
        <v>1</v>
      </c>
      <c r="AL161" s="19">
        <f>IF(ISBLANK(AH161), 0, VLOOKUP(AH161, 'Price Sheet'!$A$2:$B1015, 2, false))</f>
        <v>386.4925</v>
      </c>
      <c r="AM161" s="33">
        <f t="shared" si="10"/>
        <v>386.4925</v>
      </c>
      <c r="AN161" s="37"/>
      <c r="AO161" s="29"/>
      <c r="AP161" s="29" t="b">
        <v>0</v>
      </c>
      <c r="AQ161" s="22" t="str">
        <f t="shared" si="11"/>
        <v/>
      </c>
      <c r="AR161" s="7">
        <f>IF(ISBLANK(AN161), 0, VLOOKUP(AN161, 'Price Sheet'!$A$2:$B1015, 2, false))</f>
        <v>0</v>
      </c>
      <c r="AS161" s="33" t="str">
        <f t="shared" si="12"/>
        <v/>
      </c>
      <c r="AT161" s="37"/>
      <c r="AU161" s="29"/>
      <c r="AV161" s="29" t="b">
        <v>0</v>
      </c>
      <c r="AW161" s="22" t="str">
        <f t="shared" si="13"/>
        <v/>
      </c>
      <c r="AX161" s="7">
        <f>IF(ISBLANK(AT161), 0, VLOOKUP(AT161, 'Price Sheet'!$A$2:$B1015, 2, false))</f>
        <v>0</v>
      </c>
      <c r="AY161" s="33" t="str">
        <f t="shared" si="14"/>
        <v/>
      </c>
      <c r="AZ161" s="37"/>
      <c r="BA161" s="29"/>
      <c r="BB161" s="29" t="b">
        <v>0</v>
      </c>
      <c r="BC161" s="22" t="str">
        <f t="shared" si="15"/>
        <v/>
      </c>
      <c r="BD161" s="7">
        <f>IF(ISBLANK(AZ161), 0, VLOOKUP(AZ161, 'Price Sheet'!$A$2:$B1015, 2, false))</f>
        <v>0</v>
      </c>
      <c r="BE161" s="33" t="str">
        <f t="shared" si="16"/>
        <v/>
      </c>
      <c r="BF161" s="37"/>
      <c r="BG161" s="29"/>
      <c r="BH161" s="29" t="b">
        <v>0</v>
      </c>
      <c r="BI161" s="22" t="str">
        <f t="shared" si="17"/>
        <v/>
      </c>
      <c r="BJ161" s="7">
        <f>IF(ISBLANK(BF161), 0, VLOOKUP(BF161, 'Price Sheet'!$A$2:$B1015, 2, false))</f>
        <v>0</v>
      </c>
      <c r="BK161" s="33" t="str">
        <f t="shared" si="18"/>
        <v/>
      </c>
      <c r="BL161" s="37"/>
      <c r="BM161" s="29"/>
      <c r="BN161" s="29" t="b">
        <v>0</v>
      </c>
      <c r="BO161" s="22" t="str">
        <f t="shared" si="19"/>
        <v/>
      </c>
      <c r="BP161" s="7">
        <f>IF(ISBLANK(BL161), 0, VLOOKUP(BL161, 'Price Sheet'!$A$2:$B1015, 2, false))</f>
        <v>0</v>
      </c>
      <c r="BQ161" s="33" t="str">
        <f t="shared" si="20"/>
        <v/>
      </c>
    </row>
    <row r="162">
      <c r="A162" s="7" t="s">
        <v>146</v>
      </c>
      <c r="B162" s="19">
        <f t="shared" si="1"/>
        <v>37.8</v>
      </c>
      <c r="C162" s="8" t="s">
        <v>167</v>
      </c>
      <c r="D162" s="8" t="s">
        <v>355</v>
      </c>
      <c r="E162" s="7" t="str">
        <f>IF(ISBLANK(D162), "", VLOOKUP(D162,'Crafting Tables'!$A$2:$B1015, 2, false))</f>
        <v>Advanced</v>
      </c>
      <c r="F162" s="7">
        <f>IFERROR(IF(E162 = "None", 1, VLOOKUP(C162,General!$A$5:$L$35, SWITCH(E162, "Basic", 8, "Advanced", 10, "Modern", 12), false)),"")</f>
        <v>1</v>
      </c>
      <c r="G162" s="8">
        <v>45.0</v>
      </c>
      <c r="H162" s="7">
        <f>IFERROR(VLOOKUP(C162, General!$A$5:$L$35, 6, false) * G162 / 1000, 0)</f>
        <v>1.8</v>
      </c>
      <c r="I162" s="8">
        <v>45.0</v>
      </c>
      <c r="J162" s="22">
        <f>IFERROR(I162*VLOOKUP(D162,'Crafting Tables'!$1:$1000, 4, false)*F162,"")</f>
        <v>0</v>
      </c>
      <c r="K162" s="8" t="b">
        <v>1</v>
      </c>
      <c r="L162" s="32" t="s">
        <v>146</v>
      </c>
      <c r="M162" s="8">
        <v>1.0</v>
      </c>
      <c r="N162" s="21">
        <f t="shared" si="2"/>
        <v>37.8</v>
      </c>
      <c r="P162" s="32" t="s">
        <v>199</v>
      </c>
      <c r="Q162" s="8">
        <v>2.0</v>
      </c>
      <c r="R162" s="29" t="b">
        <v>0</v>
      </c>
      <c r="S162" s="22">
        <f t="shared" si="3"/>
        <v>2</v>
      </c>
      <c r="T162" s="19">
        <f>IF(ISBLANK(P162), 0, VLOOKUP(P162, 'Price Sheet'!$A$2:$B1015, 2, false))</f>
        <v>4</v>
      </c>
      <c r="U162" s="33">
        <f t="shared" si="4"/>
        <v>8</v>
      </c>
      <c r="V162" s="32" t="s">
        <v>303</v>
      </c>
      <c r="W162" s="8">
        <v>4.0</v>
      </c>
      <c r="X162" s="29" t="b">
        <v>0</v>
      </c>
      <c r="Y162" s="22">
        <f t="shared" si="5"/>
        <v>4</v>
      </c>
      <c r="Z162" s="19">
        <f>IF(ISBLANK(V162), 0, VLOOKUP(V162, 'Price Sheet'!$A$2:$B1015, 2, false))</f>
        <v>7</v>
      </c>
      <c r="AA162" s="33">
        <f t="shared" si="6"/>
        <v>28</v>
      </c>
      <c r="AB162" s="37"/>
      <c r="AC162" s="29"/>
      <c r="AD162" s="29" t="b">
        <v>0</v>
      </c>
      <c r="AE162" s="22" t="str">
        <f t="shared" si="7"/>
        <v/>
      </c>
      <c r="AF162" s="7">
        <f>IF(ISBLANK(AB162), 0, VLOOKUP(AB162, 'Price Sheet'!$A$2:$B1015, 2, false))</f>
        <v>0</v>
      </c>
      <c r="AG162" s="33" t="str">
        <f t="shared" si="8"/>
        <v/>
      </c>
      <c r="AH162" s="37"/>
      <c r="AI162" s="29"/>
      <c r="AJ162" s="29" t="b">
        <v>0</v>
      </c>
      <c r="AK162" s="22" t="str">
        <f t="shared" si="9"/>
        <v/>
      </c>
      <c r="AL162" s="7">
        <f>IF(ISBLANK(AH162), 0, VLOOKUP(AH162, 'Price Sheet'!$A$2:$B1015, 2, false))</f>
        <v>0</v>
      </c>
      <c r="AM162" s="33" t="str">
        <f t="shared" si="10"/>
        <v/>
      </c>
      <c r="AN162" s="37"/>
      <c r="AO162" s="29"/>
      <c r="AP162" s="29" t="b">
        <v>0</v>
      </c>
      <c r="AQ162" s="22" t="str">
        <f t="shared" si="11"/>
        <v/>
      </c>
      <c r="AR162" s="7">
        <f>IF(ISBLANK(AN162), 0, VLOOKUP(AN162, 'Price Sheet'!$A$2:$B1015, 2, false))</f>
        <v>0</v>
      </c>
      <c r="AS162" s="33" t="str">
        <f t="shared" si="12"/>
        <v/>
      </c>
      <c r="AT162" s="37"/>
      <c r="AU162" s="29"/>
      <c r="AV162" s="29" t="b">
        <v>0</v>
      </c>
      <c r="AW162" s="22" t="str">
        <f t="shared" si="13"/>
        <v/>
      </c>
      <c r="AX162" s="7">
        <f>IF(ISBLANK(AT162), 0, VLOOKUP(AT162, 'Price Sheet'!$A$2:$B1015, 2, false))</f>
        <v>0</v>
      </c>
      <c r="AY162" s="33" t="str">
        <f t="shared" si="14"/>
        <v/>
      </c>
      <c r="AZ162" s="37"/>
      <c r="BA162" s="29"/>
      <c r="BB162" s="29" t="b">
        <v>0</v>
      </c>
      <c r="BC162" s="22" t="str">
        <f t="shared" si="15"/>
        <v/>
      </c>
      <c r="BD162" s="7">
        <f>IF(ISBLANK(AZ162), 0, VLOOKUP(AZ162, 'Price Sheet'!$A$2:$B1015, 2, false))</f>
        <v>0</v>
      </c>
      <c r="BE162" s="33" t="str">
        <f t="shared" si="16"/>
        <v/>
      </c>
      <c r="BF162" s="37"/>
      <c r="BG162" s="29"/>
      <c r="BH162" s="29" t="b">
        <v>0</v>
      </c>
      <c r="BI162" s="22" t="str">
        <f t="shared" si="17"/>
        <v/>
      </c>
      <c r="BJ162" s="7">
        <f>IF(ISBLANK(BF162), 0, VLOOKUP(BF162, 'Price Sheet'!$A$2:$B1015, 2, false))</f>
        <v>0</v>
      </c>
      <c r="BK162" s="33" t="str">
        <f t="shared" si="18"/>
        <v/>
      </c>
      <c r="BL162" s="37"/>
      <c r="BM162" s="29"/>
      <c r="BN162" s="29" t="b">
        <v>0</v>
      </c>
      <c r="BO162" s="22" t="str">
        <f t="shared" si="19"/>
        <v/>
      </c>
      <c r="BP162" s="7">
        <f>IF(ISBLANK(BL162), 0, VLOOKUP(BL162, 'Price Sheet'!$A$2:$B1015, 2, false))</f>
        <v>0</v>
      </c>
      <c r="BQ162" s="33" t="str">
        <f t="shared" si="20"/>
        <v/>
      </c>
    </row>
    <row r="163">
      <c r="A163" s="7" t="s">
        <v>324</v>
      </c>
      <c r="B163" s="19">
        <f t="shared" si="1"/>
        <v>235.9308333</v>
      </c>
      <c r="C163" s="8" t="s">
        <v>167</v>
      </c>
      <c r="D163" s="8" t="s">
        <v>363</v>
      </c>
      <c r="E163" s="7" t="str">
        <f>IF(ISBLANK(D163), "", VLOOKUP(D163,'Crafting Tables'!$A$2:$B1015, 2, false))</f>
        <v>Advanced</v>
      </c>
      <c r="F163" s="7">
        <f>IFERROR(IF(E163 = "None", 1, VLOOKUP(C163,General!$A$5:$L$35, SWITCH(E163, "Basic", 8, "Advanced", 10, "Modern", 12), false)),"")</f>
        <v>1</v>
      </c>
      <c r="G163" s="8">
        <v>360.0</v>
      </c>
      <c r="H163" s="7">
        <f>IFERROR(VLOOKUP(C163, General!$A$5:$L$35, 6, false) * G163 / 1000, 0)</f>
        <v>14.4</v>
      </c>
      <c r="I163" s="8">
        <v>600.0</v>
      </c>
      <c r="J163" s="22">
        <f>IFERROR(I163*VLOOKUP(D163,'Crafting Tables'!$1:$1000, 4, false)*F163,"")</f>
        <v>0</v>
      </c>
      <c r="K163" s="8" t="b">
        <v>1</v>
      </c>
      <c r="L163" s="32" t="s">
        <v>324</v>
      </c>
      <c r="M163" s="8">
        <v>1.0</v>
      </c>
      <c r="N163" s="21">
        <f t="shared" si="2"/>
        <v>235.9308333</v>
      </c>
      <c r="P163" s="32" t="s">
        <v>215</v>
      </c>
      <c r="Q163" s="8">
        <v>8.0</v>
      </c>
      <c r="R163" s="29" t="b">
        <v>0</v>
      </c>
      <c r="S163" s="22">
        <f t="shared" si="3"/>
        <v>8</v>
      </c>
      <c r="T163" s="19">
        <f>IF(ISBLANK(P163), 0, VLOOKUP(P163, 'Price Sheet'!$A$2:$B1015, 2, false))</f>
        <v>8.791354167</v>
      </c>
      <c r="U163" s="33">
        <f t="shared" si="4"/>
        <v>70.33083333</v>
      </c>
      <c r="V163" s="32" t="s">
        <v>146</v>
      </c>
      <c r="W163" s="8">
        <v>4.0</v>
      </c>
      <c r="X163" s="29" t="b">
        <v>0</v>
      </c>
      <c r="Y163" s="22">
        <f t="shared" si="5"/>
        <v>4</v>
      </c>
      <c r="Z163" s="19">
        <f>IF(ISBLANK(V163), 0, VLOOKUP(V163, 'Price Sheet'!$A$2:$B1015, 2, false))</f>
        <v>37.8</v>
      </c>
      <c r="AA163" s="33">
        <f t="shared" si="6"/>
        <v>151.2</v>
      </c>
      <c r="AB163" s="37"/>
      <c r="AC163" s="29"/>
      <c r="AD163" s="29" t="b">
        <v>0</v>
      </c>
      <c r="AE163" s="22" t="str">
        <f t="shared" si="7"/>
        <v/>
      </c>
      <c r="AF163" s="7">
        <f>IF(ISBLANK(AB163), 0, VLOOKUP(AB163, 'Price Sheet'!$A$2:$B1015, 2, false))</f>
        <v>0</v>
      </c>
      <c r="AG163" s="33" t="str">
        <f t="shared" si="8"/>
        <v/>
      </c>
      <c r="AH163" s="37"/>
      <c r="AI163" s="29"/>
      <c r="AJ163" s="29" t="b">
        <v>0</v>
      </c>
      <c r="AK163" s="22" t="str">
        <f t="shared" si="9"/>
        <v/>
      </c>
      <c r="AL163" s="7">
        <f>IF(ISBLANK(AH163), 0, VLOOKUP(AH163, 'Price Sheet'!$A$2:$B1015, 2, false))</f>
        <v>0</v>
      </c>
      <c r="AM163" s="33" t="str">
        <f t="shared" si="10"/>
        <v/>
      </c>
      <c r="AN163" s="37"/>
      <c r="AO163" s="29"/>
      <c r="AP163" s="29" t="b">
        <v>0</v>
      </c>
      <c r="AQ163" s="22" t="str">
        <f t="shared" si="11"/>
        <v/>
      </c>
      <c r="AR163" s="7">
        <f>IF(ISBLANK(AN163), 0, VLOOKUP(AN163, 'Price Sheet'!$A$2:$B1015, 2, false))</f>
        <v>0</v>
      </c>
      <c r="AS163" s="33" t="str">
        <f t="shared" si="12"/>
        <v/>
      </c>
      <c r="AT163" s="37"/>
      <c r="AU163" s="29"/>
      <c r="AV163" s="29" t="b">
        <v>0</v>
      </c>
      <c r="AW163" s="22" t="str">
        <f t="shared" si="13"/>
        <v/>
      </c>
      <c r="AX163" s="7">
        <f>IF(ISBLANK(AT163), 0, VLOOKUP(AT163, 'Price Sheet'!$A$2:$B1015, 2, false))</f>
        <v>0</v>
      </c>
      <c r="AY163" s="33" t="str">
        <f t="shared" si="14"/>
        <v/>
      </c>
      <c r="AZ163" s="37"/>
      <c r="BA163" s="29"/>
      <c r="BB163" s="29" t="b">
        <v>0</v>
      </c>
      <c r="BC163" s="22" t="str">
        <f t="shared" si="15"/>
        <v/>
      </c>
      <c r="BD163" s="7">
        <f>IF(ISBLANK(AZ163), 0, VLOOKUP(AZ163, 'Price Sheet'!$A$2:$B1015, 2, false))</f>
        <v>0</v>
      </c>
      <c r="BE163" s="33" t="str">
        <f t="shared" si="16"/>
        <v/>
      </c>
      <c r="BF163" s="37"/>
      <c r="BG163" s="29"/>
      <c r="BH163" s="29" t="b">
        <v>0</v>
      </c>
      <c r="BI163" s="22" t="str">
        <f t="shared" si="17"/>
        <v/>
      </c>
      <c r="BJ163" s="7">
        <f>IF(ISBLANK(BF163), 0, VLOOKUP(BF163, 'Price Sheet'!$A$2:$B1015, 2, false))</f>
        <v>0</v>
      </c>
      <c r="BK163" s="33" t="str">
        <f t="shared" si="18"/>
        <v/>
      </c>
      <c r="BL163" s="37"/>
      <c r="BM163" s="29"/>
      <c r="BN163" s="29" t="b">
        <v>0</v>
      </c>
      <c r="BO163" s="22" t="str">
        <f t="shared" si="19"/>
        <v/>
      </c>
      <c r="BP163" s="7">
        <f>IF(ISBLANK(BL163), 0, VLOOKUP(BL163, 'Price Sheet'!$A$2:$B1015, 2, false))</f>
        <v>0</v>
      </c>
      <c r="BQ163" s="33" t="str">
        <f t="shared" si="20"/>
        <v/>
      </c>
    </row>
    <row r="164">
      <c r="A164" s="7" t="s">
        <v>343</v>
      </c>
      <c r="B164" s="19">
        <f t="shared" si="1"/>
        <v>128.8</v>
      </c>
      <c r="C164" s="8" t="s">
        <v>167</v>
      </c>
      <c r="D164" s="8" t="s">
        <v>355</v>
      </c>
      <c r="E164" s="7" t="str">
        <f>IF(ISBLANK(D164), "", VLOOKUP(D164,'Crafting Tables'!$A$2:$B1015, 2, false))</f>
        <v>Advanced</v>
      </c>
      <c r="F164" s="7">
        <f>IFERROR(IF(E164 = "None", 1, VLOOKUP(C164,General!$A$5:$L$35, SWITCH(E164, "Basic", 8, "Advanced", 10, "Modern", 12), false)),"")</f>
        <v>1</v>
      </c>
      <c r="G164" s="8">
        <v>60.0</v>
      </c>
      <c r="H164" s="7">
        <f>IFERROR(VLOOKUP(C164, General!$A$5:$L$35, 6, false) * G164 / 1000, 0)</f>
        <v>2.4</v>
      </c>
      <c r="I164" s="8">
        <v>60.0</v>
      </c>
      <c r="J164" s="22">
        <f>IFERROR(I164*VLOOKUP(D164,'Crafting Tables'!$1:$1000, 4, false)*F164,"")</f>
        <v>0</v>
      </c>
      <c r="K164" s="8" t="b">
        <v>1</v>
      </c>
      <c r="L164" s="32" t="s">
        <v>343</v>
      </c>
      <c r="M164" s="8">
        <v>1.0</v>
      </c>
      <c r="N164" s="21">
        <f t="shared" si="2"/>
        <v>128.8</v>
      </c>
      <c r="P164" s="32" t="s">
        <v>311</v>
      </c>
      <c r="Q164" s="8">
        <v>8.0</v>
      </c>
      <c r="R164" s="29" t="b">
        <v>0</v>
      </c>
      <c r="S164" s="22">
        <f t="shared" si="3"/>
        <v>8</v>
      </c>
      <c r="T164" s="19">
        <f>IF(ISBLANK(P164), 0, VLOOKUP(P164, 'Price Sheet'!$A$2:$B1015, 2, false))</f>
        <v>7.4</v>
      </c>
      <c r="U164" s="33">
        <f t="shared" si="4"/>
        <v>59.2</v>
      </c>
      <c r="V164" s="32" t="s">
        <v>257</v>
      </c>
      <c r="W164" s="8">
        <v>6.0</v>
      </c>
      <c r="X164" s="29" t="b">
        <v>0</v>
      </c>
      <c r="Y164" s="22">
        <f t="shared" si="5"/>
        <v>6</v>
      </c>
      <c r="Z164" s="19">
        <f>IF(ISBLANK(V164), 0, VLOOKUP(V164, 'Price Sheet'!$A$2:$B1015, 2, false))</f>
        <v>11.2</v>
      </c>
      <c r="AA164" s="33">
        <f t="shared" si="6"/>
        <v>67.2</v>
      </c>
      <c r="AB164" s="37"/>
      <c r="AC164" s="29"/>
      <c r="AD164" s="29" t="b">
        <v>0</v>
      </c>
      <c r="AE164" s="22" t="str">
        <f t="shared" si="7"/>
        <v/>
      </c>
      <c r="AF164" s="7">
        <f>IF(ISBLANK(AB164), 0, VLOOKUP(AB164, 'Price Sheet'!$A$2:$B1015, 2, false))</f>
        <v>0</v>
      </c>
      <c r="AG164" s="33" t="str">
        <f t="shared" si="8"/>
        <v/>
      </c>
      <c r="AH164" s="37"/>
      <c r="AI164" s="29"/>
      <c r="AJ164" s="29" t="b">
        <v>0</v>
      </c>
      <c r="AK164" s="22" t="str">
        <f t="shared" si="9"/>
        <v/>
      </c>
      <c r="AL164" s="7">
        <f>IF(ISBLANK(AH164), 0, VLOOKUP(AH164, 'Price Sheet'!$A$2:$B1015, 2, false))</f>
        <v>0</v>
      </c>
      <c r="AM164" s="33" t="str">
        <f t="shared" si="10"/>
        <v/>
      </c>
      <c r="AN164" s="37"/>
      <c r="AO164" s="29"/>
      <c r="AP164" s="29" t="b">
        <v>0</v>
      </c>
      <c r="AQ164" s="22" t="str">
        <f t="shared" si="11"/>
        <v/>
      </c>
      <c r="AR164" s="7">
        <f>IF(ISBLANK(AN164), 0, VLOOKUP(AN164, 'Price Sheet'!$A$2:$B1015, 2, false))</f>
        <v>0</v>
      </c>
      <c r="AS164" s="33" t="str">
        <f t="shared" si="12"/>
        <v/>
      </c>
      <c r="AT164" s="37"/>
      <c r="AU164" s="29"/>
      <c r="AV164" s="29" t="b">
        <v>0</v>
      </c>
      <c r="AW164" s="22" t="str">
        <f t="shared" si="13"/>
        <v/>
      </c>
      <c r="AX164" s="7">
        <f>IF(ISBLANK(AT164), 0, VLOOKUP(AT164, 'Price Sheet'!$A$2:$B1015, 2, false))</f>
        <v>0</v>
      </c>
      <c r="AY164" s="33" t="str">
        <f t="shared" si="14"/>
        <v/>
      </c>
      <c r="AZ164" s="37"/>
      <c r="BA164" s="29"/>
      <c r="BB164" s="29" t="b">
        <v>0</v>
      </c>
      <c r="BC164" s="22" t="str">
        <f t="shared" si="15"/>
        <v/>
      </c>
      <c r="BD164" s="7">
        <f>IF(ISBLANK(AZ164), 0, VLOOKUP(AZ164, 'Price Sheet'!$A$2:$B1015, 2, false))</f>
        <v>0</v>
      </c>
      <c r="BE164" s="33" t="str">
        <f t="shared" si="16"/>
        <v/>
      </c>
      <c r="BF164" s="37"/>
      <c r="BG164" s="29"/>
      <c r="BH164" s="29" t="b">
        <v>0</v>
      </c>
      <c r="BI164" s="22" t="str">
        <f t="shared" si="17"/>
        <v/>
      </c>
      <c r="BJ164" s="7">
        <f>IF(ISBLANK(BF164), 0, VLOOKUP(BF164, 'Price Sheet'!$A$2:$B1015, 2, false))</f>
        <v>0</v>
      </c>
      <c r="BK164" s="33" t="str">
        <f t="shared" si="18"/>
        <v/>
      </c>
      <c r="BL164" s="37"/>
      <c r="BM164" s="29"/>
      <c r="BN164" s="29" t="b">
        <v>0</v>
      </c>
      <c r="BO164" s="22" t="str">
        <f t="shared" si="19"/>
        <v/>
      </c>
      <c r="BP164" s="7">
        <f>IF(ISBLANK(BL164), 0, VLOOKUP(BL164, 'Price Sheet'!$A$2:$B1015, 2, false))</f>
        <v>0</v>
      </c>
      <c r="BQ164" s="33" t="str">
        <f t="shared" si="20"/>
        <v/>
      </c>
    </row>
    <row r="165">
      <c r="A165" s="7" t="s">
        <v>349</v>
      </c>
      <c r="B165" s="19">
        <f t="shared" si="1"/>
        <v>235.6</v>
      </c>
      <c r="C165" s="8" t="s">
        <v>167</v>
      </c>
      <c r="D165" s="8" t="s">
        <v>351</v>
      </c>
      <c r="E165" s="7" t="str">
        <f>IF(ISBLANK(D165), "", VLOOKUP(D165,'Crafting Tables'!$A$2:$B1015, 2, false))</f>
        <v>Advanced</v>
      </c>
      <c r="F165" s="7">
        <f>IFERROR(IF(E165 = "None", 1, VLOOKUP(C165,General!$A$5:$L$35, SWITCH(E165, "Basic", 8, "Advanced", 10, "Modern", 12), false)),"")</f>
        <v>1</v>
      </c>
      <c r="G165" s="8">
        <v>240.0</v>
      </c>
      <c r="H165" s="7">
        <f>IFERROR(VLOOKUP(C165, General!$A$5:$L$35, 6, false) * G165 / 1000, 0)</f>
        <v>9.6</v>
      </c>
      <c r="I165" s="8">
        <v>120.0</v>
      </c>
      <c r="J165" s="22">
        <f>IFERROR(I165*VLOOKUP(D165,'Crafting Tables'!$1:$1000, 4, false)*F165,"")</f>
        <v>0</v>
      </c>
      <c r="K165" s="8" t="b">
        <v>1</v>
      </c>
      <c r="L165" s="32" t="s">
        <v>349</v>
      </c>
      <c r="M165" s="8">
        <v>1.0</v>
      </c>
      <c r="N165" s="21">
        <f t="shared" si="2"/>
        <v>235.6</v>
      </c>
      <c r="P165" s="32" t="s">
        <v>146</v>
      </c>
      <c r="Q165" s="8">
        <v>2.0</v>
      </c>
      <c r="R165" s="29" t="b">
        <v>0</v>
      </c>
      <c r="S165" s="22">
        <f t="shared" si="3"/>
        <v>2</v>
      </c>
      <c r="T165" s="19">
        <f>IF(ISBLANK(P165), 0, VLOOKUP(P165, 'Price Sheet'!$A$2:$B1015, 2, false))</f>
        <v>37.8</v>
      </c>
      <c r="U165" s="33">
        <f t="shared" si="4"/>
        <v>75.6</v>
      </c>
      <c r="V165" s="32" t="s">
        <v>322</v>
      </c>
      <c r="W165" s="8">
        <v>4.0</v>
      </c>
      <c r="X165" s="29" t="b">
        <v>0</v>
      </c>
      <c r="Y165" s="22">
        <f t="shared" si="5"/>
        <v>4</v>
      </c>
      <c r="Z165" s="19">
        <f>IF(ISBLANK(V165), 0, VLOOKUP(V165, 'Price Sheet'!$A$2:$B1015, 2, false))</f>
        <v>18.4</v>
      </c>
      <c r="AA165" s="33">
        <f t="shared" si="6"/>
        <v>73.6</v>
      </c>
      <c r="AB165" s="32" t="s">
        <v>305</v>
      </c>
      <c r="AC165" s="8">
        <v>12.0</v>
      </c>
      <c r="AD165" s="29" t="b">
        <v>0</v>
      </c>
      <c r="AE165" s="22">
        <f t="shared" si="7"/>
        <v>12</v>
      </c>
      <c r="AF165" s="19">
        <f>IF(ISBLANK(AB165), 0, VLOOKUP(AB165, 'Price Sheet'!$A$2:$B1015, 2, false))</f>
        <v>6.4</v>
      </c>
      <c r="AG165" s="33">
        <f t="shared" si="8"/>
        <v>76.8</v>
      </c>
      <c r="AH165" s="37"/>
      <c r="AI165" s="29"/>
      <c r="AJ165" s="29" t="b">
        <v>0</v>
      </c>
      <c r="AK165" s="22" t="str">
        <f t="shared" si="9"/>
        <v/>
      </c>
      <c r="AL165" s="7">
        <f>IF(ISBLANK(AH165), 0, VLOOKUP(AH165, 'Price Sheet'!$A$2:$B1015, 2, false))</f>
        <v>0</v>
      </c>
      <c r="AM165" s="33" t="str">
        <f t="shared" si="10"/>
        <v/>
      </c>
      <c r="AN165" s="37"/>
      <c r="AO165" s="29"/>
      <c r="AP165" s="29" t="b">
        <v>0</v>
      </c>
      <c r="AQ165" s="22" t="str">
        <f t="shared" si="11"/>
        <v/>
      </c>
      <c r="AR165" s="7">
        <f>IF(ISBLANK(AN165), 0, VLOOKUP(AN165, 'Price Sheet'!$A$2:$B1015, 2, false))</f>
        <v>0</v>
      </c>
      <c r="AS165" s="33" t="str">
        <f t="shared" si="12"/>
        <v/>
      </c>
      <c r="AT165" s="37"/>
      <c r="AU165" s="29"/>
      <c r="AV165" s="29" t="b">
        <v>0</v>
      </c>
      <c r="AW165" s="22" t="str">
        <f t="shared" si="13"/>
        <v/>
      </c>
      <c r="AX165" s="7">
        <f>IF(ISBLANK(AT165), 0, VLOOKUP(AT165, 'Price Sheet'!$A$2:$B1015, 2, false))</f>
        <v>0</v>
      </c>
      <c r="AY165" s="33" t="str">
        <f t="shared" si="14"/>
        <v/>
      </c>
      <c r="AZ165" s="37"/>
      <c r="BA165" s="29"/>
      <c r="BB165" s="29" t="b">
        <v>0</v>
      </c>
      <c r="BC165" s="22" t="str">
        <f t="shared" si="15"/>
        <v/>
      </c>
      <c r="BD165" s="7">
        <f>IF(ISBLANK(AZ165), 0, VLOOKUP(AZ165, 'Price Sheet'!$A$2:$B1015, 2, false))</f>
        <v>0</v>
      </c>
      <c r="BE165" s="33" t="str">
        <f t="shared" si="16"/>
        <v/>
      </c>
      <c r="BF165" s="37"/>
      <c r="BG165" s="29"/>
      <c r="BH165" s="29" t="b">
        <v>0</v>
      </c>
      <c r="BI165" s="22" t="str">
        <f t="shared" si="17"/>
        <v/>
      </c>
      <c r="BJ165" s="7">
        <f>IF(ISBLANK(BF165), 0, VLOOKUP(BF165, 'Price Sheet'!$A$2:$B1015, 2, false))</f>
        <v>0</v>
      </c>
      <c r="BK165" s="33" t="str">
        <f t="shared" si="18"/>
        <v/>
      </c>
      <c r="BL165" s="37"/>
      <c r="BM165" s="29"/>
      <c r="BN165" s="29" t="b">
        <v>0</v>
      </c>
      <c r="BO165" s="22" t="str">
        <f t="shared" si="19"/>
        <v/>
      </c>
      <c r="BP165" s="7">
        <f>IF(ISBLANK(BL165), 0, VLOOKUP(BL165, 'Price Sheet'!$A$2:$B1015, 2, false))</f>
        <v>0</v>
      </c>
      <c r="BQ165" s="33" t="str">
        <f t="shared" si="20"/>
        <v/>
      </c>
    </row>
    <row r="166">
      <c r="A166" s="7" t="s">
        <v>313</v>
      </c>
      <c r="B166" s="19">
        <f t="shared" si="1"/>
        <v>502.4</v>
      </c>
      <c r="C166" s="8" t="s">
        <v>167</v>
      </c>
      <c r="D166" s="8" t="s">
        <v>363</v>
      </c>
      <c r="E166" s="7" t="str">
        <f>IF(ISBLANK(D166), "", VLOOKUP(D166,'Crafting Tables'!$A$2:$B1015, 2, false))</f>
        <v>Advanced</v>
      </c>
      <c r="F166" s="7">
        <f>IFERROR(IF(E166 = "None", 1, VLOOKUP(C166,General!$A$5:$L$35, SWITCH(E166, "Basic", 8, "Advanced", 10, "Modern", 12), false)),"")</f>
        <v>1</v>
      </c>
      <c r="G166" s="8">
        <v>600.0</v>
      </c>
      <c r="H166" s="7">
        <f>IFERROR(VLOOKUP(C166, General!$A$5:$L$35, 6, false) * G166 / 1000, 0)</f>
        <v>24</v>
      </c>
      <c r="I166" s="29">
        <f>100*60</f>
        <v>6000</v>
      </c>
      <c r="J166" s="22">
        <f>IFERROR(I166*VLOOKUP(D166,'Crafting Tables'!$1:$1000, 4, false)*F166,"")</f>
        <v>0</v>
      </c>
      <c r="K166" s="8" t="b">
        <v>1</v>
      </c>
      <c r="L166" s="32" t="s">
        <v>313</v>
      </c>
      <c r="M166" s="8">
        <v>1.0</v>
      </c>
      <c r="N166" s="21">
        <f t="shared" si="2"/>
        <v>502.4</v>
      </c>
      <c r="P166" s="32" t="s">
        <v>146</v>
      </c>
      <c r="Q166" s="8">
        <v>8.0</v>
      </c>
      <c r="R166" s="29" t="b">
        <v>0</v>
      </c>
      <c r="S166" s="22">
        <f t="shared" si="3"/>
        <v>8</v>
      </c>
      <c r="T166" s="19">
        <f>IF(ISBLANK(P166), 0, VLOOKUP(P166, 'Price Sheet'!$A$2:$B1015, 2, false))</f>
        <v>37.8</v>
      </c>
      <c r="U166" s="33">
        <f t="shared" si="4"/>
        <v>302.4</v>
      </c>
      <c r="V166" s="32" t="s">
        <v>322</v>
      </c>
      <c r="W166" s="8">
        <v>4.0</v>
      </c>
      <c r="X166" s="29" t="b">
        <v>0</v>
      </c>
      <c r="Y166" s="22">
        <f t="shared" si="5"/>
        <v>4</v>
      </c>
      <c r="Z166" s="19">
        <f>IF(ISBLANK(V166), 0, VLOOKUP(V166, 'Price Sheet'!$A$2:$B1015, 2, false))</f>
        <v>18.4</v>
      </c>
      <c r="AA166" s="33">
        <f t="shared" si="6"/>
        <v>73.6</v>
      </c>
      <c r="AB166" s="32" t="s">
        <v>305</v>
      </c>
      <c r="AC166" s="8">
        <v>16.0</v>
      </c>
      <c r="AD166" s="29" t="b">
        <v>0</v>
      </c>
      <c r="AE166" s="22">
        <f t="shared" si="7"/>
        <v>16</v>
      </c>
      <c r="AF166" s="19">
        <f>IF(ISBLANK(AB166), 0, VLOOKUP(AB166, 'Price Sheet'!$A$2:$B1015, 2, false))</f>
        <v>6.4</v>
      </c>
      <c r="AG166" s="33">
        <f t="shared" si="8"/>
        <v>102.4</v>
      </c>
      <c r="AH166" s="37"/>
      <c r="AI166" s="29"/>
      <c r="AJ166" s="29" t="b">
        <v>0</v>
      </c>
      <c r="AK166" s="22" t="str">
        <f t="shared" si="9"/>
        <v/>
      </c>
      <c r="AL166" s="7">
        <f>IF(ISBLANK(AH166), 0, VLOOKUP(AH166, 'Price Sheet'!$A$2:$B1015, 2, false))</f>
        <v>0</v>
      </c>
      <c r="AM166" s="33" t="str">
        <f t="shared" si="10"/>
        <v/>
      </c>
      <c r="AN166" s="37"/>
      <c r="AO166" s="29"/>
      <c r="AP166" s="29" t="b">
        <v>0</v>
      </c>
      <c r="AQ166" s="22" t="str">
        <f t="shared" si="11"/>
        <v/>
      </c>
      <c r="AR166" s="7">
        <f>IF(ISBLANK(AN166), 0, VLOOKUP(AN166, 'Price Sheet'!$A$2:$B1015, 2, false))</f>
        <v>0</v>
      </c>
      <c r="AS166" s="33" t="str">
        <f t="shared" si="12"/>
        <v/>
      </c>
      <c r="AT166" s="37"/>
      <c r="AU166" s="29"/>
      <c r="AV166" s="29" t="b">
        <v>0</v>
      </c>
      <c r="AW166" s="22" t="str">
        <f t="shared" si="13"/>
        <v/>
      </c>
      <c r="AX166" s="7">
        <f>IF(ISBLANK(AT166), 0, VLOOKUP(AT166, 'Price Sheet'!$A$2:$B1015, 2, false))</f>
        <v>0</v>
      </c>
      <c r="AY166" s="33" t="str">
        <f t="shared" si="14"/>
        <v/>
      </c>
      <c r="AZ166" s="37"/>
      <c r="BA166" s="29"/>
      <c r="BB166" s="29" t="b">
        <v>0</v>
      </c>
      <c r="BC166" s="22" t="str">
        <f t="shared" si="15"/>
        <v/>
      </c>
      <c r="BD166" s="7">
        <f>IF(ISBLANK(AZ166), 0, VLOOKUP(AZ166, 'Price Sheet'!$A$2:$B1015, 2, false))</f>
        <v>0</v>
      </c>
      <c r="BE166" s="33" t="str">
        <f t="shared" si="16"/>
        <v/>
      </c>
      <c r="BF166" s="37"/>
      <c r="BG166" s="29"/>
      <c r="BH166" s="29" t="b">
        <v>0</v>
      </c>
      <c r="BI166" s="22" t="str">
        <f t="shared" si="17"/>
        <v/>
      </c>
      <c r="BJ166" s="7">
        <f>IF(ISBLANK(BF166), 0, VLOOKUP(BF166, 'Price Sheet'!$A$2:$B1015, 2, false))</f>
        <v>0</v>
      </c>
      <c r="BK166" s="33" t="str">
        <f t="shared" si="18"/>
        <v/>
      </c>
      <c r="BL166" s="37"/>
      <c r="BM166" s="29"/>
      <c r="BN166" s="29" t="b">
        <v>0</v>
      </c>
      <c r="BO166" s="22" t="str">
        <f t="shared" si="19"/>
        <v/>
      </c>
      <c r="BP166" s="7">
        <f>IF(ISBLANK(BL166), 0, VLOOKUP(BL166, 'Price Sheet'!$A$2:$B1015, 2, false))</f>
        <v>0</v>
      </c>
      <c r="BQ166" s="33" t="str">
        <f t="shared" si="20"/>
        <v/>
      </c>
    </row>
    <row r="167">
      <c r="A167" s="7" t="s">
        <v>316</v>
      </c>
      <c r="B167" s="19">
        <f t="shared" si="1"/>
        <v>179.8</v>
      </c>
      <c r="C167" s="8" t="s">
        <v>167</v>
      </c>
      <c r="D167" s="8" t="s">
        <v>363</v>
      </c>
      <c r="E167" s="7" t="str">
        <f>IF(ISBLANK(D167), "", VLOOKUP(D167,'Crafting Tables'!$A$2:$B1015, 2, false))</f>
        <v>Advanced</v>
      </c>
      <c r="F167" s="7">
        <f>IFERROR(IF(E167 = "None", 1, VLOOKUP(C167,General!$A$5:$L$35, SWITCH(E167, "Basic", 8, "Advanced", 10, "Modern", 12), false)),"")</f>
        <v>1</v>
      </c>
      <c r="G167" s="8">
        <v>600.0</v>
      </c>
      <c r="H167" s="7">
        <f>IFERROR(VLOOKUP(C167, General!$A$5:$L$35, 6, false) * G167 / 1000, 0)</f>
        <v>24</v>
      </c>
      <c r="I167" s="29">
        <f>60*25</f>
        <v>1500</v>
      </c>
      <c r="J167" s="22">
        <f>IFERROR(I167*VLOOKUP(D167,'Crafting Tables'!$1:$1000, 4, false)*F167,"")</f>
        <v>0</v>
      </c>
      <c r="K167" s="8" t="b">
        <v>1</v>
      </c>
      <c r="L167" s="32" t="s">
        <v>316</v>
      </c>
      <c r="M167" s="8">
        <v>1.0</v>
      </c>
      <c r="N167" s="21">
        <f t="shared" si="2"/>
        <v>179.8</v>
      </c>
      <c r="P167" s="32" t="s">
        <v>312</v>
      </c>
      <c r="Q167" s="8">
        <v>12.0</v>
      </c>
      <c r="R167" s="29" t="b">
        <v>0</v>
      </c>
      <c r="S167" s="22">
        <f t="shared" si="3"/>
        <v>12</v>
      </c>
      <c r="T167" s="19">
        <f>IF(ISBLANK(P167), 0, VLOOKUP(P167, 'Price Sheet'!$A$2:$B1015, 2, false))</f>
        <v>1.25</v>
      </c>
      <c r="U167" s="33">
        <f t="shared" si="4"/>
        <v>15</v>
      </c>
      <c r="V167" s="32" t="s">
        <v>126</v>
      </c>
      <c r="W167" s="8">
        <v>8.0</v>
      </c>
      <c r="X167" s="29" t="b">
        <v>0</v>
      </c>
      <c r="Y167" s="22">
        <f t="shared" si="5"/>
        <v>8</v>
      </c>
      <c r="Z167" s="19">
        <f>IF(ISBLANK(V167), 0, VLOOKUP(V167, 'Price Sheet'!$A$2:$B1015, 2, false))</f>
        <v>4</v>
      </c>
      <c r="AA167" s="33">
        <f t="shared" si="6"/>
        <v>32</v>
      </c>
      <c r="AB167" s="32" t="s">
        <v>305</v>
      </c>
      <c r="AC167" s="8">
        <v>12.0</v>
      </c>
      <c r="AD167" s="29" t="b">
        <v>0</v>
      </c>
      <c r="AE167" s="22">
        <f t="shared" si="7"/>
        <v>12</v>
      </c>
      <c r="AF167" s="19">
        <f>IF(ISBLANK(AB167), 0, VLOOKUP(AB167, 'Price Sheet'!$A$2:$B1015, 2, false))</f>
        <v>6.4</v>
      </c>
      <c r="AG167" s="33">
        <f t="shared" si="8"/>
        <v>76.8</v>
      </c>
      <c r="AH167" s="32" t="s">
        <v>307</v>
      </c>
      <c r="AI167" s="8">
        <v>8.0</v>
      </c>
      <c r="AJ167" s="29" t="b">
        <v>0</v>
      </c>
      <c r="AK167" s="22">
        <f t="shared" si="9"/>
        <v>8</v>
      </c>
      <c r="AL167" s="19">
        <f>IF(ISBLANK(AH167), 0, VLOOKUP(AH167, 'Price Sheet'!$A$2:$B1015, 2, false))</f>
        <v>4</v>
      </c>
      <c r="AM167" s="33">
        <f t="shared" si="10"/>
        <v>32</v>
      </c>
      <c r="AN167" s="37"/>
      <c r="AO167" s="29"/>
      <c r="AP167" s="29" t="b">
        <v>0</v>
      </c>
      <c r="AQ167" s="22" t="str">
        <f t="shared" si="11"/>
        <v/>
      </c>
      <c r="AR167" s="7">
        <f>IF(ISBLANK(AN167), 0, VLOOKUP(AN167, 'Price Sheet'!$A$2:$B1015, 2, false))</f>
        <v>0</v>
      </c>
      <c r="AS167" s="33" t="str">
        <f t="shared" si="12"/>
        <v/>
      </c>
      <c r="AT167" s="37"/>
      <c r="AU167" s="29"/>
      <c r="AV167" s="29" t="b">
        <v>0</v>
      </c>
      <c r="AW167" s="22" t="str">
        <f t="shared" si="13"/>
        <v/>
      </c>
      <c r="AX167" s="7">
        <f>IF(ISBLANK(AT167), 0, VLOOKUP(AT167, 'Price Sheet'!$A$2:$B1015, 2, false))</f>
        <v>0</v>
      </c>
      <c r="AY167" s="33" t="str">
        <f t="shared" si="14"/>
        <v/>
      </c>
      <c r="AZ167" s="37"/>
      <c r="BA167" s="29"/>
      <c r="BB167" s="29" t="b">
        <v>0</v>
      </c>
      <c r="BC167" s="22" t="str">
        <f t="shared" si="15"/>
        <v/>
      </c>
      <c r="BD167" s="7">
        <f>IF(ISBLANK(AZ167), 0, VLOOKUP(AZ167, 'Price Sheet'!$A$2:$B1015, 2, false))</f>
        <v>0</v>
      </c>
      <c r="BE167" s="33" t="str">
        <f t="shared" si="16"/>
        <v/>
      </c>
      <c r="BF167" s="37"/>
      <c r="BG167" s="29"/>
      <c r="BH167" s="29" t="b">
        <v>0</v>
      </c>
      <c r="BI167" s="22" t="str">
        <f t="shared" si="17"/>
        <v/>
      </c>
      <c r="BJ167" s="7">
        <f>IF(ISBLANK(BF167), 0, VLOOKUP(BF167, 'Price Sheet'!$A$2:$B1015, 2, false))</f>
        <v>0</v>
      </c>
      <c r="BK167" s="33" t="str">
        <f t="shared" si="18"/>
        <v/>
      </c>
      <c r="BL167" s="37"/>
      <c r="BM167" s="29"/>
      <c r="BN167" s="29" t="b">
        <v>0</v>
      </c>
      <c r="BO167" s="22" t="str">
        <f t="shared" si="19"/>
        <v/>
      </c>
      <c r="BP167" s="7">
        <f>IF(ISBLANK(BL167), 0, VLOOKUP(BL167, 'Price Sheet'!$A$2:$B1015, 2, false))</f>
        <v>0</v>
      </c>
      <c r="BQ167" s="33" t="str">
        <f t="shared" si="20"/>
        <v/>
      </c>
    </row>
    <row r="168">
      <c r="B168" s="19">
        <f t="shared" si="1"/>
        <v>0</v>
      </c>
      <c r="C168" s="29"/>
      <c r="D168" s="29"/>
      <c r="E168" s="7" t="str">
        <f>IF(ISBLANK(D168), "", VLOOKUP(D168,'Crafting Tables'!$A$2:$B1015, 2, false))</f>
        <v/>
      </c>
      <c r="F168" s="7" t="str">
        <f>IFERROR(IF(E168 = "None", 1, VLOOKUP(C168,General!$A$5:$L$35, SWITCH(E168, "Basic", 8, "Advanced", 10, "Modern", 12), false)),"")</f>
        <v/>
      </c>
      <c r="G168" s="29"/>
      <c r="H168" s="7">
        <f>IFERROR(VLOOKUP(C168, General!$A$5:$L$35, 6, false) * G168 / 1000, 0)</f>
        <v>0</v>
      </c>
      <c r="I168" s="29"/>
      <c r="J168" s="22" t="str">
        <f>IFERROR(I168*VLOOKUP(D168,'Crafting Tables'!$1:$1000, 4, false)*F168,"")</f>
        <v/>
      </c>
      <c r="K168" s="29" t="b">
        <v>0</v>
      </c>
      <c r="L168" s="37"/>
      <c r="M168" s="29"/>
      <c r="N168" s="21" t="str">
        <f t="shared" si="2"/>
        <v/>
      </c>
      <c r="P168" s="37"/>
      <c r="Q168" s="29"/>
      <c r="R168" s="29" t="b">
        <v>0</v>
      </c>
      <c r="S168" s="22" t="str">
        <f t="shared" si="3"/>
        <v/>
      </c>
      <c r="T168" s="7">
        <f>IF(ISBLANK(P168), 0, VLOOKUP(P168, 'Price Sheet'!$A$2:$B1015, 2, false))</f>
        <v>0</v>
      </c>
      <c r="U168" s="33" t="str">
        <f t="shared" si="4"/>
        <v/>
      </c>
      <c r="V168" s="37"/>
      <c r="W168" s="29"/>
      <c r="X168" s="29" t="b">
        <v>0</v>
      </c>
      <c r="Y168" s="22" t="str">
        <f t="shared" si="5"/>
        <v/>
      </c>
      <c r="Z168" s="7">
        <f>IF(ISBLANK(V168), 0, VLOOKUP(V168, 'Price Sheet'!$A$2:$B1015, 2, false))</f>
        <v>0</v>
      </c>
      <c r="AA168" s="33" t="str">
        <f t="shared" si="6"/>
        <v/>
      </c>
      <c r="AB168" s="37"/>
      <c r="AC168" s="29"/>
      <c r="AD168" s="29" t="b">
        <v>0</v>
      </c>
      <c r="AE168" s="22" t="str">
        <f t="shared" si="7"/>
        <v/>
      </c>
      <c r="AF168" s="7">
        <f>IF(ISBLANK(AB168), 0, VLOOKUP(AB168, 'Price Sheet'!$A$2:$B1015, 2, false))</f>
        <v>0</v>
      </c>
      <c r="AG168" s="33" t="str">
        <f t="shared" si="8"/>
        <v/>
      </c>
      <c r="AH168" s="37"/>
      <c r="AI168" s="29"/>
      <c r="AJ168" s="29" t="b">
        <v>0</v>
      </c>
      <c r="AK168" s="22" t="str">
        <f t="shared" si="9"/>
        <v/>
      </c>
      <c r="AL168" s="7">
        <f>IF(ISBLANK(AH168), 0, VLOOKUP(AH168, 'Price Sheet'!$A$2:$B1015, 2, false))</f>
        <v>0</v>
      </c>
      <c r="AM168" s="33" t="str">
        <f t="shared" si="10"/>
        <v/>
      </c>
      <c r="AN168" s="37"/>
      <c r="AO168" s="29"/>
      <c r="AP168" s="29" t="b">
        <v>0</v>
      </c>
      <c r="AQ168" s="22" t="str">
        <f t="shared" si="11"/>
        <v/>
      </c>
      <c r="AR168" s="7">
        <f>IF(ISBLANK(AN168), 0, VLOOKUP(AN168, 'Price Sheet'!$A$2:$B1015, 2, false))</f>
        <v>0</v>
      </c>
      <c r="AS168" s="33" t="str">
        <f t="shared" si="12"/>
        <v/>
      </c>
      <c r="AT168" s="37"/>
      <c r="AU168" s="29"/>
      <c r="AV168" s="29" t="b">
        <v>0</v>
      </c>
      <c r="AW168" s="22" t="str">
        <f t="shared" si="13"/>
        <v/>
      </c>
      <c r="AX168" s="7">
        <f>IF(ISBLANK(AT168), 0, VLOOKUP(AT168, 'Price Sheet'!$A$2:$B1015, 2, false))</f>
        <v>0</v>
      </c>
      <c r="AY168" s="33" t="str">
        <f t="shared" si="14"/>
        <v/>
      </c>
      <c r="AZ168" s="37"/>
      <c r="BA168" s="29"/>
      <c r="BB168" s="29" t="b">
        <v>0</v>
      </c>
      <c r="BC168" s="22" t="str">
        <f t="shared" si="15"/>
        <v/>
      </c>
      <c r="BD168" s="7">
        <f>IF(ISBLANK(AZ168), 0, VLOOKUP(AZ168, 'Price Sheet'!$A$2:$B1015, 2, false))</f>
        <v>0</v>
      </c>
      <c r="BE168" s="33" t="str">
        <f t="shared" si="16"/>
        <v/>
      </c>
      <c r="BF168" s="37"/>
      <c r="BG168" s="29"/>
      <c r="BH168" s="29" t="b">
        <v>0</v>
      </c>
      <c r="BI168" s="22" t="str">
        <f t="shared" si="17"/>
        <v/>
      </c>
      <c r="BJ168" s="7">
        <f>IF(ISBLANK(BF168), 0, VLOOKUP(BF168, 'Price Sheet'!$A$2:$B1015, 2, false))</f>
        <v>0</v>
      </c>
      <c r="BK168" s="33" t="str">
        <f t="shared" si="18"/>
        <v/>
      </c>
      <c r="BL168" s="37"/>
      <c r="BM168" s="29"/>
      <c r="BN168" s="29" t="b">
        <v>0</v>
      </c>
      <c r="BO168" s="22" t="str">
        <f t="shared" si="19"/>
        <v/>
      </c>
      <c r="BP168" s="7">
        <f>IF(ISBLANK(BL168), 0, VLOOKUP(BL168, 'Price Sheet'!$A$2:$B1015, 2, false))</f>
        <v>0</v>
      </c>
      <c r="BQ168" s="33" t="str">
        <f t="shared" si="20"/>
        <v/>
      </c>
    </row>
    <row r="169">
      <c r="B169" s="19">
        <f t="shared" si="1"/>
        <v>0</v>
      </c>
      <c r="C169" s="29"/>
      <c r="D169" s="29"/>
      <c r="E169" s="7" t="str">
        <f>IF(ISBLANK(D169), "", VLOOKUP(D169,'Crafting Tables'!$A$2:$B1015, 2, false))</f>
        <v/>
      </c>
      <c r="F169" s="7" t="str">
        <f>IFERROR(IF(E169 = "None", 1, VLOOKUP(C169,General!$A$5:$L$35, SWITCH(E169, "Basic", 8, "Advanced", 10, "Modern", 12), false)),"")</f>
        <v/>
      </c>
      <c r="G169" s="29"/>
      <c r="H169" s="7">
        <f>IFERROR(VLOOKUP(C169, General!$A$5:$L$35, 6, false) * G169 / 1000, 0)</f>
        <v>0</v>
      </c>
      <c r="I169" s="29"/>
      <c r="J169" s="22" t="str">
        <f>IFERROR(I169*VLOOKUP(D169,'Crafting Tables'!$1:$1000, 4, false)*F169,"")</f>
        <v/>
      </c>
      <c r="K169" s="29" t="b">
        <v>0</v>
      </c>
      <c r="L169" s="37"/>
      <c r="M169" s="29"/>
      <c r="N169" s="21" t="str">
        <f t="shared" si="2"/>
        <v/>
      </c>
      <c r="P169" s="37"/>
      <c r="Q169" s="29"/>
      <c r="R169" s="29" t="b">
        <v>0</v>
      </c>
      <c r="S169" s="22" t="str">
        <f t="shared" si="3"/>
        <v/>
      </c>
      <c r="T169" s="7">
        <f>IF(ISBLANK(P169), 0, VLOOKUP(P169, 'Price Sheet'!$A$2:$B1015, 2, false))</f>
        <v>0</v>
      </c>
      <c r="U169" s="33" t="str">
        <f t="shared" si="4"/>
        <v/>
      </c>
      <c r="V169" s="37"/>
      <c r="W169" s="29"/>
      <c r="X169" s="29" t="b">
        <v>0</v>
      </c>
      <c r="Y169" s="22" t="str">
        <f t="shared" si="5"/>
        <v/>
      </c>
      <c r="Z169" s="7">
        <f>IF(ISBLANK(V169), 0, VLOOKUP(V169, 'Price Sheet'!$A$2:$B1015, 2, false))</f>
        <v>0</v>
      </c>
      <c r="AA169" s="33" t="str">
        <f t="shared" si="6"/>
        <v/>
      </c>
      <c r="AB169" s="37"/>
      <c r="AC169" s="29"/>
      <c r="AD169" s="29" t="b">
        <v>0</v>
      </c>
      <c r="AE169" s="22" t="str">
        <f t="shared" si="7"/>
        <v/>
      </c>
      <c r="AF169" s="7">
        <f>IF(ISBLANK(AB169), 0, VLOOKUP(AB169, 'Price Sheet'!$A$2:$B1015, 2, false))</f>
        <v>0</v>
      </c>
      <c r="AG169" s="33" t="str">
        <f t="shared" si="8"/>
        <v/>
      </c>
      <c r="AH169" s="37"/>
      <c r="AI169" s="29"/>
      <c r="AJ169" s="29" t="b">
        <v>0</v>
      </c>
      <c r="AK169" s="22" t="str">
        <f t="shared" si="9"/>
        <v/>
      </c>
      <c r="AL169" s="7">
        <f>IF(ISBLANK(AH169), 0, VLOOKUP(AH169, 'Price Sheet'!$A$2:$B1015, 2, false))</f>
        <v>0</v>
      </c>
      <c r="AM169" s="33" t="str">
        <f t="shared" si="10"/>
        <v/>
      </c>
      <c r="AN169" s="37"/>
      <c r="AO169" s="29"/>
      <c r="AP169" s="29" t="b">
        <v>0</v>
      </c>
      <c r="AQ169" s="22" t="str">
        <f t="shared" si="11"/>
        <v/>
      </c>
      <c r="AR169" s="7">
        <f>IF(ISBLANK(AN169), 0, VLOOKUP(AN169, 'Price Sheet'!$A$2:$B1015, 2, false))</f>
        <v>0</v>
      </c>
      <c r="AS169" s="33" t="str">
        <f t="shared" si="12"/>
        <v/>
      </c>
      <c r="AT169" s="37"/>
      <c r="AU169" s="29"/>
      <c r="AV169" s="29" t="b">
        <v>0</v>
      </c>
      <c r="AW169" s="22" t="str">
        <f t="shared" si="13"/>
        <v/>
      </c>
      <c r="AX169" s="7">
        <f>IF(ISBLANK(AT169), 0, VLOOKUP(AT169, 'Price Sheet'!$A$2:$B1015, 2, false))</f>
        <v>0</v>
      </c>
      <c r="AY169" s="33" t="str">
        <f t="shared" si="14"/>
        <v/>
      </c>
      <c r="AZ169" s="37"/>
      <c r="BA169" s="29"/>
      <c r="BB169" s="29" t="b">
        <v>0</v>
      </c>
      <c r="BC169" s="22" t="str">
        <f t="shared" si="15"/>
        <v/>
      </c>
      <c r="BD169" s="7">
        <f>IF(ISBLANK(AZ169), 0, VLOOKUP(AZ169, 'Price Sheet'!$A$2:$B1015, 2, false))</f>
        <v>0</v>
      </c>
      <c r="BE169" s="33" t="str">
        <f t="shared" si="16"/>
        <v/>
      </c>
      <c r="BF169" s="37"/>
      <c r="BG169" s="29"/>
      <c r="BH169" s="29" t="b">
        <v>0</v>
      </c>
      <c r="BI169" s="22" t="str">
        <f t="shared" si="17"/>
        <v/>
      </c>
      <c r="BJ169" s="7">
        <f>IF(ISBLANK(BF169), 0, VLOOKUP(BF169, 'Price Sheet'!$A$2:$B1015, 2, false))</f>
        <v>0</v>
      </c>
      <c r="BK169" s="33" t="str">
        <f t="shared" si="18"/>
        <v/>
      </c>
      <c r="BL169" s="37"/>
      <c r="BM169" s="29"/>
      <c r="BN169" s="29" t="b">
        <v>0</v>
      </c>
      <c r="BO169" s="22" t="str">
        <f t="shared" si="19"/>
        <v/>
      </c>
      <c r="BP169" s="7">
        <f>IF(ISBLANK(BL169), 0, VLOOKUP(BL169, 'Price Sheet'!$A$2:$B1015, 2, false))</f>
        <v>0</v>
      </c>
      <c r="BQ169" s="33" t="str">
        <f t="shared" si="20"/>
        <v/>
      </c>
    </row>
    <row r="170">
      <c r="A170" s="7" t="s">
        <v>497</v>
      </c>
      <c r="B170" s="19">
        <f t="shared" si="1"/>
        <v>3.09</v>
      </c>
      <c r="C170" s="8" t="s">
        <v>186</v>
      </c>
      <c r="D170" s="8" t="s">
        <v>181</v>
      </c>
      <c r="E170" s="7" t="str">
        <f>IF(ISBLANK(D170), "", VLOOKUP(D170,'Crafting Tables'!$A$2:$B1015, 2, false))</f>
        <v>Basic</v>
      </c>
      <c r="F170" s="7">
        <f>IFERROR(IF(E170 = "None", 1, VLOOKUP(C170,General!$A$5:$L$35, SWITCH(E170, "Basic", 8, "Advanced", 10, "Modern", 12), false)),"")</f>
        <v>0.475</v>
      </c>
      <c r="G170" s="8">
        <v>20.0</v>
      </c>
      <c r="H170" s="7">
        <f>IFERROR(VLOOKUP(C170, General!$A$5:$L$35, 6, false) * G170 / 1000, 0)</f>
        <v>0.05</v>
      </c>
      <c r="I170" s="8">
        <v>60.0</v>
      </c>
      <c r="J170" s="22">
        <f>IFERROR(I170*VLOOKUP(D170,'Crafting Tables'!$1:$1000, 4, false)*F170,"")</f>
        <v>0</v>
      </c>
      <c r="K170" s="8" t="b">
        <v>1</v>
      </c>
      <c r="L170" s="32" t="s">
        <v>158</v>
      </c>
      <c r="M170" s="8">
        <v>1.0</v>
      </c>
      <c r="N170" s="21">
        <f t="shared" si="2"/>
        <v>3.09</v>
      </c>
      <c r="P170" s="32" t="s">
        <v>352</v>
      </c>
      <c r="Q170" s="8">
        <v>16.0</v>
      </c>
      <c r="R170" s="29" t="b">
        <v>0</v>
      </c>
      <c r="S170" s="22">
        <f t="shared" si="3"/>
        <v>7.6</v>
      </c>
      <c r="T170" s="19">
        <f>IF(ISBLANK(P170), 0, VLOOKUP(P170, 'Price Sheet'!$A$2:$B1015, 2, false))</f>
        <v>0.4</v>
      </c>
      <c r="U170" s="33">
        <f t="shared" si="4"/>
        <v>3.04</v>
      </c>
      <c r="V170" s="37"/>
      <c r="W170" s="29"/>
      <c r="X170" s="29" t="b">
        <v>0</v>
      </c>
      <c r="Y170" s="22" t="str">
        <f t="shared" si="5"/>
        <v/>
      </c>
      <c r="Z170" s="7">
        <f>IF(ISBLANK(V170), 0, VLOOKUP(V170, 'Price Sheet'!$A$2:$B1015, 2, false))</f>
        <v>0</v>
      </c>
      <c r="AA170" s="33" t="str">
        <f t="shared" si="6"/>
        <v/>
      </c>
      <c r="AB170" s="37"/>
      <c r="AC170" s="29"/>
      <c r="AD170" s="29" t="b">
        <v>0</v>
      </c>
      <c r="AE170" s="22" t="str">
        <f t="shared" si="7"/>
        <v/>
      </c>
      <c r="AF170" s="7">
        <f>IF(ISBLANK(AB170), 0, VLOOKUP(AB170, 'Price Sheet'!$A$2:$B1015, 2, false))</f>
        <v>0</v>
      </c>
      <c r="AG170" s="33" t="str">
        <f t="shared" si="8"/>
        <v/>
      </c>
      <c r="AH170" s="37"/>
      <c r="AI170" s="29"/>
      <c r="AJ170" s="29" t="b">
        <v>0</v>
      </c>
      <c r="AK170" s="22" t="str">
        <f t="shared" si="9"/>
        <v/>
      </c>
      <c r="AL170" s="7">
        <f>IF(ISBLANK(AH170), 0, VLOOKUP(AH170, 'Price Sheet'!$A$2:$B1015, 2, false))</f>
        <v>0</v>
      </c>
      <c r="AM170" s="33" t="str">
        <f t="shared" si="10"/>
        <v/>
      </c>
      <c r="AN170" s="37"/>
      <c r="AO170" s="29"/>
      <c r="AP170" s="29" t="b">
        <v>0</v>
      </c>
      <c r="AQ170" s="22" t="str">
        <f t="shared" si="11"/>
        <v/>
      </c>
      <c r="AR170" s="7">
        <f>IF(ISBLANK(AN170), 0, VLOOKUP(AN170, 'Price Sheet'!$A$2:$B1015, 2, false))</f>
        <v>0</v>
      </c>
      <c r="AS170" s="33" t="str">
        <f t="shared" si="12"/>
        <v/>
      </c>
      <c r="AT170" s="37"/>
      <c r="AU170" s="29"/>
      <c r="AV170" s="29" t="b">
        <v>0</v>
      </c>
      <c r="AW170" s="22" t="str">
        <f t="shared" si="13"/>
        <v/>
      </c>
      <c r="AX170" s="7">
        <f>IF(ISBLANK(AT170), 0, VLOOKUP(AT170, 'Price Sheet'!$A$2:$B1015, 2, false))</f>
        <v>0</v>
      </c>
      <c r="AY170" s="33" t="str">
        <f t="shared" si="14"/>
        <v/>
      </c>
      <c r="AZ170" s="37"/>
      <c r="BA170" s="29"/>
      <c r="BB170" s="29" t="b">
        <v>0</v>
      </c>
      <c r="BC170" s="22" t="str">
        <f t="shared" si="15"/>
        <v/>
      </c>
      <c r="BD170" s="7">
        <f>IF(ISBLANK(AZ170), 0, VLOOKUP(AZ170, 'Price Sheet'!$A$2:$B1015, 2, false))</f>
        <v>0</v>
      </c>
      <c r="BE170" s="33" t="str">
        <f t="shared" si="16"/>
        <v/>
      </c>
      <c r="BF170" s="37"/>
      <c r="BG170" s="29"/>
      <c r="BH170" s="29" t="b">
        <v>0</v>
      </c>
      <c r="BI170" s="22" t="str">
        <f t="shared" si="17"/>
        <v/>
      </c>
      <c r="BJ170" s="7">
        <f>IF(ISBLANK(BF170), 0, VLOOKUP(BF170, 'Price Sheet'!$A$2:$B1015, 2, false))</f>
        <v>0</v>
      </c>
      <c r="BK170" s="33" t="str">
        <f t="shared" si="18"/>
        <v/>
      </c>
      <c r="BL170" s="37"/>
      <c r="BM170" s="29"/>
      <c r="BN170" s="29" t="b">
        <v>0</v>
      </c>
      <c r="BO170" s="22" t="str">
        <f t="shared" si="19"/>
        <v/>
      </c>
      <c r="BP170" s="7">
        <f>IF(ISBLANK(BL170), 0, VLOOKUP(BL170, 'Price Sheet'!$A$2:$B1015, 2, false))</f>
        <v>0</v>
      </c>
      <c r="BQ170" s="33" t="str">
        <f t="shared" si="20"/>
        <v/>
      </c>
    </row>
    <row r="171">
      <c r="A171" s="7" t="s">
        <v>498</v>
      </c>
      <c r="B171" s="19">
        <f t="shared" si="1"/>
        <v>4.61</v>
      </c>
      <c r="C171" s="8" t="s">
        <v>186</v>
      </c>
      <c r="D171" s="8" t="s">
        <v>181</v>
      </c>
      <c r="E171" s="7" t="str">
        <f>IF(ISBLANK(D171), "", VLOOKUP(D171,'Crafting Tables'!$A$2:$B1015, 2, false))</f>
        <v>Basic</v>
      </c>
      <c r="F171" s="7">
        <f>IFERROR(IF(E171 = "None", 1, VLOOKUP(C171,General!$A$5:$L$35, SWITCH(E171, "Basic", 8, "Advanced", 10, "Modern", 12), false)),"")</f>
        <v>0.475</v>
      </c>
      <c r="G171" s="8">
        <v>20.0</v>
      </c>
      <c r="H171" s="7">
        <f>IFERROR(VLOOKUP(C171, General!$A$5:$L$35, 6, false) * G171 / 1000, 0)</f>
        <v>0.05</v>
      </c>
      <c r="I171" s="8">
        <v>60.0</v>
      </c>
      <c r="J171" s="22">
        <f>IFERROR(I171*VLOOKUP(D171,'Crafting Tables'!$1:$1000, 4, false)*F171,"")</f>
        <v>0</v>
      </c>
      <c r="K171" s="8" t="b">
        <v>1</v>
      </c>
      <c r="L171" s="32" t="s">
        <v>158</v>
      </c>
      <c r="M171" s="8">
        <v>1.0</v>
      </c>
      <c r="N171" s="21">
        <f t="shared" si="2"/>
        <v>4.61</v>
      </c>
      <c r="P171" s="32" t="s">
        <v>353</v>
      </c>
      <c r="Q171" s="8">
        <v>16.0</v>
      </c>
      <c r="R171" s="29" t="b">
        <v>0</v>
      </c>
      <c r="S171" s="22">
        <f t="shared" si="3"/>
        <v>7.6</v>
      </c>
      <c r="T171" s="19">
        <f>IF(ISBLANK(P171), 0, VLOOKUP(P171, 'Price Sheet'!$A$2:$B1015, 2, false))</f>
        <v>0.6</v>
      </c>
      <c r="U171" s="33">
        <f t="shared" si="4"/>
        <v>4.56</v>
      </c>
      <c r="V171" s="37"/>
      <c r="W171" s="29"/>
      <c r="X171" s="29" t="b">
        <v>0</v>
      </c>
      <c r="Y171" s="22" t="str">
        <f t="shared" si="5"/>
        <v/>
      </c>
      <c r="Z171" s="7">
        <f>IF(ISBLANK(V171), 0, VLOOKUP(V171, 'Price Sheet'!$A$2:$B1015, 2, false))</f>
        <v>0</v>
      </c>
      <c r="AA171" s="33" t="str">
        <f t="shared" si="6"/>
        <v/>
      </c>
      <c r="AB171" s="37"/>
      <c r="AC171" s="29"/>
      <c r="AD171" s="29" t="b">
        <v>0</v>
      </c>
      <c r="AE171" s="22" t="str">
        <f t="shared" si="7"/>
        <v/>
      </c>
      <c r="AF171" s="7">
        <f>IF(ISBLANK(AB171), 0, VLOOKUP(AB171, 'Price Sheet'!$A$2:$B1015, 2, false))</f>
        <v>0</v>
      </c>
      <c r="AG171" s="33" t="str">
        <f t="shared" si="8"/>
        <v/>
      </c>
      <c r="AH171" s="37"/>
      <c r="AI171" s="29"/>
      <c r="AJ171" s="29" t="b">
        <v>0</v>
      </c>
      <c r="AK171" s="22" t="str">
        <f t="shared" si="9"/>
        <v/>
      </c>
      <c r="AL171" s="7">
        <f>IF(ISBLANK(AH171), 0, VLOOKUP(AH171, 'Price Sheet'!$A$2:$B1015, 2, false))</f>
        <v>0</v>
      </c>
      <c r="AM171" s="33" t="str">
        <f t="shared" si="10"/>
        <v/>
      </c>
      <c r="AN171" s="37"/>
      <c r="AO171" s="29"/>
      <c r="AP171" s="29" t="b">
        <v>0</v>
      </c>
      <c r="AQ171" s="22" t="str">
        <f t="shared" si="11"/>
        <v/>
      </c>
      <c r="AR171" s="7">
        <f>IF(ISBLANK(AN171), 0, VLOOKUP(AN171, 'Price Sheet'!$A$2:$B1015, 2, false))</f>
        <v>0</v>
      </c>
      <c r="AS171" s="33" t="str">
        <f t="shared" si="12"/>
        <v/>
      </c>
      <c r="AT171" s="37"/>
      <c r="AU171" s="29"/>
      <c r="AV171" s="29" t="b">
        <v>0</v>
      </c>
      <c r="AW171" s="22" t="str">
        <f t="shared" si="13"/>
        <v/>
      </c>
      <c r="AX171" s="7">
        <f>IF(ISBLANK(AT171), 0, VLOOKUP(AT171, 'Price Sheet'!$A$2:$B1015, 2, false))</f>
        <v>0</v>
      </c>
      <c r="AY171" s="33" t="str">
        <f t="shared" si="14"/>
        <v/>
      </c>
      <c r="AZ171" s="37"/>
      <c r="BA171" s="29"/>
      <c r="BB171" s="29" t="b">
        <v>0</v>
      </c>
      <c r="BC171" s="22" t="str">
        <f t="shared" si="15"/>
        <v/>
      </c>
      <c r="BD171" s="7">
        <f>IF(ISBLANK(AZ171), 0, VLOOKUP(AZ171, 'Price Sheet'!$A$2:$B1015, 2, false))</f>
        <v>0</v>
      </c>
      <c r="BE171" s="33" t="str">
        <f t="shared" si="16"/>
        <v/>
      </c>
      <c r="BF171" s="37"/>
      <c r="BG171" s="29"/>
      <c r="BH171" s="29" t="b">
        <v>0</v>
      </c>
      <c r="BI171" s="22" t="str">
        <f t="shared" si="17"/>
        <v/>
      </c>
      <c r="BJ171" s="7">
        <f>IF(ISBLANK(BF171), 0, VLOOKUP(BF171, 'Price Sheet'!$A$2:$B1015, 2, false))</f>
        <v>0</v>
      </c>
      <c r="BK171" s="33" t="str">
        <f t="shared" si="18"/>
        <v/>
      </c>
      <c r="BL171" s="37"/>
      <c r="BM171" s="29"/>
      <c r="BN171" s="29" t="b">
        <v>0</v>
      </c>
      <c r="BO171" s="22" t="str">
        <f t="shared" si="19"/>
        <v/>
      </c>
      <c r="BP171" s="7">
        <f>IF(ISBLANK(BL171), 0, VLOOKUP(BL171, 'Price Sheet'!$A$2:$B1015, 2, false))</f>
        <v>0</v>
      </c>
      <c r="BQ171" s="33" t="str">
        <f t="shared" si="20"/>
        <v/>
      </c>
    </row>
    <row r="172">
      <c r="A172" s="7" t="s">
        <v>499</v>
      </c>
      <c r="B172" s="19">
        <f t="shared" si="1"/>
        <v>0.86</v>
      </c>
      <c r="C172" s="8" t="s">
        <v>186</v>
      </c>
      <c r="D172" s="8" t="s">
        <v>181</v>
      </c>
      <c r="E172" s="7" t="str">
        <f>IF(ISBLANK(D172), "", VLOOKUP(D172,'Crafting Tables'!$A$2:$B1015, 2, false))</f>
        <v>Basic</v>
      </c>
      <c r="F172" s="7">
        <f>IFERROR(IF(E172 = "None", 1, VLOOKUP(C172,General!$A$5:$L$35, SWITCH(E172, "Basic", 8, "Advanced", 10, "Modern", 12), false)),"")</f>
        <v>0.475</v>
      </c>
      <c r="G172" s="8">
        <v>40.0</v>
      </c>
      <c r="H172" s="7">
        <f>IFERROR(VLOOKUP(C172, General!$A$5:$L$35, 6, false) * G172 / 1000, 0)</f>
        <v>0.1</v>
      </c>
      <c r="I172" s="8">
        <v>60.0</v>
      </c>
      <c r="J172" s="22">
        <f>IFERROR(I172*VLOOKUP(D172,'Crafting Tables'!$1:$1000, 4, false)*F172,"")</f>
        <v>0</v>
      </c>
      <c r="K172" s="8" t="b">
        <v>0</v>
      </c>
      <c r="L172" s="32" t="s">
        <v>158</v>
      </c>
      <c r="M172" s="8">
        <v>1.0</v>
      </c>
      <c r="N172" s="21">
        <f t="shared" si="2"/>
        <v>0.86</v>
      </c>
      <c r="P172" s="32" t="s">
        <v>365</v>
      </c>
      <c r="Q172" s="8">
        <v>16.0</v>
      </c>
      <c r="R172" s="29" t="b">
        <v>0</v>
      </c>
      <c r="S172" s="22">
        <f t="shared" si="3"/>
        <v>7.6</v>
      </c>
      <c r="T172" s="19">
        <f>IF(ISBLANK(P172), 0, VLOOKUP(P172, 'Price Sheet'!$A$2:$B1015, 2, false))</f>
        <v>0.1</v>
      </c>
      <c r="U172" s="33">
        <f t="shared" si="4"/>
        <v>0.76</v>
      </c>
      <c r="V172" s="37"/>
      <c r="W172" s="29"/>
      <c r="X172" s="29" t="b">
        <v>0</v>
      </c>
      <c r="Y172" s="22" t="str">
        <f t="shared" si="5"/>
        <v/>
      </c>
      <c r="Z172" s="7">
        <f>IF(ISBLANK(V172), 0, VLOOKUP(V172, 'Price Sheet'!$A$2:$B1015, 2, false))</f>
        <v>0</v>
      </c>
      <c r="AA172" s="33" t="str">
        <f t="shared" si="6"/>
        <v/>
      </c>
      <c r="AB172" s="37"/>
      <c r="AC172" s="29"/>
      <c r="AD172" s="29" t="b">
        <v>0</v>
      </c>
      <c r="AE172" s="22" t="str">
        <f t="shared" si="7"/>
        <v/>
      </c>
      <c r="AF172" s="7">
        <f>IF(ISBLANK(AB172), 0, VLOOKUP(AB172, 'Price Sheet'!$A$2:$B1015, 2, false))</f>
        <v>0</v>
      </c>
      <c r="AG172" s="33" t="str">
        <f t="shared" si="8"/>
        <v/>
      </c>
      <c r="AH172" s="37"/>
      <c r="AI172" s="29"/>
      <c r="AJ172" s="29" t="b">
        <v>0</v>
      </c>
      <c r="AK172" s="22" t="str">
        <f t="shared" si="9"/>
        <v/>
      </c>
      <c r="AL172" s="7">
        <f>IF(ISBLANK(AH172), 0, VLOOKUP(AH172, 'Price Sheet'!$A$2:$B1015, 2, false))</f>
        <v>0</v>
      </c>
      <c r="AM172" s="33" t="str">
        <f t="shared" si="10"/>
        <v/>
      </c>
      <c r="AN172" s="37"/>
      <c r="AO172" s="29"/>
      <c r="AP172" s="29" t="b">
        <v>0</v>
      </c>
      <c r="AQ172" s="22" t="str">
        <f t="shared" si="11"/>
        <v/>
      </c>
      <c r="AR172" s="7">
        <f>IF(ISBLANK(AN172), 0, VLOOKUP(AN172, 'Price Sheet'!$A$2:$B1015, 2, false))</f>
        <v>0</v>
      </c>
      <c r="AS172" s="33" t="str">
        <f t="shared" si="12"/>
        <v/>
      </c>
      <c r="AT172" s="37"/>
      <c r="AU172" s="29"/>
      <c r="AV172" s="29" t="b">
        <v>0</v>
      </c>
      <c r="AW172" s="22" t="str">
        <f t="shared" si="13"/>
        <v/>
      </c>
      <c r="AX172" s="7">
        <f>IF(ISBLANK(AT172), 0, VLOOKUP(AT172, 'Price Sheet'!$A$2:$B1015, 2, false))</f>
        <v>0</v>
      </c>
      <c r="AY172" s="33" t="str">
        <f t="shared" si="14"/>
        <v/>
      </c>
      <c r="AZ172" s="37"/>
      <c r="BA172" s="29"/>
      <c r="BB172" s="29" t="b">
        <v>0</v>
      </c>
      <c r="BC172" s="22" t="str">
        <f t="shared" si="15"/>
        <v/>
      </c>
      <c r="BD172" s="7">
        <f>IF(ISBLANK(AZ172), 0, VLOOKUP(AZ172, 'Price Sheet'!$A$2:$B1015, 2, false))</f>
        <v>0</v>
      </c>
      <c r="BE172" s="33" t="str">
        <f t="shared" si="16"/>
        <v/>
      </c>
      <c r="BF172" s="37"/>
      <c r="BG172" s="29"/>
      <c r="BH172" s="29" t="b">
        <v>0</v>
      </c>
      <c r="BI172" s="22" t="str">
        <f t="shared" si="17"/>
        <v/>
      </c>
      <c r="BJ172" s="7">
        <f>IF(ISBLANK(BF172), 0, VLOOKUP(BF172, 'Price Sheet'!$A$2:$B1015, 2, false))</f>
        <v>0</v>
      </c>
      <c r="BK172" s="33" t="str">
        <f t="shared" si="18"/>
        <v/>
      </c>
      <c r="BL172" s="37"/>
      <c r="BM172" s="29"/>
      <c r="BN172" s="29" t="b">
        <v>0</v>
      </c>
      <c r="BO172" s="22" t="str">
        <f t="shared" si="19"/>
        <v/>
      </c>
      <c r="BP172" s="7">
        <f>IF(ISBLANK(BL172), 0, VLOOKUP(BL172, 'Price Sheet'!$A$2:$B1015, 2, false))</f>
        <v>0</v>
      </c>
      <c r="BQ172" s="33" t="str">
        <f t="shared" si="20"/>
        <v/>
      </c>
    </row>
    <row r="173">
      <c r="A173" s="7" t="s">
        <v>500</v>
      </c>
      <c r="B173" s="19">
        <f t="shared" si="1"/>
        <v>0.62</v>
      </c>
      <c r="C173" s="8" t="s">
        <v>186</v>
      </c>
      <c r="D173" s="8" t="s">
        <v>181</v>
      </c>
      <c r="E173" s="7" t="str">
        <f>IF(ISBLANK(D173), "", VLOOKUP(D173,'Crafting Tables'!$A$2:$B1015, 2, false))</f>
        <v>Basic</v>
      </c>
      <c r="F173" s="7">
        <f>IFERROR(IF(E173 = "None", 1, VLOOKUP(C173,General!$A$5:$L$35, SWITCH(E173, "Basic", 8, "Advanced", 10, "Modern", 12), false)),"")</f>
        <v>0.475</v>
      </c>
      <c r="G173" s="8">
        <v>20.0</v>
      </c>
      <c r="H173" s="7">
        <f>IFERROR(VLOOKUP(C173, General!$A$5:$L$35, 6, false) * G173 / 1000, 0)</f>
        <v>0.05</v>
      </c>
      <c r="I173" s="8">
        <v>60.0</v>
      </c>
      <c r="J173" s="22">
        <f>IFERROR(I173*VLOOKUP(D173,'Crafting Tables'!$1:$1000, 4, false)*F173,"")</f>
        <v>0</v>
      </c>
      <c r="K173" s="8" t="b">
        <v>1</v>
      </c>
      <c r="L173" s="32" t="s">
        <v>158</v>
      </c>
      <c r="M173" s="8">
        <v>1.0</v>
      </c>
      <c r="N173" s="21">
        <f t="shared" si="2"/>
        <v>0.62</v>
      </c>
      <c r="P173" s="32" t="s">
        <v>372</v>
      </c>
      <c r="Q173" s="8">
        <v>6.0</v>
      </c>
      <c r="R173" s="29" t="b">
        <v>0</v>
      </c>
      <c r="S173" s="22">
        <f t="shared" si="3"/>
        <v>2.85</v>
      </c>
      <c r="T173" s="19">
        <f>IF(ISBLANK(P173), 0, VLOOKUP(P173, 'Price Sheet'!$A$2:$B1015, 2, false))</f>
        <v>0.2</v>
      </c>
      <c r="U173" s="33">
        <f t="shared" si="4"/>
        <v>0.57</v>
      </c>
      <c r="V173" s="37"/>
      <c r="W173" s="29"/>
      <c r="X173" s="29" t="b">
        <v>0</v>
      </c>
      <c r="Y173" s="22" t="str">
        <f t="shared" si="5"/>
        <v/>
      </c>
      <c r="Z173" s="7">
        <f>IF(ISBLANK(V173), 0, VLOOKUP(V173, 'Price Sheet'!$A$2:$B1015, 2, false))</f>
        <v>0</v>
      </c>
      <c r="AA173" s="33" t="str">
        <f t="shared" si="6"/>
        <v/>
      </c>
      <c r="AB173" s="32"/>
      <c r="AC173" s="29"/>
      <c r="AD173" s="29" t="b">
        <v>0</v>
      </c>
      <c r="AE173" s="22" t="str">
        <f t="shared" si="7"/>
        <v/>
      </c>
      <c r="AF173" s="7">
        <f>IF(ISBLANK(AB173), 0, VLOOKUP(AB173, 'Price Sheet'!$A$2:$B1015, 2, false))</f>
        <v>0</v>
      </c>
      <c r="AG173" s="33" t="str">
        <f t="shared" si="8"/>
        <v/>
      </c>
      <c r="AH173" s="37"/>
      <c r="AI173" s="29"/>
      <c r="AJ173" s="29" t="b">
        <v>0</v>
      </c>
      <c r="AK173" s="22" t="str">
        <f t="shared" si="9"/>
        <v/>
      </c>
      <c r="AL173" s="7">
        <f>IF(ISBLANK(AH173), 0, VLOOKUP(AH173, 'Price Sheet'!$A$2:$B1015, 2, false))</f>
        <v>0</v>
      </c>
      <c r="AM173" s="33" t="str">
        <f t="shared" si="10"/>
        <v/>
      </c>
      <c r="AN173" s="37"/>
      <c r="AO173" s="29"/>
      <c r="AP173" s="29" t="b">
        <v>0</v>
      </c>
      <c r="AQ173" s="22" t="str">
        <f t="shared" si="11"/>
        <v/>
      </c>
      <c r="AR173" s="7">
        <f>IF(ISBLANK(AN173), 0, VLOOKUP(AN173, 'Price Sheet'!$A$2:$B1015, 2, false))</f>
        <v>0</v>
      </c>
      <c r="AS173" s="33" t="str">
        <f t="shared" si="12"/>
        <v/>
      </c>
      <c r="AT173" s="37"/>
      <c r="AU173" s="29"/>
      <c r="AV173" s="29" t="b">
        <v>0</v>
      </c>
      <c r="AW173" s="22" t="str">
        <f t="shared" si="13"/>
        <v/>
      </c>
      <c r="AX173" s="7">
        <f>IF(ISBLANK(AT173), 0, VLOOKUP(AT173, 'Price Sheet'!$A$2:$B1015, 2, false))</f>
        <v>0</v>
      </c>
      <c r="AY173" s="33" t="str">
        <f t="shared" si="14"/>
        <v/>
      </c>
      <c r="AZ173" s="37"/>
      <c r="BA173" s="29"/>
      <c r="BB173" s="29" t="b">
        <v>0</v>
      </c>
      <c r="BC173" s="22" t="str">
        <f t="shared" si="15"/>
        <v/>
      </c>
      <c r="BD173" s="7">
        <f>IF(ISBLANK(AZ173), 0, VLOOKUP(AZ173, 'Price Sheet'!$A$2:$B1015, 2, false))</f>
        <v>0</v>
      </c>
      <c r="BE173" s="33" t="str">
        <f t="shared" si="16"/>
        <v/>
      </c>
      <c r="BF173" s="37"/>
      <c r="BG173" s="29"/>
      <c r="BH173" s="29" t="b">
        <v>0</v>
      </c>
      <c r="BI173" s="22" t="str">
        <f t="shared" si="17"/>
        <v/>
      </c>
      <c r="BJ173" s="7">
        <f>IF(ISBLANK(BF173), 0, VLOOKUP(BF173, 'Price Sheet'!$A$2:$B1015, 2, false))</f>
        <v>0</v>
      </c>
      <c r="BK173" s="33" t="str">
        <f t="shared" si="18"/>
        <v/>
      </c>
      <c r="BL173" s="37"/>
      <c r="BM173" s="29"/>
      <c r="BN173" s="29" t="b">
        <v>0</v>
      </c>
      <c r="BO173" s="22" t="str">
        <f t="shared" si="19"/>
        <v/>
      </c>
      <c r="BP173" s="7">
        <f>IF(ISBLANK(BL173), 0, VLOOKUP(BL173, 'Price Sheet'!$A$2:$B1015, 2, false))</f>
        <v>0</v>
      </c>
      <c r="BQ173" s="33" t="str">
        <f t="shared" si="20"/>
        <v/>
      </c>
    </row>
    <row r="174">
      <c r="A174" s="7" t="s">
        <v>501</v>
      </c>
      <c r="B174" s="19">
        <f t="shared" si="1"/>
        <v>0.5315</v>
      </c>
      <c r="C174" s="8" t="s">
        <v>186</v>
      </c>
      <c r="D174" s="8" t="s">
        <v>181</v>
      </c>
      <c r="E174" s="7" t="str">
        <f>IF(ISBLANK(D174), "", VLOOKUP(D174,'Crafting Tables'!$A$2:$B1015, 2, false))</f>
        <v>Basic</v>
      </c>
      <c r="F174" s="7">
        <f>IFERROR(IF(E174 = "None", 1, VLOOKUP(C174,General!$A$5:$L$35, SWITCH(E174, "Basic", 8, "Advanced", 10, "Modern", 12), false)),"")</f>
        <v>0.475</v>
      </c>
      <c r="G174" s="8">
        <v>15.0</v>
      </c>
      <c r="H174" s="7">
        <f>IFERROR(VLOOKUP(C174, General!$A$5:$L$35, 6, false) * G174 / 1000, 0)</f>
        <v>0.0375</v>
      </c>
      <c r="I174" s="8">
        <v>60.0</v>
      </c>
      <c r="J174" s="22">
        <f>IFERROR(I174*VLOOKUP(D174,'Crafting Tables'!$1:$1000, 4, false)*F174,"")</f>
        <v>0</v>
      </c>
      <c r="K174" s="8" t="b">
        <v>0</v>
      </c>
      <c r="L174" s="32" t="s">
        <v>158</v>
      </c>
      <c r="M174" s="8">
        <v>1.0</v>
      </c>
      <c r="N174" s="21">
        <f t="shared" si="2"/>
        <v>0.5315</v>
      </c>
      <c r="P174" s="32" t="s">
        <v>375</v>
      </c>
      <c r="Q174" s="8">
        <v>8.0</v>
      </c>
      <c r="R174" s="29" t="b">
        <v>0</v>
      </c>
      <c r="S174" s="22">
        <f t="shared" si="3"/>
        <v>3.8</v>
      </c>
      <c r="T174" s="19">
        <f>IF(ISBLANK(P174), 0, VLOOKUP(P174, 'Price Sheet'!$A$2:$B1015, 2, false))</f>
        <v>0.13</v>
      </c>
      <c r="U174" s="33">
        <f t="shared" si="4"/>
        <v>0.494</v>
      </c>
      <c r="V174" s="37"/>
      <c r="W174" s="29"/>
      <c r="X174" s="29" t="b">
        <v>0</v>
      </c>
      <c r="Y174" s="22" t="str">
        <f t="shared" si="5"/>
        <v/>
      </c>
      <c r="Z174" s="7">
        <f>IF(ISBLANK(V174), 0, VLOOKUP(V174, 'Price Sheet'!$A$2:$B1015, 2, false))</f>
        <v>0</v>
      </c>
      <c r="AA174" s="33" t="str">
        <f t="shared" si="6"/>
        <v/>
      </c>
      <c r="AB174" s="37"/>
      <c r="AC174" s="29"/>
      <c r="AD174" s="29" t="b">
        <v>0</v>
      </c>
      <c r="AE174" s="22" t="str">
        <f t="shared" si="7"/>
        <v/>
      </c>
      <c r="AF174" s="7">
        <f>IF(ISBLANK(AB174), 0, VLOOKUP(AB174, 'Price Sheet'!$A$2:$B1015, 2, false))</f>
        <v>0</v>
      </c>
      <c r="AG174" s="33" t="str">
        <f t="shared" si="8"/>
        <v/>
      </c>
      <c r="AH174" s="37"/>
      <c r="AI174" s="29"/>
      <c r="AJ174" s="29" t="b">
        <v>0</v>
      </c>
      <c r="AK174" s="22" t="str">
        <f t="shared" si="9"/>
        <v/>
      </c>
      <c r="AL174" s="7">
        <f>IF(ISBLANK(AH174), 0, VLOOKUP(AH174, 'Price Sheet'!$A$2:$B1015, 2, false))</f>
        <v>0</v>
      </c>
      <c r="AM174" s="33" t="str">
        <f t="shared" si="10"/>
        <v/>
      </c>
      <c r="AN174" s="37"/>
      <c r="AO174" s="29"/>
      <c r="AP174" s="29" t="b">
        <v>0</v>
      </c>
      <c r="AQ174" s="22" t="str">
        <f t="shared" si="11"/>
        <v/>
      </c>
      <c r="AR174" s="7">
        <f>IF(ISBLANK(AN174), 0, VLOOKUP(AN174, 'Price Sheet'!$A$2:$B1015, 2, false))</f>
        <v>0</v>
      </c>
      <c r="AS174" s="33" t="str">
        <f t="shared" si="12"/>
        <v/>
      </c>
      <c r="AT174" s="37"/>
      <c r="AU174" s="29"/>
      <c r="AV174" s="29" t="b">
        <v>0</v>
      </c>
      <c r="AW174" s="22" t="str">
        <f t="shared" si="13"/>
        <v/>
      </c>
      <c r="AX174" s="7">
        <f>IF(ISBLANK(AT174), 0, VLOOKUP(AT174, 'Price Sheet'!$A$2:$B1015, 2, false))</f>
        <v>0</v>
      </c>
      <c r="AY174" s="33" t="str">
        <f t="shared" si="14"/>
        <v/>
      </c>
      <c r="AZ174" s="37"/>
      <c r="BA174" s="29"/>
      <c r="BB174" s="29" t="b">
        <v>0</v>
      </c>
      <c r="BC174" s="22" t="str">
        <f t="shared" si="15"/>
        <v/>
      </c>
      <c r="BD174" s="7">
        <f>IF(ISBLANK(AZ174), 0, VLOOKUP(AZ174, 'Price Sheet'!$A$2:$B1015, 2, false))</f>
        <v>0</v>
      </c>
      <c r="BE174" s="33" t="str">
        <f t="shared" si="16"/>
        <v/>
      </c>
      <c r="BF174" s="37"/>
      <c r="BG174" s="29"/>
      <c r="BH174" s="29" t="b">
        <v>0</v>
      </c>
      <c r="BI174" s="22" t="str">
        <f t="shared" si="17"/>
        <v/>
      </c>
      <c r="BJ174" s="7">
        <f>IF(ISBLANK(BF174), 0, VLOOKUP(BF174, 'Price Sheet'!$A$2:$B1015, 2, false))</f>
        <v>0</v>
      </c>
      <c r="BK174" s="33" t="str">
        <f t="shared" si="18"/>
        <v/>
      </c>
      <c r="BL174" s="37"/>
      <c r="BM174" s="29"/>
      <c r="BN174" s="29" t="b">
        <v>0</v>
      </c>
      <c r="BO174" s="22" t="str">
        <f t="shared" si="19"/>
        <v/>
      </c>
      <c r="BP174" s="7">
        <f>IF(ISBLANK(BL174), 0, VLOOKUP(BL174, 'Price Sheet'!$A$2:$B1015, 2, false))</f>
        <v>0</v>
      </c>
      <c r="BQ174" s="33" t="str">
        <f t="shared" si="20"/>
        <v/>
      </c>
    </row>
    <row r="175">
      <c r="A175" s="7" t="s">
        <v>502</v>
      </c>
      <c r="B175" s="19">
        <f t="shared" si="1"/>
        <v>1.57</v>
      </c>
      <c r="C175" s="8" t="s">
        <v>186</v>
      </c>
      <c r="D175" s="8" t="s">
        <v>181</v>
      </c>
      <c r="E175" s="7" t="str">
        <f>IF(ISBLANK(D175), "", VLOOKUP(D175,'Crafting Tables'!$A$2:$B1015, 2, false))</f>
        <v>Basic</v>
      </c>
      <c r="F175" s="7">
        <f>IFERROR(IF(E175 = "None", 1, VLOOKUP(C175,General!$A$5:$L$35, SWITCH(E175, "Basic", 8, "Advanced", 10, "Modern", 12), false)),"")</f>
        <v>0.475</v>
      </c>
      <c r="G175" s="8">
        <v>20.0</v>
      </c>
      <c r="H175" s="7">
        <f>IFERROR(VLOOKUP(C175, General!$A$5:$L$35, 6, false) * G175 / 1000, 0)</f>
        <v>0.05</v>
      </c>
      <c r="I175" s="8">
        <v>60.0</v>
      </c>
      <c r="J175" s="22">
        <f>IFERROR(I175*VLOOKUP(D175,'Crafting Tables'!$1:$1000, 4, false)*F175,"")</f>
        <v>0</v>
      </c>
      <c r="K175" s="8" t="b">
        <v>1</v>
      </c>
      <c r="L175" s="32" t="s">
        <v>158</v>
      </c>
      <c r="M175" s="8">
        <v>1.0</v>
      </c>
      <c r="N175" s="21">
        <f t="shared" si="2"/>
        <v>1.57</v>
      </c>
      <c r="P175" s="32" t="s">
        <v>369</v>
      </c>
      <c r="Q175" s="8">
        <v>16.0</v>
      </c>
      <c r="R175" s="29" t="b">
        <v>0</v>
      </c>
      <c r="S175" s="22">
        <f t="shared" si="3"/>
        <v>7.6</v>
      </c>
      <c r="T175" s="19">
        <f>IF(ISBLANK(P175), 0, VLOOKUP(P175, 'Price Sheet'!$A$2:$B1015, 2, false))</f>
        <v>0.2</v>
      </c>
      <c r="U175" s="33">
        <f t="shared" si="4"/>
        <v>1.52</v>
      </c>
      <c r="V175" s="37"/>
      <c r="W175" s="29"/>
      <c r="X175" s="29" t="b">
        <v>0</v>
      </c>
      <c r="Y175" s="22" t="str">
        <f t="shared" si="5"/>
        <v/>
      </c>
      <c r="Z175" s="7">
        <f>IF(ISBLANK(V175), 0, VLOOKUP(V175, 'Price Sheet'!$A$2:$B1015, 2, false))</f>
        <v>0</v>
      </c>
      <c r="AA175" s="33" t="str">
        <f t="shared" si="6"/>
        <v/>
      </c>
      <c r="AB175" s="37"/>
      <c r="AC175" s="29"/>
      <c r="AD175" s="29" t="b">
        <v>0</v>
      </c>
      <c r="AE175" s="22" t="str">
        <f t="shared" si="7"/>
        <v/>
      </c>
      <c r="AF175" s="7">
        <f>IF(ISBLANK(AB175), 0, VLOOKUP(AB175, 'Price Sheet'!$A$2:$B1015, 2, false))</f>
        <v>0</v>
      </c>
      <c r="AG175" s="33" t="str">
        <f t="shared" si="8"/>
        <v/>
      </c>
      <c r="AH175" s="37"/>
      <c r="AI175" s="29"/>
      <c r="AJ175" s="29" t="b">
        <v>0</v>
      </c>
      <c r="AK175" s="22" t="str">
        <f t="shared" si="9"/>
        <v/>
      </c>
      <c r="AL175" s="7">
        <f>IF(ISBLANK(AH175), 0, VLOOKUP(AH175, 'Price Sheet'!$A$2:$B1015, 2, false))</f>
        <v>0</v>
      </c>
      <c r="AM175" s="33" t="str">
        <f t="shared" si="10"/>
        <v/>
      </c>
      <c r="AN175" s="37"/>
      <c r="AO175" s="29"/>
      <c r="AP175" s="29" t="b">
        <v>0</v>
      </c>
      <c r="AQ175" s="22" t="str">
        <f t="shared" si="11"/>
        <v/>
      </c>
      <c r="AR175" s="7">
        <f>IF(ISBLANK(AN175), 0, VLOOKUP(AN175, 'Price Sheet'!$A$2:$B1015, 2, false))</f>
        <v>0</v>
      </c>
      <c r="AS175" s="33" t="str">
        <f t="shared" si="12"/>
        <v/>
      </c>
      <c r="AT175" s="37"/>
      <c r="AU175" s="29"/>
      <c r="AV175" s="29" t="b">
        <v>0</v>
      </c>
      <c r="AW175" s="22" t="str">
        <f t="shared" si="13"/>
        <v/>
      </c>
      <c r="AX175" s="7">
        <f>IF(ISBLANK(AT175), 0, VLOOKUP(AT175, 'Price Sheet'!$A$2:$B1015, 2, false))</f>
        <v>0</v>
      </c>
      <c r="AY175" s="33" t="str">
        <f t="shared" si="14"/>
        <v/>
      </c>
      <c r="AZ175" s="37"/>
      <c r="BA175" s="29"/>
      <c r="BB175" s="29" t="b">
        <v>0</v>
      </c>
      <c r="BC175" s="22" t="str">
        <f t="shared" si="15"/>
        <v/>
      </c>
      <c r="BD175" s="7">
        <f>IF(ISBLANK(AZ175), 0, VLOOKUP(AZ175, 'Price Sheet'!$A$2:$B1015, 2, false))</f>
        <v>0</v>
      </c>
      <c r="BE175" s="33" t="str">
        <f t="shared" si="16"/>
        <v/>
      </c>
      <c r="BF175" s="37"/>
      <c r="BG175" s="29"/>
      <c r="BH175" s="29" t="b">
        <v>0</v>
      </c>
      <c r="BI175" s="22" t="str">
        <f t="shared" si="17"/>
        <v/>
      </c>
      <c r="BJ175" s="7">
        <f>IF(ISBLANK(BF175), 0, VLOOKUP(BF175, 'Price Sheet'!$A$2:$B1015, 2, false))</f>
        <v>0</v>
      </c>
      <c r="BK175" s="33" t="str">
        <f t="shared" si="18"/>
        <v/>
      </c>
      <c r="BL175" s="37"/>
      <c r="BM175" s="29"/>
      <c r="BN175" s="29" t="b">
        <v>0</v>
      </c>
      <c r="BO175" s="22" t="str">
        <f t="shared" si="19"/>
        <v/>
      </c>
      <c r="BP175" s="7">
        <f>IF(ISBLANK(BL175), 0, VLOOKUP(BL175, 'Price Sheet'!$A$2:$B1015, 2, false))</f>
        <v>0</v>
      </c>
      <c r="BQ175" s="33" t="str">
        <f t="shared" si="20"/>
        <v/>
      </c>
    </row>
    <row r="176">
      <c r="A176" s="7" t="s">
        <v>150</v>
      </c>
      <c r="B176" s="19">
        <f t="shared" si="1"/>
        <v>1.2025</v>
      </c>
      <c r="C176" s="8" t="s">
        <v>186</v>
      </c>
      <c r="D176" s="8" t="s">
        <v>181</v>
      </c>
      <c r="E176" s="7" t="str">
        <f>IF(ISBLANK(D176), "", VLOOKUP(D176,'Crafting Tables'!$A$2:$B1015, 2, false))</f>
        <v>Basic</v>
      </c>
      <c r="F176" s="7">
        <f>IFERROR(IF(E176 = "None", 1, VLOOKUP(C176,General!$A$5:$L$35, SWITCH(E176, "Basic", 8, "Advanced", 10, "Modern", 12), false)),"")</f>
        <v>0.475</v>
      </c>
      <c r="G176" s="8">
        <v>25.0</v>
      </c>
      <c r="H176" s="7">
        <f>IFERROR(VLOOKUP(C176, General!$A$5:$L$35, 6, false) * G176 / 1000, 0)</f>
        <v>0.0625</v>
      </c>
      <c r="I176" s="8">
        <v>60.0</v>
      </c>
      <c r="J176" s="22">
        <f>IFERROR(I176*VLOOKUP(D176,'Crafting Tables'!$1:$1000, 4, false)*F176,"")</f>
        <v>0</v>
      </c>
      <c r="K176" s="8" t="b">
        <v>1</v>
      </c>
      <c r="L176" s="32" t="s">
        <v>150</v>
      </c>
      <c r="M176" s="8">
        <v>1.0</v>
      </c>
      <c r="N176" s="21">
        <f t="shared" si="2"/>
        <v>1.2025</v>
      </c>
      <c r="P176" s="32" t="s">
        <v>368</v>
      </c>
      <c r="Q176" s="8">
        <v>16.0</v>
      </c>
      <c r="R176" s="29" t="b">
        <v>0</v>
      </c>
      <c r="S176" s="22">
        <f t="shared" si="3"/>
        <v>7.6</v>
      </c>
      <c r="T176" s="19">
        <f>IF(ISBLANK(P176), 0, VLOOKUP(P176, 'Price Sheet'!$A$2:$B1015, 2, false))</f>
        <v>0.15</v>
      </c>
      <c r="U176" s="33">
        <f t="shared" si="4"/>
        <v>1.14</v>
      </c>
      <c r="V176" s="37"/>
      <c r="W176" s="29"/>
      <c r="X176" s="29" t="b">
        <v>0</v>
      </c>
      <c r="Y176" s="22" t="str">
        <f t="shared" si="5"/>
        <v/>
      </c>
      <c r="Z176" s="7">
        <f>IF(ISBLANK(V176), 0, VLOOKUP(V176, 'Price Sheet'!$A$2:$B1015, 2, false))</f>
        <v>0</v>
      </c>
      <c r="AA176" s="33" t="str">
        <f t="shared" si="6"/>
        <v/>
      </c>
      <c r="AB176" s="37"/>
      <c r="AC176" s="29"/>
      <c r="AD176" s="29" t="b">
        <v>0</v>
      </c>
      <c r="AE176" s="22" t="str">
        <f t="shared" si="7"/>
        <v/>
      </c>
      <c r="AF176" s="7">
        <f>IF(ISBLANK(AB176), 0, VLOOKUP(AB176, 'Price Sheet'!$A$2:$B1015, 2, false))</f>
        <v>0</v>
      </c>
      <c r="AG176" s="33" t="str">
        <f t="shared" si="8"/>
        <v/>
      </c>
      <c r="AH176" s="37"/>
      <c r="AI176" s="29"/>
      <c r="AJ176" s="29" t="b">
        <v>0</v>
      </c>
      <c r="AK176" s="22" t="str">
        <f t="shared" si="9"/>
        <v/>
      </c>
      <c r="AL176" s="7">
        <f>IF(ISBLANK(AH176), 0, VLOOKUP(AH176, 'Price Sheet'!$A$2:$B1015, 2, false))</f>
        <v>0</v>
      </c>
      <c r="AM176" s="33" t="str">
        <f t="shared" si="10"/>
        <v/>
      </c>
      <c r="AN176" s="37"/>
      <c r="AO176" s="29"/>
      <c r="AP176" s="29" t="b">
        <v>0</v>
      </c>
      <c r="AQ176" s="22" t="str">
        <f t="shared" si="11"/>
        <v/>
      </c>
      <c r="AR176" s="7">
        <f>IF(ISBLANK(AN176), 0, VLOOKUP(AN176, 'Price Sheet'!$A$2:$B1015, 2, false))</f>
        <v>0</v>
      </c>
      <c r="AS176" s="33" t="str">
        <f t="shared" si="12"/>
        <v/>
      </c>
      <c r="AT176" s="37"/>
      <c r="AU176" s="29"/>
      <c r="AV176" s="29" t="b">
        <v>0</v>
      </c>
      <c r="AW176" s="22" t="str">
        <f t="shared" si="13"/>
        <v/>
      </c>
      <c r="AX176" s="7">
        <f>IF(ISBLANK(AT176), 0, VLOOKUP(AT176, 'Price Sheet'!$A$2:$B1015, 2, false))</f>
        <v>0</v>
      </c>
      <c r="AY176" s="33" t="str">
        <f t="shared" si="14"/>
        <v/>
      </c>
      <c r="AZ176" s="37"/>
      <c r="BA176" s="29"/>
      <c r="BB176" s="29" t="b">
        <v>0</v>
      </c>
      <c r="BC176" s="22" t="str">
        <f t="shared" si="15"/>
        <v/>
      </c>
      <c r="BD176" s="7">
        <f>IF(ISBLANK(AZ176), 0, VLOOKUP(AZ176, 'Price Sheet'!$A$2:$B1015, 2, false))</f>
        <v>0</v>
      </c>
      <c r="BE176" s="33" t="str">
        <f t="shared" si="16"/>
        <v/>
      </c>
      <c r="BF176" s="37"/>
      <c r="BG176" s="29"/>
      <c r="BH176" s="29" t="b">
        <v>0</v>
      </c>
      <c r="BI176" s="22" t="str">
        <f t="shared" si="17"/>
        <v/>
      </c>
      <c r="BJ176" s="7">
        <f>IF(ISBLANK(BF176), 0, VLOOKUP(BF176, 'Price Sheet'!$A$2:$B1015, 2, false))</f>
        <v>0</v>
      </c>
      <c r="BK176" s="33" t="str">
        <f t="shared" si="18"/>
        <v/>
      </c>
      <c r="BL176" s="37"/>
      <c r="BM176" s="29"/>
      <c r="BN176" s="29" t="b">
        <v>0</v>
      </c>
      <c r="BO176" s="22" t="str">
        <f t="shared" si="19"/>
        <v/>
      </c>
      <c r="BP176" s="7">
        <f>IF(ISBLANK(BL176), 0, VLOOKUP(BL176, 'Price Sheet'!$A$2:$B1015, 2, false))</f>
        <v>0</v>
      </c>
      <c r="BQ176" s="33" t="str">
        <f t="shared" si="20"/>
        <v/>
      </c>
    </row>
    <row r="177">
      <c r="A177" s="7" t="s">
        <v>374</v>
      </c>
      <c r="B177" s="19">
        <f t="shared" si="1"/>
        <v>1.1775</v>
      </c>
      <c r="C177" s="8" t="s">
        <v>186</v>
      </c>
      <c r="D177" s="8" t="s">
        <v>181</v>
      </c>
      <c r="E177" s="7" t="str">
        <f>IF(ISBLANK(D177), "", VLOOKUP(D177,'Crafting Tables'!$A$2:$B1015, 2, false))</f>
        <v>Basic</v>
      </c>
      <c r="F177" s="7">
        <f>IFERROR(IF(E177 = "None", 1, VLOOKUP(C177,General!$A$5:$L$35, SWITCH(E177, "Basic", 8, "Advanced", 10, "Modern", 12), false)),"")</f>
        <v>0.475</v>
      </c>
      <c r="G177" s="8">
        <v>15.0</v>
      </c>
      <c r="H177" s="7">
        <f>IFERROR(VLOOKUP(C177, General!$A$5:$L$35, 6, false) * G177 / 1000, 0)</f>
        <v>0.0375</v>
      </c>
      <c r="I177" s="8">
        <v>120.0</v>
      </c>
      <c r="J177" s="22">
        <f>IFERROR(I177*VLOOKUP(D177,'Crafting Tables'!$1:$1000, 4, false)*F177,"")</f>
        <v>0</v>
      </c>
      <c r="K177" s="8" t="b">
        <v>1</v>
      </c>
      <c r="L177" s="32" t="s">
        <v>374</v>
      </c>
      <c r="M177" s="8">
        <v>1.0</v>
      </c>
      <c r="N177" s="21">
        <f t="shared" si="2"/>
        <v>1.1775</v>
      </c>
      <c r="P177" s="32" t="s">
        <v>352</v>
      </c>
      <c r="Q177" s="8">
        <v>6.0</v>
      </c>
      <c r="R177" s="29" t="b">
        <v>0</v>
      </c>
      <c r="S177" s="22">
        <f t="shared" si="3"/>
        <v>2.85</v>
      </c>
      <c r="T177" s="19">
        <f>IF(ISBLANK(P177), 0, VLOOKUP(P177, 'Price Sheet'!$A$2:$B1015, 2, false))</f>
        <v>0.4</v>
      </c>
      <c r="U177" s="33">
        <f t="shared" si="4"/>
        <v>1.14</v>
      </c>
      <c r="V177" s="37"/>
      <c r="W177" s="29"/>
      <c r="X177" s="29" t="b">
        <v>0</v>
      </c>
      <c r="Y177" s="22" t="str">
        <f t="shared" si="5"/>
        <v/>
      </c>
      <c r="Z177" s="7">
        <f>IF(ISBLANK(V177), 0, VLOOKUP(V177, 'Price Sheet'!$A$2:$B1015, 2, false))</f>
        <v>0</v>
      </c>
      <c r="AA177" s="33" t="str">
        <f t="shared" si="6"/>
        <v/>
      </c>
      <c r="AB177" s="37"/>
      <c r="AC177" s="29"/>
      <c r="AD177" s="29" t="b">
        <v>0</v>
      </c>
      <c r="AE177" s="22" t="str">
        <f t="shared" si="7"/>
        <v/>
      </c>
      <c r="AF177" s="7">
        <f>IF(ISBLANK(AB177), 0, VLOOKUP(AB177, 'Price Sheet'!$A$2:$B1015, 2, false))</f>
        <v>0</v>
      </c>
      <c r="AG177" s="33" t="str">
        <f t="shared" si="8"/>
        <v/>
      </c>
      <c r="AH177" s="37"/>
      <c r="AI177" s="29"/>
      <c r="AJ177" s="29" t="b">
        <v>0</v>
      </c>
      <c r="AK177" s="22" t="str">
        <f t="shared" si="9"/>
        <v/>
      </c>
      <c r="AL177" s="7">
        <f>IF(ISBLANK(AH177), 0, VLOOKUP(AH177, 'Price Sheet'!$A$2:$B1015, 2, false))</f>
        <v>0</v>
      </c>
      <c r="AM177" s="33" t="str">
        <f t="shared" si="10"/>
        <v/>
      </c>
      <c r="AN177" s="37"/>
      <c r="AO177" s="29"/>
      <c r="AP177" s="29" t="b">
        <v>0</v>
      </c>
      <c r="AQ177" s="22" t="str">
        <f t="shared" si="11"/>
        <v/>
      </c>
      <c r="AR177" s="7">
        <f>IF(ISBLANK(AN177), 0, VLOOKUP(AN177, 'Price Sheet'!$A$2:$B1015, 2, false))</f>
        <v>0</v>
      </c>
      <c r="AS177" s="33" t="str">
        <f t="shared" si="12"/>
        <v/>
      </c>
      <c r="AT177" s="37"/>
      <c r="AU177" s="29"/>
      <c r="AV177" s="29" t="b">
        <v>0</v>
      </c>
      <c r="AW177" s="22" t="str">
        <f t="shared" si="13"/>
        <v/>
      </c>
      <c r="AX177" s="7">
        <f>IF(ISBLANK(AT177), 0, VLOOKUP(AT177, 'Price Sheet'!$A$2:$B1015, 2, false))</f>
        <v>0</v>
      </c>
      <c r="AY177" s="33" t="str">
        <f t="shared" si="14"/>
        <v/>
      </c>
      <c r="AZ177" s="37"/>
      <c r="BA177" s="29"/>
      <c r="BB177" s="29" t="b">
        <v>0</v>
      </c>
      <c r="BC177" s="22" t="str">
        <f t="shared" si="15"/>
        <v/>
      </c>
      <c r="BD177" s="7">
        <f>IF(ISBLANK(AZ177), 0, VLOOKUP(AZ177, 'Price Sheet'!$A$2:$B1015, 2, false))</f>
        <v>0</v>
      </c>
      <c r="BE177" s="33" t="str">
        <f t="shared" si="16"/>
        <v/>
      </c>
      <c r="BF177" s="37"/>
      <c r="BG177" s="29"/>
      <c r="BH177" s="29" t="b">
        <v>0</v>
      </c>
      <c r="BI177" s="22" t="str">
        <f t="shared" si="17"/>
        <v/>
      </c>
      <c r="BJ177" s="7">
        <f>IF(ISBLANK(BF177), 0, VLOOKUP(BF177, 'Price Sheet'!$A$2:$B1015, 2, false))</f>
        <v>0</v>
      </c>
      <c r="BK177" s="33" t="str">
        <f t="shared" si="18"/>
        <v/>
      </c>
      <c r="BL177" s="37"/>
      <c r="BM177" s="29"/>
      <c r="BN177" s="29" t="b">
        <v>0</v>
      </c>
      <c r="BO177" s="22" t="str">
        <f t="shared" si="19"/>
        <v/>
      </c>
      <c r="BP177" s="7">
        <f>IF(ISBLANK(BL177), 0, VLOOKUP(BL177, 'Price Sheet'!$A$2:$B1015, 2, false))</f>
        <v>0</v>
      </c>
      <c r="BQ177" s="33" t="str">
        <f t="shared" si="20"/>
        <v/>
      </c>
    </row>
    <row r="178">
      <c r="A178" s="7" t="s">
        <v>503</v>
      </c>
      <c r="B178" s="19">
        <f t="shared" si="1"/>
        <v>1.835</v>
      </c>
      <c r="C178" s="8" t="s">
        <v>186</v>
      </c>
      <c r="D178" s="8" t="s">
        <v>181</v>
      </c>
      <c r="E178" s="7" t="str">
        <f>IF(ISBLANK(D178), "", VLOOKUP(D178,'Crafting Tables'!$A$2:$B1015, 2, false))</f>
        <v>Basic</v>
      </c>
      <c r="F178" s="7">
        <f>IFERROR(IF(E178 = "None", 1, VLOOKUP(C178,General!$A$5:$L$35, SWITCH(E178, "Basic", 8, "Advanced", 10, "Modern", 12), false)),"")</f>
        <v>0.475</v>
      </c>
      <c r="G178" s="8">
        <v>50.0</v>
      </c>
      <c r="H178" s="7">
        <f>IFERROR(VLOOKUP(C178, General!$A$5:$L$35, 6, false) * G178 / 1000, 0)</f>
        <v>0.125</v>
      </c>
      <c r="I178" s="8">
        <v>120.0</v>
      </c>
      <c r="J178" s="22">
        <f>IFERROR(I178*VLOOKUP(D178,'Crafting Tables'!$1:$1000, 4, false)*F178,"")</f>
        <v>0</v>
      </c>
      <c r="K178" s="8" t="b">
        <v>1</v>
      </c>
      <c r="L178" s="32" t="s">
        <v>180</v>
      </c>
      <c r="M178" s="8">
        <v>3.0</v>
      </c>
      <c r="N178" s="21">
        <f t="shared" si="2"/>
        <v>0.6116666667</v>
      </c>
      <c r="P178" s="32" t="s">
        <v>357</v>
      </c>
      <c r="Q178" s="8">
        <v>6.0</v>
      </c>
      <c r="R178" s="8" t="b">
        <v>0</v>
      </c>
      <c r="S178" s="22">
        <f t="shared" si="3"/>
        <v>2.85</v>
      </c>
      <c r="T178" s="19">
        <f>IF(ISBLANK(P178), 0, VLOOKUP(P178, 'Price Sheet'!$A$2:$B1015, 2, false))</f>
        <v>0.6</v>
      </c>
      <c r="U178" s="33">
        <f t="shared" si="4"/>
        <v>1.71</v>
      </c>
      <c r="V178" s="37"/>
      <c r="W178" s="29"/>
      <c r="X178" s="29" t="b">
        <v>0</v>
      </c>
      <c r="Y178" s="22" t="str">
        <f t="shared" si="5"/>
        <v/>
      </c>
      <c r="Z178" s="7">
        <f>IF(ISBLANK(V178), 0, VLOOKUP(V178, 'Price Sheet'!$A$2:$B1015, 2, false))</f>
        <v>0</v>
      </c>
      <c r="AA178" s="33" t="str">
        <f t="shared" si="6"/>
        <v/>
      </c>
      <c r="AB178" s="37"/>
      <c r="AC178" s="29"/>
      <c r="AD178" s="29" t="b">
        <v>0</v>
      </c>
      <c r="AE178" s="22" t="str">
        <f t="shared" si="7"/>
        <v/>
      </c>
      <c r="AF178" s="7">
        <f>IF(ISBLANK(AB178), 0, VLOOKUP(AB178, 'Price Sheet'!$A$2:$B1015, 2, false))</f>
        <v>0</v>
      </c>
      <c r="AG178" s="33" t="str">
        <f t="shared" si="8"/>
        <v/>
      </c>
      <c r="AH178" s="37"/>
      <c r="AI178" s="29"/>
      <c r="AJ178" s="29" t="b">
        <v>0</v>
      </c>
      <c r="AK178" s="22" t="str">
        <f t="shared" si="9"/>
        <v/>
      </c>
      <c r="AL178" s="7">
        <f>IF(ISBLANK(AH178), 0, VLOOKUP(AH178, 'Price Sheet'!$A$2:$B1015, 2, false))</f>
        <v>0</v>
      </c>
      <c r="AM178" s="33" t="str">
        <f t="shared" si="10"/>
        <v/>
      </c>
      <c r="AN178" s="37"/>
      <c r="AO178" s="29"/>
      <c r="AP178" s="29" t="b">
        <v>0</v>
      </c>
      <c r="AQ178" s="22" t="str">
        <f t="shared" si="11"/>
        <v/>
      </c>
      <c r="AR178" s="7">
        <f>IF(ISBLANK(AN178), 0, VLOOKUP(AN178, 'Price Sheet'!$A$2:$B1015, 2, false))</f>
        <v>0</v>
      </c>
      <c r="AS178" s="33" t="str">
        <f t="shared" si="12"/>
        <v/>
      </c>
      <c r="AT178" s="37"/>
      <c r="AU178" s="29"/>
      <c r="AV178" s="29" t="b">
        <v>0</v>
      </c>
      <c r="AW178" s="22" t="str">
        <f t="shared" si="13"/>
        <v/>
      </c>
      <c r="AX178" s="7">
        <f>IF(ISBLANK(AT178), 0, VLOOKUP(AT178, 'Price Sheet'!$A$2:$B1015, 2, false))</f>
        <v>0</v>
      </c>
      <c r="AY178" s="33" t="str">
        <f t="shared" si="14"/>
        <v/>
      </c>
      <c r="AZ178" s="37"/>
      <c r="BA178" s="29"/>
      <c r="BB178" s="29" t="b">
        <v>0</v>
      </c>
      <c r="BC178" s="22" t="str">
        <f t="shared" si="15"/>
        <v/>
      </c>
      <c r="BD178" s="7">
        <f>IF(ISBLANK(AZ178), 0, VLOOKUP(AZ178, 'Price Sheet'!$A$2:$B1015, 2, false))</f>
        <v>0</v>
      </c>
      <c r="BE178" s="33" t="str">
        <f t="shared" si="16"/>
        <v/>
      </c>
      <c r="BF178" s="37"/>
      <c r="BG178" s="29"/>
      <c r="BH178" s="29" t="b">
        <v>0</v>
      </c>
      <c r="BI178" s="22" t="str">
        <f t="shared" si="17"/>
        <v/>
      </c>
      <c r="BJ178" s="7">
        <f>IF(ISBLANK(BF178), 0, VLOOKUP(BF178, 'Price Sheet'!$A$2:$B1015, 2, false))</f>
        <v>0</v>
      </c>
      <c r="BK178" s="33" t="str">
        <f t="shared" si="18"/>
        <v/>
      </c>
      <c r="BL178" s="37"/>
      <c r="BM178" s="29"/>
      <c r="BN178" s="29" t="b">
        <v>0</v>
      </c>
      <c r="BO178" s="22" t="str">
        <f t="shared" si="19"/>
        <v/>
      </c>
      <c r="BP178" s="7">
        <f>IF(ISBLANK(BL178), 0, VLOOKUP(BL178, 'Price Sheet'!$A$2:$B1015, 2, false))</f>
        <v>0</v>
      </c>
      <c r="BQ178" s="33" t="str">
        <f t="shared" si="20"/>
        <v/>
      </c>
    </row>
    <row r="179">
      <c r="A179" s="7" t="s">
        <v>504</v>
      </c>
      <c r="B179" s="19">
        <f t="shared" si="1"/>
        <v>0.6075</v>
      </c>
      <c r="C179" s="8" t="s">
        <v>186</v>
      </c>
      <c r="D179" s="8" t="s">
        <v>181</v>
      </c>
      <c r="E179" s="7" t="str">
        <f>IF(ISBLANK(D179), "", VLOOKUP(D179,'Crafting Tables'!$A$2:$B1015, 2, false))</f>
        <v>Basic</v>
      </c>
      <c r="F179" s="7">
        <f>IFERROR(IF(E179 = "None", 1, VLOOKUP(C179,General!$A$5:$L$35, SWITCH(E179, "Basic", 8, "Advanced", 10, "Modern", 12), false)),"")</f>
        <v>0.475</v>
      </c>
      <c r="G179" s="8">
        <v>15.0</v>
      </c>
      <c r="H179" s="7">
        <f>IFERROR(VLOOKUP(C179, General!$A$5:$L$35, 6, false) * G179 / 1000, 0)</f>
        <v>0.0375</v>
      </c>
      <c r="I179" s="8">
        <v>120.0</v>
      </c>
      <c r="J179" s="22">
        <f>IFERROR(I179*VLOOKUP(D179,'Crafting Tables'!$1:$1000, 4, false)*F179,"")</f>
        <v>0</v>
      </c>
      <c r="K179" s="8" t="b">
        <v>1</v>
      </c>
      <c r="L179" s="32" t="s">
        <v>180</v>
      </c>
      <c r="M179" s="8">
        <v>1.0</v>
      </c>
      <c r="N179" s="21">
        <f t="shared" si="2"/>
        <v>0.6075</v>
      </c>
      <c r="P179" s="32" t="s">
        <v>359</v>
      </c>
      <c r="Q179" s="8">
        <v>8.0</v>
      </c>
      <c r="R179" s="29" t="b">
        <v>0</v>
      </c>
      <c r="S179" s="22">
        <f t="shared" si="3"/>
        <v>3.8</v>
      </c>
      <c r="T179" s="19">
        <f>IF(ISBLANK(P179), 0, VLOOKUP(P179, 'Price Sheet'!$A$2:$B1015, 2, false))</f>
        <v>0.15</v>
      </c>
      <c r="U179" s="33">
        <f t="shared" si="4"/>
        <v>0.57</v>
      </c>
      <c r="V179" s="37"/>
      <c r="W179" s="29"/>
      <c r="X179" s="29" t="b">
        <v>0</v>
      </c>
      <c r="Y179" s="22" t="str">
        <f t="shared" si="5"/>
        <v/>
      </c>
      <c r="Z179" s="7">
        <f>IF(ISBLANK(V179), 0, VLOOKUP(V179, 'Price Sheet'!$A$2:$B1015, 2, false))</f>
        <v>0</v>
      </c>
      <c r="AA179" s="33" t="str">
        <f t="shared" si="6"/>
        <v/>
      </c>
      <c r="AB179" s="37"/>
      <c r="AC179" s="29"/>
      <c r="AD179" s="29" t="b">
        <v>0</v>
      </c>
      <c r="AE179" s="22" t="str">
        <f t="shared" si="7"/>
        <v/>
      </c>
      <c r="AF179" s="7">
        <f>IF(ISBLANK(AB179), 0, VLOOKUP(AB179, 'Price Sheet'!$A$2:$B1015, 2, false))</f>
        <v>0</v>
      </c>
      <c r="AG179" s="33" t="str">
        <f t="shared" si="8"/>
        <v/>
      </c>
      <c r="AH179" s="37"/>
      <c r="AI179" s="29"/>
      <c r="AJ179" s="29" t="b">
        <v>0</v>
      </c>
      <c r="AK179" s="22" t="str">
        <f t="shared" si="9"/>
        <v/>
      </c>
      <c r="AL179" s="7">
        <f>IF(ISBLANK(AH179), 0, VLOOKUP(AH179, 'Price Sheet'!$A$2:$B1015, 2, false))</f>
        <v>0</v>
      </c>
      <c r="AM179" s="33" t="str">
        <f t="shared" si="10"/>
        <v/>
      </c>
      <c r="AN179" s="37"/>
      <c r="AO179" s="29"/>
      <c r="AP179" s="29" t="b">
        <v>0</v>
      </c>
      <c r="AQ179" s="22" t="str">
        <f t="shared" si="11"/>
        <v/>
      </c>
      <c r="AR179" s="7">
        <f>IF(ISBLANK(AN179), 0, VLOOKUP(AN179, 'Price Sheet'!$A$2:$B1015, 2, false))</f>
        <v>0</v>
      </c>
      <c r="AS179" s="33" t="str">
        <f t="shared" si="12"/>
        <v/>
      </c>
      <c r="AT179" s="37"/>
      <c r="AU179" s="29"/>
      <c r="AV179" s="29" t="b">
        <v>0</v>
      </c>
      <c r="AW179" s="22" t="str">
        <f t="shared" si="13"/>
        <v/>
      </c>
      <c r="AX179" s="7">
        <f>IF(ISBLANK(AT179), 0, VLOOKUP(AT179, 'Price Sheet'!$A$2:$B1015, 2, false))</f>
        <v>0</v>
      </c>
      <c r="AY179" s="33" t="str">
        <f t="shared" si="14"/>
        <v/>
      </c>
      <c r="AZ179" s="37"/>
      <c r="BA179" s="29"/>
      <c r="BB179" s="29" t="b">
        <v>0</v>
      </c>
      <c r="BC179" s="22" t="str">
        <f t="shared" si="15"/>
        <v/>
      </c>
      <c r="BD179" s="7">
        <f>IF(ISBLANK(AZ179), 0, VLOOKUP(AZ179, 'Price Sheet'!$A$2:$B1015, 2, false))</f>
        <v>0</v>
      </c>
      <c r="BE179" s="33" t="str">
        <f t="shared" si="16"/>
        <v/>
      </c>
      <c r="BF179" s="37"/>
      <c r="BG179" s="29"/>
      <c r="BH179" s="29" t="b">
        <v>0</v>
      </c>
      <c r="BI179" s="22" t="str">
        <f t="shared" si="17"/>
        <v/>
      </c>
      <c r="BJ179" s="7">
        <f>IF(ISBLANK(BF179), 0, VLOOKUP(BF179, 'Price Sheet'!$A$2:$B1015, 2, false))</f>
        <v>0</v>
      </c>
      <c r="BK179" s="33" t="str">
        <f t="shared" si="18"/>
        <v/>
      </c>
      <c r="BL179" s="37"/>
      <c r="BM179" s="29"/>
      <c r="BN179" s="29" t="b">
        <v>0</v>
      </c>
      <c r="BO179" s="22" t="str">
        <f t="shared" si="19"/>
        <v/>
      </c>
      <c r="BP179" s="7">
        <f>IF(ISBLANK(BL179), 0, VLOOKUP(BL179, 'Price Sheet'!$A$2:$B1015, 2, false))</f>
        <v>0</v>
      </c>
      <c r="BQ179" s="33" t="str">
        <f t="shared" si="20"/>
        <v/>
      </c>
    </row>
    <row r="180">
      <c r="A180" s="7" t="s">
        <v>98</v>
      </c>
      <c r="B180" s="19">
        <f t="shared" si="1"/>
        <v>0.13125</v>
      </c>
      <c r="C180" s="8" t="s">
        <v>186</v>
      </c>
      <c r="D180" s="8" t="s">
        <v>181</v>
      </c>
      <c r="E180" s="7" t="str">
        <f>IF(ISBLANK(D180), "", VLOOKUP(D180,'Crafting Tables'!$A$2:$B1015, 2, false))</f>
        <v>Basic</v>
      </c>
      <c r="F180" s="7">
        <f>IFERROR(IF(E180 = "None", 1, VLOOKUP(C180,General!$A$5:$L$35, SWITCH(E180, "Basic", 8, "Advanced", 10, "Modern", 12), false)),"")</f>
        <v>0.475</v>
      </c>
      <c r="G180" s="8">
        <v>24.0</v>
      </c>
      <c r="H180" s="7">
        <f>IFERROR(VLOOKUP(C180, General!$A$5:$L$35, 6, false) * G180 / 1000, 0)</f>
        <v>0.06</v>
      </c>
      <c r="I180" s="8">
        <v>25.0</v>
      </c>
      <c r="J180" s="22">
        <f>IFERROR(I180*VLOOKUP(D180,'Crafting Tables'!$1:$1000, 4, false)*F180,"")</f>
        <v>0</v>
      </c>
      <c r="K180" s="8" t="b">
        <v>1</v>
      </c>
      <c r="L180" s="32" t="s">
        <v>98</v>
      </c>
      <c r="M180" s="8">
        <v>5.0</v>
      </c>
      <c r="N180" s="21">
        <f t="shared" si="2"/>
        <v>0.02625</v>
      </c>
      <c r="P180" s="32" t="s">
        <v>359</v>
      </c>
      <c r="Q180" s="8">
        <v>1.0</v>
      </c>
      <c r="R180" s="29" t="b">
        <v>0</v>
      </c>
      <c r="S180" s="22">
        <f t="shared" si="3"/>
        <v>0.475</v>
      </c>
      <c r="T180" s="19">
        <f>IF(ISBLANK(P180), 0, VLOOKUP(P180, 'Price Sheet'!$A$2:$B1015, 2, false))</f>
        <v>0.15</v>
      </c>
      <c r="U180" s="33">
        <f t="shared" si="4"/>
        <v>0.07125</v>
      </c>
      <c r="V180" s="37"/>
      <c r="W180" s="29"/>
      <c r="X180" s="29" t="b">
        <v>0</v>
      </c>
      <c r="Y180" s="22" t="str">
        <f t="shared" si="5"/>
        <v/>
      </c>
      <c r="Z180" s="7">
        <f>IF(ISBLANK(V180), 0, VLOOKUP(V180, 'Price Sheet'!$A$2:$B1015, 2, false))</f>
        <v>0</v>
      </c>
      <c r="AA180" s="33" t="str">
        <f t="shared" si="6"/>
        <v/>
      </c>
      <c r="AB180" s="37"/>
      <c r="AC180" s="29"/>
      <c r="AD180" s="29" t="b">
        <v>0</v>
      </c>
      <c r="AE180" s="22" t="str">
        <f t="shared" si="7"/>
        <v/>
      </c>
      <c r="AF180" s="7">
        <f>IF(ISBLANK(AB180), 0, VLOOKUP(AB180, 'Price Sheet'!$A$2:$B1015, 2, false))</f>
        <v>0</v>
      </c>
      <c r="AG180" s="33" t="str">
        <f t="shared" si="8"/>
        <v/>
      </c>
      <c r="AH180" s="37"/>
      <c r="AI180" s="29"/>
      <c r="AJ180" s="29" t="b">
        <v>0</v>
      </c>
      <c r="AK180" s="22" t="str">
        <f t="shared" si="9"/>
        <v/>
      </c>
      <c r="AL180" s="7">
        <f>IF(ISBLANK(AH180), 0, VLOOKUP(AH180, 'Price Sheet'!$A$2:$B1015, 2, false))</f>
        <v>0</v>
      </c>
      <c r="AM180" s="33" t="str">
        <f t="shared" si="10"/>
        <v/>
      </c>
      <c r="AN180" s="37"/>
      <c r="AO180" s="29"/>
      <c r="AP180" s="29" t="b">
        <v>0</v>
      </c>
      <c r="AQ180" s="22" t="str">
        <f t="shared" si="11"/>
        <v/>
      </c>
      <c r="AR180" s="7">
        <f>IF(ISBLANK(AN180), 0, VLOOKUP(AN180, 'Price Sheet'!$A$2:$B1015, 2, false))</f>
        <v>0</v>
      </c>
      <c r="AS180" s="33" t="str">
        <f t="shared" si="12"/>
        <v/>
      </c>
      <c r="AT180" s="37"/>
      <c r="AU180" s="29"/>
      <c r="AV180" s="29" t="b">
        <v>0</v>
      </c>
      <c r="AW180" s="22" t="str">
        <f t="shared" si="13"/>
        <v/>
      </c>
      <c r="AX180" s="7">
        <f>IF(ISBLANK(AT180), 0, VLOOKUP(AT180, 'Price Sheet'!$A$2:$B1015, 2, false))</f>
        <v>0</v>
      </c>
      <c r="AY180" s="33" t="str">
        <f t="shared" si="14"/>
        <v/>
      </c>
      <c r="AZ180" s="37"/>
      <c r="BA180" s="29"/>
      <c r="BB180" s="29" t="b">
        <v>0</v>
      </c>
      <c r="BC180" s="22" t="str">
        <f t="shared" si="15"/>
        <v/>
      </c>
      <c r="BD180" s="7">
        <f>IF(ISBLANK(AZ180), 0, VLOOKUP(AZ180, 'Price Sheet'!$A$2:$B1015, 2, false))</f>
        <v>0</v>
      </c>
      <c r="BE180" s="33" t="str">
        <f t="shared" si="16"/>
        <v/>
      </c>
      <c r="BF180" s="37"/>
      <c r="BG180" s="29"/>
      <c r="BH180" s="29" t="b">
        <v>0</v>
      </c>
      <c r="BI180" s="22" t="str">
        <f t="shared" si="17"/>
        <v/>
      </c>
      <c r="BJ180" s="7">
        <f>IF(ISBLANK(BF180), 0, VLOOKUP(BF180, 'Price Sheet'!$A$2:$B1015, 2, false))</f>
        <v>0</v>
      </c>
      <c r="BK180" s="33" t="str">
        <f t="shared" si="18"/>
        <v/>
      </c>
      <c r="BL180" s="37"/>
      <c r="BM180" s="29"/>
      <c r="BN180" s="29" t="b">
        <v>0</v>
      </c>
      <c r="BO180" s="22" t="str">
        <f t="shared" si="19"/>
        <v/>
      </c>
      <c r="BP180" s="7">
        <f>IF(ISBLANK(BL180), 0, VLOOKUP(BL180, 'Price Sheet'!$A$2:$B1015, 2, false))</f>
        <v>0</v>
      </c>
      <c r="BQ180" s="33" t="str">
        <f t="shared" si="20"/>
        <v/>
      </c>
    </row>
    <row r="181">
      <c r="A181" s="7" t="s">
        <v>104</v>
      </c>
      <c r="B181" s="19">
        <f t="shared" si="1"/>
        <v>0.25</v>
      </c>
      <c r="C181" s="8" t="s">
        <v>186</v>
      </c>
      <c r="D181" s="8" t="s">
        <v>181</v>
      </c>
      <c r="E181" s="7" t="str">
        <f>IF(ISBLANK(D181), "", VLOOKUP(D181,'Crafting Tables'!$A$2:$B1015, 2, false))</f>
        <v>Basic</v>
      </c>
      <c r="F181" s="7">
        <f>IFERROR(IF(E181 = "None", 1, VLOOKUP(C181,General!$A$5:$L$35, SWITCH(E181, "Basic", 8, "Advanced", 10, "Modern", 12), false)),"")</f>
        <v>0.475</v>
      </c>
      <c r="G181" s="8">
        <v>24.0</v>
      </c>
      <c r="H181" s="7">
        <f>IFERROR(VLOOKUP(C181, General!$A$5:$L$35, 6, false) * G181 / 1000, 0)</f>
        <v>0.06</v>
      </c>
      <c r="I181" s="8">
        <v>25.0</v>
      </c>
      <c r="J181" s="22">
        <f>IFERROR(I181*VLOOKUP(D181,'Crafting Tables'!$1:$1000, 4, false)*F181,"")</f>
        <v>0</v>
      </c>
      <c r="K181" s="8" t="b">
        <v>1</v>
      </c>
      <c r="L181" s="32" t="s">
        <v>104</v>
      </c>
      <c r="M181" s="8">
        <v>1.0</v>
      </c>
      <c r="N181" s="21">
        <f t="shared" si="2"/>
        <v>0.25</v>
      </c>
      <c r="P181" s="32" t="s">
        <v>362</v>
      </c>
      <c r="Q181" s="8">
        <v>4.0</v>
      </c>
      <c r="R181" s="29" t="b">
        <v>0</v>
      </c>
      <c r="S181" s="22">
        <f t="shared" si="3"/>
        <v>1.9</v>
      </c>
      <c r="T181" s="19">
        <f>IF(ISBLANK(P181), 0, VLOOKUP(P181, 'Price Sheet'!$A$2:$B1015, 2, false))</f>
        <v>0.1</v>
      </c>
      <c r="U181" s="33">
        <f t="shared" si="4"/>
        <v>0.19</v>
      </c>
      <c r="V181" s="37"/>
      <c r="W181" s="29"/>
      <c r="X181" s="29" t="b">
        <v>0</v>
      </c>
      <c r="Y181" s="22" t="str">
        <f t="shared" si="5"/>
        <v/>
      </c>
      <c r="Z181" s="7">
        <f>IF(ISBLANK(V181), 0, VLOOKUP(V181, 'Price Sheet'!$A$2:$B1015, 2, false))</f>
        <v>0</v>
      </c>
      <c r="AA181" s="33" t="str">
        <f t="shared" si="6"/>
        <v/>
      </c>
      <c r="AB181" s="37"/>
      <c r="AC181" s="29"/>
      <c r="AD181" s="29" t="b">
        <v>0</v>
      </c>
      <c r="AE181" s="22" t="str">
        <f t="shared" si="7"/>
        <v/>
      </c>
      <c r="AF181" s="7">
        <f>IF(ISBLANK(AB181), 0, VLOOKUP(AB181, 'Price Sheet'!$A$2:$B1015, 2, false))</f>
        <v>0</v>
      </c>
      <c r="AG181" s="33" t="str">
        <f t="shared" si="8"/>
        <v/>
      </c>
      <c r="AH181" s="37"/>
      <c r="AI181" s="29"/>
      <c r="AJ181" s="29" t="b">
        <v>0</v>
      </c>
      <c r="AK181" s="22" t="str">
        <f t="shared" si="9"/>
        <v/>
      </c>
      <c r="AL181" s="7">
        <f>IF(ISBLANK(AH181), 0, VLOOKUP(AH181, 'Price Sheet'!$A$2:$B1015, 2, false))</f>
        <v>0</v>
      </c>
      <c r="AM181" s="33" t="str">
        <f t="shared" si="10"/>
        <v/>
      </c>
      <c r="AN181" s="37"/>
      <c r="AO181" s="29"/>
      <c r="AP181" s="29" t="b">
        <v>0</v>
      </c>
      <c r="AQ181" s="22" t="str">
        <f t="shared" si="11"/>
        <v/>
      </c>
      <c r="AR181" s="7">
        <f>IF(ISBLANK(AN181), 0, VLOOKUP(AN181, 'Price Sheet'!$A$2:$B1015, 2, false))</f>
        <v>0</v>
      </c>
      <c r="AS181" s="33" t="str">
        <f t="shared" si="12"/>
        <v/>
      </c>
      <c r="AT181" s="37"/>
      <c r="AU181" s="29"/>
      <c r="AV181" s="29" t="b">
        <v>0</v>
      </c>
      <c r="AW181" s="22" t="str">
        <f t="shared" si="13"/>
        <v/>
      </c>
      <c r="AX181" s="7">
        <f>IF(ISBLANK(AT181), 0, VLOOKUP(AT181, 'Price Sheet'!$A$2:$B1015, 2, false))</f>
        <v>0</v>
      </c>
      <c r="AY181" s="33" t="str">
        <f t="shared" si="14"/>
        <v/>
      </c>
      <c r="AZ181" s="37"/>
      <c r="BA181" s="29"/>
      <c r="BB181" s="29" t="b">
        <v>0</v>
      </c>
      <c r="BC181" s="22" t="str">
        <f t="shared" si="15"/>
        <v/>
      </c>
      <c r="BD181" s="7">
        <f>IF(ISBLANK(AZ181), 0, VLOOKUP(AZ181, 'Price Sheet'!$A$2:$B1015, 2, false))</f>
        <v>0</v>
      </c>
      <c r="BE181" s="33" t="str">
        <f t="shared" si="16"/>
        <v/>
      </c>
      <c r="BF181" s="37"/>
      <c r="BG181" s="29"/>
      <c r="BH181" s="29" t="b">
        <v>0</v>
      </c>
      <c r="BI181" s="22" t="str">
        <f t="shared" si="17"/>
        <v/>
      </c>
      <c r="BJ181" s="7">
        <f>IF(ISBLANK(BF181), 0, VLOOKUP(BF181, 'Price Sheet'!$A$2:$B1015, 2, false))</f>
        <v>0</v>
      </c>
      <c r="BK181" s="33" t="str">
        <f t="shared" si="18"/>
        <v/>
      </c>
      <c r="BL181" s="37"/>
      <c r="BM181" s="29"/>
      <c r="BN181" s="29" t="b">
        <v>0</v>
      </c>
      <c r="BO181" s="22" t="str">
        <f t="shared" si="19"/>
        <v/>
      </c>
      <c r="BP181" s="7">
        <f>IF(ISBLANK(BL181), 0, VLOOKUP(BL181, 'Price Sheet'!$A$2:$B1015, 2, false))</f>
        <v>0</v>
      </c>
      <c r="BQ181" s="33" t="str">
        <f t="shared" si="20"/>
        <v/>
      </c>
    </row>
    <row r="182">
      <c r="A182" s="7" t="s">
        <v>109</v>
      </c>
      <c r="B182" s="19">
        <f t="shared" si="1"/>
        <v>2.435</v>
      </c>
      <c r="C182" s="8" t="s">
        <v>186</v>
      </c>
      <c r="D182" s="8" t="s">
        <v>181</v>
      </c>
      <c r="E182" s="7" t="str">
        <f>IF(ISBLANK(D182), "", VLOOKUP(D182,'Crafting Tables'!$A$2:$B1015, 2, false))</f>
        <v>Basic</v>
      </c>
      <c r="F182" s="7">
        <f>IFERROR(IF(E182 = "None", 1, VLOOKUP(C182,General!$A$5:$L$35, SWITCH(E182, "Basic", 8, "Advanced", 10, "Modern", 12), false)),"")</f>
        <v>0.475</v>
      </c>
      <c r="G182" s="8">
        <v>24.0</v>
      </c>
      <c r="H182" s="7">
        <f>IFERROR(VLOOKUP(C182, General!$A$5:$L$35, 6, false) * G182 / 1000, 0)</f>
        <v>0.06</v>
      </c>
      <c r="I182" s="8">
        <v>25.0</v>
      </c>
      <c r="J182" s="22">
        <f>IFERROR(I182*VLOOKUP(D182,'Crafting Tables'!$1:$1000, 4, false)*F182,"")</f>
        <v>0</v>
      </c>
      <c r="K182" s="8" t="b">
        <v>1</v>
      </c>
      <c r="L182" s="32" t="s">
        <v>109</v>
      </c>
      <c r="M182" s="8">
        <v>12.0</v>
      </c>
      <c r="N182" s="21">
        <f t="shared" si="2"/>
        <v>0.2029166667</v>
      </c>
      <c r="P182" s="32" t="s">
        <v>203</v>
      </c>
      <c r="Q182" s="8">
        <v>1.0</v>
      </c>
      <c r="R182" s="29" t="b">
        <v>0</v>
      </c>
      <c r="S182" s="22">
        <f t="shared" si="3"/>
        <v>0.475</v>
      </c>
      <c r="T182" s="19">
        <f>IF(ISBLANK(P182), 0, VLOOKUP(P182, 'Price Sheet'!$A$2:$B1015, 2, false))</f>
        <v>5</v>
      </c>
      <c r="U182" s="33">
        <f t="shared" si="4"/>
        <v>2.375</v>
      </c>
      <c r="V182" s="37"/>
      <c r="W182" s="29"/>
      <c r="X182" s="29" t="b">
        <v>0</v>
      </c>
      <c r="Y182" s="22" t="str">
        <f t="shared" si="5"/>
        <v/>
      </c>
      <c r="Z182" s="7">
        <f>IF(ISBLANK(V182), 0, VLOOKUP(V182, 'Price Sheet'!$A$2:$B1015, 2, false))</f>
        <v>0</v>
      </c>
      <c r="AA182" s="33" t="str">
        <f t="shared" si="6"/>
        <v/>
      </c>
      <c r="AB182" s="37"/>
      <c r="AC182" s="29"/>
      <c r="AD182" s="29" t="b">
        <v>0</v>
      </c>
      <c r="AE182" s="22" t="str">
        <f t="shared" si="7"/>
        <v/>
      </c>
      <c r="AF182" s="7">
        <f>IF(ISBLANK(AB182), 0, VLOOKUP(AB182, 'Price Sheet'!$A$2:$B1015, 2, false))</f>
        <v>0</v>
      </c>
      <c r="AG182" s="33" t="str">
        <f t="shared" si="8"/>
        <v/>
      </c>
      <c r="AH182" s="37"/>
      <c r="AI182" s="29"/>
      <c r="AJ182" s="29" t="b">
        <v>0</v>
      </c>
      <c r="AK182" s="22" t="str">
        <f t="shared" si="9"/>
        <v/>
      </c>
      <c r="AL182" s="7">
        <f>IF(ISBLANK(AH182), 0, VLOOKUP(AH182, 'Price Sheet'!$A$2:$B1015, 2, false))</f>
        <v>0</v>
      </c>
      <c r="AM182" s="33" t="str">
        <f t="shared" si="10"/>
        <v/>
      </c>
      <c r="AN182" s="37"/>
      <c r="AO182" s="29"/>
      <c r="AP182" s="29" t="b">
        <v>0</v>
      </c>
      <c r="AQ182" s="22" t="str">
        <f t="shared" si="11"/>
        <v/>
      </c>
      <c r="AR182" s="7">
        <f>IF(ISBLANK(AN182), 0, VLOOKUP(AN182, 'Price Sheet'!$A$2:$B1015, 2, false))</f>
        <v>0</v>
      </c>
      <c r="AS182" s="33" t="str">
        <f t="shared" si="12"/>
        <v/>
      </c>
      <c r="AT182" s="37"/>
      <c r="AU182" s="29"/>
      <c r="AV182" s="29" t="b">
        <v>0</v>
      </c>
      <c r="AW182" s="22" t="str">
        <f t="shared" si="13"/>
        <v/>
      </c>
      <c r="AX182" s="7">
        <f>IF(ISBLANK(AT182), 0, VLOOKUP(AT182, 'Price Sheet'!$A$2:$B1015, 2, false))</f>
        <v>0</v>
      </c>
      <c r="AY182" s="33" t="str">
        <f t="shared" si="14"/>
        <v/>
      </c>
      <c r="AZ182" s="37"/>
      <c r="BA182" s="29"/>
      <c r="BB182" s="29" t="b">
        <v>0</v>
      </c>
      <c r="BC182" s="22" t="str">
        <f t="shared" si="15"/>
        <v/>
      </c>
      <c r="BD182" s="7">
        <f>IF(ISBLANK(AZ182), 0, VLOOKUP(AZ182, 'Price Sheet'!$A$2:$B1015, 2, false))</f>
        <v>0</v>
      </c>
      <c r="BE182" s="33" t="str">
        <f t="shared" si="16"/>
        <v/>
      </c>
      <c r="BF182" s="37"/>
      <c r="BG182" s="29"/>
      <c r="BH182" s="29" t="b">
        <v>0</v>
      </c>
      <c r="BI182" s="22" t="str">
        <f t="shared" si="17"/>
        <v/>
      </c>
      <c r="BJ182" s="7">
        <f>IF(ISBLANK(BF182), 0, VLOOKUP(BF182, 'Price Sheet'!$A$2:$B1015, 2, false))</f>
        <v>0</v>
      </c>
      <c r="BK182" s="33" t="str">
        <f t="shared" si="18"/>
        <v/>
      </c>
      <c r="BL182" s="37"/>
      <c r="BM182" s="29"/>
      <c r="BN182" s="29" t="b">
        <v>0</v>
      </c>
      <c r="BO182" s="22" t="str">
        <f t="shared" si="19"/>
        <v/>
      </c>
      <c r="BP182" s="7">
        <f>IF(ISBLANK(BL182), 0, VLOOKUP(BL182, 'Price Sheet'!$A$2:$B1015, 2, false))</f>
        <v>0</v>
      </c>
      <c r="BQ182" s="33" t="str">
        <f t="shared" si="20"/>
        <v/>
      </c>
    </row>
    <row r="183">
      <c r="A183" s="7" t="s">
        <v>112</v>
      </c>
      <c r="B183" s="19">
        <f t="shared" si="1"/>
        <v>0.2981333333</v>
      </c>
      <c r="C183" s="8" t="s">
        <v>186</v>
      </c>
      <c r="D183" s="8" t="s">
        <v>181</v>
      </c>
      <c r="E183" s="7" t="str">
        <f>IF(ISBLANK(D183), "", VLOOKUP(D183,'Crafting Tables'!$A$2:$B1015, 2, false))</f>
        <v>Basic</v>
      </c>
      <c r="F183" s="7">
        <f>IFERROR(IF(E183 = "None", 1, VLOOKUP(C183,General!$A$5:$L$35, SWITCH(E183, "Basic", 8, "Advanced", 10, "Modern", 12), false)),"")</f>
        <v>0.475</v>
      </c>
      <c r="G183" s="8">
        <v>24.0</v>
      </c>
      <c r="H183" s="7">
        <f>IFERROR(VLOOKUP(C183, General!$A$5:$L$35, 6, false) * G183 / 1000, 0)</f>
        <v>0.06</v>
      </c>
      <c r="I183" s="8">
        <v>25.0</v>
      </c>
      <c r="J183" s="22">
        <f>IFERROR(I183*VLOOKUP(D183,'Crafting Tables'!$1:$1000, 4, false)*F183,"")</f>
        <v>0</v>
      </c>
      <c r="K183" s="8" t="b">
        <v>1</v>
      </c>
      <c r="L183" s="32" t="s">
        <v>112</v>
      </c>
      <c r="M183" s="8">
        <v>3.0</v>
      </c>
      <c r="N183" s="21">
        <f t="shared" si="2"/>
        <v>0.09937777778</v>
      </c>
      <c r="P183" s="32" t="s">
        <v>109</v>
      </c>
      <c r="Q183" s="8">
        <v>2.0</v>
      </c>
      <c r="R183" s="29" t="b">
        <v>0</v>
      </c>
      <c r="S183" s="22">
        <f t="shared" si="3"/>
        <v>0.95</v>
      </c>
      <c r="T183" s="19">
        <f>IF(ISBLANK(P183), 0, VLOOKUP(P183, 'Price Sheet'!$A$2:$B1015, 2, false))</f>
        <v>0.2029166667</v>
      </c>
      <c r="U183" s="33">
        <f t="shared" si="4"/>
        <v>0.1927708333</v>
      </c>
      <c r="V183" s="32" t="s">
        <v>98</v>
      </c>
      <c r="W183" s="8">
        <v>2.0</v>
      </c>
      <c r="X183" s="29" t="b">
        <v>0</v>
      </c>
      <c r="Y183" s="22">
        <f t="shared" si="5"/>
        <v>0.95</v>
      </c>
      <c r="Z183" s="19">
        <f>IF(ISBLANK(V183), 0, VLOOKUP(V183, 'Price Sheet'!$A$2:$B1015, 2, false))</f>
        <v>0.02625</v>
      </c>
      <c r="AA183" s="33">
        <f t="shared" si="6"/>
        <v>0.0249375</v>
      </c>
      <c r="AB183" s="32" t="s">
        <v>131</v>
      </c>
      <c r="AC183" s="8">
        <v>2.0</v>
      </c>
      <c r="AD183" s="29" t="b">
        <v>0</v>
      </c>
      <c r="AE183" s="22">
        <f t="shared" si="7"/>
        <v>0.95</v>
      </c>
      <c r="AF183" s="19">
        <f>IF(ISBLANK(AB183), 0, VLOOKUP(AB183, 'Price Sheet'!$A$2:$B1015, 2, false))</f>
        <v>0.0215</v>
      </c>
      <c r="AG183" s="33">
        <f t="shared" si="8"/>
        <v>0.020425</v>
      </c>
      <c r="AH183" s="37"/>
      <c r="AI183" s="29"/>
      <c r="AJ183" s="29" t="b">
        <v>0</v>
      </c>
      <c r="AK183" s="22" t="str">
        <f t="shared" si="9"/>
        <v/>
      </c>
      <c r="AL183" s="7">
        <f>IF(ISBLANK(AH183), 0, VLOOKUP(AH183, 'Price Sheet'!$A$2:$B1015, 2, false))</f>
        <v>0</v>
      </c>
      <c r="AM183" s="33" t="str">
        <f t="shared" si="10"/>
        <v/>
      </c>
      <c r="AN183" s="37"/>
      <c r="AO183" s="29"/>
      <c r="AP183" s="29" t="b">
        <v>0</v>
      </c>
      <c r="AQ183" s="22" t="str">
        <f t="shared" si="11"/>
        <v/>
      </c>
      <c r="AR183" s="7">
        <f>IF(ISBLANK(AN183), 0, VLOOKUP(AN183, 'Price Sheet'!$A$2:$B1015, 2, false))</f>
        <v>0</v>
      </c>
      <c r="AS183" s="33" t="str">
        <f t="shared" si="12"/>
        <v/>
      </c>
      <c r="AT183" s="37"/>
      <c r="AU183" s="29"/>
      <c r="AV183" s="29" t="b">
        <v>0</v>
      </c>
      <c r="AW183" s="22" t="str">
        <f t="shared" si="13"/>
        <v/>
      </c>
      <c r="AX183" s="7">
        <f>IF(ISBLANK(AT183), 0, VLOOKUP(AT183, 'Price Sheet'!$A$2:$B1015, 2, false))</f>
        <v>0</v>
      </c>
      <c r="AY183" s="33" t="str">
        <f t="shared" si="14"/>
        <v/>
      </c>
      <c r="AZ183" s="37"/>
      <c r="BA183" s="29"/>
      <c r="BB183" s="29" t="b">
        <v>0</v>
      </c>
      <c r="BC183" s="22" t="str">
        <f t="shared" si="15"/>
        <v/>
      </c>
      <c r="BD183" s="7">
        <f>IF(ISBLANK(AZ183), 0, VLOOKUP(AZ183, 'Price Sheet'!$A$2:$B1015, 2, false))</f>
        <v>0</v>
      </c>
      <c r="BE183" s="33" t="str">
        <f t="shared" si="16"/>
        <v/>
      </c>
      <c r="BF183" s="37"/>
      <c r="BG183" s="29"/>
      <c r="BH183" s="29" t="b">
        <v>0</v>
      </c>
      <c r="BI183" s="22" t="str">
        <f t="shared" si="17"/>
        <v/>
      </c>
      <c r="BJ183" s="7">
        <f>IF(ISBLANK(BF183), 0, VLOOKUP(BF183, 'Price Sheet'!$A$2:$B1015, 2, false))</f>
        <v>0</v>
      </c>
      <c r="BK183" s="33" t="str">
        <f t="shared" si="18"/>
        <v/>
      </c>
      <c r="BL183" s="37"/>
      <c r="BM183" s="29"/>
      <c r="BN183" s="29" t="b">
        <v>0</v>
      </c>
      <c r="BO183" s="22" t="str">
        <f t="shared" si="19"/>
        <v/>
      </c>
      <c r="BP183" s="7">
        <f>IF(ISBLANK(BL183), 0, VLOOKUP(BL183, 'Price Sheet'!$A$2:$B1015, 2, false))</f>
        <v>0</v>
      </c>
      <c r="BQ183" s="33" t="str">
        <f t="shared" si="20"/>
        <v/>
      </c>
    </row>
    <row r="184">
      <c r="A184" s="7" t="s">
        <v>116</v>
      </c>
      <c r="B184" s="19">
        <f t="shared" si="1"/>
        <v>1.2475</v>
      </c>
      <c r="C184" s="8" t="s">
        <v>186</v>
      </c>
      <c r="D184" s="8" t="s">
        <v>181</v>
      </c>
      <c r="E184" s="7" t="str">
        <f>IF(ISBLANK(D184), "", VLOOKUP(D184,'Crafting Tables'!$A$2:$B1015, 2, false))</f>
        <v>Basic</v>
      </c>
      <c r="F184" s="7">
        <f>IFERROR(IF(E184 = "None", 1, VLOOKUP(C184,General!$A$5:$L$35, SWITCH(E184, "Basic", 8, "Advanced", 10, "Modern", 12), false)),"")</f>
        <v>0.475</v>
      </c>
      <c r="G184" s="8">
        <v>24.0</v>
      </c>
      <c r="H184" s="7">
        <f>IFERROR(VLOOKUP(C184, General!$A$5:$L$35, 6, false) * G184 / 1000, 0)</f>
        <v>0.06</v>
      </c>
      <c r="I184" s="8">
        <v>25.0</v>
      </c>
      <c r="J184" s="22">
        <f>IFERROR(I184*VLOOKUP(D184,'Crafting Tables'!$1:$1000, 4, false)*F184,"")</f>
        <v>0</v>
      </c>
      <c r="K184" s="8" t="b">
        <v>1</v>
      </c>
      <c r="L184" s="32" t="s">
        <v>116</v>
      </c>
      <c r="M184" s="8">
        <v>8.0</v>
      </c>
      <c r="N184" s="21">
        <f t="shared" si="2"/>
        <v>0.1559375</v>
      </c>
      <c r="P184" s="32" t="s">
        <v>195</v>
      </c>
      <c r="Q184" s="8">
        <v>1.0</v>
      </c>
      <c r="R184" s="29" t="b">
        <v>0</v>
      </c>
      <c r="S184" s="22">
        <f t="shared" si="3"/>
        <v>0.475</v>
      </c>
      <c r="T184" s="19">
        <f>IF(ISBLANK(P184), 0, VLOOKUP(P184, 'Price Sheet'!$A$2:$B1015, 2, false))</f>
        <v>2.5</v>
      </c>
      <c r="U184" s="33">
        <f t="shared" si="4"/>
        <v>1.1875</v>
      </c>
      <c r="V184" s="37"/>
      <c r="W184" s="29"/>
      <c r="X184" s="29" t="b">
        <v>0</v>
      </c>
      <c r="Y184" s="22" t="str">
        <f t="shared" si="5"/>
        <v/>
      </c>
      <c r="Z184" s="7">
        <f>IF(ISBLANK(V184), 0, VLOOKUP(V184, 'Price Sheet'!$A$2:$B1015, 2, false))</f>
        <v>0</v>
      </c>
      <c r="AA184" s="33" t="str">
        <f t="shared" si="6"/>
        <v/>
      </c>
      <c r="AB184" s="37"/>
      <c r="AC184" s="29"/>
      <c r="AD184" s="29" t="b">
        <v>0</v>
      </c>
      <c r="AE184" s="22" t="str">
        <f t="shared" si="7"/>
        <v/>
      </c>
      <c r="AF184" s="7">
        <f>IF(ISBLANK(AB184), 0, VLOOKUP(AB184, 'Price Sheet'!$A$2:$B1015, 2, false))</f>
        <v>0</v>
      </c>
      <c r="AG184" s="33" t="str">
        <f t="shared" si="8"/>
        <v/>
      </c>
      <c r="AH184" s="37"/>
      <c r="AI184" s="29"/>
      <c r="AJ184" s="29" t="b">
        <v>0</v>
      </c>
      <c r="AK184" s="22" t="str">
        <f t="shared" si="9"/>
        <v/>
      </c>
      <c r="AL184" s="7">
        <f>IF(ISBLANK(AH184), 0, VLOOKUP(AH184, 'Price Sheet'!$A$2:$B1015, 2, false))</f>
        <v>0</v>
      </c>
      <c r="AM184" s="33" t="str">
        <f t="shared" si="10"/>
        <v/>
      </c>
      <c r="AN184" s="37"/>
      <c r="AO184" s="29"/>
      <c r="AP184" s="29" t="b">
        <v>0</v>
      </c>
      <c r="AQ184" s="22" t="str">
        <f t="shared" si="11"/>
        <v/>
      </c>
      <c r="AR184" s="7">
        <f>IF(ISBLANK(AN184), 0, VLOOKUP(AN184, 'Price Sheet'!$A$2:$B1015, 2, false))</f>
        <v>0</v>
      </c>
      <c r="AS184" s="33" t="str">
        <f t="shared" si="12"/>
        <v/>
      </c>
      <c r="AT184" s="37"/>
      <c r="AU184" s="29"/>
      <c r="AV184" s="29" t="b">
        <v>0</v>
      </c>
      <c r="AW184" s="22" t="str">
        <f t="shared" si="13"/>
        <v/>
      </c>
      <c r="AX184" s="7">
        <f>IF(ISBLANK(AT184), 0, VLOOKUP(AT184, 'Price Sheet'!$A$2:$B1015, 2, false))</f>
        <v>0</v>
      </c>
      <c r="AY184" s="33" t="str">
        <f t="shared" si="14"/>
        <v/>
      </c>
      <c r="AZ184" s="37"/>
      <c r="BA184" s="29"/>
      <c r="BB184" s="29" t="b">
        <v>0</v>
      </c>
      <c r="BC184" s="22" t="str">
        <f t="shared" si="15"/>
        <v/>
      </c>
      <c r="BD184" s="7">
        <f>IF(ISBLANK(AZ184), 0, VLOOKUP(AZ184, 'Price Sheet'!$A$2:$B1015, 2, false))</f>
        <v>0</v>
      </c>
      <c r="BE184" s="33" t="str">
        <f t="shared" si="16"/>
        <v/>
      </c>
      <c r="BF184" s="37"/>
      <c r="BG184" s="29"/>
      <c r="BH184" s="29" t="b">
        <v>0</v>
      </c>
      <c r="BI184" s="22" t="str">
        <f t="shared" si="17"/>
        <v/>
      </c>
      <c r="BJ184" s="7">
        <f>IF(ISBLANK(BF184), 0, VLOOKUP(BF184, 'Price Sheet'!$A$2:$B1015, 2, false))</f>
        <v>0</v>
      </c>
      <c r="BK184" s="33" t="str">
        <f t="shared" si="18"/>
        <v/>
      </c>
      <c r="BL184" s="37"/>
      <c r="BM184" s="29"/>
      <c r="BN184" s="29" t="b">
        <v>0</v>
      </c>
      <c r="BO184" s="22" t="str">
        <f t="shared" si="19"/>
        <v/>
      </c>
      <c r="BP184" s="7">
        <f>IF(ISBLANK(BL184), 0, VLOOKUP(BL184, 'Price Sheet'!$A$2:$B1015, 2, false))</f>
        <v>0</v>
      </c>
      <c r="BQ184" s="33" t="str">
        <f t="shared" si="20"/>
        <v/>
      </c>
    </row>
    <row r="185">
      <c r="A185" s="7" t="s">
        <v>120</v>
      </c>
      <c r="B185" s="19">
        <f t="shared" si="1"/>
        <v>0.535</v>
      </c>
      <c r="C185" s="8" t="s">
        <v>186</v>
      </c>
      <c r="D185" s="8" t="s">
        <v>181</v>
      </c>
      <c r="E185" s="7" t="str">
        <f>IF(ISBLANK(D185), "", VLOOKUP(D185,'Crafting Tables'!$A$2:$B1015, 2, false))</f>
        <v>Basic</v>
      </c>
      <c r="F185" s="7">
        <f>IFERROR(IF(E185 = "None", 1, VLOOKUP(C185,General!$A$5:$L$35, SWITCH(E185, "Basic", 8, "Advanced", 10, "Modern", 12), false)),"")</f>
        <v>0.475</v>
      </c>
      <c r="G185" s="8">
        <v>24.0</v>
      </c>
      <c r="H185" s="7">
        <f>IFERROR(VLOOKUP(C185, General!$A$5:$L$35, 6, false) * G185 / 1000, 0)</f>
        <v>0.06</v>
      </c>
      <c r="I185" s="8">
        <v>25.0</v>
      </c>
      <c r="J185" s="22">
        <f>IFERROR(I185*VLOOKUP(D185,'Crafting Tables'!$1:$1000, 4, false)*F185,"")</f>
        <v>0</v>
      </c>
      <c r="K185" s="8" t="b">
        <v>1</v>
      </c>
      <c r="L185" s="32" t="s">
        <v>120</v>
      </c>
      <c r="M185" s="8">
        <v>5.0</v>
      </c>
      <c r="N185" s="21">
        <f t="shared" si="2"/>
        <v>0.107</v>
      </c>
      <c r="P185" s="32" t="s">
        <v>121</v>
      </c>
      <c r="Q185" s="8">
        <v>1.0</v>
      </c>
      <c r="R185" s="29" t="b">
        <v>0</v>
      </c>
      <c r="S185" s="22">
        <f t="shared" si="3"/>
        <v>0.475</v>
      </c>
      <c r="T185" s="19">
        <f>IF(ISBLANK(P185), 0, VLOOKUP(P185, 'Price Sheet'!$A$2:$B1015, 2, false))</f>
        <v>1</v>
      </c>
      <c r="U185" s="33">
        <f t="shared" si="4"/>
        <v>0.475</v>
      </c>
      <c r="V185" s="37"/>
      <c r="W185" s="29"/>
      <c r="X185" s="29" t="b">
        <v>0</v>
      </c>
      <c r="Y185" s="22" t="str">
        <f t="shared" si="5"/>
        <v/>
      </c>
      <c r="Z185" s="7">
        <f>IF(ISBLANK(V185), 0, VLOOKUP(V185, 'Price Sheet'!$A$2:$B1015, 2, false))</f>
        <v>0</v>
      </c>
      <c r="AA185" s="33" t="str">
        <f t="shared" si="6"/>
        <v/>
      </c>
      <c r="AB185" s="37"/>
      <c r="AC185" s="29"/>
      <c r="AD185" s="29" t="b">
        <v>0</v>
      </c>
      <c r="AE185" s="22" t="str">
        <f t="shared" si="7"/>
        <v/>
      </c>
      <c r="AF185" s="7">
        <f>IF(ISBLANK(AB185), 0, VLOOKUP(AB185, 'Price Sheet'!$A$2:$B1015, 2, false))</f>
        <v>0</v>
      </c>
      <c r="AG185" s="33" t="str">
        <f t="shared" si="8"/>
        <v/>
      </c>
      <c r="AH185" s="37"/>
      <c r="AI185" s="29"/>
      <c r="AJ185" s="29" t="b">
        <v>0</v>
      </c>
      <c r="AK185" s="22" t="str">
        <f t="shared" si="9"/>
        <v/>
      </c>
      <c r="AL185" s="7">
        <f>IF(ISBLANK(AH185), 0, VLOOKUP(AH185, 'Price Sheet'!$A$2:$B1015, 2, false))</f>
        <v>0</v>
      </c>
      <c r="AM185" s="33" t="str">
        <f t="shared" si="10"/>
        <v/>
      </c>
      <c r="AN185" s="37"/>
      <c r="AO185" s="29"/>
      <c r="AP185" s="29" t="b">
        <v>0</v>
      </c>
      <c r="AQ185" s="22" t="str">
        <f t="shared" si="11"/>
        <v/>
      </c>
      <c r="AR185" s="7">
        <f>IF(ISBLANK(AN185), 0, VLOOKUP(AN185, 'Price Sheet'!$A$2:$B1015, 2, false))</f>
        <v>0</v>
      </c>
      <c r="AS185" s="33" t="str">
        <f t="shared" si="12"/>
        <v/>
      </c>
      <c r="AT185" s="37"/>
      <c r="AU185" s="29"/>
      <c r="AV185" s="29" t="b">
        <v>0</v>
      </c>
      <c r="AW185" s="22" t="str">
        <f t="shared" si="13"/>
        <v/>
      </c>
      <c r="AX185" s="7">
        <f>IF(ISBLANK(AT185), 0, VLOOKUP(AT185, 'Price Sheet'!$A$2:$B1015, 2, false))</f>
        <v>0</v>
      </c>
      <c r="AY185" s="33" t="str">
        <f t="shared" si="14"/>
        <v/>
      </c>
      <c r="AZ185" s="37"/>
      <c r="BA185" s="29"/>
      <c r="BB185" s="29" t="b">
        <v>0</v>
      </c>
      <c r="BC185" s="22" t="str">
        <f t="shared" si="15"/>
        <v/>
      </c>
      <c r="BD185" s="7">
        <f>IF(ISBLANK(AZ185), 0, VLOOKUP(AZ185, 'Price Sheet'!$A$2:$B1015, 2, false))</f>
        <v>0</v>
      </c>
      <c r="BE185" s="33" t="str">
        <f t="shared" si="16"/>
        <v/>
      </c>
      <c r="BF185" s="37"/>
      <c r="BG185" s="29"/>
      <c r="BH185" s="29" t="b">
        <v>0</v>
      </c>
      <c r="BI185" s="22" t="str">
        <f t="shared" si="17"/>
        <v/>
      </c>
      <c r="BJ185" s="7">
        <f>IF(ISBLANK(BF185), 0, VLOOKUP(BF185, 'Price Sheet'!$A$2:$B1015, 2, false))</f>
        <v>0</v>
      </c>
      <c r="BK185" s="33" t="str">
        <f t="shared" si="18"/>
        <v/>
      </c>
      <c r="BL185" s="37"/>
      <c r="BM185" s="29"/>
      <c r="BN185" s="29" t="b">
        <v>0</v>
      </c>
      <c r="BO185" s="22" t="str">
        <f t="shared" si="19"/>
        <v/>
      </c>
      <c r="BP185" s="7">
        <f>IF(ISBLANK(BL185), 0, VLOOKUP(BL185, 'Price Sheet'!$A$2:$B1015, 2, false))</f>
        <v>0</v>
      </c>
      <c r="BQ185" s="33" t="str">
        <f t="shared" si="20"/>
        <v/>
      </c>
    </row>
    <row r="186">
      <c r="A186" s="7" t="s">
        <v>125</v>
      </c>
      <c r="B186" s="19">
        <f t="shared" si="1"/>
        <v>0.535</v>
      </c>
      <c r="C186" s="8" t="s">
        <v>186</v>
      </c>
      <c r="D186" s="8" t="s">
        <v>181</v>
      </c>
      <c r="E186" s="7" t="str">
        <f>IF(ISBLANK(D186), "", VLOOKUP(D186,'Crafting Tables'!$A$2:$B1015, 2, false))</f>
        <v>Basic</v>
      </c>
      <c r="F186" s="7">
        <f>IFERROR(IF(E186 = "None", 1, VLOOKUP(C186,General!$A$5:$L$35, SWITCH(E186, "Basic", 8, "Advanced", 10, "Modern", 12), false)),"")</f>
        <v>0.475</v>
      </c>
      <c r="G186" s="8">
        <v>24.0</v>
      </c>
      <c r="H186" s="7">
        <f>IFERROR(VLOOKUP(C186, General!$A$5:$L$35, 6, false) * G186 / 1000, 0)</f>
        <v>0.06</v>
      </c>
      <c r="I186" s="8">
        <v>25.0</v>
      </c>
      <c r="J186" s="22">
        <f>IFERROR(I186*VLOOKUP(D186,'Crafting Tables'!$1:$1000, 4, false)*F186,"")</f>
        <v>0</v>
      </c>
      <c r="K186" s="8" t="b">
        <v>1</v>
      </c>
      <c r="L186" s="32" t="s">
        <v>125</v>
      </c>
      <c r="M186" s="8">
        <v>5.0</v>
      </c>
      <c r="N186" s="21">
        <f t="shared" si="2"/>
        <v>0.107</v>
      </c>
      <c r="P186" s="32" t="s">
        <v>373</v>
      </c>
      <c r="Q186" s="8">
        <v>1.0</v>
      </c>
      <c r="R186" s="29" t="b">
        <v>0</v>
      </c>
      <c r="S186" s="22">
        <f t="shared" si="3"/>
        <v>0.475</v>
      </c>
      <c r="T186" s="19">
        <f>IF(ISBLANK(P186), 0, VLOOKUP(P186, 'Price Sheet'!$A$2:$B1015, 2, false))</f>
        <v>1</v>
      </c>
      <c r="U186" s="33">
        <f t="shared" si="4"/>
        <v>0.475</v>
      </c>
      <c r="V186" s="37"/>
      <c r="W186" s="29"/>
      <c r="X186" s="29" t="b">
        <v>0</v>
      </c>
      <c r="Y186" s="22" t="str">
        <f t="shared" si="5"/>
        <v/>
      </c>
      <c r="Z186" s="7">
        <f>IF(ISBLANK(V186), 0, VLOOKUP(V186, 'Price Sheet'!$A$2:$B1015, 2, false))</f>
        <v>0</v>
      </c>
      <c r="AA186" s="33" t="str">
        <f t="shared" si="6"/>
        <v/>
      </c>
      <c r="AB186" s="37"/>
      <c r="AC186" s="29"/>
      <c r="AD186" s="29" t="b">
        <v>0</v>
      </c>
      <c r="AE186" s="22" t="str">
        <f t="shared" si="7"/>
        <v/>
      </c>
      <c r="AF186" s="7">
        <f>IF(ISBLANK(AB186), 0, VLOOKUP(AB186, 'Price Sheet'!$A$2:$B1015, 2, false))</f>
        <v>0</v>
      </c>
      <c r="AG186" s="33" t="str">
        <f t="shared" si="8"/>
        <v/>
      </c>
      <c r="AH186" s="37"/>
      <c r="AI186" s="29"/>
      <c r="AJ186" s="29" t="b">
        <v>0</v>
      </c>
      <c r="AK186" s="22" t="str">
        <f t="shared" si="9"/>
        <v/>
      </c>
      <c r="AL186" s="7">
        <f>IF(ISBLANK(AH186), 0, VLOOKUP(AH186, 'Price Sheet'!$A$2:$B1015, 2, false))</f>
        <v>0</v>
      </c>
      <c r="AM186" s="33" t="str">
        <f t="shared" si="10"/>
        <v/>
      </c>
      <c r="AN186" s="37"/>
      <c r="AO186" s="29"/>
      <c r="AP186" s="29" t="b">
        <v>0</v>
      </c>
      <c r="AQ186" s="22" t="str">
        <f t="shared" si="11"/>
        <v/>
      </c>
      <c r="AR186" s="7">
        <f>IF(ISBLANK(AN186), 0, VLOOKUP(AN186, 'Price Sheet'!$A$2:$B1015, 2, false))</f>
        <v>0</v>
      </c>
      <c r="AS186" s="33" t="str">
        <f t="shared" si="12"/>
        <v/>
      </c>
      <c r="AT186" s="37"/>
      <c r="AU186" s="29"/>
      <c r="AV186" s="29" t="b">
        <v>0</v>
      </c>
      <c r="AW186" s="22" t="str">
        <f t="shared" si="13"/>
        <v/>
      </c>
      <c r="AX186" s="7">
        <f>IF(ISBLANK(AT186), 0, VLOOKUP(AT186, 'Price Sheet'!$A$2:$B1015, 2, false))</f>
        <v>0</v>
      </c>
      <c r="AY186" s="33" t="str">
        <f t="shared" si="14"/>
        <v/>
      </c>
      <c r="AZ186" s="37"/>
      <c r="BA186" s="29"/>
      <c r="BB186" s="29" t="b">
        <v>0</v>
      </c>
      <c r="BC186" s="22" t="str">
        <f t="shared" si="15"/>
        <v/>
      </c>
      <c r="BD186" s="7">
        <f>IF(ISBLANK(AZ186), 0, VLOOKUP(AZ186, 'Price Sheet'!$A$2:$B1015, 2, false))</f>
        <v>0</v>
      </c>
      <c r="BE186" s="33" t="str">
        <f t="shared" si="16"/>
        <v/>
      </c>
      <c r="BF186" s="37"/>
      <c r="BG186" s="29"/>
      <c r="BH186" s="29" t="b">
        <v>0</v>
      </c>
      <c r="BI186" s="22" t="str">
        <f t="shared" si="17"/>
        <v/>
      </c>
      <c r="BJ186" s="7">
        <f>IF(ISBLANK(BF186), 0, VLOOKUP(BF186, 'Price Sheet'!$A$2:$B1015, 2, false))</f>
        <v>0</v>
      </c>
      <c r="BK186" s="33" t="str">
        <f t="shared" si="18"/>
        <v/>
      </c>
      <c r="BL186" s="37"/>
      <c r="BM186" s="29"/>
      <c r="BN186" s="29" t="b">
        <v>0</v>
      </c>
      <c r="BO186" s="22" t="str">
        <f t="shared" si="19"/>
        <v/>
      </c>
      <c r="BP186" s="7">
        <f>IF(ISBLANK(BL186), 0, VLOOKUP(BL186, 'Price Sheet'!$A$2:$B1015, 2, false))</f>
        <v>0</v>
      </c>
      <c r="BQ186" s="33" t="str">
        <f t="shared" si="20"/>
        <v/>
      </c>
    </row>
    <row r="187">
      <c r="A187" s="7" t="s">
        <v>131</v>
      </c>
      <c r="B187" s="19">
        <f t="shared" si="1"/>
        <v>0.1075</v>
      </c>
      <c r="C187" s="8" t="s">
        <v>186</v>
      </c>
      <c r="D187" s="8" t="s">
        <v>181</v>
      </c>
      <c r="E187" s="7" t="str">
        <f>IF(ISBLANK(D187), "", VLOOKUP(D187,'Crafting Tables'!$A$2:$B1015, 2, false))</f>
        <v>Basic</v>
      </c>
      <c r="F187" s="7">
        <f>IFERROR(IF(E187 = "None", 1, VLOOKUP(C187,General!$A$5:$L$35, SWITCH(E187, "Basic", 8, "Advanced", 10, "Modern", 12), false)),"")</f>
        <v>0.475</v>
      </c>
      <c r="G187" s="8">
        <v>24.0</v>
      </c>
      <c r="H187" s="7">
        <f>IFERROR(VLOOKUP(C187, General!$A$5:$L$35, 6, false) * G187 / 1000, 0)</f>
        <v>0.06</v>
      </c>
      <c r="I187" s="8">
        <v>25.0</v>
      </c>
      <c r="J187" s="22">
        <f>IFERROR(I187*VLOOKUP(D187,'Crafting Tables'!$1:$1000, 4, false)*F187,"")</f>
        <v>0</v>
      </c>
      <c r="K187" s="8" t="b">
        <v>1</v>
      </c>
      <c r="L187" s="32" t="s">
        <v>131</v>
      </c>
      <c r="M187" s="8">
        <v>5.0</v>
      </c>
      <c r="N187" s="21">
        <f t="shared" si="2"/>
        <v>0.0215</v>
      </c>
      <c r="P187" s="32" t="s">
        <v>371</v>
      </c>
      <c r="Q187" s="8">
        <v>1.0</v>
      </c>
      <c r="R187" s="29" t="b">
        <v>0</v>
      </c>
      <c r="S187" s="22">
        <f t="shared" si="3"/>
        <v>0.475</v>
      </c>
      <c r="T187" s="19">
        <f>IF(ISBLANK(P187), 0, VLOOKUP(P187, 'Price Sheet'!$A$2:$B1015, 2, false))</f>
        <v>0.1</v>
      </c>
      <c r="U187" s="33">
        <f t="shared" si="4"/>
        <v>0.0475</v>
      </c>
      <c r="V187" s="37"/>
      <c r="W187" s="29"/>
      <c r="X187" s="29" t="b">
        <v>0</v>
      </c>
      <c r="Y187" s="22" t="str">
        <f t="shared" si="5"/>
        <v/>
      </c>
      <c r="Z187" s="7">
        <f>IF(ISBLANK(V187), 0, VLOOKUP(V187, 'Price Sheet'!$A$2:$B1015, 2, false))</f>
        <v>0</v>
      </c>
      <c r="AA187" s="33" t="str">
        <f t="shared" si="6"/>
        <v/>
      </c>
      <c r="AB187" s="37"/>
      <c r="AC187" s="29"/>
      <c r="AD187" s="29" t="b">
        <v>0</v>
      </c>
      <c r="AE187" s="22" t="str">
        <f t="shared" si="7"/>
        <v/>
      </c>
      <c r="AF187" s="7">
        <f>IF(ISBLANK(AB187), 0, VLOOKUP(AB187, 'Price Sheet'!$A$2:$B1015, 2, false))</f>
        <v>0</v>
      </c>
      <c r="AG187" s="33" t="str">
        <f t="shared" si="8"/>
        <v/>
      </c>
      <c r="AH187" s="37"/>
      <c r="AI187" s="29"/>
      <c r="AJ187" s="29" t="b">
        <v>0</v>
      </c>
      <c r="AK187" s="22" t="str">
        <f t="shared" si="9"/>
        <v/>
      </c>
      <c r="AL187" s="7">
        <f>IF(ISBLANK(AH187), 0, VLOOKUP(AH187, 'Price Sheet'!$A$2:$B1015, 2, false))</f>
        <v>0</v>
      </c>
      <c r="AM187" s="33" t="str">
        <f t="shared" si="10"/>
        <v/>
      </c>
      <c r="AN187" s="37"/>
      <c r="AO187" s="29"/>
      <c r="AP187" s="29" t="b">
        <v>0</v>
      </c>
      <c r="AQ187" s="22" t="str">
        <f t="shared" si="11"/>
        <v/>
      </c>
      <c r="AR187" s="7">
        <f>IF(ISBLANK(AN187), 0, VLOOKUP(AN187, 'Price Sheet'!$A$2:$B1015, 2, false))</f>
        <v>0</v>
      </c>
      <c r="AS187" s="33" t="str">
        <f t="shared" si="12"/>
        <v/>
      </c>
      <c r="AT187" s="37"/>
      <c r="AU187" s="29"/>
      <c r="AV187" s="29" t="b">
        <v>0</v>
      </c>
      <c r="AW187" s="22" t="str">
        <f t="shared" si="13"/>
        <v/>
      </c>
      <c r="AX187" s="7">
        <f>IF(ISBLANK(AT187), 0, VLOOKUP(AT187, 'Price Sheet'!$A$2:$B1015, 2, false))</f>
        <v>0</v>
      </c>
      <c r="AY187" s="33" t="str">
        <f t="shared" si="14"/>
        <v/>
      </c>
      <c r="AZ187" s="37"/>
      <c r="BA187" s="29"/>
      <c r="BB187" s="29" t="b">
        <v>0</v>
      </c>
      <c r="BC187" s="22" t="str">
        <f t="shared" si="15"/>
        <v/>
      </c>
      <c r="BD187" s="7">
        <f>IF(ISBLANK(AZ187), 0, VLOOKUP(AZ187, 'Price Sheet'!$A$2:$B1015, 2, false))</f>
        <v>0</v>
      </c>
      <c r="BE187" s="33" t="str">
        <f t="shared" si="16"/>
        <v/>
      </c>
      <c r="BF187" s="37"/>
      <c r="BG187" s="29"/>
      <c r="BH187" s="29" t="b">
        <v>0</v>
      </c>
      <c r="BI187" s="22" t="str">
        <f t="shared" si="17"/>
        <v/>
      </c>
      <c r="BJ187" s="7">
        <f>IF(ISBLANK(BF187), 0, VLOOKUP(BF187, 'Price Sheet'!$A$2:$B1015, 2, false))</f>
        <v>0</v>
      </c>
      <c r="BK187" s="33" t="str">
        <f t="shared" si="18"/>
        <v/>
      </c>
      <c r="BL187" s="37"/>
      <c r="BM187" s="29"/>
      <c r="BN187" s="29" t="b">
        <v>0</v>
      </c>
      <c r="BO187" s="22" t="str">
        <f t="shared" si="19"/>
        <v/>
      </c>
      <c r="BP187" s="7">
        <f>IF(ISBLANK(BL187), 0, VLOOKUP(BL187, 'Price Sheet'!$A$2:$B1015, 2, false))</f>
        <v>0</v>
      </c>
      <c r="BQ187" s="33" t="str">
        <f t="shared" si="20"/>
        <v/>
      </c>
    </row>
    <row r="188">
      <c r="A188" s="7" t="s">
        <v>505</v>
      </c>
      <c r="B188" s="19">
        <f t="shared" si="1"/>
        <v>0.535</v>
      </c>
      <c r="C188" s="8" t="s">
        <v>186</v>
      </c>
      <c r="D188" s="8" t="s">
        <v>181</v>
      </c>
      <c r="E188" s="7" t="str">
        <f>IF(ISBLANK(D188), "", VLOOKUP(D188,'Crafting Tables'!$A$2:$B1015, 2, false))</f>
        <v>Basic</v>
      </c>
      <c r="F188" s="7">
        <f>IFERROR(IF(E188 = "None", 1, VLOOKUP(C188,General!$A$5:$L$35, SWITCH(E188, "Basic", 8, "Advanced", 10, "Modern", 12), false)),"")</f>
        <v>0.475</v>
      </c>
      <c r="G188" s="8">
        <v>24.0</v>
      </c>
      <c r="H188" s="7">
        <f>IFERROR(VLOOKUP(C188, General!$A$5:$L$35, 6, false) * G188 / 1000, 0)</f>
        <v>0.06</v>
      </c>
      <c r="I188" s="8">
        <v>25.0</v>
      </c>
      <c r="J188" s="22">
        <f>IFERROR(I188*VLOOKUP(D188,'Crafting Tables'!$1:$1000, 4, false)*F188,"")</f>
        <v>0</v>
      </c>
      <c r="K188" s="8" t="b">
        <v>1</v>
      </c>
      <c r="L188" s="32" t="s">
        <v>137</v>
      </c>
      <c r="M188" s="8">
        <v>5.0</v>
      </c>
      <c r="N188" s="21">
        <f t="shared" si="2"/>
        <v>0.107</v>
      </c>
      <c r="P188" s="32" t="s">
        <v>370</v>
      </c>
      <c r="Q188" s="8">
        <v>1.0</v>
      </c>
      <c r="R188" s="29" t="b">
        <v>0</v>
      </c>
      <c r="S188" s="22">
        <f t="shared" si="3"/>
        <v>0.475</v>
      </c>
      <c r="T188" s="19">
        <f>IF(ISBLANK(P188), 0, VLOOKUP(P188, 'Price Sheet'!$A$2:$B1015, 2, false))</f>
        <v>1</v>
      </c>
      <c r="U188" s="33">
        <f t="shared" si="4"/>
        <v>0.475</v>
      </c>
      <c r="V188" s="37"/>
      <c r="W188" s="29"/>
      <c r="X188" s="29" t="b">
        <v>0</v>
      </c>
      <c r="Y188" s="22" t="str">
        <f t="shared" si="5"/>
        <v/>
      </c>
      <c r="Z188" s="7">
        <f>IF(ISBLANK(V188), 0, VLOOKUP(V188, 'Price Sheet'!$A$2:$B1015, 2, false))</f>
        <v>0</v>
      </c>
      <c r="AA188" s="33" t="str">
        <f t="shared" si="6"/>
        <v/>
      </c>
      <c r="AB188" s="37"/>
      <c r="AC188" s="29"/>
      <c r="AD188" s="29" t="b">
        <v>0</v>
      </c>
      <c r="AE188" s="22" t="str">
        <f t="shared" si="7"/>
        <v/>
      </c>
      <c r="AF188" s="7">
        <f>IF(ISBLANK(AB188), 0, VLOOKUP(AB188, 'Price Sheet'!$A$2:$B1015, 2, false))</f>
        <v>0</v>
      </c>
      <c r="AG188" s="33" t="str">
        <f t="shared" si="8"/>
        <v/>
      </c>
      <c r="AH188" s="37"/>
      <c r="AI188" s="29"/>
      <c r="AJ188" s="29" t="b">
        <v>0</v>
      </c>
      <c r="AK188" s="22" t="str">
        <f t="shared" si="9"/>
        <v/>
      </c>
      <c r="AL188" s="7">
        <f>IF(ISBLANK(AH188), 0, VLOOKUP(AH188, 'Price Sheet'!$A$2:$B1015, 2, false))</f>
        <v>0</v>
      </c>
      <c r="AM188" s="33" t="str">
        <f t="shared" si="10"/>
        <v/>
      </c>
      <c r="AN188" s="37"/>
      <c r="AO188" s="29"/>
      <c r="AP188" s="29" t="b">
        <v>0</v>
      </c>
      <c r="AQ188" s="22" t="str">
        <f t="shared" si="11"/>
        <v/>
      </c>
      <c r="AR188" s="7">
        <f>IF(ISBLANK(AN188), 0, VLOOKUP(AN188, 'Price Sheet'!$A$2:$B1015, 2, false))</f>
        <v>0</v>
      </c>
      <c r="AS188" s="33" t="str">
        <f t="shared" si="12"/>
        <v/>
      </c>
      <c r="AT188" s="37"/>
      <c r="AU188" s="29"/>
      <c r="AV188" s="29" t="b">
        <v>0</v>
      </c>
      <c r="AW188" s="22" t="str">
        <f t="shared" si="13"/>
        <v/>
      </c>
      <c r="AX188" s="7">
        <f>IF(ISBLANK(AT188), 0, VLOOKUP(AT188, 'Price Sheet'!$A$2:$B1015, 2, false))</f>
        <v>0</v>
      </c>
      <c r="AY188" s="33" t="str">
        <f t="shared" si="14"/>
        <v/>
      </c>
      <c r="AZ188" s="37"/>
      <c r="BA188" s="29"/>
      <c r="BB188" s="29" t="b">
        <v>0</v>
      </c>
      <c r="BC188" s="22" t="str">
        <f t="shared" si="15"/>
        <v/>
      </c>
      <c r="BD188" s="7">
        <f>IF(ISBLANK(AZ188), 0, VLOOKUP(AZ188, 'Price Sheet'!$A$2:$B1015, 2, false))</f>
        <v>0</v>
      </c>
      <c r="BE188" s="33" t="str">
        <f t="shared" si="16"/>
        <v/>
      </c>
      <c r="BF188" s="37"/>
      <c r="BG188" s="29"/>
      <c r="BH188" s="29" t="b">
        <v>0</v>
      </c>
      <c r="BI188" s="22" t="str">
        <f t="shared" si="17"/>
        <v/>
      </c>
      <c r="BJ188" s="7">
        <f>IF(ISBLANK(BF188), 0, VLOOKUP(BF188, 'Price Sheet'!$A$2:$B1015, 2, false))</f>
        <v>0</v>
      </c>
      <c r="BK188" s="33" t="str">
        <f t="shared" si="18"/>
        <v/>
      </c>
      <c r="BL188" s="37"/>
      <c r="BM188" s="29"/>
      <c r="BN188" s="29" t="b">
        <v>0</v>
      </c>
      <c r="BO188" s="22" t="str">
        <f t="shared" si="19"/>
        <v/>
      </c>
      <c r="BP188" s="7">
        <f>IF(ISBLANK(BL188), 0, VLOOKUP(BL188, 'Price Sheet'!$A$2:$B1015, 2, false))</f>
        <v>0</v>
      </c>
      <c r="BQ188" s="33" t="str">
        <f t="shared" si="20"/>
        <v/>
      </c>
    </row>
    <row r="189">
      <c r="A189" s="7" t="s">
        <v>506</v>
      </c>
      <c r="B189" s="19">
        <f t="shared" si="1"/>
        <v>0.16</v>
      </c>
      <c r="C189" s="8" t="s">
        <v>186</v>
      </c>
      <c r="D189" s="8" t="s">
        <v>181</v>
      </c>
      <c r="E189" s="7" t="str">
        <f>IF(ISBLANK(D189), "", VLOOKUP(D189,'Crafting Tables'!$A$2:$B1015, 2, false))</f>
        <v>Basic</v>
      </c>
      <c r="F189" s="7">
        <f>IFERROR(IF(E189 = "None", 1, VLOOKUP(C189,General!$A$5:$L$35, SWITCH(E189, "Basic", 8, "Advanced", 10, "Modern", 12), false)),"")</f>
        <v>0.475</v>
      </c>
      <c r="G189" s="8">
        <v>45.0</v>
      </c>
      <c r="H189" s="7">
        <f>IFERROR(VLOOKUP(C189, General!$A$5:$L$35, 6, false) * G189 / 1000, 0)</f>
        <v>0.1125</v>
      </c>
      <c r="I189" s="8">
        <v>25.0</v>
      </c>
      <c r="J189" s="22">
        <f>IFERROR(I189*VLOOKUP(D189,'Crafting Tables'!$1:$1000, 4, false)*F189,"")</f>
        <v>0</v>
      </c>
      <c r="K189" s="8" t="b">
        <v>1</v>
      </c>
      <c r="L189" s="32" t="s">
        <v>137</v>
      </c>
      <c r="M189" s="8">
        <v>4.0</v>
      </c>
      <c r="N189" s="21">
        <f t="shared" si="2"/>
        <v>0.04</v>
      </c>
      <c r="P189" s="32" t="s">
        <v>364</v>
      </c>
      <c r="Q189" s="8">
        <v>1.0</v>
      </c>
      <c r="R189" s="29" t="b">
        <v>0</v>
      </c>
      <c r="S189" s="22">
        <f t="shared" si="3"/>
        <v>0.475</v>
      </c>
      <c r="T189" s="19">
        <f>IF(ISBLANK(P189), 0, VLOOKUP(P189, 'Price Sheet'!$A$2:$B1015, 2, false))</f>
        <v>0.1</v>
      </c>
      <c r="U189" s="33">
        <f t="shared" si="4"/>
        <v>0.0475</v>
      </c>
      <c r="V189" s="37"/>
      <c r="W189" s="29"/>
      <c r="X189" s="29" t="b">
        <v>0</v>
      </c>
      <c r="Y189" s="22" t="str">
        <f t="shared" si="5"/>
        <v/>
      </c>
      <c r="Z189" s="7">
        <f>IF(ISBLANK(V189), 0, VLOOKUP(V189, 'Price Sheet'!$A$2:$B1015, 2, false))</f>
        <v>0</v>
      </c>
      <c r="AA189" s="33" t="str">
        <f t="shared" si="6"/>
        <v/>
      </c>
      <c r="AB189" s="37"/>
      <c r="AC189" s="29"/>
      <c r="AD189" s="29" t="b">
        <v>0</v>
      </c>
      <c r="AE189" s="22" t="str">
        <f t="shared" si="7"/>
        <v/>
      </c>
      <c r="AF189" s="7">
        <f>IF(ISBLANK(AB189), 0, VLOOKUP(AB189, 'Price Sheet'!$A$2:$B1015, 2, false))</f>
        <v>0</v>
      </c>
      <c r="AG189" s="33" t="str">
        <f t="shared" si="8"/>
        <v/>
      </c>
      <c r="AH189" s="37"/>
      <c r="AI189" s="29"/>
      <c r="AJ189" s="29" t="b">
        <v>0</v>
      </c>
      <c r="AK189" s="22" t="str">
        <f t="shared" si="9"/>
        <v/>
      </c>
      <c r="AL189" s="7">
        <f>IF(ISBLANK(AH189), 0, VLOOKUP(AH189, 'Price Sheet'!$A$2:$B1015, 2, false))</f>
        <v>0</v>
      </c>
      <c r="AM189" s="33" t="str">
        <f t="shared" si="10"/>
        <v/>
      </c>
      <c r="AN189" s="37"/>
      <c r="AO189" s="29"/>
      <c r="AP189" s="29" t="b">
        <v>0</v>
      </c>
      <c r="AQ189" s="22" t="str">
        <f t="shared" si="11"/>
        <v/>
      </c>
      <c r="AR189" s="7">
        <f>IF(ISBLANK(AN189), 0, VLOOKUP(AN189, 'Price Sheet'!$A$2:$B1015, 2, false))</f>
        <v>0</v>
      </c>
      <c r="AS189" s="33" t="str">
        <f t="shared" si="12"/>
        <v/>
      </c>
      <c r="AT189" s="37"/>
      <c r="AU189" s="29"/>
      <c r="AV189" s="29" t="b">
        <v>0</v>
      </c>
      <c r="AW189" s="22" t="str">
        <f t="shared" si="13"/>
        <v/>
      </c>
      <c r="AX189" s="7">
        <f>IF(ISBLANK(AT189), 0, VLOOKUP(AT189, 'Price Sheet'!$A$2:$B1015, 2, false))</f>
        <v>0</v>
      </c>
      <c r="AY189" s="33" t="str">
        <f t="shared" si="14"/>
        <v/>
      </c>
      <c r="AZ189" s="37"/>
      <c r="BA189" s="29"/>
      <c r="BB189" s="29" t="b">
        <v>0</v>
      </c>
      <c r="BC189" s="22" t="str">
        <f t="shared" si="15"/>
        <v/>
      </c>
      <c r="BD189" s="7">
        <f>IF(ISBLANK(AZ189), 0, VLOOKUP(AZ189, 'Price Sheet'!$A$2:$B1015, 2, false))</f>
        <v>0</v>
      </c>
      <c r="BE189" s="33" t="str">
        <f t="shared" si="16"/>
        <v/>
      </c>
      <c r="BF189" s="37"/>
      <c r="BG189" s="29"/>
      <c r="BH189" s="29" t="b">
        <v>0</v>
      </c>
      <c r="BI189" s="22" t="str">
        <f t="shared" si="17"/>
        <v/>
      </c>
      <c r="BJ189" s="7">
        <f>IF(ISBLANK(BF189), 0, VLOOKUP(BF189, 'Price Sheet'!$A$2:$B1015, 2, false))</f>
        <v>0</v>
      </c>
      <c r="BK189" s="33" t="str">
        <f t="shared" si="18"/>
        <v/>
      </c>
      <c r="BL189" s="37"/>
      <c r="BM189" s="29"/>
      <c r="BN189" s="29" t="b">
        <v>0</v>
      </c>
      <c r="BO189" s="22" t="str">
        <f t="shared" si="19"/>
        <v/>
      </c>
      <c r="BP189" s="7">
        <f>IF(ISBLANK(BL189), 0, VLOOKUP(BL189, 'Price Sheet'!$A$2:$B1015, 2, false))</f>
        <v>0</v>
      </c>
      <c r="BQ189" s="33" t="str">
        <f t="shared" si="20"/>
        <v/>
      </c>
    </row>
    <row r="190">
      <c r="A190" s="7" t="s">
        <v>202</v>
      </c>
      <c r="B190" s="19">
        <f t="shared" si="1"/>
        <v>0.9875</v>
      </c>
      <c r="C190" s="8" t="s">
        <v>186</v>
      </c>
      <c r="D190" s="8" t="s">
        <v>181</v>
      </c>
      <c r="E190" s="7" t="str">
        <f>IF(ISBLANK(D190), "", VLOOKUP(D190,'Crafting Tables'!$A$2:$B1015, 2, false))</f>
        <v>Basic</v>
      </c>
      <c r="F190" s="7">
        <f>IFERROR(IF(E190 = "None", 1, VLOOKUP(C190,General!$A$5:$L$35, SWITCH(E190, "Basic", 8, "Advanced", 10, "Modern", 12), false)),"")</f>
        <v>0.475</v>
      </c>
      <c r="G190" s="8">
        <v>15.0</v>
      </c>
      <c r="H190" s="7">
        <f>IFERROR(VLOOKUP(C190, General!$A$5:$L$35, 6, false) * G190 / 1000, 0)</f>
        <v>0.0375</v>
      </c>
      <c r="I190" s="8">
        <v>120.0</v>
      </c>
      <c r="J190" s="22">
        <f>IFERROR(I190*VLOOKUP(D190,'Crafting Tables'!$1:$1000, 4, false)*F190,"")</f>
        <v>0</v>
      </c>
      <c r="K190" s="8" t="b">
        <v>1</v>
      </c>
      <c r="L190" s="32" t="s">
        <v>202</v>
      </c>
      <c r="M190" s="8">
        <v>1.0</v>
      </c>
      <c r="N190" s="21">
        <f t="shared" si="2"/>
        <v>0.9875</v>
      </c>
      <c r="P190" s="32" t="s">
        <v>361</v>
      </c>
      <c r="Q190" s="8">
        <v>4.0</v>
      </c>
      <c r="R190" s="29" t="b">
        <v>0</v>
      </c>
      <c r="S190" s="22">
        <f t="shared" si="3"/>
        <v>1.9</v>
      </c>
      <c r="T190" s="19">
        <f>IF(ISBLANK(P190), 0, VLOOKUP(P190, 'Price Sheet'!$A$2:$B1015, 2, false))</f>
        <v>0.5</v>
      </c>
      <c r="U190" s="33">
        <f t="shared" si="4"/>
        <v>0.95</v>
      </c>
      <c r="V190" s="37"/>
      <c r="W190" s="29"/>
      <c r="X190" s="29" t="b">
        <v>0</v>
      </c>
      <c r="Y190" s="22" t="str">
        <f t="shared" si="5"/>
        <v/>
      </c>
      <c r="Z190" s="7">
        <f>IF(ISBLANK(V190), 0, VLOOKUP(V190, 'Price Sheet'!$A$2:$B1015, 2, false))</f>
        <v>0</v>
      </c>
      <c r="AA190" s="33" t="str">
        <f t="shared" si="6"/>
        <v/>
      </c>
      <c r="AB190" s="37"/>
      <c r="AC190" s="29"/>
      <c r="AD190" s="29" t="b">
        <v>0</v>
      </c>
      <c r="AE190" s="22" t="str">
        <f t="shared" si="7"/>
        <v/>
      </c>
      <c r="AF190" s="7">
        <f>IF(ISBLANK(AB190), 0, VLOOKUP(AB190, 'Price Sheet'!$A$2:$B1015, 2, false))</f>
        <v>0</v>
      </c>
      <c r="AG190" s="33" t="str">
        <f t="shared" si="8"/>
        <v/>
      </c>
      <c r="AH190" s="37"/>
      <c r="AI190" s="29"/>
      <c r="AJ190" s="29" t="b">
        <v>0</v>
      </c>
      <c r="AK190" s="22" t="str">
        <f t="shared" si="9"/>
        <v/>
      </c>
      <c r="AL190" s="7">
        <f>IF(ISBLANK(AH190), 0, VLOOKUP(AH190, 'Price Sheet'!$A$2:$B1015, 2, false))</f>
        <v>0</v>
      </c>
      <c r="AM190" s="33" t="str">
        <f t="shared" si="10"/>
        <v/>
      </c>
      <c r="AN190" s="37"/>
      <c r="AO190" s="29"/>
      <c r="AP190" s="29" t="b">
        <v>0</v>
      </c>
      <c r="AQ190" s="22" t="str">
        <f t="shared" si="11"/>
        <v/>
      </c>
      <c r="AR190" s="7">
        <f>IF(ISBLANK(AN190), 0, VLOOKUP(AN190, 'Price Sheet'!$A$2:$B1015, 2, false))</f>
        <v>0</v>
      </c>
      <c r="AS190" s="33" t="str">
        <f t="shared" si="12"/>
        <v/>
      </c>
      <c r="AT190" s="37"/>
      <c r="AU190" s="29"/>
      <c r="AV190" s="29" t="b">
        <v>0</v>
      </c>
      <c r="AW190" s="22" t="str">
        <f t="shared" si="13"/>
        <v/>
      </c>
      <c r="AX190" s="7">
        <f>IF(ISBLANK(AT190), 0, VLOOKUP(AT190, 'Price Sheet'!$A$2:$B1015, 2, false))</f>
        <v>0</v>
      </c>
      <c r="AY190" s="33" t="str">
        <f t="shared" si="14"/>
        <v/>
      </c>
      <c r="AZ190" s="37"/>
      <c r="BA190" s="29"/>
      <c r="BB190" s="29" t="b">
        <v>0</v>
      </c>
      <c r="BC190" s="22" t="str">
        <f t="shared" si="15"/>
        <v/>
      </c>
      <c r="BD190" s="7">
        <f>IF(ISBLANK(AZ190), 0, VLOOKUP(AZ190, 'Price Sheet'!$A$2:$B1015, 2, false))</f>
        <v>0</v>
      </c>
      <c r="BE190" s="33" t="str">
        <f t="shared" si="16"/>
        <v/>
      </c>
      <c r="BF190" s="37"/>
      <c r="BG190" s="29"/>
      <c r="BH190" s="29" t="b">
        <v>0</v>
      </c>
      <c r="BI190" s="22" t="str">
        <f t="shared" si="17"/>
        <v/>
      </c>
      <c r="BJ190" s="7">
        <f>IF(ISBLANK(BF190), 0, VLOOKUP(BF190, 'Price Sheet'!$A$2:$B1015, 2, false))</f>
        <v>0</v>
      </c>
      <c r="BK190" s="33" t="str">
        <f t="shared" si="18"/>
        <v/>
      </c>
      <c r="BL190" s="37"/>
      <c r="BM190" s="29"/>
      <c r="BN190" s="29" t="b">
        <v>0</v>
      </c>
      <c r="BO190" s="22" t="str">
        <f t="shared" si="19"/>
        <v/>
      </c>
      <c r="BP190" s="7">
        <f>IF(ISBLANK(BL190), 0, VLOOKUP(BL190, 'Price Sheet'!$A$2:$B1015, 2, false))</f>
        <v>0</v>
      </c>
      <c r="BQ190" s="33" t="str">
        <f t="shared" si="20"/>
        <v/>
      </c>
    </row>
    <row r="191">
      <c r="A191" s="7" t="s">
        <v>176</v>
      </c>
      <c r="B191" s="19">
        <f t="shared" si="1"/>
        <v>0.9175</v>
      </c>
      <c r="C191" s="8" t="s">
        <v>186</v>
      </c>
      <c r="D191" s="8" t="s">
        <v>181</v>
      </c>
      <c r="E191" s="7" t="str">
        <f>IF(ISBLANK(D191), "", VLOOKUP(D191,'Crafting Tables'!$A$2:$B1015, 2, false))</f>
        <v>Basic</v>
      </c>
      <c r="F191" s="7">
        <f>IFERROR(IF(E191 = "None", 1, VLOOKUP(C191,General!$A$5:$L$35, SWITCH(E191, "Basic", 8, "Advanced", 10, "Modern", 12), false)),"")</f>
        <v>0.475</v>
      </c>
      <c r="G191" s="8">
        <v>15.0</v>
      </c>
      <c r="H191" s="7">
        <f>IFERROR(VLOOKUP(C191, General!$A$5:$L$35, 6, false) * G191 / 1000, 0)</f>
        <v>0.0375</v>
      </c>
      <c r="I191" s="8">
        <v>120.0</v>
      </c>
      <c r="J191" s="22">
        <f>IFERROR(I191*VLOOKUP(D191,'Crafting Tables'!$1:$1000, 4, false)*F191,"")</f>
        <v>0</v>
      </c>
      <c r="K191" s="8" t="b">
        <v>1</v>
      </c>
      <c r="L191" s="32" t="s">
        <v>176</v>
      </c>
      <c r="M191" s="8">
        <v>1.0</v>
      </c>
      <c r="N191" s="21">
        <f t="shared" si="2"/>
        <v>0.9175</v>
      </c>
      <c r="P191" s="32" t="s">
        <v>353</v>
      </c>
      <c r="Q191" s="8">
        <v>4.0</v>
      </c>
      <c r="R191" s="29" t="b">
        <v>0</v>
      </c>
      <c r="S191" s="22">
        <f t="shared" si="3"/>
        <v>1.9</v>
      </c>
      <c r="T191" s="19">
        <f>IF(ISBLANK(P191), 0, VLOOKUP(P191, 'Price Sheet'!$A$2:$B1015, 2, false))</f>
        <v>0.6</v>
      </c>
      <c r="U191" s="33">
        <f t="shared" si="4"/>
        <v>1.14</v>
      </c>
      <c r="V191" s="32" t="s">
        <v>375</v>
      </c>
      <c r="W191" s="8">
        <v>-2.0</v>
      </c>
      <c r="X191" s="8" t="b">
        <v>1</v>
      </c>
      <c r="Y191" s="22">
        <f t="shared" si="5"/>
        <v>-2</v>
      </c>
      <c r="Z191" s="19">
        <f>IF(ISBLANK(V191), 0, VLOOKUP(V191, 'Price Sheet'!$A$2:$B1015, 2, false))</f>
        <v>0.13</v>
      </c>
      <c r="AA191" s="33">
        <f t="shared" si="6"/>
        <v>-0.26</v>
      </c>
      <c r="AB191" s="37"/>
      <c r="AC191" s="29"/>
      <c r="AD191" s="29" t="b">
        <v>0</v>
      </c>
      <c r="AE191" s="22" t="str">
        <f t="shared" si="7"/>
        <v/>
      </c>
      <c r="AF191" s="7">
        <f>IF(ISBLANK(AB191), 0, VLOOKUP(AB191, 'Price Sheet'!$A$2:$B1015, 2, false))</f>
        <v>0</v>
      </c>
      <c r="AG191" s="33" t="str">
        <f t="shared" si="8"/>
        <v/>
      </c>
      <c r="AH191" s="37"/>
      <c r="AI191" s="29"/>
      <c r="AJ191" s="29" t="b">
        <v>0</v>
      </c>
      <c r="AK191" s="22" t="str">
        <f t="shared" si="9"/>
        <v/>
      </c>
      <c r="AL191" s="7">
        <f>IF(ISBLANK(AH191), 0, VLOOKUP(AH191, 'Price Sheet'!$A$2:$B1015, 2, false))</f>
        <v>0</v>
      </c>
      <c r="AM191" s="33" t="str">
        <f t="shared" si="10"/>
        <v/>
      </c>
      <c r="AN191" s="37"/>
      <c r="AO191" s="29"/>
      <c r="AP191" s="29" t="b">
        <v>0</v>
      </c>
      <c r="AQ191" s="22" t="str">
        <f t="shared" si="11"/>
        <v/>
      </c>
      <c r="AR191" s="7">
        <f>IF(ISBLANK(AN191), 0, VLOOKUP(AN191, 'Price Sheet'!$A$2:$B1015, 2, false))</f>
        <v>0</v>
      </c>
      <c r="AS191" s="33" t="str">
        <f t="shared" si="12"/>
        <v/>
      </c>
      <c r="AT191" s="37"/>
      <c r="AU191" s="29"/>
      <c r="AV191" s="29" t="b">
        <v>0</v>
      </c>
      <c r="AW191" s="22" t="str">
        <f t="shared" si="13"/>
        <v/>
      </c>
      <c r="AX191" s="7">
        <f>IF(ISBLANK(AT191), 0, VLOOKUP(AT191, 'Price Sheet'!$A$2:$B1015, 2, false))</f>
        <v>0</v>
      </c>
      <c r="AY191" s="33" t="str">
        <f t="shared" si="14"/>
        <v/>
      </c>
      <c r="AZ191" s="37"/>
      <c r="BA191" s="29"/>
      <c r="BB191" s="29" t="b">
        <v>0</v>
      </c>
      <c r="BC191" s="22" t="str">
        <f t="shared" si="15"/>
        <v/>
      </c>
      <c r="BD191" s="7">
        <f>IF(ISBLANK(AZ191), 0, VLOOKUP(AZ191, 'Price Sheet'!$A$2:$B1015, 2, false))</f>
        <v>0</v>
      </c>
      <c r="BE191" s="33" t="str">
        <f t="shared" si="16"/>
        <v/>
      </c>
      <c r="BF191" s="37"/>
      <c r="BG191" s="29"/>
      <c r="BH191" s="29" t="b">
        <v>0</v>
      </c>
      <c r="BI191" s="22" t="str">
        <f t="shared" si="17"/>
        <v/>
      </c>
      <c r="BJ191" s="7">
        <f>IF(ISBLANK(BF191), 0, VLOOKUP(BF191, 'Price Sheet'!$A$2:$B1015, 2, false))</f>
        <v>0</v>
      </c>
      <c r="BK191" s="33" t="str">
        <f t="shared" si="18"/>
        <v/>
      </c>
      <c r="BL191" s="37"/>
      <c r="BM191" s="29"/>
      <c r="BN191" s="29" t="b">
        <v>0</v>
      </c>
      <c r="BO191" s="22" t="str">
        <f t="shared" si="19"/>
        <v/>
      </c>
      <c r="BP191" s="7">
        <f>IF(ISBLANK(BL191), 0, VLOOKUP(BL191, 'Price Sheet'!$A$2:$B1015, 2, false))</f>
        <v>0</v>
      </c>
      <c r="BQ191" s="33" t="str">
        <f t="shared" si="20"/>
        <v/>
      </c>
    </row>
    <row r="192">
      <c r="A192" s="7" t="s">
        <v>165</v>
      </c>
      <c r="B192" s="19">
        <f t="shared" si="1"/>
        <v>0.4775</v>
      </c>
      <c r="C192" s="8" t="s">
        <v>186</v>
      </c>
      <c r="D192" s="8" t="s">
        <v>181</v>
      </c>
      <c r="E192" s="7" t="str">
        <f>IF(ISBLANK(D192), "", VLOOKUP(D192,'Crafting Tables'!$A$2:$B1015, 2, false))</f>
        <v>Basic</v>
      </c>
      <c r="F192" s="7">
        <f>IFERROR(IF(E192 = "None", 1, VLOOKUP(C192,General!$A$5:$L$35, SWITCH(E192, "Basic", 8, "Advanced", 10, "Modern", 12), false)),"")</f>
        <v>0.475</v>
      </c>
      <c r="G192" s="8">
        <v>15.0</v>
      </c>
      <c r="H192" s="7">
        <f>IFERROR(VLOOKUP(C192, General!$A$5:$L$35, 6, false) * G192 / 1000, 0)</f>
        <v>0.0375</v>
      </c>
      <c r="I192" s="8">
        <v>120.0</v>
      </c>
      <c r="J192" s="22">
        <f>IFERROR(I192*VLOOKUP(D192,'Crafting Tables'!$1:$1000, 4, false)*F192,"")</f>
        <v>0</v>
      </c>
      <c r="K192" s="8" t="b">
        <v>1</v>
      </c>
      <c r="L192" s="32" t="s">
        <v>165</v>
      </c>
      <c r="M192" s="8">
        <v>1.0</v>
      </c>
      <c r="N192" s="21">
        <f t="shared" si="2"/>
        <v>0.4775</v>
      </c>
      <c r="P192" s="32" t="s">
        <v>356</v>
      </c>
      <c r="Q192" s="8">
        <v>2.0</v>
      </c>
      <c r="R192" s="29" t="b">
        <v>0</v>
      </c>
      <c r="S192" s="22">
        <f t="shared" si="3"/>
        <v>0.95</v>
      </c>
      <c r="T192" s="19">
        <f>IF(ISBLANK(P192), 0, VLOOKUP(P192, 'Price Sheet'!$A$2:$B1015, 2, false))</f>
        <v>0.6</v>
      </c>
      <c r="U192" s="33">
        <f t="shared" si="4"/>
        <v>0.57</v>
      </c>
      <c r="V192" s="32" t="s">
        <v>375</v>
      </c>
      <c r="W192" s="8">
        <v>-1.0</v>
      </c>
      <c r="X192" s="8" t="b">
        <v>1</v>
      </c>
      <c r="Y192" s="22">
        <f t="shared" si="5"/>
        <v>-1</v>
      </c>
      <c r="Z192" s="19">
        <f>IF(ISBLANK(V192), 0, VLOOKUP(V192, 'Price Sheet'!$A$2:$B1015, 2, false))</f>
        <v>0.13</v>
      </c>
      <c r="AA192" s="33">
        <f t="shared" si="6"/>
        <v>-0.13</v>
      </c>
      <c r="AB192" s="37"/>
      <c r="AC192" s="29"/>
      <c r="AD192" s="29" t="b">
        <v>0</v>
      </c>
      <c r="AE192" s="22" t="str">
        <f t="shared" si="7"/>
        <v/>
      </c>
      <c r="AF192" s="7">
        <f>IF(ISBLANK(AB192), 0, VLOOKUP(AB192, 'Price Sheet'!$A$2:$B1015, 2, false))</f>
        <v>0</v>
      </c>
      <c r="AG192" s="33" t="str">
        <f t="shared" si="8"/>
        <v/>
      </c>
      <c r="AH192" s="37"/>
      <c r="AI192" s="29"/>
      <c r="AJ192" s="29" t="b">
        <v>0</v>
      </c>
      <c r="AK192" s="22" t="str">
        <f t="shared" si="9"/>
        <v/>
      </c>
      <c r="AL192" s="7">
        <f>IF(ISBLANK(AH192), 0, VLOOKUP(AH192, 'Price Sheet'!$A$2:$B1015, 2, false))</f>
        <v>0</v>
      </c>
      <c r="AM192" s="33" t="str">
        <f t="shared" si="10"/>
        <v/>
      </c>
      <c r="AN192" s="37"/>
      <c r="AO192" s="29"/>
      <c r="AP192" s="29" t="b">
        <v>0</v>
      </c>
      <c r="AQ192" s="22" t="str">
        <f t="shared" si="11"/>
        <v/>
      </c>
      <c r="AR192" s="7">
        <f>IF(ISBLANK(AN192), 0, VLOOKUP(AN192, 'Price Sheet'!$A$2:$B1015, 2, false))</f>
        <v>0</v>
      </c>
      <c r="AS192" s="33" t="str">
        <f t="shared" si="12"/>
        <v/>
      </c>
      <c r="AT192" s="37"/>
      <c r="AU192" s="29"/>
      <c r="AV192" s="29" t="b">
        <v>0</v>
      </c>
      <c r="AW192" s="22" t="str">
        <f t="shared" si="13"/>
        <v/>
      </c>
      <c r="AX192" s="7">
        <f>IF(ISBLANK(AT192), 0, VLOOKUP(AT192, 'Price Sheet'!$A$2:$B1015, 2, false))</f>
        <v>0</v>
      </c>
      <c r="AY192" s="33" t="str">
        <f t="shared" si="14"/>
        <v/>
      </c>
      <c r="AZ192" s="37"/>
      <c r="BA192" s="29"/>
      <c r="BB192" s="29" t="b">
        <v>0</v>
      </c>
      <c r="BC192" s="22" t="str">
        <f t="shared" si="15"/>
        <v/>
      </c>
      <c r="BD192" s="7">
        <f>IF(ISBLANK(AZ192), 0, VLOOKUP(AZ192, 'Price Sheet'!$A$2:$B1015, 2, false))</f>
        <v>0</v>
      </c>
      <c r="BE192" s="33" t="str">
        <f t="shared" si="16"/>
        <v/>
      </c>
      <c r="BF192" s="37"/>
      <c r="BG192" s="29"/>
      <c r="BH192" s="29" t="b">
        <v>0</v>
      </c>
      <c r="BI192" s="22" t="str">
        <f t="shared" si="17"/>
        <v/>
      </c>
      <c r="BJ192" s="7">
        <f>IF(ISBLANK(BF192), 0, VLOOKUP(BF192, 'Price Sheet'!$A$2:$B1015, 2, false))</f>
        <v>0</v>
      </c>
      <c r="BK192" s="33" t="str">
        <f t="shared" si="18"/>
        <v/>
      </c>
      <c r="BL192" s="37"/>
      <c r="BM192" s="29"/>
      <c r="BN192" s="29" t="b">
        <v>0</v>
      </c>
      <c r="BO192" s="22" t="str">
        <f t="shared" si="19"/>
        <v/>
      </c>
      <c r="BP192" s="7">
        <f>IF(ISBLANK(BL192), 0, VLOOKUP(BL192, 'Price Sheet'!$A$2:$B1015, 2, false))</f>
        <v>0</v>
      </c>
      <c r="BQ192" s="33" t="str">
        <f t="shared" si="20"/>
        <v/>
      </c>
    </row>
    <row r="193">
      <c r="A193" s="7" t="s">
        <v>189</v>
      </c>
      <c r="B193" s="19">
        <f t="shared" si="1"/>
        <v>1.4625</v>
      </c>
      <c r="C193" s="8" t="s">
        <v>186</v>
      </c>
      <c r="D193" s="8" t="s">
        <v>181</v>
      </c>
      <c r="E193" s="7" t="str">
        <f>IF(ISBLANK(D193), "", VLOOKUP(D193,'Crafting Tables'!$A$2:$B1015, 2, false))</f>
        <v>Basic</v>
      </c>
      <c r="F193" s="7">
        <f>IFERROR(IF(E193 = "None", 1, VLOOKUP(C193,General!$A$5:$L$35, SWITCH(E193, "Basic", 8, "Advanced", 10, "Modern", 12), false)),"")</f>
        <v>0.475</v>
      </c>
      <c r="G193" s="8">
        <v>15.0</v>
      </c>
      <c r="H193" s="7">
        <f>IFERROR(VLOOKUP(C193, General!$A$5:$L$35, 6, false) * G193 / 1000, 0)</f>
        <v>0.0375</v>
      </c>
      <c r="I193" s="8">
        <v>120.0</v>
      </c>
      <c r="J193" s="22">
        <f>IFERROR(I193*VLOOKUP(D193,'Crafting Tables'!$1:$1000, 4, false)*F193,"")</f>
        <v>0</v>
      </c>
      <c r="K193" s="8" t="b">
        <v>1</v>
      </c>
      <c r="L193" s="32" t="s">
        <v>189</v>
      </c>
      <c r="M193" s="8">
        <v>1.0</v>
      </c>
      <c r="N193" s="21">
        <f t="shared" si="2"/>
        <v>1.4625</v>
      </c>
      <c r="P193" s="32" t="s">
        <v>359</v>
      </c>
      <c r="Q193" s="8">
        <v>20.0</v>
      </c>
      <c r="R193" s="29" t="b">
        <v>0</v>
      </c>
      <c r="S193" s="22">
        <f t="shared" si="3"/>
        <v>9.5</v>
      </c>
      <c r="T193" s="19">
        <f>IF(ISBLANK(P193), 0, VLOOKUP(P193, 'Price Sheet'!$A$2:$B1015, 2, false))</f>
        <v>0.15</v>
      </c>
      <c r="U193" s="33">
        <f t="shared" si="4"/>
        <v>1.425</v>
      </c>
      <c r="V193" s="37"/>
      <c r="W193" s="29"/>
      <c r="X193" s="29" t="b">
        <v>0</v>
      </c>
      <c r="Y193" s="22" t="str">
        <f t="shared" si="5"/>
        <v/>
      </c>
      <c r="Z193" s="7">
        <f>IF(ISBLANK(V193), 0, VLOOKUP(V193, 'Price Sheet'!$A$2:$B1015, 2, false))</f>
        <v>0</v>
      </c>
      <c r="AA193" s="33" t="str">
        <f t="shared" si="6"/>
        <v/>
      </c>
      <c r="AB193" s="37"/>
      <c r="AC193" s="29"/>
      <c r="AD193" s="29" t="b">
        <v>0</v>
      </c>
      <c r="AE193" s="22" t="str">
        <f t="shared" si="7"/>
        <v/>
      </c>
      <c r="AF193" s="7">
        <f>IF(ISBLANK(AB193), 0, VLOOKUP(AB193, 'Price Sheet'!$A$2:$B1015, 2, false))</f>
        <v>0</v>
      </c>
      <c r="AG193" s="33" t="str">
        <f t="shared" si="8"/>
        <v/>
      </c>
      <c r="AH193" s="37"/>
      <c r="AI193" s="29"/>
      <c r="AJ193" s="29" t="b">
        <v>0</v>
      </c>
      <c r="AK193" s="22" t="str">
        <f t="shared" si="9"/>
        <v/>
      </c>
      <c r="AL193" s="7">
        <f>IF(ISBLANK(AH193), 0, VLOOKUP(AH193, 'Price Sheet'!$A$2:$B1015, 2, false))</f>
        <v>0</v>
      </c>
      <c r="AM193" s="33" t="str">
        <f t="shared" si="10"/>
        <v/>
      </c>
      <c r="AN193" s="37"/>
      <c r="AO193" s="29"/>
      <c r="AP193" s="29" t="b">
        <v>0</v>
      </c>
      <c r="AQ193" s="22" t="str">
        <f t="shared" si="11"/>
        <v/>
      </c>
      <c r="AR193" s="7">
        <f>IF(ISBLANK(AN193), 0, VLOOKUP(AN193, 'Price Sheet'!$A$2:$B1015, 2, false))</f>
        <v>0</v>
      </c>
      <c r="AS193" s="33" t="str">
        <f t="shared" si="12"/>
        <v/>
      </c>
      <c r="AT193" s="37"/>
      <c r="AU193" s="29"/>
      <c r="AV193" s="29" t="b">
        <v>0</v>
      </c>
      <c r="AW193" s="22" t="str">
        <f t="shared" si="13"/>
        <v/>
      </c>
      <c r="AX193" s="7">
        <f>IF(ISBLANK(AT193), 0, VLOOKUP(AT193, 'Price Sheet'!$A$2:$B1015, 2, false))</f>
        <v>0</v>
      </c>
      <c r="AY193" s="33" t="str">
        <f t="shared" si="14"/>
        <v/>
      </c>
      <c r="AZ193" s="37"/>
      <c r="BA193" s="29"/>
      <c r="BB193" s="29" t="b">
        <v>0</v>
      </c>
      <c r="BC193" s="22" t="str">
        <f t="shared" si="15"/>
        <v/>
      </c>
      <c r="BD193" s="7">
        <f>IF(ISBLANK(AZ193), 0, VLOOKUP(AZ193, 'Price Sheet'!$A$2:$B1015, 2, false))</f>
        <v>0</v>
      </c>
      <c r="BE193" s="33" t="str">
        <f t="shared" si="16"/>
        <v/>
      </c>
      <c r="BF193" s="37"/>
      <c r="BG193" s="29"/>
      <c r="BH193" s="29" t="b">
        <v>0</v>
      </c>
      <c r="BI193" s="22" t="str">
        <f t="shared" si="17"/>
        <v/>
      </c>
      <c r="BJ193" s="7">
        <f>IF(ISBLANK(BF193), 0, VLOOKUP(BF193, 'Price Sheet'!$A$2:$B1015, 2, false))</f>
        <v>0</v>
      </c>
      <c r="BK193" s="33" t="str">
        <f t="shared" si="18"/>
        <v/>
      </c>
      <c r="BL193" s="37"/>
      <c r="BM193" s="29"/>
      <c r="BN193" s="29" t="b">
        <v>0</v>
      </c>
      <c r="BO193" s="22" t="str">
        <f t="shared" si="19"/>
        <v/>
      </c>
      <c r="BP193" s="7">
        <f>IF(ISBLANK(BL193), 0, VLOOKUP(BL193, 'Price Sheet'!$A$2:$B1015, 2, false))</f>
        <v>0</v>
      </c>
      <c r="BQ193" s="33" t="str">
        <f t="shared" si="20"/>
        <v/>
      </c>
    </row>
    <row r="194">
      <c r="A194" s="7" t="s">
        <v>172</v>
      </c>
      <c r="B194" s="19">
        <f t="shared" si="1"/>
        <v>0.1925</v>
      </c>
      <c r="C194" s="8" t="s">
        <v>186</v>
      </c>
      <c r="D194" s="8" t="s">
        <v>181</v>
      </c>
      <c r="E194" s="7" t="str">
        <f>IF(ISBLANK(D194), "", VLOOKUP(D194,'Crafting Tables'!$A$2:$B1015, 2, false))</f>
        <v>Basic</v>
      </c>
      <c r="F194" s="7">
        <f>IFERROR(IF(E194 = "None", 1, VLOOKUP(C194,General!$A$5:$L$35, SWITCH(E194, "Basic", 8, "Advanced", 10, "Modern", 12), false)),"")</f>
        <v>0.475</v>
      </c>
      <c r="G194" s="8">
        <v>15.0</v>
      </c>
      <c r="H194" s="7">
        <f>IFERROR(VLOOKUP(C194, General!$A$5:$L$35, 6, false) * G194 / 1000, 0)</f>
        <v>0.0375</v>
      </c>
      <c r="I194" s="8">
        <v>120.0</v>
      </c>
      <c r="J194" s="22">
        <f>IFERROR(I194*VLOOKUP(D194,'Crafting Tables'!$1:$1000, 4, false)*F194,"")</f>
        <v>0</v>
      </c>
      <c r="K194" s="8" t="b">
        <v>1</v>
      </c>
      <c r="L194" s="32" t="s">
        <v>172</v>
      </c>
      <c r="M194" s="8">
        <v>1.0</v>
      </c>
      <c r="N194" s="21">
        <f t="shared" si="2"/>
        <v>0.1925</v>
      </c>
      <c r="P194" s="32" t="s">
        <v>354</v>
      </c>
      <c r="Q194" s="8">
        <v>2.0</v>
      </c>
      <c r="R194" s="29" t="b">
        <v>0</v>
      </c>
      <c r="S194" s="22">
        <f t="shared" si="3"/>
        <v>0.95</v>
      </c>
      <c r="T194" s="19">
        <f>IF(ISBLANK(P194), 0, VLOOKUP(P194, 'Price Sheet'!$A$2:$B1015, 2, false))</f>
        <v>0.3</v>
      </c>
      <c r="U194" s="33">
        <f t="shared" si="4"/>
        <v>0.285</v>
      </c>
      <c r="V194" s="32" t="s">
        <v>375</v>
      </c>
      <c r="W194" s="8">
        <v>-1.0</v>
      </c>
      <c r="X194" s="8" t="b">
        <v>1</v>
      </c>
      <c r="Y194" s="22">
        <f t="shared" si="5"/>
        <v>-1</v>
      </c>
      <c r="Z194" s="19">
        <f>IF(ISBLANK(V194), 0, VLOOKUP(V194, 'Price Sheet'!$A$2:$B1015, 2, false))</f>
        <v>0.13</v>
      </c>
      <c r="AA194" s="33">
        <f t="shared" si="6"/>
        <v>-0.13</v>
      </c>
      <c r="AB194" s="37"/>
      <c r="AC194" s="29"/>
      <c r="AD194" s="29" t="b">
        <v>0</v>
      </c>
      <c r="AE194" s="22" t="str">
        <f t="shared" si="7"/>
        <v/>
      </c>
      <c r="AF194" s="7">
        <f>IF(ISBLANK(AB194), 0, VLOOKUP(AB194, 'Price Sheet'!$A$2:$B1015, 2, false))</f>
        <v>0</v>
      </c>
      <c r="AG194" s="33" t="str">
        <f t="shared" si="8"/>
        <v/>
      </c>
      <c r="AH194" s="37"/>
      <c r="AI194" s="29"/>
      <c r="AJ194" s="29" t="b">
        <v>0</v>
      </c>
      <c r="AK194" s="22" t="str">
        <f t="shared" si="9"/>
        <v/>
      </c>
      <c r="AL194" s="7">
        <f>IF(ISBLANK(AH194), 0, VLOOKUP(AH194, 'Price Sheet'!$A$2:$B1015, 2, false))</f>
        <v>0</v>
      </c>
      <c r="AM194" s="33" t="str">
        <f t="shared" si="10"/>
        <v/>
      </c>
      <c r="AN194" s="37"/>
      <c r="AO194" s="29"/>
      <c r="AP194" s="29" t="b">
        <v>0</v>
      </c>
      <c r="AQ194" s="22" t="str">
        <f t="shared" si="11"/>
        <v/>
      </c>
      <c r="AR194" s="7">
        <f>IF(ISBLANK(AN194), 0, VLOOKUP(AN194, 'Price Sheet'!$A$2:$B1015, 2, false))</f>
        <v>0</v>
      </c>
      <c r="AS194" s="33" t="str">
        <f t="shared" si="12"/>
        <v/>
      </c>
      <c r="AT194" s="37"/>
      <c r="AU194" s="29"/>
      <c r="AV194" s="29" t="b">
        <v>0</v>
      </c>
      <c r="AW194" s="22" t="str">
        <f t="shared" si="13"/>
        <v/>
      </c>
      <c r="AX194" s="7">
        <f>IF(ISBLANK(AT194), 0, VLOOKUP(AT194, 'Price Sheet'!$A$2:$B1015, 2, false))</f>
        <v>0</v>
      </c>
      <c r="AY194" s="33" t="str">
        <f t="shared" si="14"/>
        <v/>
      </c>
      <c r="AZ194" s="37"/>
      <c r="BA194" s="29"/>
      <c r="BB194" s="29" t="b">
        <v>0</v>
      </c>
      <c r="BC194" s="22" t="str">
        <f t="shared" si="15"/>
        <v/>
      </c>
      <c r="BD194" s="7">
        <f>IF(ISBLANK(AZ194), 0, VLOOKUP(AZ194, 'Price Sheet'!$A$2:$B1015, 2, false))</f>
        <v>0</v>
      </c>
      <c r="BE194" s="33" t="str">
        <f t="shared" si="16"/>
        <v/>
      </c>
      <c r="BF194" s="37"/>
      <c r="BG194" s="29"/>
      <c r="BH194" s="29" t="b">
        <v>0</v>
      </c>
      <c r="BI194" s="22" t="str">
        <f t="shared" si="17"/>
        <v/>
      </c>
      <c r="BJ194" s="7">
        <f>IF(ISBLANK(BF194), 0, VLOOKUP(BF194, 'Price Sheet'!$A$2:$B1015, 2, false))</f>
        <v>0</v>
      </c>
      <c r="BK194" s="33" t="str">
        <f t="shared" si="18"/>
        <v/>
      </c>
      <c r="BL194" s="37"/>
      <c r="BM194" s="29"/>
      <c r="BN194" s="29" t="b">
        <v>0</v>
      </c>
      <c r="BO194" s="22" t="str">
        <f t="shared" si="19"/>
        <v/>
      </c>
      <c r="BP194" s="7">
        <f>IF(ISBLANK(BL194), 0, VLOOKUP(BL194, 'Price Sheet'!$A$2:$B1015, 2, false))</f>
        <v>0</v>
      </c>
      <c r="BQ194" s="33" t="str">
        <f t="shared" si="20"/>
        <v/>
      </c>
    </row>
    <row r="195">
      <c r="A195" s="7" t="s">
        <v>185</v>
      </c>
      <c r="B195" s="19">
        <f t="shared" si="1"/>
        <v>2.923125</v>
      </c>
      <c r="C195" s="8" t="s">
        <v>186</v>
      </c>
      <c r="D195" s="8" t="s">
        <v>181</v>
      </c>
      <c r="E195" s="7" t="str">
        <f>IF(ISBLANK(D195), "", VLOOKUP(D195,'Crafting Tables'!$A$2:$B1015, 2, false))</f>
        <v>Basic</v>
      </c>
      <c r="F195" s="7">
        <f>IFERROR(IF(E195 = "None", 1, VLOOKUP(C195,General!$A$5:$L$35, SWITCH(E195, "Basic", 8, "Advanced", 10, "Modern", 12), false)),"")</f>
        <v>0.475</v>
      </c>
      <c r="G195" s="8">
        <v>15.0</v>
      </c>
      <c r="H195" s="7">
        <f>IFERROR(VLOOKUP(C195, General!$A$5:$L$35, 6, false) * G195 / 1000, 0)</f>
        <v>0.0375</v>
      </c>
      <c r="I195" s="8">
        <v>120.0</v>
      </c>
      <c r="J195" s="22">
        <f>IFERROR(I195*VLOOKUP(D195,'Crafting Tables'!$1:$1000, 4, false)*F195,"")</f>
        <v>0</v>
      </c>
      <c r="K195" s="8" t="b">
        <v>1</v>
      </c>
      <c r="L195" s="32" t="s">
        <v>185</v>
      </c>
      <c r="M195" s="8">
        <v>1.0</v>
      </c>
      <c r="N195" s="21">
        <f t="shared" si="2"/>
        <v>2.923125</v>
      </c>
      <c r="P195" s="32" t="s">
        <v>180</v>
      </c>
      <c r="Q195" s="8">
        <v>10.0</v>
      </c>
      <c r="R195" s="29" t="b">
        <v>0</v>
      </c>
      <c r="S195" s="22">
        <f t="shared" si="3"/>
        <v>4.75</v>
      </c>
      <c r="T195" s="19">
        <f>IF(ISBLANK(P195), 0, VLOOKUP(P195, 'Price Sheet'!$A$2:$B1015, 2, false))</f>
        <v>0.6075</v>
      </c>
      <c r="U195" s="33">
        <f t="shared" si="4"/>
        <v>2.885625</v>
      </c>
      <c r="V195" s="37"/>
      <c r="W195" s="29"/>
      <c r="X195" s="29" t="b">
        <v>0</v>
      </c>
      <c r="Y195" s="22" t="str">
        <f t="shared" si="5"/>
        <v/>
      </c>
      <c r="Z195" s="7">
        <f>IF(ISBLANK(V195), 0, VLOOKUP(V195, 'Price Sheet'!$A$2:$B1015, 2, false))</f>
        <v>0</v>
      </c>
      <c r="AA195" s="33" t="str">
        <f t="shared" si="6"/>
        <v/>
      </c>
      <c r="AB195" s="37"/>
      <c r="AC195" s="29"/>
      <c r="AD195" s="29" t="b">
        <v>0</v>
      </c>
      <c r="AE195" s="22" t="str">
        <f t="shared" si="7"/>
        <v/>
      </c>
      <c r="AF195" s="7">
        <f>IF(ISBLANK(AB195), 0, VLOOKUP(AB195, 'Price Sheet'!$A$2:$B1015, 2, false))</f>
        <v>0</v>
      </c>
      <c r="AG195" s="33" t="str">
        <f t="shared" si="8"/>
        <v/>
      </c>
      <c r="AH195" s="37"/>
      <c r="AI195" s="29"/>
      <c r="AJ195" s="29" t="b">
        <v>0</v>
      </c>
      <c r="AK195" s="22" t="str">
        <f t="shared" si="9"/>
        <v/>
      </c>
      <c r="AL195" s="7">
        <f>IF(ISBLANK(AH195), 0, VLOOKUP(AH195, 'Price Sheet'!$A$2:$B1015, 2, false))</f>
        <v>0</v>
      </c>
      <c r="AM195" s="33" t="str">
        <f t="shared" si="10"/>
        <v/>
      </c>
      <c r="AN195" s="37"/>
      <c r="AO195" s="29"/>
      <c r="AP195" s="29" t="b">
        <v>0</v>
      </c>
      <c r="AQ195" s="22" t="str">
        <f t="shared" si="11"/>
        <v/>
      </c>
      <c r="AR195" s="7">
        <f>IF(ISBLANK(AN195), 0, VLOOKUP(AN195, 'Price Sheet'!$A$2:$B1015, 2, false))</f>
        <v>0</v>
      </c>
      <c r="AS195" s="33" t="str">
        <f t="shared" si="12"/>
        <v/>
      </c>
      <c r="AT195" s="37"/>
      <c r="AU195" s="29"/>
      <c r="AV195" s="29" t="b">
        <v>0</v>
      </c>
      <c r="AW195" s="22" t="str">
        <f t="shared" si="13"/>
        <v/>
      </c>
      <c r="AX195" s="7">
        <f>IF(ISBLANK(AT195), 0, VLOOKUP(AT195, 'Price Sheet'!$A$2:$B1015, 2, false))</f>
        <v>0</v>
      </c>
      <c r="AY195" s="33" t="str">
        <f t="shared" si="14"/>
        <v/>
      </c>
      <c r="AZ195" s="37"/>
      <c r="BA195" s="29"/>
      <c r="BB195" s="29" t="b">
        <v>0</v>
      </c>
      <c r="BC195" s="22" t="str">
        <f t="shared" si="15"/>
        <v/>
      </c>
      <c r="BD195" s="7">
        <f>IF(ISBLANK(AZ195), 0, VLOOKUP(AZ195, 'Price Sheet'!$A$2:$B1015, 2, false))</f>
        <v>0</v>
      </c>
      <c r="BE195" s="33" t="str">
        <f t="shared" si="16"/>
        <v/>
      </c>
      <c r="BF195" s="37"/>
      <c r="BG195" s="29"/>
      <c r="BH195" s="29" t="b">
        <v>0</v>
      </c>
      <c r="BI195" s="22" t="str">
        <f t="shared" si="17"/>
        <v/>
      </c>
      <c r="BJ195" s="7">
        <f>IF(ISBLANK(BF195), 0, VLOOKUP(BF195, 'Price Sheet'!$A$2:$B1015, 2, false))</f>
        <v>0</v>
      </c>
      <c r="BK195" s="33" t="str">
        <f t="shared" si="18"/>
        <v/>
      </c>
      <c r="BL195" s="37"/>
      <c r="BM195" s="29"/>
      <c r="BN195" s="29" t="b">
        <v>0</v>
      </c>
      <c r="BO195" s="22" t="str">
        <f t="shared" si="19"/>
        <v/>
      </c>
      <c r="BP195" s="7">
        <f>IF(ISBLANK(BL195), 0, VLOOKUP(BL195, 'Price Sheet'!$A$2:$B1015, 2, false))</f>
        <v>0</v>
      </c>
      <c r="BQ195" s="33" t="str">
        <f t="shared" si="20"/>
        <v/>
      </c>
    </row>
    <row r="196">
      <c r="A196" s="7" t="s">
        <v>197</v>
      </c>
      <c r="B196" s="19">
        <f t="shared" si="1"/>
        <v>2.35039375</v>
      </c>
      <c r="C196" s="8" t="s">
        <v>186</v>
      </c>
      <c r="D196" s="8" t="s">
        <v>181</v>
      </c>
      <c r="E196" s="7" t="str">
        <f>IF(ISBLANK(D196), "", VLOOKUP(D196,'Crafting Tables'!$A$2:$B1015, 2, false))</f>
        <v>Basic</v>
      </c>
      <c r="F196" s="7">
        <f>IFERROR(IF(E196 = "None", 1, VLOOKUP(C196,General!$A$5:$L$35, SWITCH(E196, "Basic", 8, "Advanced", 10, "Modern", 12), false)),"")</f>
        <v>0.475</v>
      </c>
      <c r="G196" s="8">
        <v>15.0</v>
      </c>
      <c r="H196" s="7">
        <f>IFERROR(VLOOKUP(C196, General!$A$5:$L$35, 6, false) * G196 / 1000, 0)</f>
        <v>0.0375</v>
      </c>
      <c r="I196" s="8">
        <v>120.0</v>
      </c>
      <c r="J196" s="22">
        <f>IFERROR(I196*VLOOKUP(D196,'Crafting Tables'!$1:$1000, 4, false)*F196,"")</f>
        <v>0</v>
      </c>
      <c r="K196" s="8" t="b">
        <v>1</v>
      </c>
      <c r="L196" s="32" t="s">
        <v>197</v>
      </c>
      <c r="M196" s="8">
        <v>1.0</v>
      </c>
      <c r="N196" s="21">
        <f t="shared" si="2"/>
        <v>2.35039375</v>
      </c>
      <c r="P196" s="32" t="s">
        <v>369</v>
      </c>
      <c r="Q196" s="8">
        <v>6.0</v>
      </c>
      <c r="R196" s="29" t="b">
        <v>0</v>
      </c>
      <c r="S196" s="22">
        <f t="shared" si="3"/>
        <v>2.85</v>
      </c>
      <c r="T196" s="19">
        <f>IF(ISBLANK(P196), 0, VLOOKUP(P196, 'Price Sheet'!$A$2:$B1015, 2, false))</f>
        <v>0.2</v>
      </c>
      <c r="U196" s="33">
        <f t="shared" si="4"/>
        <v>0.57</v>
      </c>
      <c r="V196" s="32" t="s">
        <v>192</v>
      </c>
      <c r="W196" s="8">
        <v>2.0</v>
      </c>
      <c r="X196" s="29" t="b">
        <v>0</v>
      </c>
      <c r="Y196" s="22">
        <f t="shared" si="5"/>
        <v>0.95</v>
      </c>
      <c r="Z196" s="19">
        <f>IF(ISBLANK(V196), 0, VLOOKUP(V196, 'Price Sheet'!$A$2:$B1015, 2, false))</f>
        <v>0.614625</v>
      </c>
      <c r="AA196" s="33">
        <f t="shared" si="6"/>
        <v>0.58389375</v>
      </c>
      <c r="AB196" s="32" t="s">
        <v>354</v>
      </c>
      <c r="AC196" s="8">
        <v>4.0</v>
      </c>
      <c r="AD196" s="29" t="b">
        <v>0</v>
      </c>
      <c r="AE196" s="22">
        <f t="shared" si="7"/>
        <v>1.9</v>
      </c>
      <c r="AF196" s="19">
        <f>IF(ISBLANK(AB196), 0, VLOOKUP(AB196, 'Price Sheet'!$A$2:$B1015, 2, false))</f>
        <v>0.3</v>
      </c>
      <c r="AG196" s="33">
        <f t="shared" si="8"/>
        <v>0.57</v>
      </c>
      <c r="AH196" s="32" t="s">
        <v>158</v>
      </c>
      <c r="AI196" s="8">
        <v>2.0</v>
      </c>
      <c r="AJ196" s="29" t="b">
        <v>0</v>
      </c>
      <c r="AK196" s="22">
        <f t="shared" si="9"/>
        <v>0.95</v>
      </c>
      <c r="AL196" s="19">
        <f>IF(ISBLANK(AH196), 0, VLOOKUP(AH196, 'Price Sheet'!$A$2:$B1015, 2, false))</f>
        <v>0.62</v>
      </c>
      <c r="AM196" s="33">
        <f t="shared" si="10"/>
        <v>0.589</v>
      </c>
      <c r="AN196" s="37"/>
      <c r="AO196" s="29"/>
      <c r="AP196" s="29" t="b">
        <v>0</v>
      </c>
      <c r="AQ196" s="22" t="str">
        <f t="shared" si="11"/>
        <v/>
      </c>
      <c r="AR196" s="7">
        <f>IF(ISBLANK(AN196), 0, VLOOKUP(AN196, 'Price Sheet'!$A$2:$B1015, 2, false))</f>
        <v>0</v>
      </c>
      <c r="AS196" s="33" t="str">
        <f t="shared" si="12"/>
        <v/>
      </c>
      <c r="AT196" s="37"/>
      <c r="AU196" s="29"/>
      <c r="AV196" s="29" t="b">
        <v>0</v>
      </c>
      <c r="AW196" s="22" t="str">
        <f t="shared" si="13"/>
        <v/>
      </c>
      <c r="AX196" s="7">
        <f>IF(ISBLANK(AT196), 0, VLOOKUP(AT196, 'Price Sheet'!$A$2:$B1015, 2, false))</f>
        <v>0</v>
      </c>
      <c r="AY196" s="33" t="str">
        <f t="shared" si="14"/>
        <v/>
      </c>
      <c r="AZ196" s="37"/>
      <c r="BA196" s="29"/>
      <c r="BB196" s="29" t="b">
        <v>0</v>
      </c>
      <c r="BC196" s="22" t="str">
        <f t="shared" si="15"/>
        <v/>
      </c>
      <c r="BD196" s="7">
        <f>IF(ISBLANK(AZ196), 0, VLOOKUP(AZ196, 'Price Sheet'!$A$2:$B1015, 2, false))</f>
        <v>0</v>
      </c>
      <c r="BE196" s="33" t="str">
        <f t="shared" si="16"/>
        <v/>
      </c>
      <c r="BF196" s="37"/>
      <c r="BG196" s="29"/>
      <c r="BH196" s="29" t="b">
        <v>0</v>
      </c>
      <c r="BI196" s="22" t="str">
        <f t="shared" si="17"/>
        <v/>
      </c>
      <c r="BJ196" s="7">
        <f>IF(ISBLANK(BF196), 0, VLOOKUP(BF196, 'Price Sheet'!$A$2:$B1015, 2, false))</f>
        <v>0</v>
      </c>
      <c r="BK196" s="33" t="str">
        <f t="shared" si="18"/>
        <v/>
      </c>
      <c r="BL196" s="37"/>
      <c r="BM196" s="29"/>
      <c r="BN196" s="29" t="b">
        <v>0</v>
      </c>
      <c r="BO196" s="22" t="str">
        <f t="shared" si="19"/>
        <v/>
      </c>
      <c r="BP196" s="7">
        <f>IF(ISBLANK(BL196), 0, VLOOKUP(BL196, 'Price Sheet'!$A$2:$B1015, 2, false))</f>
        <v>0</v>
      </c>
      <c r="BQ196" s="33" t="str">
        <f t="shared" si="20"/>
        <v/>
      </c>
    </row>
    <row r="197">
      <c r="A197" s="7" t="s">
        <v>192</v>
      </c>
      <c r="B197" s="19">
        <f t="shared" si="1"/>
        <v>0.614625</v>
      </c>
      <c r="C197" s="8" t="s">
        <v>186</v>
      </c>
      <c r="D197" s="8" t="s">
        <v>181</v>
      </c>
      <c r="E197" s="7" t="str">
        <f>IF(ISBLANK(D197), "", VLOOKUP(D197,'Crafting Tables'!$A$2:$B1015, 2, false))</f>
        <v>Basic</v>
      </c>
      <c r="F197" s="7">
        <f>IFERROR(IF(E197 = "None", 1, VLOOKUP(C197,General!$A$5:$L$35, SWITCH(E197, "Basic", 8, "Advanced", 10, "Modern", 12), false)),"")</f>
        <v>0.475</v>
      </c>
      <c r="G197" s="8">
        <v>15.0</v>
      </c>
      <c r="H197" s="7">
        <f>IFERROR(VLOOKUP(C197, General!$A$5:$L$35, 6, false) * G197 / 1000, 0)</f>
        <v>0.0375</v>
      </c>
      <c r="I197" s="8">
        <v>120.0</v>
      </c>
      <c r="J197" s="22">
        <f>IFERROR(I197*VLOOKUP(D197,'Crafting Tables'!$1:$1000, 4, false)*F197,"")</f>
        <v>0</v>
      </c>
      <c r="K197" s="8" t="b">
        <v>1</v>
      </c>
      <c r="L197" s="32" t="s">
        <v>192</v>
      </c>
      <c r="M197" s="8">
        <v>1.0</v>
      </c>
      <c r="N197" s="21">
        <f t="shared" si="2"/>
        <v>0.614625</v>
      </c>
      <c r="P197" s="32" t="s">
        <v>180</v>
      </c>
      <c r="Q197" s="8">
        <v>2.0</v>
      </c>
      <c r="R197" s="29" t="b">
        <v>0</v>
      </c>
      <c r="S197" s="22">
        <f t="shared" si="3"/>
        <v>0.95</v>
      </c>
      <c r="T197" s="19">
        <f>IF(ISBLANK(P197), 0, VLOOKUP(P197, 'Price Sheet'!$A$2:$B1015, 2, false))</f>
        <v>0.6075</v>
      </c>
      <c r="U197" s="33">
        <f t="shared" si="4"/>
        <v>0.577125</v>
      </c>
      <c r="V197" s="37"/>
      <c r="W197" s="29"/>
      <c r="X197" s="29" t="b">
        <v>0</v>
      </c>
      <c r="Y197" s="22" t="str">
        <f t="shared" si="5"/>
        <v/>
      </c>
      <c r="Z197" s="7">
        <f>IF(ISBLANK(V197), 0, VLOOKUP(V197, 'Price Sheet'!$A$2:$B1015, 2, false))</f>
        <v>0</v>
      </c>
      <c r="AA197" s="33" t="str">
        <f t="shared" si="6"/>
        <v/>
      </c>
      <c r="AB197" s="37"/>
      <c r="AC197" s="29"/>
      <c r="AD197" s="29" t="b">
        <v>0</v>
      </c>
      <c r="AE197" s="22" t="str">
        <f t="shared" si="7"/>
        <v/>
      </c>
      <c r="AF197" s="7">
        <f>IF(ISBLANK(AB197), 0, VLOOKUP(AB197, 'Price Sheet'!$A$2:$B1015, 2, false))</f>
        <v>0</v>
      </c>
      <c r="AG197" s="33" t="str">
        <f t="shared" si="8"/>
        <v/>
      </c>
      <c r="AH197" s="37"/>
      <c r="AI197" s="29"/>
      <c r="AJ197" s="29" t="b">
        <v>0</v>
      </c>
      <c r="AK197" s="22" t="str">
        <f t="shared" si="9"/>
        <v/>
      </c>
      <c r="AL197" s="7">
        <f>IF(ISBLANK(AH197), 0, VLOOKUP(AH197, 'Price Sheet'!$A$2:$B1015, 2, false))</f>
        <v>0</v>
      </c>
      <c r="AM197" s="33" t="str">
        <f t="shared" si="10"/>
        <v/>
      </c>
      <c r="AN197" s="37"/>
      <c r="AO197" s="29"/>
      <c r="AP197" s="29" t="b">
        <v>0</v>
      </c>
      <c r="AQ197" s="22" t="str">
        <f t="shared" si="11"/>
        <v/>
      </c>
      <c r="AR197" s="7">
        <f>IF(ISBLANK(AN197), 0, VLOOKUP(AN197, 'Price Sheet'!$A$2:$B1015, 2, false))</f>
        <v>0</v>
      </c>
      <c r="AS197" s="33" t="str">
        <f t="shared" si="12"/>
        <v/>
      </c>
      <c r="AT197" s="37"/>
      <c r="AU197" s="29"/>
      <c r="AV197" s="29" t="b">
        <v>0</v>
      </c>
      <c r="AW197" s="22" t="str">
        <f t="shared" si="13"/>
        <v/>
      </c>
      <c r="AX197" s="7">
        <f>IF(ISBLANK(AT197), 0, VLOOKUP(AT197, 'Price Sheet'!$A$2:$B1015, 2, false))</f>
        <v>0</v>
      </c>
      <c r="AY197" s="33" t="str">
        <f t="shared" si="14"/>
        <v/>
      </c>
      <c r="AZ197" s="37"/>
      <c r="BA197" s="29"/>
      <c r="BB197" s="29" t="b">
        <v>0</v>
      </c>
      <c r="BC197" s="22" t="str">
        <f t="shared" si="15"/>
        <v/>
      </c>
      <c r="BD197" s="7">
        <f>IF(ISBLANK(AZ197), 0, VLOOKUP(AZ197, 'Price Sheet'!$A$2:$B1015, 2, false))</f>
        <v>0</v>
      </c>
      <c r="BE197" s="33" t="str">
        <f t="shared" si="16"/>
        <v/>
      </c>
      <c r="BF197" s="37"/>
      <c r="BG197" s="29"/>
      <c r="BH197" s="29" t="b">
        <v>0</v>
      </c>
      <c r="BI197" s="22" t="str">
        <f t="shared" si="17"/>
        <v/>
      </c>
      <c r="BJ197" s="7">
        <f>IF(ISBLANK(BF197), 0, VLOOKUP(BF197, 'Price Sheet'!$A$2:$B1015, 2, false))</f>
        <v>0</v>
      </c>
      <c r="BK197" s="33" t="str">
        <f t="shared" si="18"/>
        <v/>
      </c>
      <c r="BL197" s="37"/>
      <c r="BM197" s="29"/>
      <c r="BN197" s="29" t="b">
        <v>0</v>
      </c>
      <c r="BO197" s="22" t="str">
        <f t="shared" si="19"/>
        <v/>
      </c>
      <c r="BP197" s="7">
        <f>IF(ISBLANK(BL197), 0, VLOOKUP(BL197, 'Price Sheet'!$A$2:$B1015, 2, false))</f>
        <v>0</v>
      </c>
      <c r="BQ197" s="33" t="str">
        <f t="shared" si="20"/>
        <v/>
      </c>
    </row>
    <row r="198">
      <c r="B198" s="19">
        <f t="shared" si="1"/>
        <v>0</v>
      </c>
      <c r="C198" s="29"/>
      <c r="D198" s="29"/>
      <c r="E198" s="7" t="str">
        <f>IF(ISBLANK(D198), "", VLOOKUP(D198,'Crafting Tables'!$A$2:$B1015, 2, false))</f>
        <v/>
      </c>
      <c r="F198" s="7" t="str">
        <f>IFERROR(IF(E198 = "None", 1, VLOOKUP(C198,General!$A$5:$L$35, SWITCH(E198, "Basic", 8, "Advanced", 10, "Modern", 12), false)),"")</f>
        <v/>
      </c>
      <c r="G198" s="29"/>
      <c r="H198" s="7">
        <f>IFERROR(VLOOKUP(C198, General!$A$5:$L$35, 6, false) * G198 / 1000, 0)</f>
        <v>0</v>
      </c>
      <c r="I198" s="29"/>
      <c r="J198" s="22" t="str">
        <f>IFERROR(I198*VLOOKUP(D198,'Crafting Tables'!$1:$1000, 4, false)*F198,"")</f>
        <v/>
      </c>
      <c r="K198" s="29" t="b">
        <v>0</v>
      </c>
      <c r="L198" s="37"/>
      <c r="M198" s="29"/>
      <c r="N198" s="21" t="str">
        <f t="shared" si="2"/>
        <v/>
      </c>
      <c r="P198" s="37"/>
      <c r="Q198" s="29"/>
      <c r="R198" s="29" t="b">
        <v>0</v>
      </c>
      <c r="S198" s="22" t="str">
        <f t="shared" si="3"/>
        <v/>
      </c>
      <c r="T198" s="7">
        <f>IF(ISBLANK(P198), 0, VLOOKUP(P198, 'Price Sheet'!$A$2:$B1015, 2, false))</f>
        <v>0</v>
      </c>
      <c r="U198" s="33" t="str">
        <f t="shared" si="4"/>
        <v/>
      </c>
      <c r="V198" s="37"/>
      <c r="W198" s="29"/>
      <c r="X198" s="29" t="b">
        <v>0</v>
      </c>
      <c r="Y198" s="22" t="str">
        <f t="shared" si="5"/>
        <v/>
      </c>
      <c r="Z198" s="7">
        <f>IF(ISBLANK(V198), 0, VLOOKUP(V198, 'Price Sheet'!$A$2:$B1015, 2, false))</f>
        <v>0</v>
      </c>
      <c r="AA198" s="33" t="str">
        <f t="shared" si="6"/>
        <v/>
      </c>
      <c r="AB198" s="37"/>
      <c r="AC198" s="29"/>
      <c r="AD198" s="29" t="b">
        <v>0</v>
      </c>
      <c r="AE198" s="22" t="str">
        <f t="shared" si="7"/>
        <v/>
      </c>
      <c r="AF198" s="7">
        <f>IF(ISBLANK(AB198), 0, VLOOKUP(AB198, 'Price Sheet'!$A$2:$B1015, 2, false))</f>
        <v>0</v>
      </c>
      <c r="AG198" s="33" t="str">
        <f t="shared" si="8"/>
        <v/>
      </c>
      <c r="AH198" s="37"/>
      <c r="AI198" s="29"/>
      <c r="AJ198" s="29" t="b">
        <v>0</v>
      </c>
      <c r="AK198" s="22" t="str">
        <f t="shared" si="9"/>
        <v/>
      </c>
      <c r="AL198" s="7">
        <f>IF(ISBLANK(AH198), 0, VLOOKUP(AH198, 'Price Sheet'!$A$2:$B1015, 2, false))</f>
        <v>0</v>
      </c>
      <c r="AM198" s="33" t="str">
        <f t="shared" si="10"/>
        <v/>
      </c>
      <c r="AN198" s="37"/>
      <c r="AO198" s="29"/>
      <c r="AP198" s="29" t="b">
        <v>0</v>
      </c>
      <c r="AQ198" s="22" t="str">
        <f t="shared" si="11"/>
        <v/>
      </c>
      <c r="AR198" s="7">
        <f>IF(ISBLANK(AN198), 0, VLOOKUP(AN198, 'Price Sheet'!$A$2:$B1015, 2, false))</f>
        <v>0</v>
      </c>
      <c r="AS198" s="33" t="str">
        <f t="shared" si="12"/>
        <v/>
      </c>
      <c r="AT198" s="37"/>
      <c r="AU198" s="29"/>
      <c r="AV198" s="29" t="b">
        <v>0</v>
      </c>
      <c r="AW198" s="22" t="str">
        <f t="shared" si="13"/>
        <v/>
      </c>
      <c r="AX198" s="7">
        <f>IF(ISBLANK(AT198), 0, VLOOKUP(AT198, 'Price Sheet'!$A$2:$B1015, 2, false))</f>
        <v>0</v>
      </c>
      <c r="AY198" s="33" t="str">
        <f t="shared" si="14"/>
        <v/>
      </c>
      <c r="AZ198" s="37"/>
      <c r="BA198" s="29"/>
      <c r="BB198" s="29" t="b">
        <v>0</v>
      </c>
      <c r="BC198" s="22" t="str">
        <f t="shared" si="15"/>
        <v/>
      </c>
      <c r="BD198" s="7">
        <f>IF(ISBLANK(AZ198), 0, VLOOKUP(AZ198, 'Price Sheet'!$A$2:$B1015, 2, false))</f>
        <v>0</v>
      </c>
      <c r="BE198" s="33" t="str">
        <f t="shared" si="16"/>
        <v/>
      </c>
      <c r="BF198" s="37"/>
      <c r="BG198" s="29"/>
      <c r="BH198" s="29" t="b">
        <v>0</v>
      </c>
      <c r="BI198" s="22" t="str">
        <f t="shared" si="17"/>
        <v/>
      </c>
      <c r="BJ198" s="7">
        <f>IF(ISBLANK(BF198), 0, VLOOKUP(BF198, 'Price Sheet'!$A$2:$B1015, 2, false))</f>
        <v>0</v>
      </c>
      <c r="BK198" s="33" t="str">
        <f t="shared" si="18"/>
        <v/>
      </c>
      <c r="BL198" s="37"/>
      <c r="BM198" s="29"/>
      <c r="BN198" s="29" t="b">
        <v>0</v>
      </c>
      <c r="BO198" s="22" t="str">
        <f t="shared" si="19"/>
        <v/>
      </c>
      <c r="BP198" s="7">
        <f>IF(ISBLANK(BL198), 0, VLOOKUP(BL198, 'Price Sheet'!$A$2:$B1015, 2, false))</f>
        <v>0</v>
      </c>
      <c r="BQ198" s="33" t="str">
        <f t="shared" si="20"/>
        <v/>
      </c>
    </row>
    <row r="199">
      <c r="A199" s="7" t="s">
        <v>214</v>
      </c>
      <c r="B199" s="19">
        <f t="shared" si="1"/>
        <v>19.28350625</v>
      </c>
      <c r="C199" s="8" t="s">
        <v>208</v>
      </c>
      <c r="D199" s="8" t="s">
        <v>367</v>
      </c>
      <c r="E199" s="7" t="str">
        <f>IF(ISBLANK(D199), "", VLOOKUP(D199,'Crafting Tables'!$A$2:$B1015, 2, false))</f>
        <v>Basic</v>
      </c>
      <c r="F199" s="7">
        <f>IFERROR(IF(E199 = "None", 1, VLOOKUP(C199,General!$A$5:$L$35, SWITCH(E199, "Basic", 8, "Advanced", 10, "Modern", 12), false)),"")</f>
        <v>0.55</v>
      </c>
      <c r="G199" s="8">
        <v>40.0</v>
      </c>
      <c r="H199" s="7">
        <f>IFERROR(VLOOKUP(C199, General!$A$5:$L$35, 6, false) * G199 / 1000, 0)</f>
        <v>0.14</v>
      </c>
      <c r="I199" s="8">
        <v>60.0</v>
      </c>
      <c r="J199" s="22">
        <f>IFERROR(I199*VLOOKUP(D199,'Crafting Tables'!$1:$1000, 4, false)*F199,"")</f>
        <v>0</v>
      </c>
      <c r="K199" s="8" t="b">
        <v>1</v>
      </c>
      <c r="L199" s="32" t="s">
        <v>214</v>
      </c>
      <c r="M199" s="8">
        <v>8.0</v>
      </c>
      <c r="N199" s="21">
        <f t="shared" si="2"/>
        <v>2.410438281</v>
      </c>
      <c r="P199" s="32" t="s">
        <v>376</v>
      </c>
      <c r="Q199" s="8">
        <v>4.0</v>
      </c>
      <c r="R199" s="29" t="b">
        <v>0</v>
      </c>
      <c r="S199" s="22">
        <f t="shared" si="3"/>
        <v>2.2</v>
      </c>
      <c r="T199" s="19">
        <f>IF(ISBLANK(P199), 0, VLOOKUP(P199, 'Price Sheet'!$A$2:$B1015, 2, false))</f>
        <v>8</v>
      </c>
      <c r="U199" s="33">
        <f t="shared" si="4"/>
        <v>17.6</v>
      </c>
      <c r="V199" s="32" t="s">
        <v>377</v>
      </c>
      <c r="W199" s="8">
        <v>2.0</v>
      </c>
      <c r="X199" s="29" t="b">
        <v>0</v>
      </c>
      <c r="Y199" s="22">
        <f t="shared" si="5"/>
        <v>1.1</v>
      </c>
      <c r="Z199" s="19">
        <f>IF(ISBLANK(V199), 0, VLOOKUP(V199, 'Price Sheet'!$A$2:$B1015, 2, false))</f>
        <v>0.5031875</v>
      </c>
      <c r="AA199" s="33">
        <f t="shared" si="6"/>
        <v>0.55350625</v>
      </c>
      <c r="AB199" s="32" t="s">
        <v>83</v>
      </c>
      <c r="AC199" s="8">
        <v>4.0</v>
      </c>
      <c r="AD199" s="29" t="b">
        <v>0</v>
      </c>
      <c r="AE199" s="22">
        <f t="shared" si="7"/>
        <v>2.2</v>
      </c>
      <c r="AF199" s="19">
        <f>IF(ISBLANK(AB199), 0, VLOOKUP(AB199, 'Price Sheet'!$A$2:$B1015, 2, false))</f>
        <v>0.45</v>
      </c>
      <c r="AG199" s="33">
        <f t="shared" si="8"/>
        <v>0.99</v>
      </c>
      <c r="AH199" s="37"/>
      <c r="AI199" s="29"/>
      <c r="AJ199" s="29" t="b">
        <v>0</v>
      </c>
      <c r="AK199" s="22" t="str">
        <f t="shared" si="9"/>
        <v/>
      </c>
      <c r="AL199" s="7">
        <f>IF(ISBLANK(AH199), 0, VLOOKUP(AH199, 'Price Sheet'!$A$2:$B1015, 2, false))</f>
        <v>0</v>
      </c>
      <c r="AM199" s="33" t="str">
        <f t="shared" si="10"/>
        <v/>
      </c>
      <c r="AN199" s="37"/>
      <c r="AO199" s="29"/>
      <c r="AP199" s="29" t="b">
        <v>0</v>
      </c>
      <c r="AQ199" s="22" t="str">
        <f t="shared" si="11"/>
        <v/>
      </c>
      <c r="AR199" s="7">
        <f>IF(ISBLANK(AN199), 0, VLOOKUP(AN199, 'Price Sheet'!$A$2:$B1015, 2, false))</f>
        <v>0</v>
      </c>
      <c r="AS199" s="33" t="str">
        <f t="shared" si="12"/>
        <v/>
      </c>
      <c r="AT199" s="37"/>
      <c r="AU199" s="29"/>
      <c r="AV199" s="29" t="b">
        <v>0</v>
      </c>
      <c r="AW199" s="22" t="str">
        <f t="shared" si="13"/>
        <v/>
      </c>
      <c r="AX199" s="7">
        <f>IF(ISBLANK(AT199), 0, VLOOKUP(AT199, 'Price Sheet'!$A$2:$B1015, 2, false))</f>
        <v>0</v>
      </c>
      <c r="AY199" s="33" t="str">
        <f t="shared" si="14"/>
        <v/>
      </c>
      <c r="AZ199" s="37"/>
      <c r="BA199" s="29"/>
      <c r="BB199" s="29" t="b">
        <v>0</v>
      </c>
      <c r="BC199" s="22" t="str">
        <f t="shared" si="15"/>
        <v/>
      </c>
      <c r="BD199" s="7">
        <f>IF(ISBLANK(AZ199), 0, VLOOKUP(AZ199, 'Price Sheet'!$A$2:$B1015, 2, false))</f>
        <v>0</v>
      </c>
      <c r="BE199" s="33" t="str">
        <f t="shared" si="16"/>
        <v/>
      </c>
      <c r="BF199" s="37"/>
      <c r="BG199" s="29"/>
      <c r="BH199" s="29" t="b">
        <v>0</v>
      </c>
      <c r="BI199" s="22" t="str">
        <f t="shared" si="17"/>
        <v/>
      </c>
      <c r="BJ199" s="7">
        <f>IF(ISBLANK(BF199), 0, VLOOKUP(BF199, 'Price Sheet'!$A$2:$B1015, 2, false))</f>
        <v>0</v>
      </c>
      <c r="BK199" s="33" t="str">
        <f t="shared" si="18"/>
        <v/>
      </c>
      <c r="BL199" s="37"/>
      <c r="BM199" s="29"/>
      <c r="BN199" s="29" t="b">
        <v>0</v>
      </c>
      <c r="BO199" s="22" t="str">
        <f t="shared" si="19"/>
        <v/>
      </c>
      <c r="BP199" s="7">
        <f>IF(ISBLANK(BL199), 0, VLOOKUP(BL199, 'Price Sheet'!$A$2:$B1015, 2, false))</f>
        <v>0</v>
      </c>
      <c r="BQ199" s="33" t="str">
        <f t="shared" si="20"/>
        <v/>
      </c>
    </row>
    <row r="200">
      <c r="A200" s="7" t="s">
        <v>210</v>
      </c>
      <c r="B200" s="19">
        <f t="shared" si="1"/>
        <v>1.9693</v>
      </c>
      <c r="C200" s="8" t="s">
        <v>208</v>
      </c>
      <c r="D200" s="8" t="s">
        <v>367</v>
      </c>
      <c r="E200" s="7" t="str">
        <f>IF(ISBLANK(D200), "", VLOOKUP(D200,'Crafting Tables'!$A$2:$B1015, 2, false))</f>
        <v>Basic</v>
      </c>
      <c r="F200" s="7">
        <f>IFERROR(IF(E200 = "None", 1, VLOOKUP(C200,General!$A$5:$L$35, SWITCH(E200, "Basic", 8, "Advanced", 10, "Modern", 12), false)),"")</f>
        <v>0.55</v>
      </c>
      <c r="G200" s="8">
        <v>40.0</v>
      </c>
      <c r="H200" s="7">
        <f>IFERROR(VLOOKUP(C200, General!$A$5:$L$35, 6, false) * G200 / 1000, 0)</f>
        <v>0.14</v>
      </c>
      <c r="I200" s="8">
        <v>60.0</v>
      </c>
      <c r="J200" s="22">
        <f>IFERROR(I200*VLOOKUP(D200,'Crafting Tables'!$1:$1000, 4, false)*F200,"")</f>
        <v>0</v>
      </c>
      <c r="K200" s="8" t="b">
        <v>1</v>
      </c>
      <c r="L200" s="32" t="s">
        <v>210</v>
      </c>
      <c r="M200" s="8">
        <v>10.0</v>
      </c>
      <c r="N200" s="21">
        <f t="shared" si="2"/>
        <v>0.19693</v>
      </c>
      <c r="P200" s="32" t="s">
        <v>131</v>
      </c>
      <c r="Q200" s="8">
        <v>4.0</v>
      </c>
      <c r="R200" s="29" t="b">
        <v>0</v>
      </c>
      <c r="S200" s="22">
        <f t="shared" si="3"/>
        <v>2.2</v>
      </c>
      <c r="T200" s="19">
        <f>IF(ISBLANK(P200), 0, VLOOKUP(P200, 'Price Sheet'!$A$2:$B1015, 2, false))</f>
        <v>0.0215</v>
      </c>
      <c r="U200" s="33">
        <f t="shared" si="4"/>
        <v>0.0473</v>
      </c>
      <c r="V200" s="32" t="s">
        <v>199</v>
      </c>
      <c r="W200" s="8">
        <v>0.5</v>
      </c>
      <c r="X200" s="29" t="b">
        <v>0</v>
      </c>
      <c r="Y200" s="22">
        <f t="shared" si="5"/>
        <v>0.275</v>
      </c>
      <c r="Z200" s="19">
        <f>IF(ISBLANK(V200), 0, VLOOKUP(V200, 'Price Sheet'!$A$2:$B1015, 2, false))</f>
        <v>4</v>
      </c>
      <c r="AA200" s="33">
        <f t="shared" si="6"/>
        <v>1.1</v>
      </c>
      <c r="AB200" s="32" t="s">
        <v>158</v>
      </c>
      <c r="AC200" s="8">
        <v>2.0</v>
      </c>
      <c r="AD200" s="29" t="b">
        <v>0</v>
      </c>
      <c r="AE200" s="22">
        <f t="shared" si="7"/>
        <v>1.1</v>
      </c>
      <c r="AF200" s="19">
        <f>IF(ISBLANK(AB200), 0, VLOOKUP(AB200, 'Price Sheet'!$A$2:$B1015, 2, false))</f>
        <v>0.62</v>
      </c>
      <c r="AG200" s="33">
        <f t="shared" si="8"/>
        <v>0.682</v>
      </c>
      <c r="AH200" s="37"/>
      <c r="AI200" s="29"/>
      <c r="AJ200" s="29" t="b">
        <v>0</v>
      </c>
      <c r="AK200" s="22" t="str">
        <f t="shared" si="9"/>
        <v/>
      </c>
      <c r="AL200" s="7">
        <f>IF(ISBLANK(AH200), 0, VLOOKUP(AH200, 'Price Sheet'!$A$2:$B1015, 2, false))</f>
        <v>0</v>
      </c>
      <c r="AM200" s="33" t="str">
        <f t="shared" si="10"/>
        <v/>
      </c>
      <c r="AN200" s="37"/>
      <c r="AO200" s="29"/>
      <c r="AP200" s="29" t="b">
        <v>0</v>
      </c>
      <c r="AQ200" s="22" t="str">
        <f t="shared" si="11"/>
        <v/>
      </c>
      <c r="AR200" s="7">
        <f>IF(ISBLANK(AN200), 0, VLOOKUP(AN200, 'Price Sheet'!$A$2:$B1015, 2, false))</f>
        <v>0</v>
      </c>
      <c r="AS200" s="33" t="str">
        <f t="shared" si="12"/>
        <v/>
      </c>
      <c r="AT200" s="37"/>
      <c r="AU200" s="29"/>
      <c r="AV200" s="29" t="b">
        <v>0</v>
      </c>
      <c r="AW200" s="22" t="str">
        <f t="shared" si="13"/>
        <v/>
      </c>
      <c r="AX200" s="7">
        <f>IF(ISBLANK(AT200), 0, VLOOKUP(AT200, 'Price Sheet'!$A$2:$B1015, 2, false))</f>
        <v>0</v>
      </c>
      <c r="AY200" s="33" t="str">
        <f t="shared" si="14"/>
        <v/>
      </c>
      <c r="AZ200" s="37"/>
      <c r="BA200" s="29"/>
      <c r="BB200" s="29" t="b">
        <v>0</v>
      </c>
      <c r="BC200" s="22" t="str">
        <f t="shared" si="15"/>
        <v/>
      </c>
      <c r="BD200" s="7">
        <f>IF(ISBLANK(AZ200), 0, VLOOKUP(AZ200, 'Price Sheet'!$A$2:$B1015, 2, false))</f>
        <v>0</v>
      </c>
      <c r="BE200" s="33" t="str">
        <f t="shared" si="16"/>
        <v/>
      </c>
      <c r="BF200" s="37"/>
      <c r="BG200" s="29"/>
      <c r="BH200" s="29" t="b">
        <v>0</v>
      </c>
      <c r="BI200" s="22" t="str">
        <f t="shared" si="17"/>
        <v/>
      </c>
      <c r="BJ200" s="7">
        <f>IF(ISBLANK(BF200), 0, VLOOKUP(BF200, 'Price Sheet'!$A$2:$B1015, 2, false))</f>
        <v>0</v>
      </c>
      <c r="BK200" s="33" t="str">
        <f t="shared" si="18"/>
        <v/>
      </c>
      <c r="BL200" s="37"/>
      <c r="BM200" s="29"/>
      <c r="BN200" s="29" t="b">
        <v>0</v>
      </c>
      <c r="BO200" s="22" t="str">
        <f t="shared" si="19"/>
        <v/>
      </c>
      <c r="BP200" s="7">
        <f>IF(ISBLANK(BL200), 0, VLOOKUP(BL200, 'Price Sheet'!$A$2:$B1015, 2, false))</f>
        <v>0</v>
      </c>
      <c r="BQ200" s="33" t="str">
        <f t="shared" si="20"/>
        <v/>
      </c>
    </row>
    <row r="201">
      <c r="A201" s="7" t="s">
        <v>226</v>
      </c>
      <c r="B201" s="19">
        <f t="shared" si="1"/>
        <v>2.7387</v>
      </c>
      <c r="C201" s="8" t="s">
        <v>208</v>
      </c>
      <c r="D201" s="8" t="s">
        <v>367</v>
      </c>
      <c r="E201" s="7" t="str">
        <f>IF(ISBLANK(D201), "", VLOOKUP(D201,'Crafting Tables'!$A$2:$B1015, 2, false))</f>
        <v>Basic</v>
      </c>
      <c r="F201" s="7">
        <f>IFERROR(IF(E201 = "None", 1, VLOOKUP(C201,General!$A$5:$L$35, SWITCH(E201, "Basic", 8, "Advanced", 10, "Modern", 12), false)),"")</f>
        <v>0.55</v>
      </c>
      <c r="G201" s="8">
        <v>180.0</v>
      </c>
      <c r="H201" s="7">
        <f>IFERROR(VLOOKUP(C201, General!$A$5:$L$35, 6, false) * G201 / 1000, 0)</f>
        <v>0.63</v>
      </c>
      <c r="I201" s="8">
        <v>60.0</v>
      </c>
      <c r="J201" s="22">
        <f>IFERROR(I201*VLOOKUP(D201,'Crafting Tables'!$1:$1000, 4, false)*F201,"")</f>
        <v>0</v>
      </c>
      <c r="K201" s="8" t="b">
        <v>1</v>
      </c>
      <c r="L201" s="32" t="s">
        <v>226</v>
      </c>
      <c r="M201" s="8">
        <v>2.0</v>
      </c>
      <c r="N201" s="21">
        <f t="shared" si="2"/>
        <v>1.36935</v>
      </c>
      <c r="P201" s="32" t="s">
        <v>120</v>
      </c>
      <c r="Q201" s="8">
        <v>2.0</v>
      </c>
      <c r="R201" s="29" t="b">
        <v>0</v>
      </c>
      <c r="S201" s="22">
        <f t="shared" si="3"/>
        <v>1.1</v>
      </c>
      <c r="T201" s="19">
        <f>IF(ISBLANK(P201), 0, VLOOKUP(P201, 'Price Sheet'!$A$2:$B1015, 2, false))</f>
        <v>0.107</v>
      </c>
      <c r="U201" s="33">
        <f t="shared" si="4"/>
        <v>0.1177</v>
      </c>
      <c r="V201" s="32" t="s">
        <v>255</v>
      </c>
      <c r="W201" s="8">
        <v>1.0</v>
      </c>
      <c r="X201" s="29" t="b">
        <v>0</v>
      </c>
      <c r="Y201" s="22">
        <f t="shared" si="5"/>
        <v>0.55</v>
      </c>
      <c r="Z201" s="19">
        <f>IF(ISBLANK(V201), 0, VLOOKUP(V201, 'Price Sheet'!$A$2:$B1015, 2, false))</f>
        <v>3</v>
      </c>
      <c r="AA201" s="33">
        <f t="shared" si="6"/>
        <v>1.65</v>
      </c>
      <c r="AB201" s="32" t="s">
        <v>158</v>
      </c>
      <c r="AC201" s="8">
        <v>1.0</v>
      </c>
      <c r="AD201" s="29" t="b">
        <v>0</v>
      </c>
      <c r="AE201" s="22">
        <f t="shared" si="7"/>
        <v>0.55</v>
      </c>
      <c r="AF201" s="19">
        <f>IF(ISBLANK(AB201), 0, VLOOKUP(AB201, 'Price Sheet'!$A$2:$B1015, 2, false))</f>
        <v>0.62</v>
      </c>
      <c r="AG201" s="33">
        <f t="shared" si="8"/>
        <v>0.341</v>
      </c>
      <c r="AH201" s="37"/>
      <c r="AI201" s="29"/>
      <c r="AJ201" s="29" t="b">
        <v>0</v>
      </c>
      <c r="AK201" s="22" t="str">
        <f t="shared" si="9"/>
        <v/>
      </c>
      <c r="AL201" s="7">
        <f>IF(ISBLANK(AH201), 0, VLOOKUP(AH201, 'Price Sheet'!$A$2:$B1015, 2, false))</f>
        <v>0</v>
      </c>
      <c r="AM201" s="33" t="str">
        <f t="shared" si="10"/>
        <v/>
      </c>
      <c r="AN201" s="37"/>
      <c r="AO201" s="29"/>
      <c r="AP201" s="29" t="b">
        <v>0</v>
      </c>
      <c r="AQ201" s="22" t="str">
        <f t="shared" si="11"/>
        <v/>
      </c>
      <c r="AR201" s="7">
        <f>IF(ISBLANK(AN201), 0, VLOOKUP(AN201, 'Price Sheet'!$A$2:$B1015, 2, false))</f>
        <v>0</v>
      </c>
      <c r="AS201" s="33" t="str">
        <f t="shared" si="12"/>
        <v/>
      </c>
      <c r="AT201" s="37"/>
      <c r="AU201" s="29"/>
      <c r="AV201" s="29" t="b">
        <v>0</v>
      </c>
      <c r="AW201" s="22" t="str">
        <f t="shared" si="13"/>
        <v/>
      </c>
      <c r="AX201" s="7">
        <f>IF(ISBLANK(AT201), 0, VLOOKUP(AT201, 'Price Sheet'!$A$2:$B1015, 2, false))</f>
        <v>0</v>
      </c>
      <c r="AY201" s="33" t="str">
        <f t="shared" si="14"/>
        <v/>
      </c>
      <c r="AZ201" s="37"/>
      <c r="BA201" s="29"/>
      <c r="BB201" s="29" t="b">
        <v>0</v>
      </c>
      <c r="BC201" s="22" t="str">
        <f t="shared" si="15"/>
        <v/>
      </c>
      <c r="BD201" s="7">
        <f>IF(ISBLANK(AZ201), 0, VLOOKUP(AZ201, 'Price Sheet'!$A$2:$B1015, 2, false))</f>
        <v>0</v>
      </c>
      <c r="BE201" s="33" t="str">
        <f t="shared" si="16"/>
        <v/>
      </c>
      <c r="BF201" s="37"/>
      <c r="BG201" s="29"/>
      <c r="BH201" s="29" t="b">
        <v>0</v>
      </c>
      <c r="BI201" s="22" t="str">
        <f t="shared" si="17"/>
        <v/>
      </c>
      <c r="BJ201" s="7">
        <f>IF(ISBLANK(BF201), 0, VLOOKUP(BF201, 'Price Sheet'!$A$2:$B1015, 2, false))</f>
        <v>0</v>
      </c>
      <c r="BK201" s="33" t="str">
        <f t="shared" si="18"/>
        <v/>
      </c>
      <c r="BL201" s="37"/>
      <c r="BM201" s="29"/>
      <c r="BN201" s="29" t="b">
        <v>0</v>
      </c>
      <c r="BO201" s="22" t="str">
        <f t="shared" si="19"/>
        <v/>
      </c>
      <c r="BP201" s="7">
        <f>IF(ISBLANK(BL201), 0, VLOOKUP(BL201, 'Price Sheet'!$A$2:$B1015, 2, false))</f>
        <v>0</v>
      </c>
      <c r="BQ201" s="33" t="str">
        <f t="shared" si="20"/>
        <v/>
      </c>
    </row>
    <row r="202">
      <c r="A202" s="7" t="s">
        <v>377</v>
      </c>
      <c r="B202" s="19">
        <f t="shared" si="1"/>
        <v>2.01275</v>
      </c>
      <c r="C202" s="8" t="s">
        <v>208</v>
      </c>
      <c r="D202" s="8" t="s">
        <v>367</v>
      </c>
      <c r="E202" s="7" t="str">
        <f>IF(ISBLANK(D202), "", VLOOKUP(D202,'Crafting Tables'!$A$2:$B1015, 2, false))</f>
        <v>Basic</v>
      </c>
      <c r="F202" s="7">
        <f>IFERROR(IF(E202 = "None", 1, VLOOKUP(C202,General!$A$5:$L$35, SWITCH(E202, "Basic", 8, "Advanced", 10, "Modern", 12), false)),"")</f>
        <v>0.55</v>
      </c>
      <c r="G202" s="8">
        <v>40.0</v>
      </c>
      <c r="H202" s="7">
        <f>IFERROR(VLOOKUP(C202, General!$A$5:$L$35, 6, false) * G202 / 1000, 0)</f>
        <v>0.14</v>
      </c>
      <c r="I202" s="8">
        <v>49.0</v>
      </c>
      <c r="J202" s="22">
        <f>IFERROR(I202*VLOOKUP(D202,'Crafting Tables'!$1:$1000, 4, false)*F202,"")</f>
        <v>0</v>
      </c>
      <c r="K202" s="8" t="b">
        <v>1</v>
      </c>
      <c r="L202" s="32" t="s">
        <v>377</v>
      </c>
      <c r="M202" s="8">
        <v>4.0</v>
      </c>
      <c r="N202" s="21">
        <f t="shared" si="2"/>
        <v>0.5031875</v>
      </c>
      <c r="P202" s="32" t="s">
        <v>104</v>
      </c>
      <c r="Q202" s="8">
        <v>4.0</v>
      </c>
      <c r="R202" s="29" t="b">
        <v>0</v>
      </c>
      <c r="S202" s="22">
        <f t="shared" si="3"/>
        <v>2.2</v>
      </c>
      <c r="T202" s="19">
        <f>IF(ISBLANK(P202), 0, VLOOKUP(P202, 'Price Sheet'!$A$2:$B1015, 2, false))</f>
        <v>0.25</v>
      </c>
      <c r="U202" s="33">
        <f t="shared" si="4"/>
        <v>0.55</v>
      </c>
      <c r="V202" s="32" t="s">
        <v>150</v>
      </c>
      <c r="W202" s="8">
        <v>2.0</v>
      </c>
      <c r="X202" s="29" t="b">
        <v>0</v>
      </c>
      <c r="Y202" s="22">
        <f t="shared" si="5"/>
        <v>1.1</v>
      </c>
      <c r="Z202" s="19">
        <f>IF(ISBLANK(V202), 0, VLOOKUP(V202, 'Price Sheet'!$A$2:$B1015, 2, false))</f>
        <v>1.2025</v>
      </c>
      <c r="AA202" s="33">
        <f t="shared" si="6"/>
        <v>1.32275</v>
      </c>
      <c r="AB202" s="37"/>
      <c r="AC202" s="29"/>
      <c r="AD202" s="29" t="b">
        <v>0</v>
      </c>
      <c r="AE202" s="22" t="str">
        <f t="shared" si="7"/>
        <v/>
      </c>
      <c r="AF202" s="7">
        <f>IF(ISBLANK(AB202), 0, VLOOKUP(AB202, 'Price Sheet'!$A$2:$B1015, 2, false))</f>
        <v>0</v>
      </c>
      <c r="AG202" s="33" t="str">
        <f t="shared" si="8"/>
        <v/>
      </c>
      <c r="AH202" s="37"/>
      <c r="AI202" s="29"/>
      <c r="AJ202" s="29" t="b">
        <v>0</v>
      </c>
      <c r="AK202" s="22" t="str">
        <f t="shared" si="9"/>
        <v/>
      </c>
      <c r="AL202" s="7">
        <f>IF(ISBLANK(AH202), 0, VLOOKUP(AH202, 'Price Sheet'!$A$2:$B1015, 2, false))</f>
        <v>0</v>
      </c>
      <c r="AM202" s="33" t="str">
        <f t="shared" si="10"/>
        <v/>
      </c>
      <c r="AN202" s="37"/>
      <c r="AO202" s="29"/>
      <c r="AP202" s="29" t="b">
        <v>0</v>
      </c>
      <c r="AQ202" s="22" t="str">
        <f t="shared" si="11"/>
        <v/>
      </c>
      <c r="AR202" s="7">
        <f>IF(ISBLANK(AN202), 0, VLOOKUP(AN202, 'Price Sheet'!$A$2:$B1015, 2, false))</f>
        <v>0</v>
      </c>
      <c r="AS202" s="33" t="str">
        <f t="shared" si="12"/>
        <v/>
      </c>
      <c r="AT202" s="37"/>
      <c r="AU202" s="29"/>
      <c r="AV202" s="29" t="b">
        <v>0</v>
      </c>
      <c r="AW202" s="22" t="str">
        <f t="shared" si="13"/>
        <v/>
      </c>
      <c r="AX202" s="7">
        <f>IF(ISBLANK(AT202), 0, VLOOKUP(AT202, 'Price Sheet'!$A$2:$B1015, 2, false))</f>
        <v>0</v>
      </c>
      <c r="AY202" s="33" t="str">
        <f t="shared" si="14"/>
        <v/>
      </c>
      <c r="AZ202" s="37"/>
      <c r="BA202" s="29"/>
      <c r="BB202" s="29" t="b">
        <v>0</v>
      </c>
      <c r="BC202" s="22" t="str">
        <f t="shared" si="15"/>
        <v/>
      </c>
      <c r="BD202" s="7">
        <f>IF(ISBLANK(AZ202), 0, VLOOKUP(AZ202, 'Price Sheet'!$A$2:$B1015, 2, false))</f>
        <v>0</v>
      </c>
      <c r="BE202" s="33" t="str">
        <f t="shared" si="16"/>
        <v/>
      </c>
      <c r="BF202" s="37"/>
      <c r="BG202" s="29"/>
      <c r="BH202" s="29" t="b">
        <v>0</v>
      </c>
      <c r="BI202" s="22" t="str">
        <f t="shared" si="17"/>
        <v/>
      </c>
      <c r="BJ202" s="7">
        <f>IF(ISBLANK(BF202), 0, VLOOKUP(BF202, 'Price Sheet'!$A$2:$B1015, 2, false))</f>
        <v>0</v>
      </c>
      <c r="BK202" s="33" t="str">
        <f t="shared" si="18"/>
        <v/>
      </c>
      <c r="BL202" s="37"/>
      <c r="BM202" s="29"/>
      <c r="BN202" s="29" t="b">
        <v>0</v>
      </c>
      <c r="BO202" s="22" t="str">
        <f t="shared" si="19"/>
        <v/>
      </c>
      <c r="BP202" s="7">
        <f>IF(ISBLANK(BL202), 0, VLOOKUP(BL202, 'Price Sheet'!$A$2:$B1015, 2, false))</f>
        <v>0</v>
      </c>
      <c r="BQ202" s="33" t="str">
        <f t="shared" si="20"/>
        <v/>
      </c>
    </row>
    <row r="203">
      <c r="A203" s="7" t="s">
        <v>232</v>
      </c>
      <c r="B203" s="19">
        <f t="shared" si="1"/>
        <v>37.126285</v>
      </c>
      <c r="C203" s="8" t="s">
        <v>208</v>
      </c>
      <c r="D203" s="8" t="s">
        <v>367</v>
      </c>
      <c r="E203" s="7" t="str">
        <f>IF(ISBLANK(D203), "", VLOOKUP(D203,'Crafting Tables'!$A$2:$B1015, 2, false))</f>
        <v>Basic</v>
      </c>
      <c r="F203" s="7">
        <f>IFERROR(IF(E203 = "None", 1, VLOOKUP(C203,General!$A$5:$L$35, SWITCH(E203, "Basic", 8, "Advanced", 10, "Modern", 12), false)),"")</f>
        <v>0.55</v>
      </c>
      <c r="G203" s="8">
        <v>120.0</v>
      </c>
      <c r="H203" s="7">
        <f>IFERROR(VLOOKUP(C203, General!$A$5:$L$35, 6, false) * G203 / 1000, 0)</f>
        <v>0.42</v>
      </c>
      <c r="I203" s="8">
        <v>120.0</v>
      </c>
      <c r="J203" s="22">
        <f>IFERROR(I203*VLOOKUP(D203,'Crafting Tables'!$1:$1000, 4, false)*F203,"")</f>
        <v>0</v>
      </c>
      <c r="K203" s="8" t="b">
        <v>1</v>
      </c>
      <c r="L203" s="32" t="s">
        <v>232</v>
      </c>
      <c r="M203" s="8">
        <v>1.0</v>
      </c>
      <c r="N203" s="21">
        <f t="shared" si="2"/>
        <v>37.126285</v>
      </c>
      <c r="P203" s="32" t="s">
        <v>286</v>
      </c>
      <c r="Q203" s="8">
        <v>25.0</v>
      </c>
      <c r="R203" s="29" t="b">
        <v>0</v>
      </c>
      <c r="S203" s="22">
        <f t="shared" si="3"/>
        <v>13.75</v>
      </c>
      <c r="T203" s="19">
        <f>IF(ISBLANK(P203), 0, VLOOKUP(P203, 'Price Sheet'!$A$2:$B1015, 2, false))</f>
        <v>2.4</v>
      </c>
      <c r="U203" s="33">
        <f t="shared" si="4"/>
        <v>33</v>
      </c>
      <c r="V203" s="32" t="s">
        <v>226</v>
      </c>
      <c r="W203" s="8">
        <v>2.0</v>
      </c>
      <c r="X203" s="29" t="b">
        <v>0</v>
      </c>
      <c r="Y203" s="22">
        <f t="shared" si="5"/>
        <v>1.1</v>
      </c>
      <c r="Z203" s="19">
        <f>IF(ISBLANK(V203), 0, VLOOKUP(V203, 'Price Sheet'!$A$2:$B1015, 2, false))</f>
        <v>1.36935</v>
      </c>
      <c r="AA203" s="33">
        <f t="shared" si="6"/>
        <v>1.506285</v>
      </c>
      <c r="AB203" s="32" t="s">
        <v>325</v>
      </c>
      <c r="AC203" s="8">
        <v>2.0</v>
      </c>
      <c r="AD203" s="29" t="b">
        <v>0</v>
      </c>
      <c r="AE203" s="22">
        <f t="shared" si="7"/>
        <v>1.1</v>
      </c>
      <c r="AF203" s="19">
        <f>IF(ISBLANK(AB203), 0, VLOOKUP(AB203, 'Price Sheet'!$A$2:$B1015, 2, false))</f>
        <v>2</v>
      </c>
      <c r="AG203" s="33">
        <f t="shared" si="8"/>
        <v>2.2</v>
      </c>
      <c r="AH203" s="37"/>
      <c r="AI203" s="29"/>
      <c r="AJ203" s="29" t="b">
        <v>0</v>
      </c>
      <c r="AK203" s="22" t="str">
        <f t="shared" si="9"/>
        <v/>
      </c>
      <c r="AL203" s="7">
        <f>IF(ISBLANK(AH203), 0, VLOOKUP(AH203, 'Price Sheet'!$A$2:$B1015, 2, false))</f>
        <v>0</v>
      </c>
      <c r="AM203" s="33" t="str">
        <f t="shared" si="10"/>
        <v/>
      </c>
      <c r="AN203" s="37"/>
      <c r="AO203" s="29"/>
      <c r="AP203" s="29" t="b">
        <v>0</v>
      </c>
      <c r="AQ203" s="22" t="str">
        <f t="shared" si="11"/>
        <v/>
      </c>
      <c r="AR203" s="7">
        <f>IF(ISBLANK(AN203), 0, VLOOKUP(AN203, 'Price Sheet'!$A$2:$B1015, 2, false))</f>
        <v>0</v>
      </c>
      <c r="AS203" s="33" t="str">
        <f t="shared" si="12"/>
        <v/>
      </c>
      <c r="AT203" s="37"/>
      <c r="AU203" s="29"/>
      <c r="AV203" s="29" t="b">
        <v>0</v>
      </c>
      <c r="AW203" s="22" t="str">
        <f t="shared" si="13"/>
        <v/>
      </c>
      <c r="AX203" s="7">
        <f>IF(ISBLANK(AT203), 0, VLOOKUP(AT203, 'Price Sheet'!$A$2:$B1015, 2, false))</f>
        <v>0</v>
      </c>
      <c r="AY203" s="33" t="str">
        <f t="shared" si="14"/>
        <v/>
      </c>
      <c r="AZ203" s="37"/>
      <c r="BA203" s="29"/>
      <c r="BB203" s="29" t="b">
        <v>0</v>
      </c>
      <c r="BC203" s="22" t="str">
        <f t="shared" si="15"/>
        <v/>
      </c>
      <c r="BD203" s="7">
        <f>IF(ISBLANK(AZ203), 0, VLOOKUP(AZ203, 'Price Sheet'!$A$2:$B1015, 2, false))</f>
        <v>0</v>
      </c>
      <c r="BE203" s="33" t="str">
        <f t="shared" si="16"/>
        <v/>
      </c>
      <c r="BF203" s="37"/>
      <c r="BG203" s="29"/>
      <c r="BH203" s="29" t="b">
        <v>0</v>
      </c>
      <c r="BI203" s="22" t="str">
        <f t="shared" si="17"/>
        <v/>
      </c>
      <c r="BJ203" s="7">
        <f>IF(ISBLANK(BF203), 0, VLOOKUP(BF203, 'Price Sheet'!$A$2:$B1015, 2, false))</f>
        <v>0</v>
      </c>
      <c r="BK203" s="33" t="str">
        <f t="shared" si="18"/>
        <v/>
      </c>
      <c r="BL203" s="37"/>
      <c r="BM203" s="29"/>
      <c r="BN203" s="29" t="b">
        <v>0</v>
      </c>
      <c r="BO203" s="22" t="str">
        <f t="shared" si="19"/>
        <v/>
      </c>
      <c r="BP203" s="7">
        <f>IF(ISBLANK(BL203), 0, VLOOKUP(BL203, 'Price Sheet'!$A$2:$B1015, 2, false))</f>
        <v>0</v>
      </c>
      <c r="BQ203" s="33" t="str">
        <f t="shared" si="20"/>
        <v/>
      </c>
    </row>
    <row r="204">
      <c r="B204" s="19">
        <f t="shared" si="1"/>
        <v>0</v>
      </c>
      <c r="C204" s="29"/>
      <c r="D204" s="29"/>
      <c r="E204" s="7" t="str">
        <f>IF(ISBLANK(D204), "", VLOOKUP(D204,'Crafting Tables'!$A$2:$B1015, 2, false))</f>
        <v/>
      </c>
      <c r="F204" s="7" t="str">
        <f>IFERROR(IF(E204 = "None", 1, VLOOKUP(C204,General!$A$5:$L$35, SWITCH(E204, "Basic", 8, "Advanced", 10, "Modern", 12), false)),"")</f>
        <v/>
      </c>
      <c r="G204" s="29"/>
      <c r="H204" s="7">
        <f>IFERROR(VLOOKUP(C204, General!$A$5:$L$35, 6, false) * G204 / 1000, 0)</f>
        <v>0</v>
      </c>
      <c r="I204" s="29"/>
      <c r="J204" s="22" t="str">
        <f>IFERROR(I204*VLOOKUP(D204,'Crafting Tables'!$1:$1000, 4, false)*F204,"")</f>
        <v/>
      </c>
      <c r="K204" s="29" t="b">
        <v>0</v>
      </c>
      <c r="L204" s="37"/>
      <c r="M204" s="29"/>
      <c r="N204" s="21" t="str">
        <f t="shared" si="2"/>
        <v/>
      </c>
      <c r="P204" s="37"/>
      <c r="Q204" s="29"/>
      <c r="R204" s="29" t="b">
        <v>0</v>
      </c>
      <c r="S204" s="22" t="str">
        <f t="shared" si="3"/>
        <v/>
      </c>
      <c r="T204" s="7">
        <f>IF(ISBLANK(P204), 0, VLOOKUP(P204, 'Price Sheet'!$A$2:$B1015, 2, false))</f>
        <v>0</v>
      </c>
      <c r="U204" s="33" t="str">
        <f t="shared" si="4"/>
        <v/>
      </c>
      <c r="V204" s="37"/>
      <c r="W204" s="29"/>
      <c r="X204" s="29" t="b">
        <v>0</v>
      </c>
      <c r="Y204" s="22" t="str">
        <f t="shared" si="5"/>
        <v/>
      </c>
      <c r="Z204" s="7">
        <f>IF(ISBLANK(V204), 0, VLOOKUP(V204, 'Price Sheet'!$A$2:$B1015, 2, false))</f>
        <v>0</v>
      </c>
      <c r="AA204" s="33" t="str">
        <f t="shared" si="6"/>
        <v/>
      </c>
      <c r="AB204" s="37"/>
      <c r="AC204" s="29"/>
      <c r="AD204" s="29" t="b">
        <v>0</v>
      </c>
      <c r="AE204" s="22" t="str">
        <f t="shared" si="7"/>
        <v/>
      </c>
      <c r="AF204" s="7">
        <f>IF(ISBLANK(AB204), 0, VLOOKUP(AB204, 'Price Sheet'!$A$2:$B1015, 2, false))</f>
        <v>0</v>
      </c>
      <c r="AG204" s="33" t="str">
        <f t="shared" si="8"/>
        <v/>
      </c>
      <c r="AH204" s="37"/>
      <c r="AI204" s="29"/>
      <c r="AJ204" s="29" t="b">
        <v>0</v>
      </c>
      <c r="AK204" s="22" t="str">
        <f t="shared" si="9"/>
        <v/>
      </c>
      <c r="AL204" s="7">
        <f>IF(ISBLANK(AH204), 0, VLOOKUP(AH204, 'Price Sheet'!$A$2:$B1015, 2, false))</f>
        <v>0</v>
      </c>
      <c r="AM204" s="33" t="str">
        <f t="shared" si="10"/>
        <v/>
      </c>
      <c r="AN204" s="37"/>
      <c r="AO204" s="29"/>
      <c r="AP204" s="29" t="b">
        <v>0</v>
      </c>
      <c r="AQ204" s="22" t="str">
        <f t="shared" si="11"/>
        <v/>
      </c>
      <c r="AR204" s="7">
        <f>IF(ISBLANK(AN204), 0, VLOOKUP(AN204, 'Price Sheet'!$A$2:$B1015, 2, false))</f>
        <v>0</v>
      </c>
      <c r="AS204" s="33" t="str">
        <f t="shared" si="12"/>
        <v/>
      </c>
      <c r="AT204" s="37"/>
      <c r="AU204" s="29"/>
      <c r="AV204" s="29" t="b">
        <v>0</v>
      </c>
      <c r="AW204" s="22" t="str">
        <f t="shared" si="13"/>
        <v/>
      </c>
      <c r="AX204" s="7">
        <f>IF(ISBLANK(AT204), 0, VLOOKUP(AT204, 'Price Sheet'!$A$2:$B1015, 2, false))</f>
        <v>0</v>
      </c>
      <c r="AY204" s="33" t="str">
        <f t="shared" si="14"/>
        <v/>
      </c>
      <c r="AZ204" s="37"/>
      <c r="BA204" s="29"/>
      <c r="BB204" s="29" t="b">
        <v>0</v>
      </c>
      <c r="BC204" s="22" t="str">
        <f t="shared" si="15"/>
        <v/>
      </c>
      <c r="BD204" s="7">
        <f>IF(ISBLANK(AZ204), 0, VLOOKUP(AZ204, 'Price Sheet'!$A$2:$B1015, 2, false))</f>
        <v>0</v>
      </c>
      <c r="BE204" s="33" t="str">
        <f t="shared" si="16"/>
        <v/>
      </c>
      <c r="BF204" s="37"/>
      <c r="BG204" s="29"/>
      <c r="BH204" s="29" t="b">
        <v>0</v>
      </c>
      <c r="BI204" s="22" t="str">
        <f t="shared" si="17"/>
        <v/>
      </c>
      <c r="BJ204" s="7">
        <f>IF(ISBLANK(BF204), 0, VLOOKUP(BF204, 'Price Sheet'!$A$2:$B1015, 2, false))</f>
        <v>0</v>
      </c>
      <c r="BK204" s="33" t="str">
        <f t="shared" si="18"/>
        <v/>
      </c>
      <c r="BL204" s="37"/>
      <c r="BM204" s="29"/>
      <c r="BN204" s="29" t="b">
        <v>0</v>
      </c>
      <c r="BO204" s="22" t="str">
        <f t="shared" si="19"/>
        <v/>
      </c>
      <c r="BP204" s="7">
        <f>IF(ISBLANK(BL204), 0, VLOOKUP(BL204, 'Price Sheet'!$A$2:$B1015, 2, false))</f>
        <v>0</v>
      </c>
      <c r="BQ204" s="33" t="str">
        <f t="shared" si="20"/>
        <v/>
      </c>
    </row>
    <row r="205">
      <c r="B205" s="19">
        <f t="shared" si="1"/>
        <v>0</v>
      </c>
      <c r="C205" s="29"/>
      <c r="D205" s="29"/>
      <c r="E205" s="7" t="str">
        <f>IF(ISBLANK(D205), "", VLOOKUP(D205,'Crafting Tables'!$A$2:$B1015, 2, false))</f>
        <v/>
      </c>
      <c r="F205" s="7" t="str">
        <f>IFERROR(IF(E205 = "None", 1, VLOOKUP(C205,General!$A$5:$L$35, SWITCH(E205, "Basic", 8, "Advanced", 10, "Modern", 12), false)),"")</f>
        <v/>
      </c>
      <c r="G205" s="29"/>
      <c r="H205" s="7">
        <f>IFERROR(VLOOKUP(C205, General!$A$5:$L$35, 6, false) * G205 / 1000, 0)</f>
        <v>0</v>
      </c>
      <c r="I205" s="29"/>
      <c r="J205" s="22" t="str">
        <f>IFERROR(I205*VLOOKUP(D205,'Crafting Tables'!$1:$1000, 4, false)*F205,"")</f>
        <v/>
      </c>
      <c r="K205" s="29" t="b">
        <v>0</v>
      </c>
      <c r="L205" s="37"/>
      <c r="M205" s="29"/>
      <c r="N205" s="21" t="str">
        <f t="shared" si="2"/>
        <v/>
      </c>
      <c r="P205" s="37"/>
      <c r="Q205" s="29"/>
      <c r="R205" s="29" t="b">
        <v>0</v>
      </c>
      <c r="S205" s="22" t="str">
        <f t="shared" si="3"/>
        <v/>
      </c>
      <c r="T205" s="7">
        <f>IF(ISBLANK(P205), 0, VLOOKUP(P205, 'Price Sheet'!$A$2:$B1015, 2, false))</f>
        <v>0</v>
      </c>
      <c r="U205" s="33" t="str">
        <f t="shared" si="4"/>
        <v/>
      </c>
      <c r="V205" s="37"/>
      <c r="W205" s="29"/>
      <c r="X205" s="29" t="b">
        <v>0</v>
      </c>
      <c r="Y205" s="22" t="str">
        <f t="shared" si="5"/>
        <v/>
      </c>
      <c r="Z205" s="7">
        <f>IF(ISBLANK(V205), 0, VLOOKUP(V205, 'Price Sheet'!$A$2:$B1015, 2, false))</f>
        <v>0</v>
      </c>
      <c r="AA205" s="33" t="str">
        <f t="shared" si="6"/>
        <v/>
      </c>
      <c r="AB205" s="37"/>
      <c r="AC205" s="29"/>
      <c r="AD205" s="29" t="b">
        <v>0</v>
      </c>
      <c r="AE205" s="22" t="str">
        <f t="shared" si="7"/>
        <v/>
      </c>
      <c r="AF205" s="7">
        <f>IF(ISBLANK(AB205), 0, VLOOKUP(AB205, 'Price Sheet'!$A$2:$B1015, 2, false))</f>
        <v>0</v>
      </c>
      <c r="AG205" s="33" t="str">
        <f t="shared" si="8"/>
        <v/>
      </c>
      <c r="AH205" s="37"/>
      <c r="AI205" s="29"/>
      <c r="AJ205" s="29" t="b">
        <v>0</v>
      </c>
      <c r="AK205" s="22" t="str">
        <f t="shared" si="9"/>
        <v/>
      </c>
      <c r="AL205" s="7">
        <f>IF(ISBLANK(AH205), 0, VLOOKUP(AH205, 'Price Sheet'!$A$2:$B1015, 2, false))</f>
        <v>0</v>
      </c>
      <c r="AM205" s="33" t="str">
        <f t="shared" si="10"/>
        <v/>
      </c>
      <c r="AN205" s="37"/>
      <c r="AO205" s="29"/>
      <c r="AP205" s="29" t="b">
        <v>0</v>
      </c>
      <c r="AQ205" s="22" t="str">
        <f t="shared" si="11"/>
        <v/>
      </c>
      <c r="AR205" s="7">
        <f>IF(ISBLANK(AN205), 0, VLOOKUP(AN205, 'Price Sheet'!$A$2:$B1015, 2, false))</f>
        <v>0</v>
      </c>
      <c r="AS205" s="33" t="str">
        <f t="shared" si="12"/>
        <v/>
      </c>
      <c r="AT205" s="37"/>
      <c r="AU205" s="29"/>
      <c r="AV205" s="29" t="b">
        <v>0</v>
      </c>
      <c r="AW205" s="22" t="str">
        <f t="shared" si="13"/>
        <v/>
      </c>
      <c r="AX205" s="7">
        <f>IF(ISBLANK(AT205), 0, VLOOKUP(AT205, 'Price Sheet'!$A$2:$B1015, 2, false))</f>
        <v>0</v>
      </c>
      <c r="AY205" s="33" t="str">
        <f t="shared" si="14"/>
        <v/>
      </c>
      <c r="AZ205" s="37"/>
      <c r="BA205" s="29"/>
      <c r="BB205" s="29" t="b">
        <v>0</v>
      </c>
      <c r="BC205" s="22" t="str">
        <f t="shared" si="15"/>
        <v/>
      </c>
      <c r="BD205" s="7">
        <f>IF(ISBLANK(AZ205), 0, VLOOKUP(AZ205, 'Price Sheet'!$A$2:$B1015, 2, false))</f>
        <v>0</v>
      </c>
      <c r="BE205" s="33" t="str">
        <f t="shared" si="16"/>
        <v/>
      </c>
      <c r="BF205" s="37"/>
      <c r="BG205" s="29"/>
      <c r="BH205" s="29" t="b">
        <v>0</v>
      </c>
      <c r="BI205" s="22" t="str">
        <f t="shared" si="17"/>
        <v/>
      </c>
      <c r="BJ205" s="7">
        <f>IF(ISBLANK(BF205), 0, VLOOKUP(BF205, 'Price Sheet'!$A$2:$B1015, 2, false))</f>
        <v>0</v>
      </c>
      <c r="BK205" s="33" t="str">
        <f t="shared" si="18"/>
        <v/>
      </c>
      <c r="BL205" s="37"/>
      <c r="BM205" s="29"/>
      <c r="BN205" s="29" t="b">
        <v>0</v>
      </c>
      <c r="BO205" s="22" t="str">
        <f t="shared" si="19"/>
        <v/>
      </c>
      <c r="BP205" s="7">
        <f>IF(ISBLANK(BL205), 0, VLOOKUP(BL205, 'Price Sheet'!$A$2:$B1015, 2, false))</f>
        <v>0</v>
      </c>
      <c r="BQ205" s="33" t="str">
        <f t="shared" si="20"/>
        <v/>
      </c>
    </row>
    <row r="206">
      <c r="B206" s="19">
        <f t="shared" si="1"/>
        <v>0</v>
      </c>
      <c r="C206" s="29"/>
      <c r="D206" s="29"/>
      <c r="E206" s="7" t="str">
        <f>IF(ISBLANK(D206), "", VLOOKUP(D206,'Crafting Tables'!$A$2:$B1015, 2, false))</f>
        <v/>
      </c>
      <c r="F206" s="7" t="str">
        <f>IFERROR(IF(E206 = "None", 1, VLOOKUP(C206,General!$A$5:$L$35, SWITCH(E206, "Basic", 8, "Advanced", 10, "Modern", 12), false)),"")</f>
        <v/>
      </c>
      <c r="G206" s="29"/>
      <c r="H206" s="7">
        <f>IFERROR(VLOOKUP(C206, General!$A$5:$L$35, 6, false) * G206 / 1000, 0)</f>
        <v>0</v>
      </c>
      <c r="I206" s="29"/>
      <c r="J206" s="22" t="str">
        <f>IFERROR(I206*VLOOKUP(D206,'Crafting Tables'!$1:$1000, 4, false)*F206,"")</f>
        <v/>
      </c>
      <c r="K206" s="29" t="b">
        <v>0</v>
      </c>
      <c r="L206" s="37"/>
      <c r="M206" s="29"/>
      <c r="N206" s="21" t="str">
        <f t="shared" si="2"/>
        <v/>
      </c>
      <c r="P206" s="37"/>
      <c r="Q206" s="29"/>
      <c r="R206" s="29" t="b">
        <v>0</v>
      </c>
      <c r="S206" s="22" t="str">
        <f t="shared" si="3"/>
        <v/>
      </c>
      <c r="T206" s="7">
        <f>IF(ISBLANK(P206), 0, VLOOKUP(P206, 'Price Sheet'!$A$2:$B1015, 2, false))</f>
        <v>0</v>
      </c>
      <c r="U206" s="33" t="str">
        <f t="shared" si="4"/>
        <v/>
      </c>
      <c r="V206" s="37"/>
      <c r="W206" s="29"/>
      <c r="X206" s="29" t="b">
        <v>0</v>
      </c>
      <c r="Y206" s="22" t="str">
        <f t="shared" si="5"/>
        <v/>
      </c>
      <c r="Z206" s="7">
        <f>IF(ISBLANK(V206), 0, VLOOKUP(V206, 'Price Sheet'!$A$2:$B1015, 2, false))</f>
        <v>0</v>
      </c>
      <c r="AA206" s="33" t="str">
        <f t="shared" si="6"/>
        <v/>
      </c>
      <c r="AB206" s="37"/>
      <c r="AC206" s="29"/>
      <c r="AD206" s="29" t="b">
        <v>0</v>
      </c>
      <c r="AE206" s="22" t="str">
        <f t="shared" si="7"/>
        <v/>
      </c>
      <c r="AF206" s="7">
        <f>IF(ISBLANK(AB206), 0, VLOOKUP(AB206, 'Price Sheet'!$A$2:$B1015, 2, false))</f>
        <v>0</v>
      </c>
      <c r="AG206" s="33" t="str">
        <f t="shared" si="8"/>
        <v/>
      </c>
      <c r="AH206" s="37"/>
      <c r="AI206" s="29"/>
      <c r="AJ206" s="29" t="b">
        <v>0</v>
      </c>
      <c r="AK206" s="22" t="str">
        <f t="shared" si="9"/>
        <v/>
      </c>
      <c r="AL206" s="7">
        <f>IF(ISBLANK(AH206), 0, VLOOKUP(AH206, 'Price Sheet'!$A$2:$B1015, 2, false))</f>
        <v>0</v>
      </c>
      <c r="AM206" s="33" t="str">
        <f t="shared" si="10"/>
        <v/>
      </c>
      <c r="AN206" s="37"/>
      <c r="AO206" s="29"/>
      <c r="AP206" s="29" t="b">
        <v>0</v>
      </c>
      <c r="AQ206" s="22" t="str">
        <f t="shared" si="11"/>
        <v/>
      </c>
      <c r="AR206" s="7">
        <f>IF(ISBLANK(AN206), 0, VLOOKUP(AN206, 'Price Sheet'!$A$2:$B1015, 2, false))</f>
        <v>0</v>
      </c>
      <c r="AS206" s="33" t="str">
        <f t="shared" si="12"/>
        <v/>
      </c>
      <c r="AT206" s="37"/>
      <c r="AU206" s="29"/>
      <c r="AV206" s="29" t="b">
        <v>0</v>
      </c>
      <c r="AW206" s="22" t="str">
        <f t="shared" si="13"/>
        <v/>
      </c>
      <c r="AX206" s="7">
        <f>IF(ISBLANK(AT206), 0, VLOOKUP(AT206, 'Price Sheet'!$A$2:$B1015, 2, false))</f>
        <v>0</v>
      </c>
      <c r="AY206" s="33" t="str">
        <f t="shared" si="14"/>
        <v/>
      </c>
      <c r="AZ206" s="37"/>
      <c r="BA206" s="29"/>
      <c r="BB206" s="29" t="b">
        <v>0</v>
      </c>
      <c r="BC206" s="22" t="str">
        <f t="shared" si="15"/>
        <v/>
      </c>
      <c r="BD206" s="7">
        <f>IF(ISBLANK(AZ206), 0, VLOOKUP(AZ206, 'Price Sheet'!$A$2:$B1015, 2, false))</f>
        <v>0</v>
      </c>
      <c r="BE206" s="33" t="str">
        <f t="shared" si="16"/>
        <v/>
      </c>
      <c r="BF206" s="37"/>
      <c r="BG206" s="29"/>
      <c r="BH206" s="29" t="b">
        <v>0</v>
      </c>
      <c r="BI206" s="22" t="str">
        <f t="shared" si="17"/>
        <v/>
      </c>
      <c r="BJ206" s="7">
        <f>IF(ISBLANK(BF206), 0, VLOOKUP(BF206, 'Price Sheet'!$A$2:$B1015, 2, false))</f>
        <v>0</v>
      </c>
      <c r="BK206" s="33" t="str">
        <f t="shared" si="18"/>
        <v/>
      </c>
      <c r="BL206" s="37"/>
      <c r="BM206" s="29"/>
      <c r="BN206" s="29" t="b">
        <v>0</v>
      </c>
      <c r="BO206" s="22" t="str">
        <f t="shared" si="19"/>
        <v/>
      </c>
      <c r="BP206" s="7">
        <f>IF(ISBLANK(BL206), 0, VLOOKUP(BL206, 'Price Sheet'!$A$2:$B1015, 2, false))</f>
        <v>0</v>
      </c>
      <c r="BQ206" s="33" t="str">
        <f t="shared" si="20"/>
        <v/>
      </c>
    </row>
    <row r="207">
      <c r="B207" s="19">
        <f t="shared" si="1"/>
        <v>0</v>
      </c>
      <c r="C207" s="29"/>
      <c r="D207" s="29"/>
      <c r="E207" s="7" t="str">
        <f>IF(ISBLANK(D207), "", VLOOKUP(D207,'Crafting Tables'!$A$2:$B1015, 2, false))</f>
        <v/>
      </c>
      <c r="F207" s="7" t="str">
        <f>IFERROR(IF(E207 = "None", 1, VLOOKUP(C207,General!$A$5:$L$35, SWITCH(E207, "Basic", 8, "Advanced", 10, "Modern", 12), false)),"")</f>
        <v/>
      </c>
      <c r="G207" s="29"/>
      <c r="H207" s="7">
        <f>IFERROR(VLOOKUP(C207, General!$A$5:$L$35, 6, false) * G207 / 1000, 0)</f>
        <v>0</v>
      </c>
      <c r="I207" s="29"/>
      <c r="J207" s="22" t="str">
        <f>IFERROR(I207*VLOOKUP(D207,'Crafting Tables'!$1:$1000, 4, false)*F207,"")</f>
        <v/>
      </c>
      <c r="K207" s="29" t="b">
        <v>0</v>
      </c>
      <c r="L207" s="37"/>
      <c r="M207" s="29"/>
      <c r="N207" s="21" t="str">
        <f t="shared" si="2"/>
        <v/>
      </c>
      <c r="P207" s="37"/>
      <c r="Q207" s="29"/>
      <c r="R207" s="29" t="b">
        <v>0</v>
      </c>
      <c r="S207" s="22" t="str">
        <f t="shared" si="3"/>
        <v/>
      </c>
      <c r="T207" s="7">
        <f>IF(ISBLANK(P207), 0, VLOOKUP(P207, 'Price Sheet'!$A$2:$B1015, 2, false))</f>
        <v>0</v>
      </c>
      <c r="U207" s="33" t="str">
        <f t="shared" si="4"/>
        <v/>
      </c>
      <c r="V207" s="37"/>
      <c r="W207" s="29"/>
      <c r="X207" s="29" t="b">
        <v>0</v>
      </c>
      <c r="Y207" s="22" t="str">
        <f t="shared" si="5"/>
        <v/>
      </c>
      <c r="Z207" s="7">
        <f>IF(ISBLANK(V207), 0, VLOOKUP(V207, 'Price Sheet'!$A$2:$B1015, 2, false))</f>
        <v>0</v>
      </c>
      <c r="AA207" s="33" t="str">
        <f t="shared" si="6"/>
        <v/>
      </c>
      <c r="AB207" s="37"/>
      <c r="AC207" s="29"/>
      <c r="AD207" s="29" t="b">
        <v>0</v>
      </c>
      <c r="AE207" s="22" t="str">
        <f t="shared" si="7"/>
        <v/>
      </c>
      <c r="AF207" s="7">
        <f>IF(ISBLANK(AB207), 0, VLOOKUP(AB207, 'Price Sheet'!$A$2:$B1015, 2, false))</f>
        <v>0</v>
      </c>
      <c r="AG207" s="33" t="str">
        <f t="shared" si="8"/>
        <v/>
      </c>
      <c r="AH207" s="37"/>
      <c r="AI207" s="29"/>
      <c r="AJ207" s="29" t="b">
        <v>0</v>
      </c>
      <c r="AK207" s="22" t="str">
        <f t="shared" si="9"/>
        <v/>
      </c>
      <c r="AL207" s="7">
        <f>IF(ISBLANK(AH207), 0, VLOOKUP(AH207, 'Price Sheet'!$A$2:$B1015, 2, false))</f>
        <v>0</v>
      </c>
      <c r="AM207" s="33" t="str">
        <f t="shared" si="10"/>
        <v/>
      </c>
      <c r="AN207" s="37"/>
      <c r="AO207" s="29"/>
      <c r="AP207" s="29" t="b">
        <v>0</v>
      </c>
      <c r="AQ207" s="22" t="str">
        <f t="shared" si="11"/>
        <v/>
      </c>
      <c r="AR207" s="7">
        <f>IF(ISBLANK(AN207), 0, VLOOKUP(AN207, 'Price Sheet'!$A$2:$B1015, 2, false))</f>
        <v>0</v>
      </c>
      <c r="AS207" s="33" t="str">
        <f t="shared" si="12"/>
        <v/>
      </c>
      <c r="AT207" s="37"/>
      <c r="AU207" s="29"/>
      <c r="AV207" s="29" t="b">
        <v>0</v>
      </c>
      <c r="AW207" s="22" t="str">
        <f t="shared" si="13"/>
        <v/>
      </c>
      <c r="AX207" s="7">
        <f>IF(ISBLANK(AT207), 0, VLOOKUP(AT207, 'Price Sheet'!$A$2:$B1015, 2, false))</f>
        <v>0</v>
      </c>
      <c r="AY207" s="33" t="str">
        <f t="shared" si="14"/>
        <v/>
      </c>
      <c r="AZ207" s="37"/>
      <c r="BA207" s="29"/>
      <c r="BB207" s="29" t="b">
        <v>0</v>
      </c>
      <c r="BC207" s="22" t="str">
        <f t="shared" si="15"/>
        <v/>
      </c>
      <c r="BD207" s="7">
        <f>IF(ISBLANK(AZ207), 0, VLOOKUP(AZ207, 'Price Sheet'!$A$2:$B1015, 2, false))</f>
        <v>0</v>
      </c>
      <c r="BE207" s="33" t="str">
        <f t="shared" si="16"/>
        <v/>
      </c>
      <c r="BF207" s="37"/>
      <c r="BG207" s="29"/>
      <c r="BH207" s="29" t="b">
        <v>0</v>
      </c>
      <c r="BI207" s="22" t="str">
        <f t="shared" si="17"/>
        <v/>
      </c>
      <c r="BJ207" s="7">
        <f>IF(ISBLANK(BF207), 0, VLOOKUP(BF207, 'Price Sheet'!$A$2:$B1015, 2, false))</f>
        <v>0</v>
      </c>
      <c r="BK207" s="33" t="str">
        <f t="shared" si="18"/>
        <v/>
      </c>
      <c r="BL207" s="37"/>
      <c r="BM207" s="29"/>
      <c r="BN207" s="29" t="b">
        <v>0</v>
      </c>
      <c r="BO207" s="22" t="str">
        <f t="shared" si="19"/>
        <v/>
      </c>
      <c r="BP207" s="7">
        <f>IF(ISBLANK(BL207), 0, VLOOKUP(BL207, 'Price Sheet'!$A$2:$B1015, 2, false))</f>
        <v>0</v>
      </c>
      <c r="BQ207" s="33" t="str">
        <f t="shared" si="20"/>
        <v/>
      </c>
    </row>
    <row r="208">
      <c r="B208" s="19">
        <f t="shared" si="1"/>
        <v>0</v>
      </c>
      <c r="C208" s="29"/>
      <c r="D208" s="29"/>
      <c r="E208" s="7" t="str">
        <f>IF(ISBLANK(D208), "", VLOOKUP(D208,'Crafting Tables'!$A$2:$B1015, 2, false))</f>
        <v/>
      </c>
      <c r="F208" s="7" t="str">
        <f>IFERROR(IF(E208 = "None", 1, VLOOKUP(C208,General!$A$5:$L$35, SWITCH(E208, "Basic", 8, "Advanced", 10, "Modern", 12), false)),"")</f>
        <v/>
      </c>
      <c r="G208" s="29"/>
      <c r="H208" s="7">
        <f>IFERROR(VLOOKUP(C208, General!$A$5:$L$35, 6, false) * G208 / 1000, 0)</f>
        <v>0</v>
      </c>
      <c r="I208" s="29"/>
      <c r="J208" s="22" t="str">
        <f>IFERROR(I208*VLOOKUP(D208,'Crafting Tables'!$1:$1000, 4, false)*F208,"")</f>
        <v/>
      </c>
      <c r="K208" s="29" t="b">
        <v>0</v>
      </c>
      <c r="L208" s="37"/>
      <c r="M208" s="29"/>
      <c r="N208" s="21" t="str">
        <f t="shared" si="2"/>
        <v/>
      </c>
      <c r="P208" s="37"/>
      <c r="Q208" s="29"/>
      <c r="R208" s="29" t="b">
        <v>0</v>
      </c>
      <c r="S208" s="22" t="str">
        <f t="shared" si="3"/>
        <v/>
      </c>
      <c r="T208" s="7">
        <f>IF(ISBLANK(P208), 0, VLOOKUP(P208, 'Price Sheet'!$A$2:$B1015, 2, false))</f>
        <v>0</v>
      </c>
      <c r="U208" s="33" t="str">
        <f t="shared" si="4"/>
        <v/>
      </c>
      <c r="V208" s="37"/>
      <c r="W208" s="29"/>
      <c r="X208" s="29" t="b">
        <v>0</v>
      </c>
      <c r="Y208" s="22" t="str">
        <f t="shared" si="5"/>
        <v/>
      </c>
      <c r="Z208" s="7">
        <f>IF(ISBLANK(V208), 0, VLOOKUP(V208, 'Price Sheet'!$A$2:$B1015, 2, false))</f>
        <v>0</v>
      </c>
      <c r="AA208" s="33" t="str">
        <f t="shared" si="6"/>
        <v/>
      </c>
      <c r="AB208" s="37"/>
      <c r="AC208" s="29"/>
      <c r="AD208" s="29" t="b">
        <v>0</v>
      </c>
      <c r="AE208" s="22" t="str">
        <f t="shared" si="7"/>
        <v/>
      </c>
      <c r="AF208" s="7">
        <f>IF(ISBLANK(AB208), 0, VLOOKUP(AB208, 'Price Sheet'!$A$2:$B1015, 2, false))</f>
        <v>0</v>
      </c>
      <c r="AG208" s="33" t="str">
        <f t="shared" si="8"/>
        <v/>
      </c>
      <c r="AH208" s="37"/>
      <c r="AI208" s="29"/>
      <c r="AJ208" s="29" t="b">
        <v>0</v>
      </c>
      <c r="AK208" s="22" t="str">
        <f t="shared" si="9"/>
        <v/>
      </c>
      <c r="AL208" s="7">
        <f>IF(ISBLANK(AH208), 0, VLOOKUP(AH208, 'Price Sheet'!$A$2:$B1015, 2, false))</f>
        <v>0</v>
      </c>
      <c r="AM208" s="33" t="str">
        <f t="shared" si="10"/>
        <v/>
      </c>
      <c r="AN208" s="37"/>
      <c r="AO208" s="29"/>
      <c r="AP208" s="29" t="b">
        <v>0</v>
      </c>
      <c r="AQ208" s="22" t="str">
        <f t="shared" si="11"/>
        <v/>
      </c>
      <c r="AR208" s="7">
        <f>IF(ISBLANK(AN208), 0, VLOOKUP(AN208, 'Price Sheet'!$A$2:$B1015, 2, false))</f>
        <v>0</v>
      </c>
      <c r="AS208" s="33" t="str">
        <f t="shared" si="12"/>
        <v/>
      </c>
      <c r="AT208" s="37"/>
      <c r="AU208" s="29"/>
      <c r="AV208" s="29" t="b">
        <v>0</v>
      </c>
      <c r="AW208" s="22" t="str">
        <f t="shared" si="13"/>
        <v/>
      </c>
      <c r="AX208" s="7">
        <f>IF(ISBLANK(AT208), 0, VLOOKUP(AT208, 'Price Sheet'!$A$2:$B1015, 2, false))</f>
        <v>0</v>
      </c>
      <c r="AY208" s="33" t="str">
        <f t="shared" si="14"/>
        <v/>
      </c>
      <c r="AZ208" s="37"/>
      <c r="BA208" s="29"/>
      <c r="BB208" s="29" t="b">
        <v>0</v>
      </c>
      <c r="BC208" s="22" t="str">
        <f t="shared" si="15"/>
        <v/>
      </c>
      <c r="BD208" s="7">
        <f>IF(ISBLANK(AZ208), 0, VLOOKUP(AZ208, 'Price Sheet'!$A$2:$B1015, 2, false))</f>
        <v>0</v>
      </c>
      <c r="BE208" s="33" t="str">
        <f t="shared" si="16"/>
        <v/>
      </c>
      <c r="BF208" s="37"/>
      <c r="BG208" s="29"/>
      <c r="BH208" s="29" t="b">
        <v>0</v>
      </c>
      <c r="BI208" s="22" t="str">
        <f t="shared" si="17"/>
        <v/>
      </c>
      <c r="BJ208" s="7">
        <f>IF(ISBLANK(BF208), 0, VLOOKUP(BF208, 'Price Sheet'!$A$2:$B1015, 2, false))</f>
        <v>0</v>
      </c>
      <c r="BK208" s="33" t="str">
        <f t="shared" si="18"/>
        <v/>
      </c>
      <c r="BL208" s="37"/>
      <c r="BM208" s="29"/>
      <c r="BN208" s="29" t="b">
        <v>0</v>
      </c>
      <c r="BO208" s="22" t="str">
        <f t="shared" si="19"/>
        <v/>
      </c>
      <c r="BP208" s="7">
        <f>IF(ISBLANK(BL208), 0, VLOOKUP(BL208, 'Price Sheet'!$A$2:$B1015, 2, false))</f>
        <v>0</v>
      </c>
      <c r="BQ208" s="33" t="str">
        <f t="shared" si="20"/>
        <v/>
      </c>
    </row>
    <row r="209">
      <c r="B209" s="19">
        <f t="shared" si="1"/>
        <v>0</v>
      </c>
      <c r="C209" s="29"/>
      <c r="D209" s="29"/>
      <c r="E209" s="7" t="str">
        <f>IF(ISBLANK(D209), "", VLOOKUP(D209,'Crafting Tables'!$A$2:$B1015, 2, false))</f>
        <v/>
      </c>
      <c r="F209" s="7" t="str">
        <f>IFERROR(IF(E209 = "None", 1, VLOOKUP(C209,General!$A$5:$L$35, SWITCH(E209, "Basic", 8, "Advanced", 10, "Modern", 12), false)),"")</f>
        <v/>
      </c>
      <c r="G209" s="29"/>
      <c r="H209" s="7">
        <f>IFERROR(VLOOKUP(C209, General!$A$5:$L$35, 6, false) * G209 / 1000, 0)</f>
        <v>0</v>
      </c>
      <c r="I209" s="29"/>
      <c r="J209" s="22" t="str">
        <f>IFERROR(I209*VLOOKUP(D209,'Crafting Tables'!$1:$1000, 4, false)*F209,"")</f>
        <v/>
      </c>
      <c r="K209" s="29" t="b">
        <v>0</v>
      </c>
      <c r="L209" s="37"/>
      <c r="M209" s="29"/>
      <c r="N209" s="21" t="str">
        <f t="shared" si="2"/>
        <v/>
      </c>
      <c r="P209" s="37"/>
      <c r="Q209" s="29"/>
      <c r="R209" s="29" t="b">
        <v>0</v>
      </c>
      <c r="S209" s="22" t="str">
        <f t="shared" si="3"/>
        <v/>
      </c>
      <c r="T209" s="7">
        <f>IF(ISBLANK(P209), 0, VLOOKUP(P209, 'Price Sheet'!$A$2:$B1015, 2, false))</f>
        <v>0</v>
      </c>
      <c r="U209" s="33" t="str">
        <f t="shared" si="4"/>
        <v/>
      </c>
      <c r="V209" s="37"/>
      <c r="W209" s="29"/>
      <c r="X209" s="29" t="b">
        <v>0</v>
      </c>
      <c r="Y209" s="22" t="str">
        <f t="shared" si="5"/>
        <v/>
      </c>
      <c r="Z209" s="7">
        <f>IF(ISBLANK(V209), 0, VLOOKUP(V209, 'Price Sheet'!$A$2:$B1015, 2, false))</f>
        <v>0</v>
      </c>
      <c r="AA209" s="33" t="str">
        <f t="shared" si="6"/>
        <v/>
      </c>
      <c r="AB209" s="37"/>
      <c r="AC209" s="29"/>
      <c r="AD209" s="29" t="b">
        <v>0</v>
      </c>
      <c r="AE209" s="22" t="str">
        <f t="shared" si="7"/>
        <v/>
      </c>
      <c r="AF209" s="7">
        <f>IF(ISBLANK(AB209), 0, VLOOKUP(AB209, 'Price Sheet'!$A$2:$B1015, 2, false))</f>
        <v>0</v>
      </c>
      <c r="AG209" s="33" t="str">
        <f t="shared" si="8"/>
        <v/>
      </c>
      <c r="AH209" s="37"/>
      <c r="AI209" s="29"/>
      <c r="AJ209" s="29" t="b">
        <v>0</v>
      </c>
      <c r="AK209" s="22" t="str">
        <f t="shared" si="9"/>
        <v/>
      </c>
      <c r="AL209" s="7">
        <f>IF(ISBLANK(AH209), 0, VLOOKUP(AH209, 'Price Sheet'!$A$2:$B1015, 2, false))</f>
        <v>0</v>
      </c>
      <c r="AM209" s="33" t="str">
        <f t="shared" si="10"/>
        <v/>
      </c>
      <c r="AN209" s="37"/>
      <c r="AO209" s="29"/>
      <c r="AP209" s="29" t="b">
        <v>0</v>
      </c>
      <c r="AQ209" s="22" t="str">
        <f t="shared" si="11"/>
        <v/>
      </c>
      <c r="AR209" s="7">
        <f>IF(ISBLANK(AN209), 0, VLOOKUP(AN209, 'Price Sheet'!$A$2:$B1015, 2, false))</f>
        <v>0</v>
      </c>
      <c r="AS209" s="33" t="str">
        <f t="shared" si="12"/>
        <v/>
      </c>
      <c r="AT209" s="37"/>
      <c r="AU209" s="29"/>
      <c r="AV209" s="29" t="b">
        <v>0</v>
      </c>
      <c r="AW209" s="22" t="str">
        <f t="shared" si="13"/>
        <v/>
      </c>
      <c r="AX209" s="7">
        <f>IF(ISBLANK(AT209), 0, VLOOKUP(AT209, 'Price Sheet'!$A$2:$B1015, 2, false))</f>
        <v>0</v>
      </c>
      <c r="AY209" s="33" t="str">
        <f t="shared" si="14"/>
        <v/>
      </c>
      <c r="AZ209" s="37"/>
      <c r="BA209" s="29"/>
      <c r="BB209" s="29" t="b">
        <v>0</v>
      </c>
      <c r="BC209" s="22" t="str">
        <f t="shared" si="15"/>
        <v/>
      </c>
      <c r="BD209" s="7">
        <f>IF(ISBLANK(AZ209), 0, VLOOKUP(AZ209, 'Price Sheet'!$A$2:$B1015, 2, false))</f>
        <v>0</v>
      </c>
      <c r="BE209" s="33" t="str">
        <f t="shared" si="16"/>
        <v/>
      </c>
      <c r="BF209" s="37"/>
      <c r="BG209" s="29"/>
      <c r="BH209" s="29" t="b">
        <v>0</v>
      </c>
      <c r="BI209" s="22" t="str">
        <f t="shared" si="17"/>
        <v/>
      </c>
      <c r="BJ209" s="7">
        <f>IF(ISBLANK(BF209), 0, VLOOKUP(BF209, 'Price Sheet'!$A$2:$B1015, 2, false))</f>
        <v>0</v>
      </c>
      <c r="BK209" s="33" t="str">
        <f t="shared" si="18"/>
        <v/>
      </c>
      <c r="BL209" s="37"/>
      <c r="BM209" s="29"/>
      <c r="BN209" s="29" t="b">
        <v>0</v>
      </c>
      <c r="BO209" s="22" t="str">
        <f t="shared" si="19"/>
        <v/>
      </c>
      <c r="BP209" s="7">
        <f>IF(ISBLANK(BL209), 0, VLOOKUP(BL209, 'Price Sheet'!$A$2:$B1015, 2, false))</f>
        <v>0</v>
      </c>
      <c r="BQ209" s="33" t="str">
        <f t="shared" si="20"/>
        <v/>
      </c>
    </row>
    <row r="210">
      <c r="B210" s="19">
        <f t="shared" si="1"/>
        <v>0</v>
      </c>
      <c r="C210" s="29"/>
      <c r="D210" s="29"/>
      <c r="E210" s="7" t="str">
        <f>IF(ISBLANK(D210), "", VLOOKUP(D210,'Crafting Tables'!$A$2:$B1015, 2, false))</f>
        <v/>
      </c>
      <c r="F210" s="7" t="str">
        <f>IFERROR(IF(E210 = "None", 1, VLOOKUP(C210,General!$A$5:$L$35, SWITCH(E210, "Basic", 8, "Advanced", 10, "Modern", 12), false)),"")</f>
        <v/>
      </c>
      <c r="G210" s="29"/>
      <c r="H210" s="7">
        <f>IFERROR(VLOOKUP(C210, General!$A$5:$L$35, 6, false) * G210 / 1000, 0)</f>
        <v>0</v>
      </c>
      <c r="I210" s="29"/>
      <c r="J210" s="22" t="str">
        <f>IFERROR(I210*VLOOKUP(D210,'Crafting Tables'!$1:$1000, 4, false)*F210,"")</f>
        <v/>
      </c>
      <c r="K210" s="29" t="b">
        <v>0</v>
      </c>
      <c r="L210" s="37"/>
      <c r="M210" s="29"/>
      <c r="N210" s="21" t="str">
        <f t="shared" si="2"/>
        <v/>
      </c>
      <c r="P210" s="37"/>
      <c r="Q210" s="29"/>
      <c r="R210" s="29" t="b">
        <v>0</v>
      </c>
      <c r="S210" s="22" t="str">
        <f t="shared" si="3"/>
        <v/>
      </c>
      <c r="T210" s="7">
        <f>IF(ISBLANK(P210), 0, VLOOKUP(P210, 'Price Sheet'!$A$2:$B1015, 2, false))</f>
        <v>0</v>
      </c>
      <c r="U210" s="33" t="str">
        <f t="shared" si="4"/>
        <v/>
      </c>
      <c r="V210" s="37"/>
      <c r="W210" s="29"/>
      <c r="X210" s="29" t="b">
        <v>0</v>
      </c>
      <c r="Y210" s="22" t="str">
        <f t="shared" si="5"/>
        <v/>
      </c>
      <c r="Z210" s="7">
        <f>IF(ISBLANK(V210), 0, VLOOKUP(V210, 'Price Sheet'!$A$2:$B1015, 2, false))</f>
        <v>0</v>
      </c>
      <c r="AA210" s="33" t="str">
        <f t="shared" si="6"/>
        <v/>
      </c>
      <c r="AB210" s="37"/>
      <c r="AC210" s="29"/>
      <c r="AD210" s="29" t="b">
        <v>0</v>
      </c>
      <c r="AE210" s="22" t="str">
        <f t="shared" si="7"/>
        <v/>
      </c>
      <c r="AF210" s="7">
        <f>IF(ISBLANK(AB210), 0, VLOOKUP(AB210, 'Price Sheet'!$A$2:$B1015, 2, false))</f>
        <v>0</v>
      </c>
      <c r="AG210" s="33" t="str">
        <f t="shared" si="8"/>
        <v/>
      </c>
      <c r="AH210" s="37"/>
      <c r="AI210" s="29"/>
      <c r="AJ210" s="29" t="b">
        <v>0</v>
      </c>
      <c r="AK210" s="22" t="str">
        <f t="shared" si="9"/>
        <v/>
      </c>
      <c r="AL210" s="7">
        <f>IF(ISBLANK(AH210), 0, VLOOKUP(AH210, 'Price Sheet'!$A$2:$B1015, 2, false))</f>
        <v>0</v>
      </c>
      <c r="AM210" s="33" t="str">
        <f t="shared" si="10"/>
        <v/>
      </c>
      <c r="AN210" s="37"/>
      <c r="AO210" s="29"/>
      <c r="AP210" s="29" t="b">
        <v>0</v>
      </c>
      <c r="AQ210" s="22" t="str">
        <f t="shared" si="11"/>
        <v/>
      </c>
      <c r="AR210" s="7">
        <f>IF(ISBLANK(AN210), 0, VLOOKUP(AN210, 'Price Sheet'!$A$2:$B1015, 2, false))</f>
        <v>0</v>
      </c>
      <c r="AS210" s="33" t="str">
        <f t="shared" si="12"/>
        <v/>
      </c>
      <c r="AT210" s="37"/>
      <c r="AU210" s="29"/>
      <c r="AV210" s="29" t="b">
        <v>0</v>
      </c>
      <c r="AW210" s="22" t="str">
        <f t="shared" si="13"/>
        <v/>
      </c>
      <c r="AX210" s="7">
        <f>IF(ISBLANK(AT210), 0, VLOOKUP(AT210, 'Price Sheet'!$A$2:$B1015, 2, false))</f>
        <v>0</v>
      </c>
      <c r="AY210" s="33" t="str">
        <f t="shared" si="14"/>
        <v/>
      </c>
      <c r="AZ210" s="37"/>
      <c r="BA210" s="29"/>
      <c r="BB210" s="29" t="b">
        <v>0</v>
      </c>
      <c r="BC210" s="22" t="str">
        <f t="shared" si="15"/>
        <v/>
      </c>
      <c r="BD210" s="7">
        <f>IF(ISBLANK(AZ210), 0, VLOOKUP(AZ210, 'Price Sheet'!$A$2:$B1015, 2, false))</f>
        <v>0</v>
      </c>
      <c r="BE210" s="33" t="str">
        <f t="shared" si="16"/>
        <v/>
      </c>
      <c r="BF210" s="37"/>
      <c r="BG210" s="29"/>
      <c r="BH210" s="29" t="b">
        <v>0</v>
      </c>
      <c r="BI210" s="22" t="str">
        <f t="shared" si="17"/>
        <v/>
      </c>
      <c r="BJ210" s="7">
        <f>IF(ISBLANK(BF210), 0, VLOOKUP(BF210, 'Price Sheet'!$A$2:$B1015, 2, false))</f>
        <v>0</v>
      </c>
      <c r="BK210" s="33" t="str">
        <f t="shared" si="18"/>
        <v/>
      </c>
      <c r="BL210" s="37"/>
      <c r="BM210" s="29"/>
      <c r="BN210" s="29" t="b">
        <v>0</v>
      </c>
      <c r="BO210" s="22" t="str">
        <f t="shared" si="19"/>
        <v/>
      </c>
      <c r="BP210" s="7">
        <f>IF(ISBLANK(BL210), 0, VLOOKUP(BL210, 'Price Sheet'!$A$2:$B1015, 2, false))</f>
        <v>0</v>
      </c>
      <c r="BQ210" s="33" t="str">
        <f t="shared" si="20"/>
        <v/>
      </c>
    </row>
    <row r="211">
      <c r="B211" s="19">
        <f t="shared" si="1"/>
        <v>0</v>
      </c>
      <c r="C211" s="29"/>
      <c r="D211" s="29"/>
      <c r="E211" s="7" t="str">
        <f>IF(ISBLANK(D211), "", VLOOKUP(D211,'Crafting Tables'!$A$2:$B1015, 2, false))</f>
        <v/>
      </c>
      <c r="F211" s="7" t="str">
        <f>IFERROR(IF(E211 = "None", 1, VLOOKUP(C211,General!$A$5:$L$35, SWITCH(E211, "Basic", 8, "Advanced", 10, "Modern", 12), false)),"")</f>
        <v/>
      </c>
      <c r="G211" s="29"/>
      <c r="H211" s="7">
        <f>IFERROR(VLOOKUP(C211, General!$A$5:$L$35, 6, false) * G211 / 1000, 0)</f>
        <v>0</v>
      </c>
      <c r="I211" s="29"/>
      <c r="J211" s="22" t="str">
        <f>IFERROR(I211*VLOOKUP(D211,'Crafting Tables'!$1:$1000, 4, false)*F211,"")</f>
        <v/>
      </c>
      <c r="K211" s="29" t="b">
        <v>0</v>
      </c>
      <c r="L211" s="37"/>
      <c r="M211" s="29"/>
      <c r="N211" s="21" t="str">
        <f t="shared" si="2"/>
        <v/>
      </c>
      <c r="P211" s="37"/>
      <c r="Q211" s="29"/>
      <c r="R211" s="29" t="b">
        <v>0</v>
      </c>
      <c r="S211" s="22" t="str">
        <f t="shared" si="3"/>
        <v/>
      </c>
      <c r="T211" s="7">
        <f>IF(ISBLANK(P211), 0, VLOOKUP(P211, 'Price Sheet'!$A$2:$B1015, 2, false))</f>
        <v>0</v>
      </c>
      <c r="U211" s="33" t="str">
        <f t="shared" si="4"/>
        <v/>
      </c>
      <c r="V211" s="37"/>
      <c r="W211" s="29"/>
      <c r="X211" s="29" t="b">
        <v>0</v>
      </c>
      <c r="Y211" s="22" t="str">
        <f t="shared" si="5"/>
        <v/>
      </c>
      <c r="Z211" s="7">
        <f>IF(ISBLANK(V211), 0, VLOOKUP(V211, 'Price Sheet'!$A$2:$B1015, 2, false))</f>
        <v>0</v>
      </c>
      <c r="AA211" s="33" t="str">
        <f t="shared" si="6"/>
        <v/>
      </c>
      <c r="AB211" s="37"/>
      <c r="AC211" s="29"/>
      <c r="AD211" s="29" t="b">
        <v>0</v>
      </c>
      <c r="AE211" s="22" t="str">
        <f t="shared" si="7"/>
        <v/>
      </c>
      <c r="AF211" s="7">
        <f>IF(ISBLANK(AB211), 0, VLOOKUP(AB211, 'Price Sheet'!$A$2:$B1015, 2, false))</f>
        <v>0</v>
      </c>
      <c r="AG211" s="33" t="str">
        <f t="shared" si="8"/>
        <v/>
      </c>
      <c r="AH211" s="37"/>
      <c r="AI211" s="29"/>
      <c r="AJ211" s="29" t="b">
        <v>0</v>
      </c>
      <c r="AK211" s="22" t="str">
        <f t="shared" si="9"/>
        <v/>
      </c>
      <c r="AL211" s="7">
        <f>IF(ISBLANK(AH211), 0, VLOOKUP(AH211, 'Price Sheet'!$A$2:$B1015, 2, false))</f>
        <v>0</v>
      </c>
      <c r="AM211" s="33" t="str">
        <f t="shared" si="10"/>
        <v/>
      </c>
      <c r="AN211" s="37"/>
      <c r="AO211" s="29"/>
      <c r="AP211" s="29" t="b">
        <v>0</v>
      </c>
      <c r="AQ211" s="22" t="str">
        <f t="shared" si="11"/>
        <v/>
      </c>
      <c r="AR211" s="7">
        <f>IF(ISBLANK(AN211), 0, VLOOKUP(AN211, 'Price Sheet'!$A$2:$B1015, 2, false))</f>
        <v>0</v>
      </c>
      <c r="AS211" s="33" t="str">
        <f t="shared" si="12"/>
        <v/>
      </c>
      <c r="AT211" s="37"/>
      <c r="AU211" s="29"/>
      <c r="AV211" s="29" t="b">
        <v>0</v>
      </c>
      <c r="AW211" s="22" t="str">
        <f t="shared" si="13"/>
        <v/>
      </c>
      <c r="AX211" s="7">
        <f>IF(ISBLANK(AT211), 0, VLOOKUP(AT211, 'Price Sheet'!$A$2:$B1015, 2, false))</f>
        <v>0</v>
      </c>
      <c r="AY211" s="33" t="str">
        <f t="shared" si="14"/>
        <v/>
      </c>
      <c r="AZ211" s="37"/>
      <c r="BA211" s="29"/>
      <c r="BB211" s="29" t="b">
        <v>0</v>
      </c>
      <c r="BC211" s="22" t="str">
        <f t="shared" si="15"/>
        <v/>
      </c>
      <c r="BD211" s="7">
        <f>IF(ISBLANK(AZ211), 0, VLOOKUP(AZ211, 'Price Sheet'!$A$2:$B1015, 2, false))</f>
        <v>0</v>
      </c>
      <c r="BE211" s="33" t="str">
        <f t="shared" si="16"/>
        <v/>
      </c>
      <c r="BF211" s="37"/>
      <c r="BG211" s="29"/>
      <c r="BH211" s="29" t="b">
        <v>0</v>
      </c>
      <c r="BI211" s="22" t="str">
        <f t="shared" si="17"/>
        <v/>
      </c>
      <c r="BJ211" s="7">
        <f>IF(ISBLANK(BF211), 0, VLOOKUP(BF211, 'Price Sheet'!$A$2:$B1015, 2, false))</f>
        <v>0</v>
      </c>
      <c r="BK211" s="33" t="str">
        <f t="shared" si="18"/>
        <v/>
      </c>
      <c r="BL211" s="37"/>
      <c r="BM211" s="29"/>
      <c r="BN211" s="29" t="b">
        <v>0</v>
      </c>
      <c r="BO211" s="22" t="str">
        <f t="shared" si="19"/>
        <v/>
      </c>
      <c r="BP211" s="7">
        <f>IF(ISBLANK(BL211), 0, VLOOKUP(BL211, 'Price Sheet'!$A$2:$B1015, 2, false))</f>
        <v>0</v>
      </c>
      <c r="BQ211" s="33" t="str">
        <f t="shared" si="20"/>
        <v/>
      </c>
    </row>
    <row r="212">
      <c r="B212" s="19">
        <f t="shared" si="1"/>
        <v>0</v>
      </c>
      <c r="C212" s="29"/>
      <c r="D212" s="29"/>
      <c r="E212" s="7" t="str">
        <f>IF(ISBLANK(D212), "", VLOOKUP(D212,'Crafting Tables'!$A$2:$B1015, 2, false))</f>
        <v/>
      </c>
      <c r="F212" s="7" t="str">
        <f>IFERROR(IF(E212 = "None", 1, VLOOKUP(C212,General!$A$5:$L$35, SWITCH(E212, "Basic", 8, "Advanced", 10, "Modern", 12), false)),"")</f>
        <v/>
      </c>
      <c r="G212" s="29"/>
      <c r="H212" s="7">
        <f>IFERROR(VLOOKUP(C212, General!$A$5:$L$35, 6, false) * G212 / 1000, 0)</f>
        <v>0</v>
      </c>
      <c r="I212" s="29"/>
      <c r="J212" s="22" t="str">
        <f>IFERROR(I212*VLOOKUP(D212,'Crafting Tables'!$1:$1000, 4, false)*F212,"")</f>
        <v/>
      </c>
      <c r="K212" s="29" t="b">
        <v>0</v>
      </c>
      <c r="L212" s="37"/>
      <c r="M212" s="29"/>
      <c r="N212" s="21" t="str">
        <f t="shared" si="2"/>
        <v/>
      </c>
      <c r="P212" s="37"/>
      <c r="Q212" s="29"/>
      <c r="R212" s="29" t="b">
        <v>0</v>
      </c>
      <c r="S212" s="22" t="str">
        <f t="shared" si="3"/>
        <v/>
      </c>
      <c r="T212" s="7">
        <f>IF(ISBLANK(P212), 0, VLOOKUP(P212, 'Price Sheet'!$A$2:$B1015, 2, false))</f>
        <v>0</v>
      </c>
      <c r="U212" s="33" t="str">
        <f t="shared" si="4"/>
        <v/>
      </c>
      <c r="V212" s="37"/>
      <c r="W212" s="29"/>
      <c r="X212" s="29" t="b">
        <v>0</v>
      </c>
      <c r="Y212" s="22" t="str">
        <f t="shared" si="5"/>
        <v/>
      </c>
      <c r="Z212" s="7">
        <f>IF(ISBLANK(V212), 0, VLOOKUP(V212, 'Price Sheet'!$A$2:$B1015, 2, false))</f>
        <v>0</v>
      </c>
      <c r="AA212" s="33" t="str">
        <f t="shared" si="6"/>
        <v/>
      </c>
      <c r="AB212" s="37"/>
      <c r="AC212" s="29"/>
      <c r="AD212" s="29" t="b">
        <v>0</v>
      </c>
      <c r="AE212" s="22" t="str">
        <f t="shared" si="7"/>
        <v/>
      </c>
      <c r="AF212" s="7">
        <f>IF(ISBLANK(AB212), 0, VLOOKUP(AB212, 'Price Sheet'!$A$2:$B1015, 2, false))</f>
        <v>0</v>
      </c>
      <c r="AG212" s="33" t="str">
        <f t="shared" si="8"/>
        <v/>
      </c>
      <c r="AH212" s="37"/>
      <c r="AI212" s="29"/>
      <c r="AJ212" s="29" t="b">
        <v>0</v>
      </c>
      <c r="AK212" s="22" t="str">
        <f t="shared" si="9"/>
        <v/>
      </c>
      <c r="AL212" s="7">
        <f>IF(ISBLANK(AH212), 0, VLOOKUP(AH212, 'Price Sheet'!$A$2:$B1015, 2, false))</f>
        <v>0</v>
      </c>
      <c r="AM212" s="33" t="str">
        <f t="shared" si="10"/>
        <v/>
      </c>
      <c r="AN212" s="37"/>
      <c r="AO212" s="29"/>
      <c r="AP212" s="29" t="b">
        <v>0</v>
      </c>
      <c r="AQ212" s="22" t="str">
        <f t="shared" si="11"/>
        <v/>
      </c>
      <c r="AR212" s="7">
        <f>IF(ISBLANK(AN212), 0, VLOOKUP(AN212, 'Price Sheet'!$A$2:$B1015, 2, false))</f>
        <v>0</v>
      </c>
      <c r="AS212" s="33" t="str">
        <f t="shared" si="12"/>
        <v/>
      </c>
      <c r="AT212" s="37"/>
      <c r="AU212" s="29"/>
      <c r="AV212" s="29" t="b">
        <v>0</v>
      </c>
      <c r="AW212" s="22" t="str">
        <f t="shared" si="13"/>
        <v/>
      </c>
      <c r="AX212" s="7">
        <f>IF(ISBLANK(AT212), 0, VLOOKUP(AT212, 'Price Sheet'!$A$2:$B1015, 2, false))</f>
        <v>0</v>
      </c>
      <c r="AY212" s="33" t="str">
        <f t="shared" si="14"/>
        <v/>
      </c>
      <c r="AZ212" s="37"/>
      <c r="BA212" s="29"/>
      <c r="BB212" s="29" t="b">
        <v>0</v>
      </c>
      <c r="BC212" s="22" t="str">
        <f t="shared" si="15"/>
        <v/>
      </c>
      <c r="BD212" s="7">
        <f>IF(ISBLANK(AZ212), 0, VLOOKUP(AZ212, 'Price Sheet'!$A$2:$B1015, 2, false))</f>
        <v>0</v>
      </c>
      <c r="BE212" s="33" t="str">
        <f t="shared" si="16"/>
        <v/>
      </c>
      <c r="BF212" s="37"/>
      <c r="BG212" s="29"/>
      <c r="BH212" s="29" t="b">
        <v>0</v>
      </c>
      <c r="BI212" s="22" t="str">
        <f t="shared" si="17"/>
        <v/>
      </c>
      <c r="BJ212" s="7">
        <f>IF(ISBLANK(BF212), 0, VLOOKUP(BF212, 'Price Sheet'!$A$2:$B1015, 2, false))</f>
        <v>0</v>
      </c>
      <c r="BK212" s="33" t="str">
        <f t="shared" si="18"/>
        <v/>
      </c>
      <c r="BL212" s="37"/>
      <c r="BM212" s="29"/>
      <c r="BN212" s="29" t="b">
        <v>0</v>
      </c>
      <c r="BO212" s="22" t="str">
        <f t="shared" si="19"/>
        <v/>
      </c>
      <c r="BP212" s="7">
        <f>IF(ISBLANK(BL212), 0, VLOOKUP(BL212, 'Price Sheet'!$A$2:$B1015, 2, false))</f>
        <v>0</v>
      </c>
      <c r="BQ212" s="33" t="str">
        <f t="shared" si="20"/>
        <v/>
      </c>
    </row>
    <row r="213">
      <c r="B213" s="19">
        <f t="shared" si="1"/>
        <v>0</v>
      </c>
      <c r="C213" s="29"/>
      <c r="D213" s="29"/>
      <c r="E213" s="7" t="str">
        <f>IF(ISBLANK(D213), "", VLOOKUP(D213,'Crafting Tables'!$A$2:$B1015, 2, false))</f>
        <v/>
      </c>
      <c r="F213" s="7" t="str">
        <f>IFERROR(IF(E213 = "None", 1, VLOOKUP(C213,General!$A$5:$L$35, SWITCH(E213, "Basic", 8, "Advanced", 10, "Modern", 12), false)),"")</f>
        <v/>
      </c>
      <c r="G213" s="29"/>
      <c r="H213" s="7">
        <f>IFERROR(VLOOKUP(C213, General!$A$5:$L$35, 6, false) * G213 / 1000, 0)</f>
        <v>0</v>
      </c>
      <c r="I213" s="29"/>
      <c r="J213" s="22" t="str">
        <f>IFERROR(I213*VLOOKUP(D213,'Crafting Tables'!$1:$1000, 4, false)*F213,"")</f>
        <v/>
      </c>
      <c r="K213" s="29" t="b">
        <v>0</v>
      </c>
      <c r="L213" s="37"/>
      <c r="M213" s="29"/>
      <c r="N213" s="21" t="str">
        <f t="shared" si="2"/>
        <v/>
      </c>
      <c r="P213" s="37"/>
      <c r="Q213" s="29"/>
      <c r="R213" s="29" t="b">
        <v>0</v>
      </c>
      <c r="S213" s="22" t="str">
        <f t="shared" si="3"/>
        <v/>
      </c>
      <c r="T213" s="7">
        <f>IF(ISBLANK(P213), 0, VLOOKUP(P213, 'Price Sheet'!$A$2:$B1015, 2, false))</f>
        <v>0</v>
      </c>
      <c r="U213" s="33" t="str">
        <f t="shared" si="4"/>
        <v/>
      </c>
      <c r="V213" s="37"/>
      <c r="W213" s="29"/>
      <c r="X213" s="29" t="b">
        <v>0</v>
      </c>
      <c r="Y213" s="22" t="str">
        <f t="shared" si="5"/>
        <v/>
      </c>
      <c r="Z213" s="7">
        <f>IF(ISBLANK(V213), 0, VLOOKUP(V213, 'Price Sheet'!$A$2:$B1015, 2, false))</f>
        <v>0</v>
      </c>
      <c r="AA213" s="33" t="str">
        <f t="shared" si="6"/>
        <v/>
      </c>
      <c r="AB213" s="37"/>
      <c r="AC213" s="29"/>
      <c r="AD213" s="29" t="b">
        <v>0</v>
      </c>
      <c r="AE213" s="22" t="str">
        <f t="shared" si="7"/>
        <v/>
      </c>
      <c r="AF213" s="7">
        <f>IF(ISBLANK(AB213), 0, VLOOKUP(AB213, 'Price Sheet'!$A$2:$B1015, 2, false))</f>
        <v>0</v>
      </c>
      <c r="AG213" s="33" t="str">
        <f t="shared" si="8"/>
        <v/>
      </c>
      <c r="AH213" s="37"/>
      <c r="AI213" s="29"/>
      <c r="AJ213" s="29" t="b">
        <v>0</v>
      </c>
      <c r="AK213" s="22" t="str">
        <f t="shared" si="9"/>
        <v/>
      </c>
      <c r="AL213" s="7">
        <f>IF(ISBLANK(AH213), 0, VLOOKUP(AH213, 'Price Sheet'!$A$2:$B1015, 2, false))</f>
        <v>0</v>
      </c>
      <c r="AM213" s="33" t="str">
        <f t="shared" si="10"/>
        <v/>
      </c>
      <c r="AN213" s="37"/>
      <c r="AO213" s="29"/>
      <c r="AP213" s="29" t="b">
        <v>0</v>
      </c>
      <c r="AQ213" s="22" t="str">
        <f t="shared" si="11"/>
        <v/>
      </c>
      <c r="AR213" s="7">
        <f>IF(ISBLANK(AN213), 0, VLOOKUP(AN213, 'Price Sheet'!$A$2:$B1015, 2, false))</f>
        <v>0</v>
      </c>
      <c r="AS213" s="33" t="str">
        <f t="shared" si="12"/>
        <v/>
      </c>
      <c r="AT213" s="37"/>
      <c r="AU213" s="29"/>
      <c r="AV213" s="29" t="b">
        <v>0</v>
      </c>
      <c r="AW213" s="22" t="str">
        <f t="shared" si="13"/>
        <v/>
      </c>
      <c r="AX213" s="7">
        <f>IF(ISBLANK(AT213), 0, VLOOKUP(AT213, 'Price Sheet'!$A$2:$B1015, 2, false))</f>
        <v>0</v>
      </c>
      <c r="AY213" s="33" t="str">
        <f t="shared" si="14"/>
        <v/>
      </c>
      <c r="AZ213" s="37"/>
      <c r="BA213" s="29"/>
      <c r="BB213" s="29" t="b">
        <v>0</v>
      </c>
      <c r="BC213" s="22" t="str">
        <f t="shared" si="15"/>
        <v/>
      </c>
      <c r="BD213" s="7">
        <f>IF(ISBLANK(AZ213), 0, VLOOKUP(AZ213, 'Price Sheet'!$A$2:$B1015, 2, false))</f>
        <v>0</v>
      </c>
      <c r="BE213" s="33" t="str">
        <f t="shared" si="16"/>
        <v/>
      </c>
      <c r="BF213" s="37"/>
      <c r="BG213" s="29"/>
      <c r="BH213" s="29" t="b">
        <v>0</v>
      </c>
      <c r="BI213" s="22" t="str">
        <f t="shared" si="17"/>
        <v/>
      </c>
      <c r="BJ213" s="7">
        <f>IF(ISBLANK(BF213), 0, VLOOKUP(BF213, 'Price Sheet'!$A$2:$B1015, 2, false))</f>
        <v>0</v>
      </c>
      <c r="BK213" s="33" t="str">
        <f t="shared" si="18"/>
        <v/>
      </c>
      <c r="BL213" s="37"/>
      <c r="BM213" s="29"/>
      <c r="BN213" s="29" t="b">
        <v>0</v>
      </c>
      <c r="BO213" s="22" t="str">
        <f t="shared" si="19"/>
        <v/>
      </c>
      <c r="BP213" s="7">
        <f>IF(ISBLANK(BL213), 0, VLOOKUP(BL213, 'Price Sheet'!$A$2:$B1015, 2, false))</f>
        <v>0</v>
      </c>
      <c r="BQ213" s="33" t="str">
        <f t="shared" si="20"/>
        <v/>
      </c>
    </row>
    <row r="214">
      <c r="B214" s="19">
        <f t="shared" si="1"/>
        <v>0</v>
      </c>
      <c r="C214" s="29"/>
      <c r="D214" s="29"/>
      <c r="E214" s="7" t="str">
        <f>IF(ISBLANK(D214), "", VLOOKUP(D214,'Crafting Tables'!$A$2:$B1015, 2, false))</f>
        <v/>
      </c>
      <c r="F214" s="7" t="str">
        <f>IFERROR(IF(E214 = "None", 1, VLOOKUP(C214,General!$A$5:$L$35, SWITCH(E214, "Basic", 8, "Advanced", 10, "Modern", 12), false)),"")</f>
        <v/>
      </c>
      <c r="G214" s="29"/>
      <c r="H214" s="7">
        <f>IFERROR(VLOOKUP(C214, General!$A$5:$L$35, 6, false) * G214 / 1000, 0)</f>
        <v>0</v>
      </c>
      <c r="I214" s="29"/>
      <c r="J214" s="22" t="str">
        <f>IFERROR(I214*VLOOKUP(D214,'Crafting Tables'!$1:$1000, 4, false)*F214,"")</f>
        <v/>
      </c>
      <c r="K214" s="29" t="b">
        <v>0</v>
      </c>
      <c r="L214" s="37"/>
      <c r="M214" s="29"/>
      <c r="N214" s="21" t="str">
        <f t="shared" si="2"/>
        <v/>
      </c>
      <c r="P214" s="37"/>
      <c r="Q214" s="29"/>
      <c r="R214" s="29" t="b">
        <v>0</v>
      </c>
      <c r="S214" s="22" t="str">
        <f t="shared" si="3"/>
        <v/>
      </c>
      <c r="T214" s="7">
        <f>IF(ISBLANK(P214), 0, VLOOKUP(P214, 'Price Sheet'!$A$2:$B1015, 2, false))</f>
        <v>0</v>
      </c>
      <c r="U214" s="33" t="str">
        <f t="shared" si="4"/>
        <v/>
      </c>
      <c r="V214" s="37"/>
      <c r="W214" s="29"/>
      <c r="X214" s="29" t="b">
        <v>0</v>
      </c>
      <c r="Y214" s="22" t="str">
        <f t="shared" si="5"/>
        <v/>
      </c>
      <c r="Z214" s="7">
        <f>IF(ISBLANK(V214), 0, VLOOKUP(V214, 'Price Sheet'!$A$2:$B1015, 2, false))</f>
        <v>0</v>
      </c>
      <c r="AA214" s="33" t="str">
        <f t="shared" si="6"/>
        <v/>
      </c>
      <c r="AB214" s="37"/>
      <c r="AC214" s="29"/>
      <c r="AD214" s="29" t="b">
        <v>0</v>
      </c>
      <c r="AE214" s="22" t="str">
        <f t="shared" si="7"/>
        <v/>
      </c>
      <c r="AF214" s="7">
        <f>IF(ISBLANK(AB214), 0, VLOOKUP(AB214, 'Price Sheet'!$A$2:$B1015, 2, false))</f>
        <v>0</v>
      </c>
      <c r="AG214" s="33" t="str">
        <f t="shared" si="8"/>
        <v/>
      </c>
      <c r="AH214" s="37"/>
      <c r="AI214" s="29"/>
      <c r="AJ214" s="29" t="b">
        <v>0</v>
      </c>
      <c r="AK214" s="22" t="str">
        <f t="shared" si="9"/>
        <v/>
      </c>
      <c r="AL214" s="7">
        <f>IF(ISBLANK(AH214), 0, VLOOKUP(AH214, 'Price Sheet'!$A$2:$B1015, 2, false))</f>
        <v>0</v>
      </c>
      <c r="AM214" s="33" t="str">
        <f t="shared" si="10"/>
        <v/>
      </c>
      <c r="AN214" s="37"/>
      <c r="AO214" s="29"/>
      <c r="AP214" s="29" t="b">
        <v>0</v>
      </c>
      <c r="AQ214" s="22" t="str">
        <f t="shared" si="11"/>
        <v/>
      </c>
      <c r="AR214" s="7">
        <f>IF(ISBLANK(AN214), 0, VLOOKUP(AN214, 'Price Sheet'!$A$2:$B1015, 2, false))</f>
        <v>0</v>
      </c>
      <c r="AS214" s="33" t="str">
        <f t="shared" si="12"/>
        <v/>
      </c>
      <c r="AT214" s="37"/>
      <c r="AU214" s="29"/>
      <c r="AV214" s="29" t="b">
        <v>0</v>
      </c>
      <c r="AW214" s="22" t="str">
        <f t="shared" si="13"/>
        <v/>
      </c>
      <c r="AX214" s="7">
        <f>IF(ISBLANK(AT214), 0, VLOOKUP(AT214, 'Price Sheet'!$A$2:$B1015, 2, false))</f>
        <v>0</v>
      </c>
      <c r="AY214" s="33" t="str">
        <f t="shared" si="14"/>
        <v/>
      </c>
      <c r="AZ214" s="37"/>
      <c r="BA214" s="29"/>
      <c r="BB214" s="29" t="b">
        <v>0</v>
      </c>
      <c r="BC214" s="22" t="str">
        <f t="shared" si="15"/>
        <v/>
      </c>
      <c r="BD214" s="7">
        <f>IF(ISBLANK(AZ214), 0, VLOOKUP(AZ214, 'Price Sheet'!$A$2:$B1015, 2, false))</f>
        <v>0</v>
      </c>
      <c r="BE214" s="33" t="str">
        <f t="shared" si="16"/>
        <v/>
      </c>
      <c r="BF214" s="37"/>
      <c r="BG214" s="29"/>
      <c r="BH214" s="29" t="b">
        <v>0</v>
      </c>
      <c r="BI214" s="22" t="str">
        <f t="shared" si="17"/>
        <v/>
      </c>
      <c r="BJ214" s="7">
        <f>IF(ISBLANK(BF214), 0, VLOOKUP(BF214, 'Price Sheet'!$A$2:$B1015, 2, false))</f>
        <v>0</v>
      </c>
      <c r="BK214" s="33" t="str">
        <f t="shared" si="18"/>
        <v/>
      </c>
      <c r="BL214" s="37"/>
      <c r="BM214" s="29"/>
      <c r="BN214" s="29" t="b">
        <v>0</v>
      </c>
      <c r="BO214" s="22" t="str">
        <f t="shared" si="19"/>
        <v/>
      </c>
      <c r="BP214" s="7">
        <f>IF(ISBLANK(BL214), 0, VLOOKUP(BL214, 'Price Sheet'!$A$2:$B1015, 2, false))</f>
        <v>0</v>
      </c>
      <c r="BQ214" s="33" t="str">
        <f t="shared" si="20"/>
        <v/>
      </c>
    </row>
    <row r="215">
      <c r="B215" s="19">
        <f t="shared" si="1"/>
        <v>0</v>
      </c>
      <c r="C215" s="29"/>
      <c r="D215" s="29"/>
      <c r="E215" s="7" t="str">
        <f>IF(ISBLANK(D215), "", VLOOKUP(D215,'Crafting Tables'!$A$2:$B1015, 2, false))</f>
        <v/>
      </c>
      <c r="F215" s="7" t="str">
        <f>IFERROR(IF(E215 = "None", 1, VLOOKUP(C215,General!$A$5:$L$35, SWITCH(E215, "Basic", 8, "Advanced", 10, "Modern", 12), false)),"")</f>
        <v/>
      </c>
      <c r="G215" s="29"/>
      <c r="H215" s="7">
        <f>IFERROR(VLOOKUP(C215, General!$A$5:$L$35, 6, false) * G215 / 1000, 0)</f>
        <v>0</v>
      </c>
      <c r="I215" s="29"/>
      <c r="J215" s="22" t="str">
        <f>IFERROR(I215*VLOOKUP(D215,'Crafting Tables'!$1:$1000, 4, false)*F215,"")</f>
        <v/>
      </c>
      <c r="K215" s="29" t="b">
        <v>0</v>
      </c>
      <c r="L215" s="37"/>
      <c r="M215" s="29"/>
      <c r="N215" s="21" t="str">
        <f t="shared" si="2"/>
        <v/>
      </c>
      <c r="P215" s="37"/>
      <c r="Q215" s="29"/>
      <c r="R215" s="29" t="b">
        <v>0</v>
      </c>
      <c r="S215" s="22" t="str">
        <f t="shared" si="3"/>
        <v/>
      </c>
      <c r="T215" s="7">
        <f>IF(ISBLANK(P215), 0, VLOOKUP(P215, 'Price Sheet'!$A$2:$B1015, 2, false))</f>
        <v>0</v>
      </c>
      <c r="U215" s="33" t="str">
        <f t="shared" si="4"/>
        <v/>
      </c>
      <c r="V215" s="37"/>
      <c r="W215" s="29"/>
      <c r="X215" s="29" t="b">
        <v>0</v>
      </c>
      <c r="Y215" s="22" t="str">
        <f t="shared" si="5"/>
        <v/>
      </c>
      <c r="Z215" s="7">
        <f>IF(ISBLANK(V215), 0, VLOOKUP(V215, 'Price Sheet'!$A$2:$B1015, 2, false))</f>
        <v>0</v>
      </c>
      <c r="AA215" s="33" t="str">
        <f t="shared" si="6"/>
        <v/>
      </c>
      <c r="AB215" s="37"/>
      <c r="AC215" s="29"/>
      <c r="AD215" s="29" t="b">
        <v>0</v>
      </c>
      <c r="AE215" s="22" t="str">
        <f t="shared" si="7"/>
        <v/>
      </c>
      <c r="AF215" s="7">
        <f>IF(ISBLANK(AB215), 0, VLOOKUP(AB215, 'Price Sheet'!$A$2:$B1015, 2, false))</f>
        <v>0</v>
      </c>
      <c r="AG215" s="33" t="str">
        <f t="shared" si="8"/>
        <v/>
      </c>
      <c r="AH215" s="37"/>
      <c r="AI215" s="29"/>
      <c r="AJ215" s="29" t="b">
        <v>0</v>
      </c>
      <c r="AK215" s="22" t="str">
        <f t="shared" si="9"/>
        <v/>
      </c>
      <c r="AL215" s="7">
        <f>IF(ISBLANK(AH215), 0, VLOOKUP(AH215, 'Price Sheet'!$A$2:$B1015, 2, false))</f>
        <v>0</v>
      </c>
      <c r="AM215" s="33" t="str">
        <f t="shared" si="10"/>
        <v/>
      </c>
      <c r="AN215" s="37"/>
      <c r="AO215" s="29"/>
      <c r="AP215" s="29" t="b">
        <v>0</v>
      </c>
      <c r="AQ215" s="22" t="str">
        <f t="shared" si="11"/>
        <v/>
      </c>
      <c r="AR215" s="7">
        <f>IF(ISBLANK(AN215), 0, VLOOKUP(AN215, 'Price Sheet'!$A$2:$B1015, 2, false))</f>
        <v>0</v>
      </c>
      <c r="AS215" s="33" t="str">
        <f t="shared" si="12"/>
        <v/>
      </c>
      <c r="AT215" s="37"/>
      <c r="AU215" s="29"/>
      <c r="AV215" s="29" t="b">
        <v>0</v>
      </c>
      <c r="AW215" s="22" t="str">
        <f t="shared" si="13"/>
        <v/>
      </c>
      <c r="AX215" s="7">
        <f>IF(ISBLANK(AT215), 0, VLOOKUP(AT215, 'Price Sheet'!$A$2:$B1015, 2, false))</f>
        <v>0</v>
      </c>
      <c r="AY215" s="33" t="str">
        <f t="shared" si="14"/>
        <v/>
      </c>
      <c r="AZ215" s="37"/>
      <c r="BA215" s="29"/>
      <c r="BB215" s="29" t="b">
        <v>0</v>
      </c>
      <c r="BC215" s="22" t="str">
        <f t="shared" si="15"/>
        <v/>
      </c>
      <c r="BD215" s="7">
        <f>IF(ISBLANK(AZ215), 0, VLOOKUP(AZ215, 'Price Sheet'!$A$2:$B1015, 2, false))</f>
        <v>0</v>
      </c>
      <c r="BE215" s="33" t="str">
        <f t="shared" si="16"/>
        <v/>
      </c>
      <c r="BF215" s="37"/>
      <c r="BG215" s="29"/>
      <c r="BH215" s="29" t="b">
        <v>0</v>
      </c>
      <c r="BI215" s="22" t="str">
        <f t="shared" si="17"/>
        <v/>
      </c>
      <c r="BJ215" s="7">
        <f>IF(ISBLANK(BF215), 0, VLOOKUP(BF215, 'Price Sheet'!$A$2:$B1015, 2, false))</f>
        <v>0</v>
      </c>
      <c r="BK215" s="33" t="str">
        <f t="shared" si="18"/>
        <v/>
      </c>
      <c r="BL215" s="37"/>
      <c r="BM215" s="29"/>
      <c r="BN215" s="29" t="b">
        <v>0</v>
      </c>
      <c r="BO215" s="22" t="str">
        <f t="shared" si="19"/>
        <v/>
      </c>
      <c r="BP215" s="7">
        <f>IF(ISBLANK(BL215), 0, VLOOKUP(BL215, 'Price Sheet'!$A$2:$B1015, 2, false))</f>
        <v>0</v>
      </c>
      <c r="BQ215" s="33" t="str">
        <f t="shared" si="20"/>
        <v/>
      </c>
    </row>
    <row r="216">
      <c r="B216" s="19">
        <f t="shared" si="1"/>
        <v>0</v>
      </c>
      <c r="C216" s="29"/>
      <c r="D216" s="29"/>
      <c r="E216" s="7" t="str">
        <f>IF(ISBLANK(D216), "", VLOOKUP(D216,'Crafting Tables'!$A$2:$B1015, 2, false))</f>
        <v/>
      </c>
      <c r="F216" s="7" t="str">
        <f>IFERROR(IF(E216 = "None", 1, VLOOKUP(C216,General!$A$5:$L$35, SWITCH(E216, "Basic", 8, "Advanced", 10, "Modern", 12), false)),"")</f>
        <v/>
      </c>
      <c r="G216" s="29"/>
      <c r="H216" s="7">
        <f>IFERROR(VLOOKUP(C216, General!$A$5:$L$35, 6, false) * G216 / 1000, 0)</f>
        <v>0</v>
      </c>
      <c r="I216" s="29"/>
      <c r="J216" s="22" t="str">
        <f>IFERROR(I216*VLOOKUP(D216,'Crafting Tables'!$1:$1000, 4, false)*F216,"")</f>
        <v/>
      </c>
      <c r="K216" s="29" t="b">
        <v>0</v>
      </c>
      <c r="L216" s="37"/>
      <c r="M216" s="29"/>
      <c r="N216" s="21" t="str">
        <f t="shared" si="2"/>
        <v/>
      </c>
      <c r="P216" s="37"/>
      <c r="Q216" s="29"/>
      <c r="R216" s="29" t="b">
        <v>0</v>
      </c>
      <c r="S216" s="22" t="str">
        <f t="shared" si="3"/>
        <v/>
      </c>
      <c r="T216" s="7">
        <f>IF(ISBLANK(P216), 0, VLOOKUP(P216, 'Price Sheet'!$A$2:$B1015, 2, false))</f>
        <v>0</v>
      </c>
      <c r="U216" s="33" t="str">
        <f t="shared" si="4"/>
        <v/>
      </c>
      <c r="V216" s="37"/>
      <c r="W216" s="29"/>
      <c r="X216" s="29" t="b">
        <v>0</v>
      </c>
      <c r="Y216" s="22" t="str">
        <f t="shared" si="5"/>
        <v/>
      </c>
      <c r="Z216" s="7">
        <f>IF(ISBLANK(V216), 0, VLOOKUP(V216, 'Price Sheet'!$A$2:$B1015, 2, false))</f>
        <v>0</v>
      </c>
      <c r="AA216" s="33" t="str">
        <f t="shared" si="6"/>
        <v/>
      </c>
      <c r="AB216" s="37"/>
      <c r="AC216" s="29"/>
      <c r="AD216" s="29" t="b">
        <v>0</v>
      </c>
      <c r="AE216" s="22" t="str">
        <f t="shared" si="7"/>
        <v/>
      </c>
      <c r="AF216" s="7">
        <f>IF(ISBLANK(AB216), 0, VLOOKUP(AB216, 'Price Sheet'!$A$2:$B1015, 2, false))</f>
        <v>0</v>
      </c>
      <c r="AG216" s="33" t="str">
        <f t="shared" si="8"/>
        <v/>
      </c>
      <c r="AH216" s="37"/>
      <c r="AI216" s="29"/>
      <c r="AJ216" s="29" t="b">
        <v>0</v>
      </c>
      <c r="AK216" s="22" t="str">
        <f t="shared" si="9"/>
        <v/>
      </c>
      <c r="AL216" s="7">
        <f>IF(ISBLANK(AH216), 0, VLOOKUP(AH216, 'Price Sheet'!$A$2:$B1015, 2, false))</f>
        <v>0</v>
      </c>
      <c r="AM216" s="33" t="str">
        <f t="shared" si="10"/>
        <v/>
      </c>
      <c r="AN216" s="37"/>
      <c r="AO216" s="29"/>
      <c r="AP216" s="29" t="b">
        <v>0</v>
      </c>
      <c r="AQ216" s="22" t="str">
        <f t="shared" si="11"/>
        <v/>
      </c>
      <c r="AR216" s="7">
        <f>IF(ISBLANK(AN216), 0, VLOOKUP(AN216, 'Price Sheet'!$A$2:$B1015, 2, false))</f>
        <v>0</v>
      </c>
      <c r="AS216" s="33" t="str">
        <f t="shared" si="12"/>
        <v/>
      </c>
      <c r="AT216" s="37"/>
      <c r="AU216" s="29"/>
      <c r="AV216" s="29" t="b">
        <v>0</v>
      </c>
      <c r="AW216" s="22" t="str">
        <f t="shared" si="13"/>
        <v/>
      </c>
      <c r="AX216" s="7">
        <f>IF(ISBLANK(AT216), 0, VLOOKUP(AT216, 'Price Sheet'!$A$2:$B1015, 2, false))</f>
        <v>0</v>
      </c>
      <c r="AY216" s="33" t="str">
        <f t="shared" si="14"/>
        <v/>
      </c>
      <c r="AZ216" s="37"/>
      <c r="BA216" s="29"/>
      <c r="BB216" s="29" t="b">
        <v>0</v>
      </c>
      <c r="BC216" s="22" t="str">
        <f t="shared" si="15"/>
        <v/>
      </c>
      <c r="BD216" s="7">
        <f>IF(ISBLANK(AZ216), 0, VLOOKUP(AZ216, 'Price Sheet'!$A$2:$B1015, 2, false))</f>
        <v>0</v>
      </c>
      <c r="BE216" s="33" t="str">
        <f t="shared" si="16"/>
        <v/>
      </c>
      <c r="BF216" s="37"/>
      <c r="BG216" s="29"/>
      <c r="BH216" s="29" t="b">
        <v>0</v>
      </c>
      <c r="BI216" s="22" t="str">
        <f t="shared" si="17"/>
        <v/>
      </c>
      <c r="BJ216" s="7">
        <f>IF(ISBLANK(BF216), 0, VLOOKUP(BF216, 'Price Sheet'!$A$2:$B1015, 2, false))</f>
        <v>0</v>
      </c>
      <c r="BK216" s="33" t="str">
        <f t="shared" si="18"/>
        <v/>
      </c>
      <c r="BL216" s="37"/>
      <c r="BM216" s="29"/>
      <c r="BN216" s="29" t="b">
        <v>0</v>
      </c>
      <c r="BO216" s="22" t="str">
        <f t="shared" si="19"/>
        <v/>
      </c>
      <c r="BP216" s="7">
        <f>IF(ISBLANK(BL216), 0, VLOOKUP(BL216, 'Price Sheet'!$A$2:$B1015, 2, false))</f>
        <v>0</v>
      </c>
      <c r="BQ216" s="33" t="str">
        <f t="shared" si="20"/>
        <v/>
      </c>
    </row>
    <row r="217">
      <c r="B217" s="19">
        <f t="shared" si="1"/>
        <v>0</v>
      </c>
      <c r="C217" s="29"/>
      <c r="D217" s="29"/>
      <c r="E217" s="7" t="str">
        <f>IF(ISBLANK(D217), "", VLOOKUP(D217,'Crafting Tables'!$A$2:$B1015, 2, false))</f>
        <v/>
      </c>
      <c r="F217" s="7" t="str">
        <f>IFERROR(IF(E217 = "None", 1, VLOOKUP(C217,General!$A$5:$L$35, SWITCH(E217, "Basic", 8, "Advanced", 10, "Modern", 12), false)),"")</f>
        <v/>
      </c>
      <c r="G217" s="29"/>
      <c r="H217" s="7">
        <f>IFERROR(VLOOKUP(C217, General!$A$5:$L$35, 6, false) * G217 / 1000, 0)</f>
        <v>0</v>
      </c>
      <c r="I217" s="29"/>
      <c r="J217" s="22" t="str">
        <f>IFERROR(I217*VLOOKUP(D217,'Crafting Tables'!$1:$1000, 4, false)*F217,"")</f>
        <v/>
      </c>
      <c r="K217" s="29" t="b">
        <v>0</v>
      </c>
      <c r="L217" s="37"/>
      <c r="M217" s="29"/>
      <c r="N217" s="21" t="str">
        <f t="shared" si="2"/>
        <v/>
      </c>
      <c r="P217" s="37"/>
      <c r="Q217" s="29"/>
      <c r="R217" s="29" t="b">
        <v>0</v>
      </c>
      <c r="S217" s="22" t="str">
        <f t="shared" si="3"/>
        <v/>
      </c>
      <c r="T217" s="7">
        <f>IF(ISBLANK(P217), 0, VLOOKUP(P217, 'Price Sheet'!$A$2:$B1015, 2, false))</f>
        <v>0</v>
      </c>
      <c r="U217" s="33" t="str">
        <f t="shared" si="4"/>
        <v/>
      </c>
      <c r="V217" s="37"/>
      <c r="W217" s="29"/>
      <c r="X217" s="29" t="b">
        <v>0</v>
      </c>
      <c r="Y217" s="22" t="str">
        <f t="shared" si="5"/>
        <v/>
      </c>
      <c r="Z217" s="7">
        <f>IF(ISBLANK(V217), 0, VLOOKUP(V217, 'Price Sheet'!$A$2:$B1015, 2, false))</f>
        <v>0</v>
      </c>
      <c r="AA217" s="33" t="str">
        <f t="shared" si="6"/>
        <v/>
      </c>
      <c r="AB217" s="37"/>
      <c r="AC217" s="29"/>
      <c r="AD217" s="29" t="b">
        <v>0</v>
      </c>
      <c r="AE217" s="22" t="str">
        <f t="shared" si="7"/>
        <v/>
      </c>
      <c r="AF217" s="7">
        <f>IF(ISBLANK(AB217), 0, VLOOKUP(AB217, 'Price Sheet'!$A$2:$B1015, 2, false))</f>
        <v>0</v>
      </c>
      <c r="AG217" s="33" t="str">
        <f t="shared" si="8"/>
        <v/>
      </c>
      <c r="AH217" s="37"/>
      <c r="AI217" s="29"/>
      <c r="AJ217" s="29" t="b">
        <v>0</v>
      </c>
      <c r="AK217" s="22" t="str">
        <f t="shared" si="9"/>
        <v/>
      </c>
      <c r="AL217" s="7">
        <f>IF(ISBLANK(AH217), 0, VLOOKUP(AH217, 'Price Sheet'!$A$2:$B1015, 2, false))</f>
        <v>0</v>
      </c>
      <c r="AM217" s="33" t="str">
        <f t="shared" si="10"/>
        <v/>
      </c>
      <c r="AN217" s="37"/>
      <c r="AO217" s="29"/>
      <c r="AP217" s="29" t="b">
        <v>0</v>
      </c>
      <c r="AQ217" s="22" t="str">
        <f t="shared" si="11"/>
        <v/>
      </c>
      <c r="AR217" s="7">
        <f>IF(ISBLANK(AN217), 0, VLOOKUP(AN217, 'Price Sheet'!$A$2:$B1015, 2, false))</f>
        <v>0</v>
      </c>
      <c r="AS217" s="33" t="str">
        <f t="shared" si="12"/>
        <v/>
      </c>
      <c r="AT217" s="37"/>
      <c r="AU217" s="29"/>
      <c r="AV217" s="29" t="b">
        <v>0</v>
      </c>
      <c r="AW217" s="22" t="str">
        <f t="shared" si="13"/>
        <v/>
      </c>
      <c r="AX217" s="7">
        <f>IF(ISBLANK(AT217), 0, VLOOKUP(AT217, 'Price Sheet'!$A$2:$B1015, 2, false))</f>
        <v>0</v>
      </c>
      <c r="AY217" s="33" t="str">
        <f t="shared" si="14"/>
        <v/>
      </c>
      <c r="AZ217" s="37"/>
      <c r="BA217" s="29"/>
      <c r="BB217" s="29" t="b">
        <v>0</v>
      </c>
      <c r="BC217" s="22" t="str">
        <f t="shared" si="15"/>
        <v/>
      </c>
      <c r="BD217" s="7">
        <f>IF(ISBLANK(AZ217), 0, VLOOKUP(AZ217, 'Price Sheet'!$A$2:$B1015, 2, false))</f>
        <v>0</v>
      </c>
      <c r="BE217" s="33" t="str">
        <f t="shared" si="16"/>
        <v/>
      </c>
      <c r="BF217" s="37"/>
      <c r="BG217" s="29"/>
      <c r="BH217" s="29" t="b">
        <v>0</v>
      </c>
      <c r="BI217" s="22" t="str">
        <f t="shared" si="17"/>
        <v/>
      </c>
      <c r="BJ217" s="7">
        <f>IF(ISBLANK(BF217), 0, VLOOKUP(BF217, 'Price Sheet'!$A$2:$B1015, 2, false))</f>
        <v>0</v>
      </c>
      <c r="BK217" s="33" t="str">
        <f t="shared" si="18"/>
        <v/>
      </c>
      <c r="BL217" s="37"/>
      <c r="BM217" s="29"/>
      <c r="BN217" s="29" t="b">
        <v>0</v>
      </c>
      <c r="BO217" s="22" t="str">
        <f t="shared" si="19"/>
        <v/>
      </c>
      <c r="BP217" s="7">
        <f>IF(ISBLANK(BL217), 0, VLOOKUP(BL217, 'Price Sheet'!$A$2:$B1015, 2, false))</f>
        <v>0</v>
      </c>
      <c r="BQ217" s="33" t="str">
        <f t="shared" si="20"/>
        <v/>
      </c>
    </row>
    <row r="218">
      <c r="B218" s="19">
        <f t="shared" si="1"/>
        <v>0</v>
      </c>
      <c r="C218" s="29"/>
      <c r="D218" s="29"/>
      <c r="E218" s="7" t="str">
        <f>IF(ISBLANK(D218), "", VLOOKUP(D218,'Crafting Tables'!$A$2:$B1015, 2, false))</f>
        <v/>
      </c>
      <c r="F218" s="7" t="str">
        <f>IFERROR(IF(E218 = "None", 1, VLOOKUP(C218,General!$A$5:$L$35, SWITCH(E218, "Basic", 8, "Advanced", 10, "Modern", 12), false)),"")</f>
        <v/>
      </c>
      <c r="G218" s="29"/>
      <c r="H218" s="7">
        <f>IFERROR(VLOOKUP(C218, General!$A$5:$L$35, 6, false) * G218 / 1000, 0)</f>
        <v>0</v>
      </c>
      <c r="I218" s="29"/>
      <c r="J218" s="22" t="str">
        <f>IFERROR(I218*VLOOKUP(D218,'Crafting Tables'!$1:$1000, 4, false)*F218,"")</f>
        <v/>
      </c>
      <c r="K218" s="29" t="b">
        <v>0</v>
      </c>
      <c r="L218" s="37"/>
      <c r="M218" s="29"/>
      <c r="N218" s="21" t="str">
        <f t="shared" si="2"/>
        <v/>
      </c>
      <c r="P218" s="37"/>
      <c r="Q218" s="29"/>
      <c r="R218" s="29" t="b">
        <v>0</v>
      </c>
      <c r="S218" s="22" t="str">
        <f t="shared" si="3"/>
        <v/>
      </c>
      <c r="T218" s="7">
        <f>IF(ISBLANK(P218), 0, VLOOKUP(P218, 'Price Sheet'!$A$2:$B1015, 2, false))</f>
        <v>0</v>
      </c>
      <c r="U218" s="33" t="str">
        <f t="shared" si="4"/>
        <v/>
      </c>
      <c r="V218" s="37"/>
      <c r="W218" s="29"/>
      <c r="X218" s="29" t="b">
        <v>0</v>
      </c>
      <c r="Y218" s="22" t="str">
        <f t="shared" si="5"/>
        <v/>
      </c>
      <c r="Z218" s="7">
        <f>IF(ISBLANK(V218), 0, VLOOKUP(V218, 'Price Sheet'!$A$2:$B1015, 2, false))</f>
        <v>0</v>
      </c>
      <c r="AA218" s="33" t="str">
        <f t="shared" si="6"/>
        <v/>
      </c>
      <c r="AB218" s="37"/>
      <c r="AC218" s="29"/>
      <c r="AD218" s="29" t="b">
        <v>0</v>
      </c>
      <c r="AE218" s="22" t="str">
        <f t="shared" si="7"/>
        <v/>
      </c>
      <c r="AF218" s="7">
        <f>IF(ISBLANK(AB218), 0, VLOOKUP(AB218, 'Price Sheet'!$A$2:$B1015, 2, false))</f>
        <v>0</v>
      </c>
      <c r="AG218" s="33" t="str">
        <f t="shared" si="8"/>
        <v/>
      </c>
      <c r="AH218" s="37"/>
      <c r="AI218" s="29"/>
      <c r="AJ218" s="29" t="b">
        <v>0</v>
      </c>
      <c r="AK218" s="22" t="str">
        <f t="shared" si="9"/>
        <v/>
      </c>
      <c r="AL218" s="7">
        <f>IF(ISBLANK(AH218), 0, VLOOKUP(AH218, 'Price Sheet'!$A$2:$B1015, 2, false))</f>
        <v>0</v>
      </c>
      <c r="AM218" s="33" t="str">
        <f t="shared" si="10"/>
        <v/>
      </c>
      <c r="AN218" s="37"/>
      <c r="AO218" s="29"/>
      <c r="AP218" s="29" t="b">
        <v>0</v>
      </c>
      <c r="AQ218" s="22" t="str">
        <f t="shared" si="11"/>
        <v/>
      </c>
      <c r="AR218" s="7">
        <f>IF(ISBLANK(AN218), 0, VLOOKUP(AN218, 'Price Sheet'!$A$2:$B1015, 2, false))</f>
        <v>0</v>
      </c>
      <c r="AS218" s="33" t="str">
        <f t="shared" si="12"/>
        <v/>
      </c>
      <c r="AT218" s="37"/>
      <c r="AU218" s="29"/>
      <c r="AV218" s="29" t="b">
        <v>0</v>
      </c>
      <c r="AW218" s="22" t="str">
        <f t="shared" si="13"/>
        <v/>
      </c>
      <c r="AX218" s="7">
        <f>IF(ISBLANK(AT218), 0, VLOOKUP(AT218, 'Price Sheet'!$A$2:$B1015, 2, false))</f>
        <v>0</v>
      </c>
      <c r="AY218" s="33" t="str">
        <f t="shared" si="14"/>
        <v/>
      </c>
      <c r="AZ218" s="37"/>
      <c r="BA218" s="29"/>
      <c r="BB218" s="29" t="b">
        <v>0</v>
      </c>
      <c r="BC218" s="22" t="str">
        <f t="shared" si="15"/>
        <v/>
      </c>
      <c r="BD218" s="7">
        <f>IF(ISBLANK(AZ218), 0, VLOOKUP(AZ218, 'Price Sheet'!$A$2:$B1015, 2, false))</f>
        <v>0</v>
      </c>
      <c r="BE218" s="33" t="str">
        <f t="shared" si="16"/>
        <v/>
      </c>
      <c r="BF218" s="37"/>
      <c r="BG218" s="29"/>
      <c r="BH218" s="29" t="b">
        <v>0</v>
      </c>
      <c r="BI218" s="22" t="str">
        <f t="shared" si="17"/>
        <v/>
      </c>
      <c r="BJ218" s="7">
        <f>IF(ISBLANK(BF218), 0, VLOOKUP(BF218, 'Price Sheet'!$A$2:$B1015, 2, false))</f>
        <v>0</v>
      </c>
      <c r="BK218" s="33" t="str">
        <f t="shared" si="18"/>
        <v/>
      </c>
      <c r="BL218" s="37"/>
      <c r="BM218" s="29"/>
      <c r="BN218" s="29" t="b">
        <v>0</v>
      </c>
      <c r="BO218" s="22" t="str">
        <f t="shared" si="19"/>
        <v/>
      </c>
      <c r="BP218" s="7">
        <f>IF(ISBLANK(BL218), 0, VLOOKUP(BL218, 'Price Sheet'!$A$2:$B1015, 2, false))</f>
        <v>0</v>
      </c>
      <c r="BQ218" s="33" t="str">
        <f t="shared" si="20"/>
        <v/>
      </c>
    </row>
    <row r="219">
      <c r="B219" s="19">
        <f t="shared" si="1"/>
        <v>0</v>
      </c>
      <c r="C219" s="29"/>
      <c r="D219" s="29"/>
      <c r="E219" s="7" t="str">
        <f>IF(ISBLANK(D219), "", VLOOKUP(D219,'Crafting Tables'!$A$2:$B1015, 2, false))</f>
        <v/>
      </c>
      <c r="F219" s="7" t="str">
        <f>IFERROR(IF(E219 = "None", 1, VLOOKUP(C219,General!$A$5:$L$35, SWITCH(E219, "Basic", 8, "Advanced", 10, "Modern", 12), false)),"")</f>
        <v/>
      </c>
      <c r="G219" s="29"/>
      <c r="H219" s="7">
        <f>IFERROR(VLOOKUP(C219, General!$A$5:$L$35, 6, false) * G219 / 1000, 0)</f>
        <v>0</v>
      </c>
      <c r="I219" s="29"/>
      <c r="J219" s="22" t="str">
        <f>IFERROR(I219*VLOOKUP(D219,'Crafting Tables'!$1:$1000, 4, false)*F219,"")</f>
        <v/>
      </c>
      <c r="K219" s="29" t="b">
        <v>0</v>
      </c>
      <c r="L219" s="37"/>
      <c r="M219" s="29"/>
      <c r="N219" s="21" t="str">
        <f t="shared" si="2"/>
        <v/>
      </c>
      <c r="P219" s="37"/>
      <c r="Q219" s="29"/>
      <c r="R219" s="29" t="b">
        <v>0</v>
      </c>
      <c r="S219" s="22" t="str">
        <f t="shared" si="3"/>
        <v/>
      </c>
      <c r="T219" s="7">
        <f>IF(ISBLANK(P219), 0, VLOOKUP(P219, 'Price Sheet'!$A$2:$B1015, 2, false))</f>
        <v>0</v>
      </c>
      <c r="U219" s="33" t="str">
        <f t="shared" si="4"/>
        <v/>
      </c>
      <c r="V219" s="37"/>
      <c r="W219" s="29"/>
      <c r="X219" s="29" t="b">
        <v>0</v>
      </c>
      <c r="Y219" s="22" t="str">
        <f t="shared" si="5"/>
        <v/>
      </c>
      <c r="Z219" s="7">
        <f>IF(ISBLANK(V219), 0, VLOOKUP(V219, 'Price Sheet'!$A$2:$B1015, 2, false))</f>
        <v>0</v>
      </c>
      <c r="AA219" s="33" t="str">
        <f t="shared" si="6"/>
        <v/>
      </c>
      <c r="AB219" s="37"/>
      <c r="AC219" s="29"/>
      <c r="AD219" s="29" t="b">
        <v>0</v>
      </c>
      <c r="AE219" s="22" t="str">
        <f t="shared" si="7"/>
        <v/>
      </c>
      <c r="AF219" s="7">
        <f>IF(ISBLANK(AB219), 0, VLOOKUP(AB219, 'Price Sheet'!$A$2:$B1015, 2, false))</f>
        <v>0</v>
      </c>
      <c r="AG219" s="33" t="str">
        <f t="shared" si="8"/>
        <v/>
      </c>
      <c r="AH219" s="37"/>
      <c r="AI219" s="29"/>
      <c r="AJ219" s="29" t="b">
        <v>0</v>
      </c>
      <c r="AK219" s="22" t="str">
        <f t="shared" si="9"/>
        <v/>
      </c>
      <c r="AL219" s="7">
        <f>IF(ISBLANK(AH219), 0, VLOOKUP(AH219, 'Price Sheet'!$A$2:$B1015, 2, false))</f>
        <v>0</v>
      </c>
      <c r="AM219" s="33" t="str">
        <f t="shared" si="10"/>
        <v/>
      </c>
      <c r="AN219" s="37"/>
      <c r="AO219" s="29"/>
      <c r="AP219" s="29" t="b">
        <v>0</v>
      </c>
      <c r="AQ219" s="22" t="str">
        <f t="shared" si="11"/>
        <v/>
      </c>
      <c r="AR219" s="7">
        <f>IF(ISBLANK(AN219), 0, VLOOKUP(AN219, 'Price Sheet'!$A$2:$B1015, 2, false))</f>
        <v>0</v>
      </c>
      <c r="AS219" s="33" t="str">
        <f t="shared" si="12"/>
        <v/>
      </c>
      <c r="AT219" s="37"/>
      <c r="AU219" s="29"/>
      <c r="AV219" s="29" t="b">
        <v>0</v>
      </c>
      <c r="AW219" s="22" t="str">
        <f t="shared" si="13"/>
        <v/>
      </c>
      <c r="AX219" s="7">
        <f>IF(ISBLANK(AT219), 0, VLOOKUP(AT219, 'Price Sheet'!$A$2:$B1015, 2, false))</f>
        <v>0</v>
      </c>
      <c r="AY219" s="33" t="str">
        <f t="shared" si="14"/>
        <v/>
      </c>
      <c r="AZ219" s="37"/>
      <c r="BA219" s="29"/>
      <c r="BB219" s="29" t="b">
        <v>0</v>
      </c>
      <c r="BC219" s="22" t="str">
        <f t="shared" si="15"/>
        <v/>
      </c>
      <c r="BD219" s="7">
        <f>IF(ISBLANK(AZ219), 0, VLOOKUP(AZ219, 'Price Sheet'!$A$2:$B1015, 2, false))</f>
        <v>0</v>
      </c>
      <c r="BE219" s="33" t="str">
        <f t="shared" si="16"/>
        <v/>
      </c>
      <c r="BF219" s="37"/>
      <c r="BG219" s="29"/>
      <c r="BH219" s="29" t="b">
        <v>0</v>
      </c>
      <c r="BI219" s="22" t="str">
        <f t="shared" si="17"/>
        <v/>
      </c>
      <c r="BJ219" s="7">
        <f>IF(ISBLANK(BF219), 0, VLOOKUP(BF219, 'Price Sheet'!$A$2:$B1015, 2, false))</f>
        <v>0</v>
      </c>
      <c r="BK219" s="33" t="str">
        <f t="shared" si="18"/>
        <v/>
      </c>
      <c r="BL219" s="37"/>
      <c r="BM219" s="29"/>
      <c r="BN219" s="29" t="b">
        <v>0</v>
      </c>
      <c r="BO219" s="22" t="str">
        <f t="shared" si="19"/>
        <v/>
      </c>
      <c r="BP219" s="7">
        <f>IF(ISBLANK(BL219), 0, VLOOKUP(BL219, 'Price Sheet'!$A$2:$B1015, 2, false))</f>
        <v>0</v>
      </c>
      <c r="BQ219" s="33" t="str">
        <f t="shared" si="20"/>
        <v/>
      </c>
    </row>
    <row r="220">
      <c r="B220" s="19">
        <f t="shared" si="1"/>
        <v>0</v>
      </c>
      <c r="C220" s="29"/>
      <c r="D220" s="29"/>
      <c r="E220" s="7" t="str">
        <f>IF(ISBLANK(D220), "", VLOOKUP(D220,'Crafting Tables'!$A$2:$B1015, 2, false))</f>
        <v/>
      </c>
      <c r="F220" s="7" t="str">
        <f>IFERROR(IF(E220 = "None", 1, VLOOKUP(C220,General!$A$5:$L$35, SWITCH(E220, "Basic", 8, "Advanced", 10, "Modern", 12), false)),"")</f>
        <v/>
      </c>
      <c r="G220" s="29"/>
      <c r="H220" s="7">
        <f>IFERROR(VLOOKUP(C220, General!$A$5:$L$35, 6, false) * G220 / 1000, 0)</f>
        <v>0</v>
      </c>
      <c r="I220" s="29"/>
      <c r="J220" s="22" t="str">
        <f>IFERROR(I220*VLOOKUP(D220,'Crafting Tables'!$1:$1000, 4, false)*F220,"")</f>
        <v/>
      </c>
      <c r="K220" s="29" t="b">
        <v>0</v>
      </c>
      <c r="L220" s="37"/>
      <c r="M220" s="29"/>
      <c r="N220" s="21" t="str">
        <f t="shared" si="2"/>
        <v/>
      </c>
      <c r="P220" s="37"/>
      <c r="Q220" s="29"/>
      <c r="R220" s="29" t="b">
        <v>0</v>
      </c>
      <c r="S220" s="22" t="str">
        <f t="shared" si="3"/>
        <v/>
      </c>
      <c r="T220" s="7">
        <f>IF(ISBLANK(P220), 0, VLOOKUP(P220, 'Price Sheet'!$A$2:$B1015, 2, false))</f>
        <v>0</v>
      </c>
      <c r="U220" s="33" t="str">
        <f t="shared" si="4"/>
        <v/>
      </c>
      <c r="V220" s="37"/>
      <c r="W220" s="29"/>
      <c r="X220" s="29" t="b">
        <v>0</v>
      </c>
      <c r="Y220" s="22" t="str">
        <f t="shared" si="5"/>
        <v/>
      </c>
      <c r="Z220" s="7">
        <f>IF(ISBLANK(V220), 0, VLOOKUP(V220, 'Price Sheet'!$A$2:$B1015, 2, false))</f>
        <v>0</v>
      </c>
      <c r="AA220" s="33" t="str">
        <f t="shared" si="6"/>
        <v/>
      </c>
      <c r="AB220" s="37"/>
      <c r="AC220" s="29"/>
      <c r="AD220" s="29" t="b">
        <v>0</v>
      </c>
      <c r="AE220" s="22" t="str">
        <f t="shared" si="7"/>
        <v/>
      </c>
      <c r="AF220" s="7">
        <f>IF(ISBLANK(AB220), 0, VLOOKUP(AB220, 'Price Sheet'!$A$2:$B1015, 2, false))</f>
        <v>0</v>
      </c>
      <c r="AG220" s="33" t="str">
        <f t="shared" si="8"/>
        <v/>
      </c>
      <c r="AH220" s="37"/>
      <c r="AI220" s="29"/>
      <c r="AJ220" s="29" t="b">
        <v>0</v>
      </c>
      <c r="AK220" s="22" t="str">
        <f t="shared" si="9"/>
        <v/>
      </c>
      <c r="AL220" s="7">
        <f>IF(ISBLANK(AH220), 0, VLOOKUP(AH220, 'Price Sheet'!$A$2:$B1015, 2, false))</f>
        <v>0</v>
      </c>
      <c r="AM220" s="33" t="str">
        <f t="shared" si="10"/>
        <v/>
      </c>
      <c r="AN220" s="37"/>
      <c r="AO220" s="29"/>
      <c r="AP220" s="29" t="b">
        <v>0</v>
      </c>
      <c r="AQ220" s="22" t="str">
        <f t="shared" si="11"/>
        <v/>
      </c>
      <c r="AR220" s="7">
        <f>IF(ISBLANK(AN220), 0, VLOOKUP(AN220, 'Price Sheet'!$A$2:$B1015, 2, false))</f>
        <v>0</v>
      </c>
      <c r="AS220" s="33" t="str">
        <f t="shared" si="12"/>
        <v/>
      </c>
      <c r="AT220" s="37"/>
      <c r="AU220" s="29"/>
      <c r="AV220" s="29" t="b">
        <v>0</v>
      </c>
      <c r="AW220" s="22" t="str">
        <f t="shared" si="13"/>
        <v/>
      </c>
      <c r="AX220" s="7">
        <f>IF(ISBLANK(AT220), 0, VLOOKUP(AT220, 'Price Sheet'!$A$2:$B1015, 2, false))</f>
        <v>0</v>
      </c>
      <c r="AY220" s="33" t="str">
        <f t="shared" si="14"/>
        <v/>
      </c>
      <c r="AZ220" s="37"/>
      <c r="BA220" s="29"/>
      <c r="BB220" s="29" t="b">
        <v>0</v>
      </c>
      <c r="BC220" s="22" t="str">
        <f t="shared" si="15"/>
        <v/>
      </c>
      <c r="BD220" s="7">
        <f>IF(ISBLANK(AZ220), 0, VLOOKUP(AZ220, 'Price Sheet'!$A$2:$B1015, 2, false))</f>
        <v>0</v>
      </c>
      <c r="BE220" s="33" t="str">
        <f t="shared" si="16"/>
        <v/>
      </c>
      <c r="BF220" s="37"/>
      <c r="BG220" s="29"/>
      <c r="BH220" s="29" t="b">
        <v>0</v>
      </c>
      <c r="BI220" s="22" t="str">
        <f t="shared" si="17"/>
        <v/>
      </c>
      <c r="BJ220" s="7">
        <f>IF(ISBLANK(BF220), 0, VLOOKUP(BF220, 'Price Sheet'!$A$2:$B1015, 2, false))</f>
        <v>0</v>
      </c>
      <c r="BK220" s="33" t="str">
        <f t="shared" si="18"/>
        <v/>
      </c>
      <c r="BL220" s="37"/>
      <c r="BM220" s="29"/>
      <c r="BN220" s="29" t="b">
        <v>0</v>
      </c>
      <c r="BO220" s="22" t="str">
        <f t="shared" si="19"/>
        <v/>
      </c>
      <c r="BP220" s="7">
        <f>IF(ISBLANK(BL220), 0, VLOOKUP(BL220, 'Price Sheet'!$A$2:$B1015, 2, false))</f>
        <v>0</v>
      </c>
      <c r="BQ220" s="33" t="str">
        <f t="shared" si="20"/>
        <v/>
      </c>
    </row>
    <row r="221">
      <c r="B221" s="19">
        <f t="shared" si="1"/>
        <v>0</v>
      </c>
      <c r="C221" s="29"/>
      <c r="D221" s="29"/>
      <c r="E221" s="7" t="str">
        <f>IF(ISBLANK(D221), "", VLOOKUP(D221,'Crafting Tables'!$A$2:$B1015, 2, false))</f>
        <v/>
      </c>
      <c r="F221" s="7" t="str">
        <f>IFERROR(IF(E221 = "None", 1, VLOOKUP(C221,General!$A$5:$L$35, SWITCH(E221, "Basic", 8, "Advanced", 10, "Modern", 12), false)),"")</f>
        <v/>
      </c>
      <c r="G221" s="29"/>
      <c r="H221" s="7">
        <f>IFERROR(VLOOKUP(C221, General!$A$5:$L$35, 6, false) * G221 / 1000, 0)</f>
        <v>0</v>
      </c>
      <c r="I221" s="29"/>
      <c r="J221" s="22" t="str">
        <f>IFERROR(I221*VLOOKUP(D221,'Crafting Tables'!$1:$1000, 4, false)*F221,"")</f>
        <v/>
      </c>
      <c r="K221" s="29" t="b">
        <v>0</v>
      </c>
      <c r="L221" s="37"/>
      <c r="M221" s="29"/>
      <c r="N221" s="21" t="str">
        <f t="shared" si="2"/>
        <v/>
      </c>
      <c r="P221" s="37"/>
      <c r="Q221" s="29"/>
      <c r="R221" s="29" t="b">
        <v>0</v>
      </c>
      <c r="S221" s="22" t="str">
        <f t="shared" si="3"/>
        <v/>
      </c>
      <c r="T221" s="7">
        <f>IF(ISBLANK(P221), 0, VLOOKUP(P221, 'Price Sheet'!$A$2:$B1015, 2, false))</f>
        <v>0</v>
      </c>
      <c r="U221" s="33" t="str">
        <f t="shared" si="4"/>
        <v/>
      </c>
      <c r="V221" s="37"/>
      <c r="W221" s="29"/>
      <c r="X221" s="29" t="b">
        <v>0</v>
      </c>
      <c r="Y221" s="22" t="str">
        <f t="shared" si="5"/>
        <v/>
      </c>
      <c r="Z221" s="7">
        <f>IF(ISBLANK(V221), 0, VLOOKUP(V221, 'Price Sheet'!$A$2:$B1015, 2, false))</f>
        <v>0</v>
      </c>
      <c r="AA221" s="33" t="str">
        <f t="shared" si="6"/>
        <v/>
      </c>
      <c r="AB221" s="37"/>
      <c r="AC221" s="29"/>
      <c r="AD221" s="29" t="b">
        <v>0</v>
      </c>
      <c r="AE221" s="22" t="str">
        <f t="shared" si="7"/>
        <v/>
      </c>
      <c r="AF221" s="7">
        <f>IF(ISBLANK(AB221), 0, VLOOKUP(AB221, 'Price Sheet'!$A$2:$B1015, 2, false))</f>
        <v>0</v>
      </c>
      <c r="AG221" s="33" t="str">
        <f t="shared" si="8"/>
        <v/>
      </c>
      <c r="AH221" s="37"/>
      <c r="AI221" s="29"/>
      <c r="AJ221" s="29" t="b">
        <v>0</v>
      </c>
      <c r="AK221" s="22" t="str">
        <f t="shared" si="9"/>
        <v/>
      </c>
      <c r="AL221" s="7">
        <f>IF(ISBLANK(AH221), 0, VLOOKUP(AH221, 'Price Sheet'!$A$2:$B1015, 2, false))</f>
        <v>0</v>
      </c>
      <c r="AM221" s="33" t="str">
        <f t="shared" si="10"/>
        <v/>
      </c>
      <c r="AN221" s="37"/>
      <c r="AO221" s="29"/>
      <c r="AP221" s="29" t="b">
        <v>0</v>
      </c>
      <c r="AQ221" s="22" t="str">
        <f t="shared" si="11"/>
        <v/>
      </c>
      <c r="AR221" s="7">
        <f>IF(ISBLANK(AN221), 0, VLOOKUP(AN221, 'Price Sheet'!$A$2:$B1015, 2, false))</f>
        <v>0</v>
      </c>
      <c r="AS221" s="33" t="str">
        <f t="shared" si="12"/>
        <v/>
      </c>
      <c r="AT221" s="37"/>
      <c r="AU221" s="29"/>
      <c r="AV221" s="29" t="b">
        <v>0</v>
      </c>
      <c r="AW221" s="22" t="str">
        <f t="shared" si="13"/>
        <v/>
      </c>
      <c r="AX221" s="7">
        <f>IF(ISBLANK(AT221), 0, VLOOKUP(AT221, 'Price Sheet'!$A$2:$B1015, 2, false))</f>
        <v>0</v>
      </c>
      <c r="AY221" s="33" t="str">
        <f t="shared" si="14"/>
        <v/>
      </c>
      <c r="AZ221" s="37"/>
      <c r="BA221" s="29"/>
      <c r="BB221" s="29" t="b">
        <v>0</v>
      </c>
      <c r="BC221" s="22" t="str">
        <f t="shared" si="15"/>
        <v/>
      </c>
      <c r="BD221" s="7">
        <f>IF(ISBLANK(AZ221), 0, VLOOKUP(AZ221, 'Price Sheet'!$A$2:$B1015, 2, false))</f>
        <v>0</v>
      </c>
      <c r="BE221" s="33" t="str">
        <f t="shared" si="16"/>
        <v/>
      </c>
      <c r="BF221" s="37"/>
      <c r="BG221" s="29"/>
      <c r="BH221" s="29" t="b">
        <v>0</v>
      </c>
      <c r="BI221" s="22" t="str">
        <f t="shared" si="17"/>
        <v/>
      </c>
      <c r="BJ221" s="7">
        <f>IF(ISBLANK(BF221), 0, VLOOKUP(BF221, 'Price Sheet'!$A$2:$B1015, 2, false))</f>
        <v>0</v>
      </c>
      <c r="BK221" s="33" t="str">
        <f t="shared" si="18"/>
        <v/>
      </c>
      <c r="BL221" s="37"/>
      <c r="BM221" s="29"/>
      <c r="BN221" s="29" t="b">
        <v>0</v>
      </c>
      <c r="BO221" s="22" t="str">
        <f t="shared" si="19"/>
        <v/>
      </c>
      <c r="BP221" s="7">
        <f>IF(ISBLANK(BL221), 0, VLOOKUP(BL221, 'Price Sheet'!$A$2:$B1015, 2, false))</f>
        <v>0</v>
      </c>
      <c r="BQ221" s="33" t="str">
        <f t="shared" si="20"/>
        <v/>
      </c>
    </row>
    <row r="222">
      <c r="B222" s="19">
        <f t="shared" si="1"/>
        <v>0</v>
      </c>
      <c r="C222" s="29"/>
      <c r="D222" s="29"/>
      <c r="E222" s="7" t="str">
        <f>IF(ISBLANK(D222), "", VLOOKUP(D222,'Crafting Tables'!$A$2:$B1015, 2, false))</f>
        <v/>
      </c>
      <c r="F222" s="7" t="str">
        <f>IFERROR(IF(E222 = "None", 1, VLOOKUP(C222,General!$A$5:$L$35, SWITCH(E222, "Basic", 8, "Advanced", 10, "Modern", 12), false)),"")</f>
        <v/>
      </c>
      <c r="G222" s="29"/>
      <c r="H222" s="7">
        <f>IFERROR(VLOOKUP(C222, General!$A$5:$L$35, 6, false) * G222 / 1000, 0)</f>
        <v>0</v>
      </c>
      <c r="I222" s="29"/>
      <c r="J222" s="22" t="str">
        <f>IFERROR(I222*VLOOKUP(D222,'Crafting Tables'!$1:$1000, 4, false)*F222,"")</f>
        <v/>
      </c>
      <c r="K222" s="29" t="b">
        <v>0</v>
      </c>
      <c r="L222" s="37"/>
      <c r="M222" s="29"/>
      <c r="N222" s="21" t="str">
        <f t="shared" si="2"/>
        <v/>
      </c>
      <c r="P222" s="37"/>
      <c r="Q222" s="29"/>
      <c r="R222" s="29" t="b">
        <v>0</v>
      </c>
      <c r="S222" s="22" t="str">
        <f t="shared" si="3"/>
        <v/>
      </c>
      <c r="T222" s="7">
        <f>IF(ISBLANK(P222), 0, VLOOKUP(P222, 'Price Sheet'!$A$2:$B1015, 2, false))</f>
        <v>0</v>
      </c>
      <c r="U222" s="33" t="str">
        <f t="shared" si="4"/>
        <v/>
      </c>
      <c r="V222" s="37"/>
      <c r="W222" s="29"/>
      <c r="X222" s="29" t="b">
        <v>0</v>
      </c>
      <c r="Y222" s="22" t="str">
        <f t="shared" si="5"/>
        <v/>
      </c>
      <c r="Z222" s="7">
        <f>IF(ISBLANK(V222), 0, VLOOKUP(V222, 'Price Sheet'!$A$2:$B1015, 2, false))</f>
        <v>0</v>
      </c>
      <c r="AA222" s="33" t="str">
        <f t="shared" si="6"/>
        <v/>
      </c>
      <c r="AB222" s="37"/>
      <c r="AC222" s="29"/>
      <c r="AD222" s="29" t="b">
        <v>0</v>
      </c>
      <c r="AE222" s="22" t="str">
        <f t="shared" si="7"/>
        <v/>
      </c>
      <c r="AF222" s="7">
        <f>IF(ISBLANK(AB222), 0, VLOOKUP(AB222, 'Price Sheet'!$A$2:$B1015, 2, false))</f>
        <v>0</v>
      </c>
      <c r="AG222" s="33" t="str">
        <f t="shared" si="8"/>
        <v/>
      </c>
      <c r="AH222" s="37"/>
      <c r="AI222" s="29"/>
      <c r="AJ222" s="29" t="b">
        <v>0</v>
      </c>
      <c r="AK222" s="22" t="str">
        <f t="shared" si="9"/>
        <v/>
      </c>
      <c r="AL222" s="7">
        <f>IF(ISBLANK(AH222), 0, VLOOKUP(AH222, 'Price Sheet'!$A$2:$B1015, 2, false))</f>
        <v>0</v>
      </c>
      <c r="AM222" s="33" t="str">
        <f t="shared" si="10"/>
        <v/>
      </c>
      <c r="AN222" s="37"/>
      <c r="AO222" s="29"/>
      <c r="AP222" s="29" t="b">
        <v>0</v>
      </c>
      <c r="AQ222" s="22" t="str">
        <f t="shared" si="11"/>
        <v/>
      </c>
      <c r="AR222" s="7">
        <f>IF(ISBLANK(AN222), 0, VLOOKUP(AN222, 'Price Sheet'!$A$2:$B1015, 2, false))</f>
        <v>0</v>
      </c>
      <c r="AS222" s="33" t="str">
        <f t="shared" si="12"/>
        <v/>
      </c>
      <c r="AT222" s="37"/>
      <c r="AU222" s="29"/>
      <c r="AV222" s="29" t="b">
        <v>0</v>
      </c>
      <c r="AW222" s="22" t="str">
        <f t="shared" si="13"/>
        <v/>
      </c>
      <c r="AX222" s="7">
        <f>IF(ISBLANK(AT222), 0, VLOOKUP(AT222, 'Price Sheet'!$A$2:$B1015, 2, false))</f>
        <v>0</v>
      </c>
      <c r="AY222" s="33" t="str">
        <f t="shared" si="14"/>
        <v/>
      </c>
      <c r="AZ222" s="37"/>
      <c r="BA222" s="29"/>
      <c r="BB222" s="29" t="b">
        <v>0</v>
      </c>
      <c r="BC222" s="22" t="str">
        <f t="shared" si="15"/>
        <v/>
      </c>
      <c r="BD222" s="7">
        <f>IF(ISBLANK(AZ222), 0, VLOOKUP(AZ222, 'Price Sheet'!$A$2:$B1015, 2, false))</f>
        <v>0</v>
      </c>
      <c r="BE222" s="33" t="str">
        <f t="shared" si="16"/>
        <v/>
      </c>
      <c r="BF222" s="37"/>
      <c r="BG222" s="29"/>
      <c r="BH222" s="29" t="b">
        <v>0</v>
      </c>
      <c r="BI222" s="22" t="str">
        <f t="shared" si="17"/>
        <v/>
      </c>
      <c r="BJ222" s="7">
        <f>IF(ISBLANK(BF222), 0, VLOOKUP(BF222, 'Price Sheet'!$A$2:$B1015, 2, false))</f>
        <v>0</v>
      </c>
      <c r="BK222" s="33" t="str">
        <f t="shared" si="18"/>
        <v/>
      </c>
      <c r="BL222" s="37"/>
      <c r="BM222" s="29"/>
      <c r="BN222" s="29" t="b">
        <v>0</v>
      </c>
      <c r="BO222" s="22" t="str">
        <f t="shared" si="19"/>
        <v/>
      </c>
      <c r="BP222" s="7">
        <f>IF(ISBLANK(BL222), 0, VLOOKUP(BL222, 'Price Sheet'!$A$2:$B1015, 2, false))</f>
        <v>0</v>
      </c>
      <c r="BQ222" s="33" t="str">
        <f t="shared" si="20"/>
        <v/>
      </c>
    </row>
    <row r="223">
      <c r="B223" s="19">
        <f t="shared" si="1"/>
        <v>0</v>
      </c>
      <c r="C223" s="29"/>
      <c r="D223" s="29"/>
      <c r="E223" s="7" t="str">
        <f>IF(ISBLANK(D223), "", VLOOKUP(D223,'Crafting Tables'!$A$2:$B1015, 2, false))</f>
        <v/>
      </c>
      <c r="F223" s="7" t="str">
        <f>IFERROR(IF(E223 = "None", 1, VLOOKUP(C223,General!$A$5:$L$35, SWITCH(E223, "Basic", 8, "Advanced", 10, "Modern", 12), false)),"")</f>
        <v/>
      </c>
      <c r="G223" s="29"/>
      <c r="H223" s="7">
        <f>IFERROR(VLOOKUP(C223, General!$A$5:$L$35, 6, false) * G223 / 1000, 0)</f>
        <v>0</v>
      </c>
      <c r="I223" s="29"/>
      <c r="J223" s="22" t="str">
        <f>IFERROR(I223*VLOOKUP(D223,'Crafting Tables'!$1:$1000, 4, false)*F223,"")</f>
        <v/>
      </c>
      <c r="K223" s="29" t="b">
        <v>0</v>
      </c>
      <c r="L223" s="37"/>
      <c r="M223" s="29"/>
      <c r="N223" s="21" t="str">
        <f t="shared" si="2"/>
        <v/>
      </c>
      <c r="P223" s="37"/>
      <c r="Q223" s="29"/>
      <c r="R223" s="29" t="b">
        <v>0</v>
      </c>
      <c r="S223" s="22" t="str">
        <f t="shared" si="3"/>
        <v/>
      </c>
      <c r="T223" s="7">
        <f>IF(ISBLANK(P223), 0, VLOOKUP(P223, 'Price Sheet'!$A$2:$B1015, 2, false))</f>
        <v>0</v>
      </c>
      <c r="U223" s="33" t="str">
        <f t="shared" si="4"/>
        <v/>
      </c>
      <c r="V223" s="37"/>
      <c r="W223" s="29"/>
      <c r="X223" s="29" t="b">
        <v>0</v>
      </c>
      <c r="Y223" s="22" t="str">
        <f t="shared" si="5"/>
        <v/>
      </c>
      <c r="Z223" s="7">
        <f>IF(ISBLANK(V223), 0, VLOOKUP(V223, 'Price Sheet'!$A$2:$B1015, 2, false))</f>
        <v>0</v>
      </c>
      <c r="AA223" s="33" t="str">
        <f t="shared" si="6"/>
        <v/>
      </c>
      <c r="AB223" s="37"/>
      <c r="AC223" s="29"/>
      <c r="AD223" s="29" t="b">
        <v>0</v>
      </c>
      <c r="AE223" s="22" t="str">
        <f t="shared" si="7"/>
        <v/>
      </c>
      <c r="AF223" s="7">
        <f>IF(ISBLANK(AB223), 0, VLOOKUP(AB223, 'Price Sheet'!$A$2:$B1015, 2, false))</f>
        <v>0</v>
      </c>
      <c r="AG223" s="33" t="str">
        <f t="shared" si="8"/>
        <v/>
      </c>
      <c r="AH223" s="37"/>
      <c r="AI223" s="29"/>
      <c r="AJ223" s="29" t="b">
        <v>0</v>
      </c>
      <c r="AK223" s="22" t="str">
        <f t="shared" si="9"/>
        <v/>
      </c>
      <c r="AL223" s="7">
        <f>IF(ISBLANK(AH223), 0, VLOOKUP(AH223, 'Price Sheet'!$A$2:$B1015, 2, false))</f>
        <v>0</v>
      </c>
      <c r="AM223" s="33" t="str">
        <f t="shared" si="10"/>
        <v/>
      </c>
      <c r="AN223" s="37"/>
      <c r="AO223" s="29"/>
      <c r="AP223" s="29" t="b">
        <v>0</v>
      </c>
      <c r="AQ223" s="22" t="str">
        <f t="shared" si="11"/>
        <v/>
      </c>
      <c r="AR223" s="7">
        <f>IF(ISBLANK(AN223), 0, VLOOKUP(AN223, 'Price Sheet'!$A$2:$B1015, 2, false))</f>
        <v>0</v>
      </c>
      <c r="AS223" s="33" t="str">
        <f t="shared" si="12"/>
        <v/>
      </c>
      <c r="AT223" s="37"/>
      <c r="AU223" s="29"/>
      <c r="AV223" s="29" t="b">
        <v>0</v>
      </c>
      <c r="AW223" s="22" t="str">
        <f t="shared" si="13"/>
        <v/>
      </c>
      <c r="AX223" s="7">
        <f>IF(ISBLANK(AT223), 0, VLOOKUP(AT223, 'Price Sheet'!$A$2:$B1015, 2, false))</f>
        <v>0</v>
      </c>
      <c r="AY223" s="33" t="str">
        <f t="shared" si="14"/>
        <v/>
      </c>
      <c r="AZ223" s="37"/>
      <c r="BA223" s="29"/>
      <c r="BB223" s="29" t="b">
        <v>0</v>
      </c>
      <c r="BC223" s="22" t="str">
        <f t="shared" si="15"/>
        <v/>
      </c>
      <c r="BD223" s="7">
        <f>IF(ISBLANK(AZ223), 0, VLOOKUP(AZ223, 'Price Sheet'!$A$2:$B1015, 2, false))</f>
        <v>0</v>
      </c>
      <c r="BE223" s="33" t="str">
        <f t="shared" si="16"/>
        <v/>
      </c>
      <c r="BF223" s="37"/>
      <c r="BG223" s="29"/>
      <c r="BH223" s="29" t="b">
        <v>0</v>
      </c>
      <c r="BI223" s="22" t="str">
        <f t="shared" si="17"/>
        <v/>
      </c>
      <c r="BJ223" s="7">
        <f>IF(ISBLANK(BF223), 0, VLOOKUP(BF223, 'Price Sheet'!$A$2:$B1015, 2, false))</f>
        <v>0</v>
      </c>
      <c r="BK223" s="33" t="str">
        <f t="shared" si="18"/>
        <v/>
      </c>
      <c r="BL223" s="37"/>
      <c r="BM223" s="29"/>
      <c r="BN223" s="29" t="b">
        <v>0</v>
      </c>
      <c r="BO223" s="22" t="str">
        <f t="shared" si="19"/>
        <v/>
      </c>
      <c r="BP223" s="7">
        <f>IF(ISBLANK(BL223), 0, VLOOKUP(BL223, 'Price Sheet'!$A$2:$B1015, 2, false))</f>
        <v>0</v>
      </c>
      <c r="BQ223" s="33" t="str">
        <f t="shared" si="20"/>
        <v/>
      </c>
    </row>
    <row r="224">
      <c r="B224" s="19">
        <f t="shared" si="1"/>
        <v>0</v>
      </c>
      <c r="C224" s="29"/>
      <c r="D224" s="29"/>
      <c r="E224" s="7" t="str">
        <f>IF(ISBLANK(D224), "", VLOOKUP(D224,'Crafting Tables'!$A$2:$B1015, 2, false))</f>
        <v/>
      </c>
      <c r="F224" s="7" t="str">
        <f>IFERROR(IF(E224 = "None", 1, VLOOKUP(C224,General!$A$5:$L$35, SWITCH(E224, "Basic", 8, "Advanced", 10, "Modern", 12), false)),"")</f>
        <v/>
      </c>
      <c r="G224" s="29"/>
      <c r="H224" s="7">
        <f>IFERROR(VLOOKUP(C224, General!$A$5:$L$35, 6, false) * G224 / 1000, 0)</f>
        <v>0</v>
      </c>
      <c r="I224" s="29"/>
      <c r="J224" s="22" t="str">
        <f>IFERROR(I224*VLOOKUP(D224,'Crafting Tables'!$1:$1000, 4, false)*F224,"")</f>
        <v/>
      </c>
      <c r="K224" s="29" t="b">
        <v>0</v>
      </c>
      <c r="L224" s="37"/>
      <c r="M224" s="29"/>
      <c r="N224" s="21" t="str">
        <f t="shared" si="2"/>
        <v/>
      </c>
      <c r="P224" s="37"/>
      <c r="Q224" s="29"/>
      <c r="R224" s="29" t="b">
        <v>0</v>
      </c>
      <c r="S224" s="22" t="str">
        <f t="shared" si="3"/>
        <v/>
      </c>
      <c r="T224" s="7">
        <f>IF(ISBLANK(P224), 0, VLOOKUP(P224, 'Price Sheet'!$A$2:$B1015, 2, false))</f>
        <v>0</v>
      </c>
      <c r="U224" s="33" t="str">
        <f t="shared" si="4"/>
        <v/>
      </c>
      <c r="V224" s="37"/>
      <c r="W224" s="29"/>
      <c r="X224" s="29" t="b">
        <v>0</v>
      </c>
      <c r="Y224" s="22" t="str">
        <f t="shared" si="5"/>
        <v/>
      </c>
      <c r="Z224" s="7">
        <f>IF(ISBLANK(V224), 0, VLOOKUP(V224, 'Price Sheet'!$A$2:$B1015, 2, false))</f>
        <v>0</v>
      </c>
      <c r="AA224" s="33" t="str">
        <f t="shared" si="6"/>
        <v/>
      </c>
      <c r="AB224" s="37"/>
      <c r="AC224" s="29"/>
      <c r="AD224" s="29" t="b">
        <v>0</v>
      </c>
      <c r="AE224" s="22" t="str">
        <f t="shared" si="7"/>
        <v/>
      </c>
      <c r="AF224" s="7">
        <f>IF(ISBLANK(AB224), 0, VLOOKUP(AB224, 'Price Sheet'!$A$2:$B1015, 2, false))</f>
        <v>0</v>
      </c>
      <c r="AG224" s="33" t="str">
        <f t="shared" si="8"/>
        <v/>
      </c>
      <c r="AH224" s="37"/>
      <c r="AI224" s="29"/>
      <c r="AJ224" s="29" t="b">
        <v>0</v>
      </c>
      <c r="AK224" s="22" t="str">
        <f t="shared" si="9"/>
        <v/>
      </c>
      <c r="AL224" s="7">
        <f>IF(ISBLANK(AH224), 0, VLOOKUP(AH224, 'Price Sheet'!$A$2:$B1015, 2, false))</f>
        <v>0</v>
      </c>
      <c r="AM224" s="33" t="str">
        <f t="shared" si="10"/>
        <v/>
      </c>
      <c r="AN224" s="37"/>
      <c r="AO224" s="29"/>
      <c r="AP224" s="29" t="b">
        <v>0</v>
      </c>
      <c r="AQ224" s="22" t="str">
        <f t="shared" si="11"/>
        <v/>
      </c>
      <c r="AR224" s="7">
        <f>IF(ISBLANK(AN224), 0, VLOOKUP(AN224, 'Price Sheet'!$A$2:$B1015, 2, false))</f>
        <v>0</v>
      </c>
      <c r="AS224" s="33" t="str">
        <f t="shared" si="12"/>
        <v/>
      </c>
      <c r="AT224" s="37"/>
      <c r="AU224" s="29"/>
      <c r="AV224" s="29" t="b">
        <v>0</v>
      </c>
      <c r="AW224" s="22" t="str">
        <f t="shared" si="13"/>
        <v/>
      </c>
      <c r="AX224" s="7">
        <f>IF(ISBLANK(AT224), 0, VLOOKUP(AT224, 'Price Sheet'!$A$2:$B1015, 2, false))</f>
        <v>0</v>
      </c>
      <c r="AY224" s="33" t="str">
        <f t="shared" si="14"/>
        <v/>
      </c>
      <c r="AZ224" s="37"/>
      <c r="BA224" s="29"/>
      <c r="BB224" s="29" t="b">
        <v>0</v>
      </c>
      <c r="BC224" s="22" t="str">
        <f t="shared" si="15"/>
        <v/>
      </c>
      <c r="BD224" s="7">
        <f>IF(ISBLANK(AZ224), 0, VLOOKUP(AZ224, 'Price Sheet'!$A$2:$B1015, 2, false))</f>
        <v>0</v>
      </c>
      <c r="BE224" s="33" t="str">
        <f t="shared" si="16"/>
        <v/>
      </c>
      <c r="BF224" s="37"/>
      <c r="BG224" s="29"/>
      <c r="BH224" s="29" t="b">
        <v>0</v>
      </c>
      <c r="BI224" s="22" t="str">
        <f t="shared" si="17"/>
        <v/>
      </c>
      <c r="BJ224" s="7">
        <f>IF(ISBLANK(BF224), 0, VLOOKUP(BF224, 'Price Sheet'!$A$2:$B1015, 2, false))</f>
        <v>0</v>
      </c>
      <c r="BK224" s="33" t="str">
        <f t="shared" si="18"/>
        <v/>
      </c>
      <c r="BL224" s="37"/>
      <c r="BM224" s="29"/>
      <c r="BN224" s="29" t="b">
        <v>0</v>
      </c>
      <c r="BO224" s="22" t="str">
        <f t="shared" si="19"/>
        <v/>
      </c>
      <c r="BP224" s="7">
        <f>IF(ISBLANK(BL224), 0, VLOOKUP(BL224, 'Price Sheet'!$A$2:$B1015, 2, false))</f>
        <v>0</v>
      </c>
      <c r="BQ224" s="33" t="str">
        <f t="shared" si="20"/>
        <v/>
      </c>
    </row>
    <row r="225">
      <c r="B225" s="19">
        <f t="shared" si="1"/>
        <v>0</v>
      </c>
      <c r="C225" s="29"/>
      <c r="D225" s="29"/>
      <c r="E225" s="7" t="str">
        <f>IF(ISBLANK(D225), "", VLOOKUP(D225,'Crafting Tables'!$A$2:$B1015, 2, false))</f>
        <v/>
      </c>
      <c r="F225" s="7" t="str">
        <f>IFERROR(IF(E225 = "None", 1, VLOOKUP(C225,General!$A$5:$L$35, SWITCH(E225, "Basic", 8, "Advanced", 10, "Modern", 12), false)),"")</f>
        <v/>
      </c>
      <c r="G225" s="29"/>
      <c r="H225" s="7">
        <f>IFERROR(VLOOKUP(C225, General!$A$5:$L$35, 6, false) * G225 / 1000, 0)</f>
        <v>0</v>
      </c>
      <c r="I225" s="29"/>
      <c r="J225" s="22" t="str">
        <f>IFERROR(I225*VLOOKUP(D225,'Crafting Tables'!$1:$1000, 4, false)*F225,"")</f>
        <v/>
      </c>
      <c r="K225" s="29" t="b">
        <v>0</v>
      </c>
      <c r="L225" s="37"/>
      <c r="M225" s="29"/>
      <c r="N225" s="21" t="str">
        <f t="shared" si="2"/>
        <v/>
      </c>
      <c r="P225" s="37"/>
      <c r="Q225" s="29"/>
      <c r="R225" s="29" t="b">
        <v>0</v>
      </c>
      <c r="S225" s="22" t="str">
        <f t="shared" si="3"/>
        <v/>
      </c>
      <c r="T225" s="7">
        <f>IF(ISBLANK(P225), 0, VLOOKUP(P225, 'Price Sheet'!$A$2:$B1015, 2, false))</f>
        <v>0</v>
      </c>
      <c r="U225" s="33" t="str">
        <f t="shared" si="4"/>
        <v/>
      </c>
      <c r="V225" s="37"/>
      <c r="W225" s="29"/>
      <c r="X225" s="29" t="b">
        <v>0</v>
      </c>
      <c r="Y225" s="22" t="str">
        <f t="shared" si="5"/>
        <v/>
      </c>
      <c r="Z225" s="7">
        <f>IF(ISBLANK(V225), 0, VLOOKUP(V225, 'Price Sheet'!$A$2:$B1015, 2, false))</f>
        <v>0</v>
      </c>
      <c r="AA225" s="33" t="str">
        <f t="shared" si="6"/>
        <v/>
      </c>
      <c r="AB225" s="37"/>
      <c r="AC225" s="29"/>
      <c r="AD225" s="29" t="b">
        <v>0</v>
      </c>
      <c r="AE225" s="22" t="str">
        <f t="shared" si="7"/>
        <v/>
      </c>
      <c r="AF225" s="7">
        <f>IF(ISBLANK(AB225), 0, VLOOKUP(AB225, 'Price Sheet'!$A$2:$B1015, 2, false))</f>
        <v>0</v>
      </c>
      <c r="AG225" s="33" t="str">
        <f t="shared" si="8"/>
        <v/>
      </c>
      <c r="AH225" s="37"/>
      <c r="AI225" s="29"/>
      <c r="AJ225" s="29" t="b">
        <v>0</v>
      </c>
      <c r="AK225" s="22" t="str">
        <f t="shared" si="9"/>
        <v/>
      </c>
      <c r="AL225" s="7">
        <f>IF(ISBLANK(AH225), 0, VLOOKUP(AH225, 'Price Sheet'!$A$2:$B1015, 2, false))</f>
        <v>0</v>
      </c>
      <c r="AM225" s="33" t="str">
        <f t="shared" si="10"/>
        <v/>
      </c>
      <c r="AN225" s="37"/>
      <c r="AO225" s="29"/>
      <c r="AP225" s="29" t="b">
        <v>0</v>
      </c>
      <c r="AQ225" s="22" t="str">
        <f t="shared" si="11"/>
        <v/>
      </c>
      <c r="AR225" s="7">
        <f>IF(ISBLANK(AN225), 0, VLOOKUP(AN225, 'Price Sheet'!$A$2:$B1015, 2, false))</f>
        <v>0</v>
      </c>
      <c r="AS225" s="33" t="str">
        <f t="shared" si="12"/>
        <v/>
      </c>
      <c r="AT225" s="37"/>
      <c r="AU225" s="29"/>
      <c r="AV225" s="29" t="b">
        <v>0</v>
      </c>
      <c r="AW225" s="22" t="str">
        <f t="shared" si="13"/>
        <v/>
      </c>
      <c r="AX225" s="7">
        <f>IF(ISBLANK(AT225), 0, VLOOKUP(AT225, 'Price Sheet'!$A$2:$B1015, 2, false))</f>
        <v>0</v>
      </c>
      <c r="AY225" s="33" t="str">
        <f t="shared" si="14"/>
        <v/>
      </c>
      <c r="AZ225" s="37"/>
      <c r="BA225" s="29"/>
      <c r="BB225" s="29" t="b">
        <v>0</v>
      </c>
      <c r="BC225" s="22" t="str">
        <f t="shared" si="15"/>
        <v/>
      </c>
      <c r="BD225" s="7">
        <f>IF(ISBLANK(AZ225), 0, VLOOKUP(AZ225, 'Price Sheet'!$A$2:$B1015, 2, false))</f>
        <v>0</v>
      </c>
      <c r="BE225" s="33" t="str">
        <f t="shared" si="16"/>
        <v/>
      </c>
      <c r="BF225" s="37"/>
      <c r="BG225" s="29"/>
      <c r="BH225" s="29" t="b">
        <v>0</v>
      </c>
      <c r="BI225" s="22" t="str">
        <f t="shared" si="17"/>
        <v/>
      </c>
      <c r="BJ225" s="7">
        <f>IF(ISBLANK(BF225), 0, VLOOKUP(BF225, 'Price Sheet'!$A$2:$B1015, 2, false))</f>
        <v>0</v>
      </c>
      <c r="BK225" s="33" t="str">
        <f t="shared" si="18"/>
        <v/>
      </c>
      <c r="BL225" s="37"/>
      <c r="BM225" s="29"/>
      <c r="BN225" s="29" t="b">
        <v>0</v>
      </c>
      <c r="BO225" s="22" t="str">
        <f t="shared" si="19"/>
        <v/>
      </c>
      <c r="BP225" s="7">
        <f>IF(ISBLANK(BL225), 0, VLOOKUP(BL225, 'Price Sheet'!$A$2:$B1015, 2, false))</f>
        <v>0</v>
      </c>
      <c r="BQ225" s="33" t="str">
        <f t="shared" si="20"/>
        <v/>
      </c>
    </row>
    <row r="226">
      <c r="B226" s="19">
        <f t="shared" si="1"/>
        <v>0</v>
      </c>
      <c r="C226" s="29"/>
      <c r="D226" s="29"/>
      <c r="E226" s="7" t="str">
        <f>IF(ISBLANK(D226), "", VLOOKUP(D226,'Crafting Tables'!$A$2:$B1015, 2, false))</f>
        <v/>
      </c>
      <c r="F226" s="7" t="str">
        <f>IFERROR(IF(E226 = "None", 1, VLOOKUP(C226,General!$A$5:$L$35, SWITCH(E226, "Basic", 8, "Advanced", 10, "Modern", 12), false)),"")</f>
        <v/>
      </c>
      <c r="G226" s="29"/>
      <c r="H226" s="7">
        <f>IFERROR(VLOOKUP(C226, General!$A$5:$L$35, 6, false) * G226 / 1000, 0)</f>
        <v>0</v>
      </c>
      <c r="I226" s="29"/>
      <c r="J226" s="22" t="str">
        <f>IFERROR(I226*VLOOKUP(D226,'Crafting Tables'!$1:$1000, 4, false)*F226,"")</f>
        <v/>
      </c>
      <c r="K226" s="29" t="b">
        <v>0</v>
      </c>
      <c r="L226" s="37"/>
      <c r="M226" s="29"/>
      <c r="N226" s="21" t="str">
        <f t="shared" si="2"/>
        <v/>
      </c>
      <c r="P226" s="37"/>
      <c r="Q226" s="29"/>
      <c r="R226" s="29" t="b">
        <v>0</v>
      </c>
      <c r="S226" s="22" t="str">
        <f t="shared" si="3"/>
        <v/>
      </c>
      <c r="T226" s="7">
        <f>IF(ISBLANK(P226), 0, VLOOKUP(P226, 'Price Sheet'!$A$2:$B1015, 2, false))</f>
        <v>0</v>
      </c>
      <c r="U226" s="33" t="str">
        <f t="shared" si="4"/>
        <v/>
      </c>
      <c r="V226" s="37"/>
      <c r="W226" s="29"/>
      <c r="X226" s="29" t="b">
        <v>0</v>
      </c>
      <c r="Y226" s="22" t="str">
        <f t="shared" si="5"/>
        <v/>
      </c>
      <c r="Z226" s="7">
        <f>IF(ISBLANK(V226), 0, VLOOKUP(V226, 'Price Sheet'!$A$2:$B1015, 2, false))</f>
        <v>0</v>
      </c>
      <c r="AA226" s="33" t="str">
        <f t="shared" si="6"/>
        <v/>
      </c>
      <c r="AB226" s="37"/>
      <c r="AC226" s="29"/>
      <c r="AD226" s="29" t="b">
        <v>0</v>
      </c>
      <c r="AE226" s="22" t="str">
        <f t="shared" si="7"/>
        <v/>
      </c>
      <c r="AF226" s="7">
        <f>IF(ISBLANK(AB226), 0, VLOOKUP(AB226, 'Price Sheet'!$A$2:$B1015, 2, false))</f>
        <v>0</v>
      </c>
      <c r="AG226" s="33" t="str">
        <f t="shared" si="8"/>
        <v/>
      </c>
      <c r="AH226" s="37"/>
      <c r="AI226" s="29"/>
      <c r="AJ226" s="29" t="b">
        <v>0</v>
      </c>
      <c r="AK226" s="22" t="str">
        <f t="shared" si="9"/>
        <v/>
      </c>
      <c r="AL226" s="7">
        <f>IF(ISBLANK(AH226), 0, VLOOKUP(AH226, 'Price Sheet'!$A$2:$B1015, 2, false))</f>
        <v>0</v>
      </c>
      <c r="AM226" s="33" t="str">
        <f t="shared" si="10"/>
        <v/>
      </c>
      <c r="AN226" s="37"/>
      <c r="AO226" s="29"/>
      <c r="AP226" s="29" t="b">
        <v>0</v>
      </c>
      <c r="AQ226" s="22" t="str">
        <f t="shared" si="11"/>
        <v/>
      </c>
      <c r="AR226" s="7">
        <f>IF(ISBLANK(AN226), 0, VLOOKUP(AN226, 'Price Sheet'!$A$2:$B1015, 2, false))</f>
        <v>0</v>
      </c>
      <c r="AS226" s="33" t="str">
        <f t="shared" si="12"/>
        <v/>
      </c>
      <c r="AT226" s="37"/>
      <c r="AU226" s="29"/>
      <c r="AV226" s="29" t="b">
        <v>0</v>
      </c>
      <c r="AW226" s="22" t="str">
        <f t="shared" si="13"/>
        <v/>
      </c>
      <c r="AX226" s="7">
        <f>IF(ISBLANK(AT226), 0, VLOOKUP(AT226, 'Price Sheet'!$A$2:$B1015, 2, false))</f>
        <v>0</v>
      </c>
      <c r="AY226" s="33" t="str">
        <f t="shared" si="14"/>
        <v/>
      </c>
      <c r="AZ226" s="37"/>
      <c r="BA226" s="29"/>
      <c r="BB226" s="29" t="b">
        <v>0</v>
      </c>
      <c r="BC226" s="22" t="str">
        <f t="shared" si="15"/>
        <v/>
      </c>
      <c r="BD226" s="7">
        <f>IF(ISBLANK(AZ226), 0, VLOOKUP(AZ226, 'Price Sheet'!$A$2:$B1015, 2, false))</f>
        <v>0</v>
      </c>
      <c r="BE226" s="33" t="str">
        <f t="shared" si="16"/>
        <v/>
      </c>
      <c r="BF226" s="37"/>
      <c r="BG226" s="29"/>
      <c r="BH226" s="29" t="b">
        <v>0</v>
      </c>
      <c r="BI226" s="22" t="str">
        <f t="shared" si="17"/>
        <v/>
      </c>
      <c r="BJ226" s="7">
        <f>IF(ISBLANK(BF226), 0, VLOOKUP(BF226, 'Price Sheet'!$A$2:$B1015, 2, false))</f>
        <v>0</v>
      </c>
      <c r="BK226" s="33" t="str">
        <f t="shared" si="18"/>
        <v/>
      </c>
      <c r="BL226" s="37"/>
      <c r="BM226" s="29"/>
      <c r="BN226" s="29" t="b">
        <v>0</v>
      </c>
      <c r="BO226" s="22" t="str">
        <f t="shared" si="19"/>
        <v/>
      </c>
      <c r="BP226" s="7">
        <f>IF(ISBLANK(BL226), 0, VLOOKUP(BL226, 'Price Sheet'!$A$2:$B1015, 2, false))</f>
        <v>0</v>
      </c>
      <c r="BQ226" s="33" t="str">
        <f t="shared" si="20"/>
        <v/>
      </c>
    </row>
    <row r="227">
      <c r="B227" s="19">
        <f t="shared" si="1"/>
        <v>0</v>
      </c>
      <c r="C227" s="29"/>
      <c r="D227" s="29"/>
      <c r="E227" s="7" t="str">
        <f>IF(ISBLANK(D227), "", VLOOKUP(D227,'Crafting Tables'!$A$2:$B1015, 2, false))</f>
        <v/>
      </c>
      <c r="F227" s="7" t="str">
        <f>IFERROR(IF(E227 = "None", 1, VLOOKUP(C227,General!$A$5:$L$35, SWITCH(E227, "Basic", 8, "Advanced", 10, "Modern", 12), false)),"")</f>
        <v/>
      </c>
      <c r="G227" s="29"/>
      <c r="H227" s="7">
        <f>IFERROR(VLOOKUP(C227, General!$A$5:$L$35, 6, false) * G227 / 1000, 0)</f>
        <v>0</v>
      </c>
      <c r="I227" s="29"/>
      <c r="J227" s="22" t="str">
        <f>IFERROR(I227*VLOOKUP(D227,'Crafting Tables'!$1:$1000, 4, false)*F227,"")</f>
        <v/>
      </c>
      <c r="K227" s="29" t="b">
        <v>0</v>
      </c>
      <c r="L227" s="37"/>
      <c r="M227" s="29"/>
      <c r="N227" s="21" t="str">
        <f t="shared" si="2"/>
        <v/>
      </c>
      <c r="P227" s="37"/>
      <c r="Q227" s="29"/>
      <c r="R227" s="29" t="b">
        <v>0</v>
      </c>
      <c r="S227" s="22" t="str">
        <f t="shared" si="3"/>
        <v/>
      </c>
      <c r="T227" s="7">
        <f>IF(ISBLANK(P227), 0, VLOOKUP(P227, 'Price Sheet'!$A$2:$B1015, 2, false))</f>
        <v>0</v>
      </c>
      <c r="U227" s="33" t="str">
        <f t="shared" si="4"/>
        <v/>
      </c>
      <c r="V227" s="37"/>
      <c r="W227" s="29"/>
      <c r="X227" s="29" t="b">
        <v>0</v>
      </c>
      <c r="Y227" s="22" t="str">
        <f t="shared" si="5"/>
        <v/>
      </c>
      <c r="Z227" s="7">
        <f>IF(ISBLANK(V227), 0, VLOOKUP(V227, 'Price Sheet'!$A$2:$B1015, 2, false))</f>
        <v>0</v>
      </c>
      <c r="AA227" s="33" t="str">
        <f t="shared" si="6"/>
        <v/>
      </c>
      <c r="AB227" s="37"/>
      <c r="AC227" s="29"/>
      <c r="AD227" s="29" t="b">
        <v>0</v>
      </c>
      <c r="AE227" s="22" t="str">
        <f t="shared" si="7"/>
        <v/>
      </c>
      <c r="AF227" s="7">
        <f>IF(ISBLANK(AB227), 0, VLOOKUP(AB227, 'Price Sheet'!$A$2:$B1015, 2, false))</f>
        <v>0</v>
      </c>
      <c r="AG227" s="33" t="str">
        <f t="shared" si="8"/>
        <v/>
      </c>
      <c r="AH227" s="37"/>
      <c r="AI227" s="29"/>
      <c r="AJ227" s="29" t="b">
        <v>0</v>
      </c>
      <c r="AK227" s="22" t="str">
        <f t="shared" si="9"/>
        <v/>
      </c>
      <c r="AL227" s="7">
        <f>IF(ISBLANK(AH227), 0, VLOOKUP(AH227, 'Price Sheet'!$A$2:$B1015, 2, false))</f>
        <v>0</v>
      </c>
      <c r="AM227" s="33" t="str">
        <f t="shared" si="10"/>
        <v/>
      </c>
      <c r="AN227" s="37"/>
      <c r="AO227" s="29"/>
      <c r="AP227" s="29" t="b">
        <v>0</v>
      </c>
      <c r="AQ227" s="22" t="str">
        <f t="shared" si="11"/>
        <v/>
      </c>
      <c r="AR227" s="7">
        <f>IF(ISBLANK(AN227), 0, VLOOKUP(AN227, 'Price Sheet'!$A$2:$B1015, 2, false))</f>
        <v>0</v>
      </c>
      <c r="AS227" s="33" t="str">
        <f t="shared" si="12"/>
        <v/>
      </c>
      <c r="AT227" s="37"/>
      <c r="AU227" s="29"/>
      <c r="AV227" s="29" t="b">
        <v>0</v>
      </c>
      <c r="AW227" s="22" t="str">
        <f t="shared" si="13"/>
        <v/>
      </c>
      <c r="AX227" s="7">
        <f>IF(ISBLANK(AT227), 0, VLOOKUP(AT227, 'Price Sheet'!$A$2:$B1015, 2, false))</f>
        <v>0</v>
      </c>
      <c r="AY227" s="33" t="str">
        <f t="shared" si="14"/>
        <v/>
      </c>
      <c r="AZ227" s="37"/>
      <c r="BA227" s="29"/>
      <c r="BB227" s="29" t="b">
        <v>0</v>
      </c>
      <c r="BC227" s="22" t="str">
        <f t="shared" si="15"/>
        <v/>
      </c>
      <c r="BD227" s="7">
        <f>IF(ISBLANK(AZ227), 0, VLOOKUP(AZ227, 'Price Sheet'!$A$2:$B1015, 2, false))</f>
        <v>0</v>
      </c>
      <c r="BE227" s="33" t="str">
        <f t="shared" si="16"/>
        <v/>
      </c>
      <c r="BF227" s="37"/>
      <c r="BG227" s="29"/>
      <c r="BH227" s="29" t="b">
        <v>0</v>
      </c>
      <c r="BI227" s="22" t="str">
        <f t="shared" si="17"/>
        <v/>
      </c>
      <c r="BJ227" s="7">
        <f>IF(ISBLANK(BF227), 0, VLOOKUP(BF227, 'Price Sheet'!$A$2:$B1015, 2, false))</f>
        <v>0</v>
      </c>
      <c r="BK227" s="33" t="str">
        <f t="shared" si="18"/>
        <v/>
      </c>
      <c r="BL227" s="37"/>
      <c r="BM227" s="29"/>
      <c r="BN227" s="29" t="b">
        <v>0</v>
      </c>
      <c r="BO227" s="22" t="str">
        <f t="shared" si="19"/>
        <v/>
      </c>
      <c r="BP227" s="7">
        <f>IF(ISBLANK(BL227), 0, VLOOKUP(BL227, 'Price Sheet'!$A$2:$B1015, 2, false))</f>
        <v>0</v>
      </c>
      <c r="BQ227" s="33" t="str">
        <f t="shared" si="20"/>
        <v/>
      </c>
    </row>
    <row r="228">
      <c r="B228" s="19">
        <f t="shared" si="1"/>
        <v>0</v>
      </c>
      <c r="C228" s="29"/>
      <c r="D228" s="29"/>
      <c r="E228" s="7" t="str">
        <f>IF(ISBLANK(D228), "", VLOOKUP(D228,'Crafting Tables'!$A$2:$B1015, 2, false))</f>
        <v/>
      </c>
      <c r="F228" s="7" t="str">
        <f>IFERROR(IF(E228 = "None", 1, VLOOKUP(C228,General!$A$5:$L$35, SWITCH(E228, "Basic", 8, "Advanced", 10, "Modern", 12), false)),"")</f>
        <v/>
      </c>
      <c r="G228" s="29"/>
      <c r="H228" s="7">
        <f>IFERROR(VLOOKUP(C228, General!$A$5:$L$35, 6, false) * G228 / 1000, 0)</f>
        <v>0</v>
      </c>
      <c r="I228" s="29"/>
      <c r="J228" s="22" t="str">
        <f>IFERROR(I228*VLOOKUP(D228,'Crafting Tables'!$1:$1000, 4, false)*F228,"")</f>
        <v/>
      </c>
      <c r="K228" s="29" t="b">
        <v>0</v>
      </c>
      <c r="L228" s="37"/>
      <c r="M228" s="29"/>
      <c r="N228" s="21" t="str">
        <f t="shared" si="2"/>
        <v/>
      </c>
      <c r="P228" s="37"/>
      <c r="Q228" s="29"/>
      <c r="R228" s="29" t="b">
        <v>0</v>
      </c>
      <c r="S228" s="22" t="str">
        <f t="shared" si="3"/>
        <v/>
      </c>
      <c r="T228" s="7">
        <f>IF(ISBLANK(P228), 0, VLOOKUP(P228, 'Price Sheet'!$A$2:$B1015, 2, false))</f>
        <v>0</v>
      </c>
      <c r="U228" s="33" t="str">
        <f t="shared" si="4"/>
        <v/>
      </c>
      <c r="V228" s="37"/>
      <c r="W228" s="29"/>
      <c r="X228" s="29" t="b">
        <v>0</v>
      </c>
      <c r="Y228" s="22" t="str">
        <f t="shared" si="5"/>
        <v/>
      </c>
      <c r="Z228" s="7">
        <f>IF(ISBLANK(V228), 0, VLOOKUP(V228, 'Price Sheet'!$A$2:$B1015, 2, false))</f>
        <v>0</v>
      </c>
      <c r="AA228" s="33" t="str">
        <f t="shared" si="6"/>
        <v/>
      </c>
      <c r="AB228" s="37"/>
      <c r="AC228" s="29"/>
      <c r="AD228" s="29" t="b">
        <v>0</v>
      </c>
      <c r="AE228" s="22" t="str">
        <f t="shared" si="7"/>
        <v/>
      </c>
      <c r="AF228" s="7">
        <f>IF(ISBLANK(AB228), 0, VLOOKUP(AB228, 'Price Sheet'!$A$2:$B1015, 2, false))</f>
        <v>0</v>
      </c>
      <c r="AG228" s="33" t="str">
        <f t="shared" si="8"/>
        <v/>
      </c>
      <c r="AH228" s="37"/>
      <c r="AI228" s="29"/>
      <c r="AJ228" s="29" t="b">
        <v>0</v>
      </c>
      <c r="AK228" s="22" t="str">
        <f t="shared" si="9"/>
        <v/>
      </c>
      <c r="AL228" s="7">
        <f>IF(ISBLANK(AH228), 0, VLOOKUP(AH228, 'Price Sheet'!$A$2:$B1015, 2, false))</f>
        <v>0</v>
      </c>
      <c r="AM228" s="33" t="str">
        <f t="shared" si="10"/>
        <v/>
      </c>
      <c r="AN228" s="37"/>
      <c r="AO228" s="29"/>
      <c r="AP228" s="29" t="b">
        <v>0</v>
      </c>
      <c r="AQ228" s="22" t="str">
        <f t="shared" si="11"/>
        <v/>
      </c>
      <c r="AR228" s="7">
        <f>IF(ISBLANK(AN228), 0, VLOOKUP(AN228, 'Price Sheet'!$A$2:$B1015, 2, false))</f>
        <v>0</v>
      </c>
      <c r="AS228" s="33" t="str">
        <f t="shared" si="12"/>
        <v/>
      </c>
      <c r="AT228" s="37"/>
      <c r="AU228" s="29"/>
      <c r="AV228" s="29" t="b">
        <v>0</v>
      </c>
      <c r="AW228" s="22" t="str">
        <f t="shared" si="13"/>
        <v/>
      </c>
      <c r="AX228" s="7">
        <f>IF(ISBLANK(AT228), 0, VLOOKUP(AT228, 'Price Sheet'!$A$2:$B1015, 2, false))</f>
        <v>0</v>
      </c>
      <c r="AY228" s="33" t="str">
        <f t="shared" si="14"/>
        <v/>
      </c>
      <c r="AZ228" s="37"/>
      <c r="BA228" s="29"/>
      <c r="BB228" s="29" t="b">
        <v>0</v>
      </c>
      <c r="BC228" s="22" t="str">
        <f t="shared" si="15"/>
        <v/>
      </c>
      <c r="BD228" s="7">
        <f>IF(ISBLANK(AZ228), 0, VLOOKUP(AZ228, 'Price Sheet'!$A$2:$B1015, 2, false))</f>
        <v>0</v>
      </c>
      <c r="BE228" s="33" t="str">
        <f t="shared" si="16"/>
        <v/>
      </c>
      <c r="BF228" s="37"/>
      <c r="BG228" s="29"/>
      <c r="BH228" s="29" t="b">
        <v>0</v>
      </c>
      <c r="BI228" s="22" t="str">
        <f t="shared" si="17"/>
        <v/>
      </c>
      <c r="BJ228" s="7">
        <f>IF(ISBLANK(BF228), 0, VLOOKUP(BF228, 'Price Sheet'!$A$2:$B1015, 2, false))</f>
        <v>0</v>
      </c>
      <c r="BK228" s="33" t="str">
        <f t="shared" si="18"/>
        <v/>
      </c>
      <c r="BL228" s="37"/>
      <c r="BM228" s="29"/>
      <c r="BN228" s="29" t="b">
        <v>0</v>
      </c>
      <c r="BO228" s="22" t="str">
        <f t="shared" si="19"/>
        <v/>
      </c>
      <c r="BP228" s="7">
        <f>IF(ISBLANK(BL228), 0, VLOOKUP(BL228, 'Price Sheet'!$A$2:$B1015, 2, false))</f>
        <v>0</v>
      </c>
      <c r="BQ228" s="33" t="str">
        <f t="shared" si="20"/>
        <v/>
      </c>
    </row>
    <row r="229">
      <c r="B229" s="19">
        <f t="shared" si="1"/>
        <v>0</v>
      </c>
      <c r="C229" s="29"/>
      <c r="D229" s="29"/>
      <c r="E229" s="7" t="str">
        <f>IF(ISBLANK(D229), "", VLOOKUP(D229,'Crafting Tables'!$A$2:$B1015, 2, false))</f>
        <v/>
      </c>
      <c r="F229" s="7" t="str">
        <f>IFERROR(IF(E229 = "None", 1, VLOOKUP(C229,General!$A$5:$L$35, SWITCH(E229, "Basic", 8, "Advanced", 10, "Modern", 12), false)),"")</f>
        <v/>
      </c>
      <c r="G229" s="29"/>
      <c r="H229" s="7">
        <f>IFERROR(VLOOKUP(C229, General!$A$5:$L$35, 6, false) * G229 / 1000, 0)</f>
        <v>0</v>
      </c>
      <c r="I229" s="29"/>
      <c r="J229" s="22" t="str">
        <f>IFERROR(I229*VLOOKUP(D229,'Crafting Tables'!$1:$1000, 4, false)*F229,"")</f>
        <v/>
      </c>
      <c r="K229" s="29" t="b">
        <v>0</v>
      </c>
      <c r="L229" s="37"/>
      <c r="M229" s="29"/>
      <c r="N229" s="21" t="str">
        <f t="shared" si="2"/>
        <v/>
      </c>
      <c r="P229" s="37"/>
      <c r="Q229" s="29"/>
      <c r="R229" s="29" t="b">
        <v>0</v>
      </c>
      <c r="S229" s="22" t="str">
        <f t="shared" si="3"/>
        <v/>
      </c>
      <c r="T229" s="7">
        <f>IF(ISBLANK(P229), 0, VLOOKUP(P229, 'Price Sheet'!$A$2:$B1015, 2, false))</f>
        <v>0</v>
      </c>
      <c r="U229" s="33" t="str">
        <f t="shared" si="4"/>
        <v/>
      </c>
      <c r="V229" s="37"/>
      <c r="W229" s="29"/>
      <c r="X229" s="29" t="b">
        <v>0</v>
      </c>
      <c r="Y229" s="22" t="str">
        <f t="shared" si="5"/>
        <v/>
      </c>
      <c r="Z229" s="7">
        <f>IF(ISBLANK(V229), 0, VLOOKUP(V229, 'Price Sheet'!$A$2:$B1015, 2, false))</f>
        <v>0</v>
      </c>
      <c r="AA229" s="33" t="str">
        <f t="shared" si="6"/>
        <v/>
      </c>
      <c r="AB229" s="37"/>
      <c r="AC229" s="29"/>
      <c r="AD229" s="29" t="b">
        <v>0</v>
      </c>
      <c r="AE229" s="22" t="str">
        <f t="shared" si="7"/>
        <v/>
      </c>
      <c r="AF229" s="7">
        <f>IF(ISBLANK(AB229), 0, VLOOKUP(AB229, 'Price Sheet'!$A$2:$B1015, 2, false))</f>
        <v>0</v>
      </c>
      <c r="AG229" s="33" t="str">
        <f t="shared" si="8"/>
        <v/>
      </c>
      <c r="AH229" s="37"/>
      <c r="AI229" s="29"/>
      <c r="AJ229" s="29" t="b">
        <v>0</v>
      </c>
      <c r="AK229" s="22" t="str">
        <f t="shared" si="9"/>
        <v/>
      </c>
      <c r="AL229" s="7">
        <f>IF(ISBLANK(AH229), 0, VLOOKUP(AH229, 'Price Sheet'!$A$2:$B1015, 2, false))</f>
        <v>0</v>
      </c>
      <c r="AM229" s="33" t="str">
        <f t="shared" si="10"/>
        <v/>
      </c>
      <c r="AN229" s="37"/>
      <c r="AO229" s="29"/>
      <c r="AP229" s="29" t="b">
        <v>0</v>
      </c>
      <c r="AQ229" s="22" t="str">
        <f t="shared" si="11"/>
        <v/>
      </c>
      <c r="AR229" s="7">
        <f>IF(ISBLANK(AN229), 0, VLOOKUP(AN229, 'Price Sheet'!$A$2:$B1015, 2, false))</f>
        <v>0</v>
      </c>
      <c r="AS229" s="33" t="str">
        <f t="shared" si="12"/>
        <v/>
      </c>
      <c r="AT229" s="37"/>
      <c r="AU229" s="29"/>
      <c r="AV229" s="29" t="b">
        <v>0</v>
      </c>
      <c r="AW229" s="22" t="str">
        <f t="shared" si="13"/>
        <v/>
      </c>
      <c r="AX229" s="7">
        <f>IF(ISBLANK(AT229), 0, VLOOKUP(AT229, 'Price Sheet'!$A$2:$B1015, 2, false))</f>
        <v>0</v>
      </c>
      <c r="AY229" s="33" t="str">
        <f t="shared" si="14"/>
        <v/>
      </c>
      <c r="AZ229" s="37"/>
      <c r="BA229" s="29"/>
      <c r="BB229" s="29" t="b">
        <v>0</v>
      </c>
      <c r="BC229" s="22" t="str">
        <f t="shared" si="15"/>
        <v/>
      </c>
      <c r="BD229" s="7">
        <f>IF(ISBLANK(AZ229), 0, VLOOKUP(AZ229, 'Price Sheet'!$A$2:$B1015, 2, false))</f>
        <v>0</v>
      </c>
      <c r="BE229" s="33" t="str">
        <f t="shared" si="16"/>
        <v/>
      </c>
      <c r="BF229" s="37"/>
      <c r="BG229" s="29"/>
      <c r="BH229" s="29" t="b">
        <v>0</v>
      </c>
      <c r="BI229" s="22" t="str">
        <f t="shared" si="17"/>
        <v/>
      </c>
      <c r="BJ229" s="7">
        <f>IF(ISBLANK(BF229), 0, VLOOKUP(BF229, 'Price Sheet'!$A$2:$B1015, 2, false))</f>
        <v>0</v>
      </c>
      <c r="BK229" s="33" t="str">
        <f t="shared" si="18"/>
        <v/>
      </c>
      <c r="BL229" s="37"/>
      <c r="BM229" s="29"/>
      <c r="BN229" s="29" t="b">
        <v>0</v>
      </c>
      <c r="BO229" s="22" t="str">
        <f t="shared" si="19"/>
        <v/>
      </c>
      <c r="BP229" s="7">
        <f>IF(ISBLANK(BL229), 0, VLOOKUP(BL229, 'Price Sheet'!$A$2:$B1015, 2, false))</f>
        <v>0</v>
      </c>
      <c r="BQ229" s="33" t="str">
        <f t="shared" si="20"/>
        <v/>
      </c>
    </row>
    <row r="230">
      <c r="B230" s="19">
        <f t="shared" si="1"/>
        <v>0</v>
      </c>
      <c r="C230" s="29"/>
      <c r="D230" s="29"/>
      <c r="E230" s="7" t="str">
        <f>IF(ISBLANK(D230), "", VLOOKUP(D230,'Crafting Tables'!$A$2:$B1015, 2, false))</f>
        <v/>
      </c>
      <c r="F230" s="7" t="str">
        <f>IFERROR(IF(E230 = "None", 1, VLOOKUP(C230,General!$A$5:$L$35, SWITCH(E230, "Basic", 8, "Advanced", 10, "Modern", 12), false)),"")</f>
        <v/>
      </c>
      <c r="G230" s="29"/>
      <c r="H230" s="7">
        <f>IFERROR(VLOOKUP(C230, General!$A$5:$L$35, 6, false) * G230 / 1000, 0)</f>
        <v>0</v>
      </c>
      <c r="I230" s="29"/>
      <c r="J230" s="22" t="str">
        <f>IFERROR(I230*VLOOKUP(D230,'Crafting Tables'!$1:$1000, 4, false)*F230,"")</f>
        <v/>
      </c>
      <c r="K230" s="29" t="b">
        <v>0</v>
      </c>
      <c r="L230" s="37"/>
      <c r="M230" s="29"/>
      <c r="N230" s="21" t="str">
        <f t="shared" si="2"/>
        <v/>
      </c>
      <c r="P230" s="37"/>
      <c r="Q230" s="29"/>
      <c r="R230" s="29" t="b">
        <v>0</v>
      </c>
      <c r="S230" s="22" t="str">
        <f t="shared" si="3"/>
        <v/>
      </c>
      <c r="T230" s="7">
        <f>IF(ISBLANK(P230), 0, VLOOKUP(P230, 'Price Sheet'!$A$2:$B1015, 2, false))</f>
        <v>0</v>
      </c>
      <c r="U230" s="33" t="str">
        <f t="shared" si="4"/>
        <v/>
      </c>
      <c r="V230" s="37"/>
      <c r="W230" s="29"/>
      <c r="X230" s="29" t="b">
        <v>0</v>
      </c>
      <c r="Y230" s="22" t="str">
        <f t="shared" si="5"/>
        <v/>
      </c>
      <c r="Z230" s="7">
        <f>IF(ISBLANK(V230), 0, VLOOKUP(V230, 'Price Sheet'!$A$2:$B1015, 2, false))</f>
        <v>0</v>
      </c>
      <c r="AA230" s="33" t="str">
        <f t="shared" si="6"/>
        <v/>
      </c>
      <c r="AB230" s="37"/>
      <c r="AC230" s="29"/>
      <c r="AD230" s="29" t="b">
        <v>0</v>
      </c>
      <c r="AE230" s="22" t="str">
        <f t="shared" si="7"/>
        <v/>
      </c>
      <c r="AF230" s="7">
        <f>IF(ISBLANK(AB230), 0, VLOOKUP(AB230, 'Price Sheet'!$A$2:$B1015, 2, false))</f>
        <v>0</v>
      </c>
      <c r="AG230" s="33" t="str">
        <f t="shared" si="8"/>
        <v/>
      </c>
      <c r="AH230" s="37"/>
      <c r="AI230" s="29"/>
      <c r="AJ230" s="29" t="b">
        <v>0</v>
      </c>
      <c r="AK230" s="22" t="str">
        <f t="shared" si="9"/>
        <v/>
      </c>
      <c r="AL230" s="7">
        <f>IF(ISBLANK(AH230), 0, VLOOKUP(AH230, 'Price Sheet'!$A$2:$B1015, 2, false))</f>
        <v>0</v>
      </c>
      <c r="AM230" s="33" t="str">
        <f t="shared" si="10"/>
        <v/>
      </c>
      <c r="AN230" s="37"/>
      <c r="AO230" s="29"/>
      <c r="AP230" s="29" t="b">
        <v>0</v>
      </c>
      <c r="AQ230" s="22" t="str">
        <f t="shared" si="11"/>
        <v/>
      </c>
      <c r="AR230" s="7">
        <f>IF(ISBLANK(AN230), 0, VLOOKUP(AN230, 'Price Sheet'!$A$2:$B1015, 2, false))</f>
        <v>0</v>
      </c>
      <c r="AS230" s="33" t="str">
        <f t="shared" si="12"/>
        <v/>
      </c>
      <c r="AT230" s="37"/>
      <c r="AU230" s="29"/>
      <c r="AV230" s="29" t="b">
        <v>0</v>
      </c>
      <c r="AW230" s="22" t="str">
        <f t="shared" si="13"/>
        <v/>
      </c>
      <c r="AX230" s="7">
        <f>IF(ISBLANK(AT230), 0, VLOOKUP(AT230, 'Price Sheet'!$A$2:$B1015, 2, false))</f>
        <v>0</v>
      </c>
      <c r="AY230" s="33" t="str">
        <f t="shared" si="14"/>
        <v/>
      </c>
      <c r="AZ230" s="37"/>
      <c r="BA230" s="29"/>
      <c r="BB230" s="29" t="b">
        <v>0</v>
      </c>
      <c r="BC230" s="22" t="str">
        <f t="shared" si="15"/>
        <v/>
      </c>
      <c r="BD230" s="7">
        <f>IF(ISBLANK(AZ230), 0, VLOOKUP(AZ230, 'Price Sheet'!$A$2:$B1015, 2, false))</f>
        <v>0</v>
      </c>
      <c r="BE230" s="33" t="str">
        <f t="shared" si="16"/>
        <v/>
      </c>
      <c r="BF230" s="37"/>
      <c r="BG230" s="29"/>
      <c r="BH230" s="29" t="b">
        <v>0</v>
      </c>
      <c r="BI230" s="22" t="str">
        <f t="shared" si="17"/>
        <v/>
      </c>
      <c r="BJ230" s="7">
        <f>IF(ISBLANK(BF230), 0, VLOOKUP(BF230, 'Price Sheet'!$A$2:$B1015, 2, false))</f>
        <v>0</v>
      </c>
      <c r="BK230" s="33" t="str">
        <f t="shared" si="18"/>
        <v/>
      </c>
      <c r="BL230" s="37"/>
      <c r="BM230" s="29"/>
      <c r="BN230" s="29" t="b">
        <v>0</v>
      </c>
      <c r="BO230" s="22" t="str">
        <f t="shared" si="19"/>
        <v/>
      </c>
      <c r="BP230" s="7">
        <f>IF(ISBLANK(BL230), 0, VLOOKUP(BL230, 'Price Sheet'!$A$2:$B1015, 2, false))</f>
        <v>0</v>
      </c>
      <c r="BQ230" s="33" t="str">
        <f t="shared" si="20"/>
        <v/>
      </c>
    </row>
    <row r="231">
      <c r="B231" s="19">
        <f t="shared" si="1"/>
        <v>0</v>
      </c>
      <c r="C231" s="29"/>
      <c r="D231" s="29"/>
      <c r="E231" s="7" t="str">
        <f>IF(ISBLANK(D231), "", VLOOKUP(D231,'Crafting Tables'!$A$2:$B1015, 2, false))</f>
        <v/>
      </c>
      <c r="F231" s="7" t="str">
        <f>IFERROR(IF(E231 = "None", 1, VLOOKUP(C231,General!$A$5:$L$35, SWITCH(E231, "Basic", 8, "Advanced", 10, "Modern", 12), false)),"")</f>
        <v/>
      </c>
      <c r="G231" s="29"/>
      <c r="H231" s="7">
        <f>IFERROR(VLOOKUP(C231, General!$A$5:$L$35, 6, false) * G231 / 1000, 0)</f>
        <v>0</v>
      </c>
      <c r="I231" s="29"/>
      <c r="J231" s="22" t="str">
        <f>IFERROR(I231*VLOOKUP(D231,'Crafting Tables'!$1:$1000, 4, false)*F231,"")</f>
        <v/>
      </c>
      <c r="K231" s="29" t="b">
        <v>0</v>
      </c>
      <c r="L231" s="37"/>
      <c r="M231" s="29"/>
      <c r="N231" s="21" t="str">
        <f t="shared" si="2"/>
        <v/>
      </c>
      <c r="P231" s="37"/>
      <c r="Q231" s="29"/>
      <c r="R231" s="29" t="b">
        <v>0</v>
      </c>
      <c r="S231" s="22" t="str">
        <f t="shared" si="3"/>
        <v/>
      </c>
      <c r="T231" s="7">
        <f>IF(ISBLANK(P231), 0, VLOOKUP(P231, 'Price Sheet'!$A$2:$B1015, 2, false))</f>
        <v>0</v>
      </c>
      <c r="U231" s="33" t="str">
        <f t="shared" si="4"/>
        <v/>
      </c>
      <c r="V231" s="37"/>
      <c r="W231" s="29"/>
      <c r="X231" s="29" t="b">
        <v>0</v>
      </c>
      <c r="Y231" s="22" t="str">
        <f t="shared" si="5"/>
        <v/>
      </c>
      <c r="Z231" s="7">
        <f>IF(ISBLANK(V231), 0, VLOOKUP(V231, 'Price Sheet'!$A$2:$B1015, 2, false))</f>
        <v>0</v>
      </c>
      <c r="AA231" s="33" t="str">
        <f t="shared" si="6"/>
        <v/>
      </c>
      <c r="AB231" s="37"/>
      <c r="AC231" s="29"/>
      <c r="AD231" s="29" t="b">
        <v>0</v>
      </c>
      <c r="AE231" s="22" t="str">
        <f t="shared" si="7"/>
        <v/>
      </c>
      <c r="AF231" s="7">
        <f>IF(ISBLANK(AB231), 0, VLOOKUP(AB231, 'Price Sheet'!$A$2:$B1015, 2, false))</f>
        <v>0</v>
      </c>
      <c r="AG231" s="33" t="str">
        <f t="shared" si="8"/>
        <v/>
      </c>
      <c r="AH231" s="37"/>
      <c r="AI231" s="29"/>
      <c r="AJ231" s="29" t="b">
        <v>0</v>
      </c>
      <c r="AK231" s="22" t="str">
        <f t="shared" si="9"/>
        <v/>
      </c>
      <c r="AL231" s="7">
        <f>IF(ISBLANK(AH231), 0, VLOOKUP(AH231, 'Price Sheet'!$A$2:$B1015, 2, false))</f>
        <v>0</v>
      </c>
      <c r="AM231" s="33" t="str">
        <f t="shared" si="10"/>
        <v/>
      </c>
      <c r="AN231" s="37"/>
      <c r="AO231" s="29"/>
      <c r="AP231" s="29" t="b">
        <v>0</v>
      </c>
      <c r="AQ231" s="22" t="str">
        <f t="shared" si="11"/>
        <v/>
      </c>
      <c r="AR231" s="7">
        <f>IF(ISBLANK(AN231), 0, VLOOKUP(AN231, 'Price Sheet'!$A$2:$B1015, 2, false))</f>
        <v>0</v>
      </c>
      <c r="AS231" s="33" t="str">
        <f t="shared" si="12"/>
        <v/>
      </c>
      <c r="AT231" s="37"/>
      <c r="AU231" s="29"/>
      <c r="AV231" s="29" t="b">
        <v>0</v>
      </c>
      <c r="AW231" s="22" t="str">
        <f t="shared" si="13"/>
        <v/>
      </c>
      <c r="AX231" s="7">
        <f>IF(ISBLANK(AT231), 0, VLOOKUP(AT231, 'Price Sheet'!$A$2:$B1015, 2, false))</f>
        <v>0</v>
      </c>
      <c r="AY231" s="33" t="str">
        <f t="shared" si="14"/>
        <v/>
      </c>
      <c r="AZ231" s="37"/>
      <c r="BA231" s="29"/>
      <c r="BB231" s="29" t="b">
        <v>0</v>
      </c>
      <c r="BC231" s="22" t="str">
        <f t="shared" si="15"/>
        <v/>
      </c>
      <c r="BD231" s="7">
        <f>IF(ISBLANK(AZ231), 0, VLOOKUP(AZ231, 'Price Sheet'!$A$2:$B1015, 2, false))</f>
        <v>0</v>
      </c>
      <c r="BE231" s="33" t="str">
        <f t="shared" si="16"/>
        <v/>
      </c>
      <c r="BF231" s="37"/>
      <c r="BG231" s="29"/>
      <c r="BH231" s="29" t="b">
        <v>0</v>
      </c>
      <c r="BI231" s="22" t="str">
        <f t="shared" si="17"/>
        <v/>
      </c>
      <c r="BJ231" s="7">
        <f>IF(ISBLANK(BF231), 0, VLOOKUP(BF231, 'Price Sheet'!$A$2:$B1015, 2, false))</f>
        <v>0</v>
      </c>
      <c r="BK231" s="33" t="str">
        <f t="shared" si="18"/>
        <v/>
      </c>
      <c r="BL231" s="37"/>
      <c r="BM231" s="29"/>
      <c r="BN231" s="29" t="b">
        <v>0</v>
      </c>
      <c r="BO231" s="22" t="str">
        <f t="shared" si="19"/>
        <v/>
      </c>
      <c r="BP231" s="7">
        <f>IF(ISBLANK(BL231), 0, VLOOKUP(BL231, 'Price Sheet'!$A$2:$B1015, 2, false))</f>
        <v>0</v>
      </c>
      <c r="BQ231" s="33" t="str">
        <f t="shared" si="20"/>
        <v/>
      </c>
    </row>
    <row r="232">
      <c r="B232" s="19">
        <f t="shared" si="1"/>
        <v>0</v>
      </c>
      <c r="C232" s="29"/>
      <c r="D232" s="29"/>
      <c r="E232" s="7" t="str">
        <f>IF(ISBLANK(D232), "", VLOOKUP(D232,'Crafting Tables'!$A$2:$B1015, 2, false))</f>
        <v/>
      </c>
      <c r="F232" s="7" t="str">
        <f>IFERROR(IF(E232 = "None", 1, VLOOKUP(C232,General!$A$5:$L$35, SWITCH(E232, "Basic", 8, "Advanced", 10, "Modern", 12), false)),"")</f>
        <v/>
      </c>
      <c r="G232" s="29"/>
      <c r="H232" s="7">
        <f>IFERROR(VLOOKUP(C232, General!$A$5:$L$35, 6, false) * G232 / 1000, 0)</f>
        <v>0</v>
      </c>
      <c r="I232" s="29"/>
      <c r="J232" s="22" t="str">
        <f>IFERROR(I232*VLOOKUP(D232,'Crafting Tables'!$1:$1000, 4, false)*F232,"")</f>
        <v/>
      </c>
      <c r="K232" s="29" t="b">
        <v>0</v>
      </c>
      <c r="L232" s="37"/>
      <c r="M232" s="29"/>
      <c r="N232" s="21" t="str">
        <f t="shared" si="2"/>
        <v/>
      </c>
      <c r="P232" s="37"/>
      <c r="Q232" s="29"/>
      <c r="R232" s="29" t="b">
        <v>0</v>
      </c>
      <c r="S232" s="22" t="str">
        <f t="shared" si="3"/>
        <v/>
      </c>
      <c r="T232" s="7">
        <f>IF(ISBLANK(P232), 0, VLOOKUP(P232, 'Price Sheet'!$A$2:$B1015, 2, false))</f>
        <v>0</v>
      </c>
      <c r="U232" s="33" t="str">
        <f t="shared" si="4"/>
        <v/>
      </c>
      <c r="V232" s="37"/>
      <c r="W232" s="29"/>
      <c r="X232" s="29" t="b">
        <v>0</v>
      </c>
      <c r="Y232" s="22" t="str">
        <f t="shared" si="5"/>
        <v/>
      </c>
      <c r="Z232" s="7">
        <f>IF(ISBLANK(V232), 0, VLOOKUP(V232, 'Price Sheet'!$A$2:$B1015, 2, false))</f>
        <v>0</v>
      </c>
      <c r="AA232" s="33" t="str">
        <f t="shared" si="6"/>
        <v/>
      </c>
      <c r="AB232" s="37"/>
      <c r="AC232" s="29"/>
      <c r="AD232" s="29" t="b">
        <v>0</v>
      </c>
      <c r="AE232" s="22" t="str">
        <f t="shared" si="7"/>
        <v/>
      </c>
      <c r="AF232" s="7">
        <f>IF(ISBLANK(AB232), 0, VLOOKUP(AB232, 'Price Sheet'!$A$2:$B1015, 2, false))</f>
        <v>0</v>
      </c>
      <c r="AG232" s="33" t="str">
        <f t="shared" si="8"/>
        <v/>
      </c>
      <c r="AH232" s="37"/>
      <c r="AI232" s="29"/>
      <c r="AJ232" s="29" t="b">
        <v>0</v>
      </c>
      <c r="AK232" s="22" t="str">
        <f t="shared" si="9"/>
        <v/>
      </c>
      <c r="AL232" s="7">
        <f>IF(ISBLANK(AH232), 0, VLOOKUP(AH232, 'Price Sheet'!$A$2:$B1015, 2, false))</f>
        <v>0</v>
      </c>
      <c r="AM232" s="33" t="str">
        <f t="shared" si="10"/>
        <v/>
      </c>
      <c r="AN232" s="37"/>
      <c r="AO232" s="29"/>
      <c r="AP232" s="29" t="b">
        <v>0</v>
      </c>
      <c r="AQ232" s="22" t="str">
        <f t="shared" si="11"/>
        <v/>
      </c>
      <c r="AR232" s="7">
        <f>IF(ISBLANK(AN232), 0, VLOOKUP(AN232, 'Price Sheet'!$A$2:$B1015, 2, false))</f>
        <v>0</v>
      </c>
      <c r="AS232" s="33" t="str">
        <f t="shared" si="12"/>
        <v/>
      </c>
      <c r="AT232" s="37"/>
      <c r="AU232" s="29"/>
      <c r="AV232" s="29" t="b">
        <v>0</v>
      </c>
      <c r="AW232" s="22" t="str">
        <f t="shared" si="13"/>
        <v/>
      </c>
      <c r="AX232" s="7">
        <f>IF(ISBLANK(AT232), 0, VLOOKUP(AT232, 'Price Sheet'!$A$2:$B1015, 2, false))</f>
        <v>0</v>
      </c>
      <c r="AY232" s="33" t="str">
        <f t="shared" si="14"/>
        <v/>
      </c>
      <c r="AZ232" s="37"/>
      <c r="BA232" s="29"/>
      <c r="BB232" s="29" t="b">
        <v>0</v>
      </c>
      <c r="BC232" s="22" t="str">
        <f t="shared" si="15"/>
        <v/>
      </c>
      <c r="BD232" s="7">
        <f>IF(ISBLANK(AZ232), 0, VLOOKUP(AZ232, 'Price Sheet'!$A$2:$B1015, 2, false))</f>
        <v>0</v>
      </c>
      <c r="BE232" s="33" t="str">
        <f t="shared" si="16"/>
        <v/>
      </c>
      <c r="BF232" s="37"/>
      <c r="BG232" s="29"/>
      <c r="BH232" s="29" t="b">
        <v>0</v>
      </c>
      <c r="BI232" s="22" t="str">
        <f t="shared" si="17"/>
        <v/>
      </c>
      <c r="BJ232" s="7">
        <f>IF(ISBLANK(BF232), 0, VLOOKUP(BF232, 'Price Sheet'!$A$2:$B1015, 2, false))</f>
        <v>0</v>
      </c>
      <c r="BK232" s="33" t="str">
        <f t="shared" si="18"/>
        <v/>
      </c>
      <c r="BL232" s="37"/>
      <c r="BM232" s="29"/>
      <c r="BN232" s="29" t="b">
        <v>0</v>
      </c>
      <c r="BO232" s="22" t="str">
        <f t="shared" si="19"/>
        <v/>
      </c>
      <c r="BP232" s="7">
        <f>IF(ISBLANK(BL232), 0, VLOOKUP(BL232, 'Price Sheet'!$A$2:$B1015, 2, false))</f>
        <v>0</v>
      </c>
      <c r="BQ232" s="33" t="str">
        <f t="shared" si="20"/>
        <v/>
      </c>
    </row>
    <row r="233">
      <c r="B233" s="19">
        <f t="shared" si="1"/>
        <v>0</v>
      </c>
      <c r="C233" s="29"/>
      <c r="D233" s="29"/>
      <c r="E233" s="7" t="str">
        <f>IF(ISBLANK(D233), "", VLOOKUP(D233,'Crafting Tables'!$A$2:$B1015, 2, false))</f>
        <v/>
      </c>
      <c r="F233" s="7" t="str">
        <f>IFERROR(IF(E233 = "None", 1, VLOOKUP(C233,General!$A$5:$L$35, SWITCH(E233, "Basic", 8, "Advanced", 10, "Modern", 12), false)),"")</f>
        <v/>
      </c>
      <c r="G233" s="29"/>
      <c r="H233" s="7">
        <f>IFERROR(VLOOKUP(C233, General!$A$5:$L$35, 6, false) * G233 / 1000, 0)</f>
        <v>0</v>
      </c>
      <c r="I233" s="29"/>
      <c r="J233" s="22" t="str">
        <f>IFERROR(I233*VLOOKUP(D233,'Crafting Tables'!$1:$1000, 4, false)*F233,"")</f>
        <v/>
      </c>
      <c r="K233" s="29" t="b">
        <v>0</v>
      </c>
      <c r="L233" s="37"/>
      <c r="M233" s="29"/>
      <c r="N233" s="21" t="str">
        <f t="shared" si="2"/>
        <v/>
      </c>
      <c r="P233" s="37"/>
      <c r="Q233" s="29"/>
      <c r="R233" s="29" t="b">
        <v>0</v>
      </c>
      <c r="S233" s="22" t="str">
        <f t="shared" si="3"/>
        <v/>
      </c>
      <c r="T233" s="7">
        <f>IF(ISBLANK(P233), 0, VLOOKUP(P233, 'Price Sheet'!$A$2:$B1015, 2, false))</f>
        <v>0</v>
      </c>
      <c r="U233" s="33" t="str">
        <f t="shared" si="4"/>
        <v/>
      </c>
      <c r="V233" s="37"/>
      <c r="W233" s="29"/>
      <c r="X233" s="29" t="b">
        <v>0</v>
      </c>
      <c r="Y233" s="22" t="str">
        <f t="shared" si="5"/>
        <v/>
      </c>
      <c r="Z233" s="7">
        <f>IF(ISBLANK(V233), 0, VLOOKUP(V233, 'Price Sheet'!$A$2:$B1015, 2, false))</f>
        <v>0</v>
      </c>
      <c r="AA233" s="33" t="str">
        <f t="shared" si="6"/>
        <v/>
      </c>
      <c r="AB233" s="37"/>
      <c r="AC233" s="29"/>
      <c r="AD233" s="29" t="b">
        <v>0</v>
      </c>
      <c r="AE233" s="22" t="str">
        <f t="shared" si="7"/>
        <v/>
      </c>
      <c r="AF233" s="7">
        <f>IF(ISBLANK(AB233), 0, VLOOKUP(AB233, 'Price Sheet'!$A$2:$B1015, 2, false))</f>
        <v>0</v>
      </c>
      <c r="AG233" s="33" t="str">
        <f t="shared" si="8"/>
        <v/>
      </c>
      <c r="AH233" s="37"/>
      <c r="AI233" s="29"/>
      <c r="AJ233" s="29" t="b">
        <v>0</v>
      </c>
      <c r="AK233" s="22" t="str">
        <f t="shared" si="9"/>
        <v/>
      </c>
      <c r="AL233" s="7">
        <f>IF(ISBLANK(AH233), 0, VLOOKUP(AH233, 'Price Sheet'!$A$2:$B1015, 2, false))</f>
        <v>0</v>
      </c>
      <c r="AM233" s="33" t="str">
        <f t="shared" si="10"/>
        <v/>
      </c>
      <c r="AN233" s="37"/>
      <c r="AO233" s="29"/>
      <c r="AP233" s="29" t="b">
        <v>0</v>
      </c>
      <c r="AQ233" s="22" t="str">
        <f t="shared" si="11"/>
        <v/>
      </c>
      <c r="AR233" s="7">
        <f>IF(ISBLANK(AN233), 0, VLOOKUP(AN233, 'Price Sheet'!$A$2:$B1015, 2, false))</f>
        <v>0</v>
      </c>
      <c r="AS233" s="33" t="str">
        <f t="shared" si="12"/>
        <v/>
      </c>
      <c r="AT233" s="37"/>
      <c r="AU233" s="29"/>
      <c r="AV233" s="29" t="b">
        <v>0</v>
      </c>
      <c r="AW233" s="22" t="str">
        <f t="shared" si="13"/>
        <v/>
      </c>
      <c r="AX233" s="7">
        <f>IF(ISBLANK(AT233), 0, VLOOKUP(AT233, 'Price Sheet'!$A$2:$B1015, 2, false))</f>
        <v>0</v>
      </c>
      <c r="AY233" s="33" t="str">
        <f t="shared" si="14"/>
        <v/>
      </c>
      <c r="AZ233" s="37"/>
      <c r="BA233" s="29"/>
      <c r="BB233" s="29" t="b">
        <v>0</v>
      </c>
      <c r="BC233" s="22" t="str">
        <f t="shared" si="15"/>
        <v/>
      </c>
      <c r="BD233" s="7">
        <f>IF(ISBLANK(AZ233), 0, VLOOKUP(AZ233, 'Price Sheet'!$A$2:$B1015, 2, false))</f>
        <v>0</v>
      </c>
      <c r="BE233" s="33" t="str">
        <f t="shared" si="16"/>
        <v/>
      </c>
      <c r="BF233" s="37"/>
      <c r="BG233" s="29"/>
      <c r="BH233" s="29" t="b">
        <v>0</v>
      </c>
      <c r="BI233" s="22" t="str">
        <f t="shared" si="17"/>
        <v/>
      </c>
      <c r="BJ233" s="7">
        <f>IF(ISBLANK(BF233), 0, VLOOKUP(BF233, 'Price Sheet'!$A$2:$B1015, 2, false))</f>
        <v>0</v>
      </c>
      <c r="BK233" s="33" t="str">
        <f t="shared" si="18"/>
        <v/>
      </c>
      <c r="BL233" s="37"/>
      <c r="BM233" s="29"/>
      <c r="BN233" s="29" t="b">
        <v>0</v>
      </c>
      <c r="BO233" s="22" t="str">
        <f t="shared" si="19"/>
        <v/>
      </c>
      <c r="BP233" s="7">
        <f>IF(ISBLANK(BL233), 0, VLOOKUP(BL233, 'Price Sheet'!$A$2:$B1015, 2, false))</f>
        <v>0</v>
      </c>
      <c r="BQ233" s="33" t="str">
        <f t="shared" si="20"/>
        <v/>
      </c>
    </row>
    <row r="234">
      <c r="B234" s="19">
        <f t="shared" si="1"/>
        <v>0</v>
      </c>
      <c r="C234" s="29"/>
      <c r="D234" s="29"/>
      <c r="E234" s="7" t="str">
        <f>IF(ISBLANK(D234), "", VLOOKUP(D234,'Crafting Tables'!$A$2:$B1015, 2, false))</f>
        <v/>
      </c>
      <c r="F234" s="7" t="str">
        <f>IFERROR(IF(E234 = "None", 1, VLOOKUP(C234,General!$A$5:$L$35, SWITCH(E234, "Basic", 8, "Advanced", 10, "Modern", 12), false)),"")</f>
        <v/>
      </c>
      <c r="G234" s="29"/>
      <c r="H234" s="7">
        <f>IFERROR(VLOOKUP(C234, General!$A$5:$L$35, 6, false) * G234 / 1000, 0)</f>
        <v>0</v>
      </c>
      <c r="I234" s="29"/>
      <c r="J234" s="22" t="str">
        <f>IFERROR(I234*VLOOKUP(D234,'Crafting Tables'!$1:$1000, 4, false)*F234,"")</f>
        <v/>
      </c>
      <c r="K234" s="29" t="b">
        <v>0</v>
      </c>
      <c r="L234" s="37"/>
      <c r="M234" s="29"/>
      <c r="N234" s="21" t="str">
        <f t="shared" si="2"/>
        <v/>
      </c>
      <c r="P234" s="37"/>
      <c r="Q234" s="29"/>
      <c r="R234" s="29" t="b">
        <v>0</v>
      </c>
      <c r="S234" s="22" t="str">
        <f t="shared" si="3"/>
        <v/>
      </c>
      <c r="T234" s="7">
        <f>IF(ISBLANK(P234), 0, VLOOKUP(P234, 'Price Sheet'!$A$2:$B1015, 2, false))</f>
        <v>0</v>
      </c>
      <c r="U234" s="33" t="str">
        <f t="shared" si="4"/>
        <v/>
      </c>
      <c r="V234" s="37"/>
      <c r="W234" s="29"/>
      <c r="X234" s="29" t="b">
        <v>0</v>
      </c>
      <c r="Y234" s="22" t="str">
        <f t="shared" si="5"/>
        <v/>
      </c>
      <c r="Z234" s="7">
        <f>IF(ISBLANK(V234), 0, VLOOKUP(V234, 'Price Sheet'!$A$2:$B1015, 2, false))</f>
        <v>0</v>
      </c>
      <c r="AA234" s="33" t="str">
        <f t="shared" si="6"/>
        <v/>
      </c>
      <c r="AB234" s="37"/>
      <c r="AC234" s="29"/>
      <c r="AD234" s="29" t="b">
        <v>0</v>
      </c>
      <c r="AE234" s="22" t="str">
        <f t="shared" si="7"/>
        <v/>
      </c>
      <c r="AF234" s="7">
        <f>IF(ISBLANK(AB234), 0, VLOOKUP(AB234, 'Price Sheet'!$A$2:$B1015, 2, false))</f>
        <v>0</v>
      </c>
      <c r="AG234" s="33" t="str">
        <f t="shared" si="8"/>
        <v/>
      </c>
      <c r="AH234" s="37"/>
      <c r="AI234" s="29"/>
      <c r="AJ234" s="29" t="b">
        <v>0</v>
      </c>
      <c r="AK234" s="22" t="str">
        <f t="shared" si="9"/>
        <v/>
      </c>
      <c r="AL234" s="7">
        <f>IF(ISBLANK(AH234), 0, VLOOKUP(AH234, 'Price Sheet'!$A$2:$B1015, 2, false))</f>
        <v>0</v>
      </c>
      <c r="AM234" s="33" t="str">
        <f t="shared" si="10"/>
        <v/>
      </c>
      <c r="AN234" s="37"/>
      <c r="AO234" s="29"/>
      <c r="AP234" s="29" t="b">
        <v>0</v>
      </c>
      <c r="AQ234" s="22" t="str">
        <f t="shared" si="11"/>
        <v/>
      </c>
      <c r="AR234" s="7">
        <f>IF(ISBLANK(AN234), 0, VLOOKUP(AN234, 'Price Sheet'!$A$2:$B1015, 2, false))</f>
        <v>0</v>
      </c>
      <c r="AS234" s="33" t="str">
        <f t="shared" si="12"/>
        <v/>
      </c>
      <c r="AT234" s="37"/>
      <c r="AU234" s="29"/>
      <c r="AV234" s="29" t="b">
        <v>0</v>
      </c>
      <c r="AW234" s="22" t="str">
        <f t="shared" si="13"/>
        <v/>
      </c>
      <c r="AX234" s="7">
        <f>IF(ISBLANK(AT234), 0, VLOOKUP(AT234, 'Price Sheet'!$A$2:$B1015, 2, false))</f>
        <v>0</v>
      </c>
      <c r="AY234" s="33" t="str">
        <f t="shared" si="14"/>
        <v/>
      </c>
      <c r="AZ234" s="37"/>
      <c r="BA234" s="29"/>
      <c r="BB234" s="29" t="b">
        <v>0</v>
      </c>
      <c r="BC234" s="22" t="str">
        <f t="shared" si="15"/>
        <v/>
      </c>
      <c r="BD234" s="7">
        <f>IF(ISBLANK(AZ234), 0, VLOOKUP(AZ234, 'Price Sheet'!$A$2:$B1015, 2, false))</f>
        <v>0</v>
      </c>
      <c r="BE234" s="33" t="str">
        <f t="shared" si="16"/>
        <v/>
      </c>
      <c r="BF234" s="37"/>
      <c r="BG234" s="29"/>
      <c r="BH234" s="29" t="b">
        <v>0</v>
      </c>
      <c r="BI234" s="22" t="str">
        <f t="shared" si="17"/>
        <v/>
      </c>
      <c r="BJ234" s="7">
        <f>IF(ISBLANK(BF234), 0, VLOOKUP(BF234, 'Price Sheet'!$A$2:$B1015, 2, false))</f>
        <v>0</v>
      </c>
      <c r="BK234" s="33" t="str">
        <f t="shared" si="18"/>
        <v/>
      </c>
      <c r="BL234" s="37"/>
      <c r="BM234" s="29"/>
      <c r="BN234" s="29" t="b">
        <v>0</v>
      </c>
      <c r="BO234" s="22" t="str">
        <f t="shared" si="19"/>
        <v/>
      </c>
      <c r="BP234" s="7">
        <f>IF(ISBLANK(BL234), 0, VLOOKUP(BL234, 'Price Sheet'!$A$2:$B1015, 2, false))</f>
        <v>0</v>
      </c>
      <c r="BQ234" s="33" t="str">
        <f t="shared" si="20"/>
        <v/>
      </c>
    </row>
    <row r="235">
      <c r="B235" s="19">
        <f t="shared" si="1"/>
        <v>0</v>
      </c>
      <c r="C235" s="29"/>
      <c r="D235" s="29"/>
      <c r="E235" s="7" t="str">
        <f>IF(ISBLANK(D235), "", VLOOKUP(D235,'Crafting Tables'!$A$2:$B1015, 2, false))</f>
        <v/>
      </c>
      <c r="F235" s="7" t="str">
        <f>IFERROR(IF(E235 = "None", 1, VLOOKUP(C235,General!$A$5:$L$35, SWITCH(E235, "Basic", 8, "Advanced", 10, "Modern", 12), false)),"")</f>
        <v/>
      </c>
      <c r="G235" s="29"/>
      <c r="H235" s="7">
        <f>IFERROR(VLOOKUP(C235, General!$A$5:$L$35, 6, false) * G235 / 1000, 0)</f>
        <v>0</v>
      </c>
      <c r="I235" s="29"/>
      <c r="J235" s="22" t="str">
        <f>IFERROR(I235*VLOOKUP(D235,'Crafting Tables'!$1:$1000, 4, false)*F235,"")</f>
        <v/>
      </c>
      <c r="K235" s="29" t="b">
        <v>0</v>
      </c>
      <c r="L235" s="37"/>
      <c r="M235" s="29"/>
      <c r="N235" s="21" t="str">
        <f t="shared" si="2"/>
        <v/>
      </c>
      <c r="P235" s="37"/>
      <c r="Q235" s="29"/>
      <c r="R235" s="29" t="b">
        <v>0</v>
      </c>
      <c r="S235" s="22" t="str">
        <f t="shared" si="3"/>
        <v/>
      </c>
      <c r="T235" s="7">
        <f>IF(ISBLANK(P235), 0, VLOOKUP(P235, 'Price Sheet'!$A$2:$B1015, 2, false))</f>
        <v>0</v>
      </c>
      <c r="U235" s="33" t="str">
        <f t="shared" si="4"/>
        <v/>
      </c>
      <c r="V235" s="37"/>
      <c r="W235" s="29"/>
      <c r="X235" s="29" t="b">
        <v>0</v>
      </c>
      <c r="Y235" s="22" t="str">
        <f t="shared" si="5"/>
        <v/>
      </c>
      <c r="Z235" s="7">
        <f>IF(ISBLANK(V235), 0, VLOOKUP(V235, 'Price Sheet'!$A$2:$B1015, 2, false))</f>
        <v>0</v>
      </c>
      <c r="AA235" s="33" t="str">
        <f t="shared" si="6"/>
        <v/>
      </c>
      <c r="AB235" s="37"/>
      <c r="AC235" s="29"/>
      <c r="AD235" s="29" t="b">
        <v>0</v>
      </c>
      <c r="AE235" s="22" t="str">
        <f t="shared" si="7"/>
        <v/>
      </c>
      <c r="AF235" s="7">
        <f>IF(ISBLANK(AB235), 0, VLOOKUP(AB235, 'Price Sheet'!$A$2:$B1015, 2, false))</f>
        <v>0</v>
      </c>
      <c r="AG235" s="33" t="str">
        <f t="shared" si="8"/>
        <v/>
      </c>
      <c r="AH235" s="37"/>
      <c r="AI235" s="29"/>
      <c r="AJ235" s="29" t="b">
        <v>0</v>
      </c>
      <c r="AK235" s="22" t="str">
        <f t="shared" si="9"/>
        <v/>
      </c>
      <c r="AL235" s="7">
        <f>IF(ISBLANK(AH235), 0, VLOOKUP(AH235, 'Price Sheet'!$A$2:$B1015, 2, false))</f>
        <v>0</v>
      </c>
      <c r="AM235" s="33" t="str">
        <f t="shared" si="10"/>
        <v/>
      </c>
      <c r="AN235" s="37"/>
      <c r="AO235" s="29"/>
      <c r="AP235" s="29" t="b">
        <v>0</v>
      </c>
      <c r="AQ235" s="22" t="str">
        <f t="shared" si="11"/>
        <v/>
      </c>
      <c r="AR235" s="7">
        <f>IF(ISBLANK(AN235), 0, VLOOKUP(AN235, 'Price Sheet'!$A$2:$B1015, 2, false))</f>
        <v>0</v>
      </c>
      <c r="AS235" s="33" t="str">
        <f t="shared" si="12"/>
        <v/>
      </c>
      <c r="AT235" s="37"/>
      <c r="AU235" s="29"/>
      <c r="AV235" s="29" t="b">
        <v>0</v>
      </c>
      <c r="AW235" s="22" t="str">
        <f t="shared" si="13"/>
        <v/>
      </c>
      <c r="AX235" s="7">
        <f>IF(ISBLANK(AT235), 0, VLOOKUP(AT235, 'Price Sheet'!$A$2:$B1015, 2, false))</f>
        <v>0</v>
      </c>
      <c r="AY235" s="33" t="str">
        <f t="shared" si="14"/>
        <v/>
      </c>
      <c r="AZ235" s="37"/>
      <c r="BA235" s="29"/>
      <c r="BB235" s="29" t="b">
        <v>0</v>
      </c>
      <c r="BC235" s="22" t="str">
        <f t="shared" si="15"/>
        <v/>
      </c>
      <c r="BD235" s="7">
        <f>IF(ISBLANK(AZ235), 0, VLOOKUP(AZ235, 'Price Sheet'!$A$2:$B1015, 2, false))</f>
        <v>0</v>
      </c>
      <c r="BE235" s="33" t="str">
        <f t="shared" si="16"/>
        <v/>
      </c>
      <c r="BF235" s="37"/>
      <c r="BG235" s="29"/>
      <c r="BH235" s="29" t="b">
        <v>0</v>
      </c>
      <c r="BI235" s="22" t="str">
        <f t="shared" si="17"/>
        <v/>
      </c>
      <c r="BJ235" s="7">
        <f>IF(ISBLANK(BF235), 0, VLOOKUP(BF235, 'Price Sheet'!$A$2:$B1015, 2, false))</f>
        <v>0</v>
      </c>
      <c r="BK235" s="33" t="str">
        <f t="shared" si="18"/>
        <v/>
      </c>
      <c r="BL235" s="37"/>
      <c r="BM235" s="29"/>
      <c r="BN235" s="29" t="b">
        <v>0</v>
      </c>
      <c r="BO235" s="22" t="str">
        <f t="shared" si="19"/>
        <v/>
      </c>
      <c r="BP235" s="7">
        <f>IF(ISBLANK(BL235), 0, VLOOKUP(BL235, 'Price Sheet'!$A$2:$B1015, 2, false))</f>
        <v>0</v>
      </c>
      <c r="BQ235" s="33" t="str">
        <f t="shared" si="20"/>
        <v/>
      </c>
    </row>
    <row r="236">
      <c r="B236" s="19">
        <f t="shared" si="1"/>
        <v>0</v>
      </c>
      <c r="C236" s="29"/>
      <c r="D236" s="29"/>
      <c r="E236" s="7" t="str">
        <f>IF(ISBLANK(D236), "", VLOOKUP(D236,'Crafting Tables'!$A$2:$B1015, 2, false))</f>
        <v/>
      </c>
      <c r="F236" s="7" t="str">
        <f>IFERROR(IF(E236 = "None", 1, VLOOKUP(C236,General!$A$5:$L$35, SWITCH(E236, "Basic", 8, "Advanced", 10, "Modern", 12), false)),"")</f>
        <v/>
      </c>
      <c r="G236" s="29"/>
      <c r="H236" s="7">
        <f>IFERROR(VLOOKUP(C236, General!$A$5:$L$35, 6, false) * G236 / 1000, 0)</f>
        <v>0</v>
      </c>
      <c r="I236" s="29"/>
      <c r="J236" s="22" t="str">
        <f>IFERROR(I236*VLOOKUP(D236,'Crafting Tables'!$1:$1000, 4, false)*F236,"")</f>
        <v/>
      </c>
      <c r="K236" s="29" t="b">
        <v>0</v>
      </c>
      <c r="L236" s="37"/>
      <c r="M236" s="29"/>
      <c r="N236" s="21" t="str">
        <f t="shared" si="2"/>
        <v/>
      </c>
      <c r="P236" s="37"/>
      <c r="Q236" s="29"/>
      <c r="R236" s="29" t="b">
        <v>0</v>
      </c>
      <c r="S236" s="22" t="str">
        <f t="shared" si="3"/>
        <v/>
      </c>
      <c r="T236" s="7">
        <f>IF(ISBLANK(P236), 0, VLOOKUP(P236, 'Price Sheet'!$A$2:$B1015, 2, false))</f>
        <v>0</v>
      </c>
      <c r="U236" s="33" t="str">
        <f t="shared" si="4"/>
        <v/>
      </c>
      <c r="V236" s="37"/>
      <c r="W236" s="29"/>
      <c r="X236" s="29" t="b">
        <v>0</v>
      </c>
      <c r="Y236" s="22" t="str">
        <f t="shared" si="5"/>
        <v/>
      </c>
      <c r="Z236" s="7">
        <f>IF(ISBLANK(V236), 0, VLOOKUP(V236, 'Price Sheet'!$A$2:$B1015, 2, false))</f>
        <v>0</v>
      </c>
      <c r="AA236" s="33" t="str">
        <f t="shared" si="6"/>
        <v/>
      </c>
      <c r="AB236" s="37"/>
      <c r="AC236" s="29"/>
      <c r="AD236" s="29" t="b">
        <v>0</v>
      </c>
      <c r="AE236" s="22" t="str">
        <f t="shared" si="7"/>
        <v/>
      </c>
      <c r="AF236" s="7">
        <f>IF(ISBLANK(AB236), 0, VLOOKUP(AB236, 'Price Sheet'!$A$2:$B1015, 2, false))</f>
        <v>0</v>
      </c>
      <c r="AG236" s="33" t="str">
        <f t="shared" si="8"/>
        <v/>
      </c>
      <c r="AH236" s="37"/>
      <c r="AI236" s="29"/>
      <c r="AJ236" s="29" t="b">
        <v>0</v>
      </c>
      <c r="AK236" s="22" t="str">
        <f t="shared" si="9"/>
        <v/>
      </c>
      <c r="AL236" s="7">
        <f>IF(ISBLANK(AH236), 0, VLOOKUP(AH236, 'Price Sheet'!$A$2:$B1015, 2, false))</f>
        <v>0</v>
      </c>
      <c r="AM236" s="33" t="str">
        <f t="shared" si="10"/>
        <v/>
      </c>
      <c r="AN236" s="37"/>
      <c r="AO236" s="29"/>
      <c r="AP236" s="29" t="b">
        <v>0</v>
      </c>
      <c r="AQ236" s="22" t="str">
        <f t="shared" si="11"/>
        <v/>
      </c>
      <c r="AR236" s="7">
        <f>IF(ISBLANK(AN236), 0, VLOOKUP(AN236, 'Price Sheet'!$A$2:$B1015, 2, false))</f>
        <v>0</v>
      </c>
      <c r="AS236" s="33" t="str">
        <f t="shared" si="12"/>
        <v/>
      </c>
      <c r="AT236" s="37"/>
      <c r="AU236" s="29"/>
      <c r="AV236" s="29" t="b">
        <v>0</v>
      </c>
      <c r="AW236" s="22" t="str">
        <f t="shared" si="13"/>
        <v/>
      </c>
      <c r="AX236" s="7">
        <f>IF(ISBLANK(AT236), 0, VLOOKUP(AT236, 'Price Sheet'!$A$2:$B1015, 2, false))</f>
        <v>0</v>
      </c>
      <c r="AY236" s="33" t="str">
        <f t="shared" si="14"/>
        <v/>
      </c>
      <c r="AZ236" s="37"/>
      <c r="BA236" s="29"/>
      <c r="BB236" s="29" t="b">
        <v>0</v>
      </c>
      <c r="BC236" s="22" t="str">
        <f t="shared" si="15"/>
        <v/>
      </c>
      <c r="BD236" s="7">
        <f>IF(ISBLANK(AZ236), 0, VLOOKUP(AZ236, 'Price Sheet'!$A$2:$B1015, 2, false))</f>
        <v>0</v>
      </c>
      <c r="BE236" s="33" t="str">
        <f t="shared" si="16"/>
        <v/>
      </c>
      <c r="BF236" s="37"/>
      <c r="BG236" s="29"/>
      <c r="BH236" s="29" t="b">
        <v>0</v>
      </c>
      <c r="BI236" s="22" t="str">
        <f t="shared" si="17"/>
        <v/>
      </c>
      <c r="BJ236" s="7">
        <f>IF(ISBLANK(BF236), 0, VLOOKUP(BF236, 'Price Sheet'!$A$2:$B1015, 2, false))</f>
        <v>0</v>
      </c>
      <c r="BK236" s="33" t="str">
        <f t="shared" si="18"/>
        <v/>
      </c>
      <c r="BL236" s="37"/>
      <c r="BM236" s="29"/>
      <c r="BN236" s="29" t="b">
        <v>0</v>
      </c>
      <c r="BO236" s="22" t="str">
        <f t="shared" si="19"/>
        <v/>
      </c>
      <c r="BP236" s="7">
        <f>IF(ISBLANK(BL236), 0, VLOOKUP(BL236, 'Price Sheet'!$A$2:$B1015, 2, false))</f>
        <v>0</v>
      </c>
      <c r="BQ236" s="33" t="str">
        <f t="shared" si="20"/>
        <v/>
      </c>
    </row>
    <row r="237">
      <c r="B237" s="19">
        <f t="shared" si="1"/>
        <v>0</v>
      </c>
      <c r="C237" s="29"/>
      <c r="D237" s="29"/>
      <c r="E237" s="7" t="str">
        <f>IF(ISBLANK(D237), "", VLOOKUP(D237,'Crafting Tables'!$A$2:$B1015, 2, false))</f>
        <v/>
      </c>
      <c r="F237" s="7" t="str">
        <f>IFERROR(IF(E237 = "None", 1, VLOOKUP(C237,General!$A$5:$L$35, SWITCH(E237, "Basic", 8, "Advanced", 10, "Modern", 12), false)),"")</f>
        <v/>
      </c>
      <c r="G237" s="29"/>
      <c r="H237" s="7">
        <f>IFERROR(VLOOKUP(C237, General!$A$5:$L$35, 6, false) * G237 / 1000, 0)</f>
        <v>0</v>
      </c>
      <c r="I237" s="29"/>
      <c r="J237" s="22" t="str">
        <f>IFERROR(I237*VLOOKUP(D237,'Crafting Tables'!$1:$1000, 4, false)*F237,"")</f>
        <v/>
      </c>
      <c r="K237" s="29" t="b">
        <v>0</v>
      </c>
      <c r="L237" s="37"/>
      <c r="M237" s="29"/>
      <c r="N237" s="21" t="str">
        <f t="shared" si="2"/>
        <v/>
      </c>
      <c r="P237" s="37"/>
      <c r="Q237" s="29"/>
      <c r="R237" s="29" t="b">
        <v>0</v>
      </c>
      <c r="S237" s="22" t="str">
        <f t="shared" si="3"/>
        <v/>
      </c>
      <c r="T237" s="7">
        <f>IF(ISBLANK(P237), 0, VLOOKUP(P237, 'Price Sheet'!$A$2:$B1015, 2, false))</f>
        <v>0</v>
      </c>
      <c r="U237" s="33" t="str">
        <f t="shared" si="4"/>
        <v/>
      </c>
      <c r="V237" s="37"/>
      <c r="W237" s="29"/>
      <c r="X237" s="29" t="b">
        <v>0</v>
      </c>
      <c r="Y237" s="22" t="str">
        <f t="shared" si="5"/>
        <v/>
      </c>
      <c r="Z237" s="7">
        <f>IF(ISBLANK(V237), 0, VLOOKUP(V237, 'Price Sheet'!$A$2:$B1015, 2, false))</f>
        <v>0</v>
      </c>
      <c r="AA237" s="33" t="str">
        <f t="shared" si="6"/>
        <v/>
      </c>
      <c r="AB237" s="37"/>
      <c r="AC237" s="29"/>
      <c r="AD237" s="29" t="b">
        <v>0</v>
      </c>
      <c r="AE237" s="22" t="str">
        <f t="shared" si="7"/>
        <v/>
      </c>
      <c r="AF237" s="7">
        <f>IF(ISBLANK(AB237), 0, VLOOKUP(AB237, 'Price Sheet'!$A$2:$B1015, 2, false))</f>
        <v>0</v>
      </c>
      <c r="AG237" s="33" t="str">
        <f t="shared" si="8"/>
        <v/>
      </c>
      <c r="AH237" s="37"/>
      <c r="AI237" s="29"/>
      <c r="AJ237" s="29" t="b">
        <v>0</v>
      </c>
      <c r="AK237" s="22" t="str">
        <f t="shared" si="9"/>
        <v/>
      </c>
      <c r="AL237" s="7">
        <f>IF(ISBLANK(AH237), 0, VLOOKUP(AH237, 'Price Sheet'!$A$2:$B1015, 2, false))</f>
        <v>0</v>
      </c>
      <c r="AM237" s="33" t="str">
        <f t="shared" si="10"/>
        <v/>
      </c>
      <c r="AN237" s="37"/>
      <c r="AO237" s="29"/>
      <c r="AP237" s="29" t="b">
        <v>0</v>
      </c>
      <c r="AQ237" s="22" t="str">
        <f t="shared" si="11"/>
        <v/>
      </c>
      <c r="AR237" s="7">
        <f>IF(ISBLANK(AN237), 0, VLOOKUP(AN237, 'Price Sheet'!$A$2:$B1015, 2, false))</f>
        <v>0</v>
      </c>
      <c r="AS237" s="33" t="str">
        <f t="shared" si="12"/>
        <v/>
      </c>
      <c r="AT237" s="37"/>
      <c r="AU237" s="29"/>
      <c r="AV237" s="29" t="b">
        <v>0</v>
      </c>
      <c r="AW237" s="22" t="str">
        <f t="shared" si="13"/>
        <v/>
      </c>
      <c r="AX237" s="7">
        <f>IF(ISBLANK(AT237), 0, VLOOKUP(AT237, 'Price Sheet'!$A$2:$B1015, 2, false))</f>
        <v>0</v>
      </c>
      <c r="AY237" s="33" t="str">
        <f t="shared" si="14"/>
        <v/>
      </c>
      <c r="AZ237" s="37"/>
      <c r="BA237" s="29"/>
      <c r="BB237" s="29" t="b">
        <v>0</v>
      </c>
      <c r="BC237" s="22" t="str">
        <f t="shared" si="15"/>
        <v/>
      </c>
      <c r="BD237" s="7">
        <f>IF(ISBLANK(AZ237), 0, VLOOKUP(AZ237, 'Price Sheet'!$A$2:$B1015, 2, false))</f>
        <v>0</v>
      </c>
      <c r="BE237" s="33" t="str">
        <f t="shared" si="16"/>
        <v/>
      </c>
      <c r="BF237" s="37"/>
      <c r="BG237" s="29"/>
      <c r="BH237" s="29" t="b">
        <v>0</v>
      </c>
      <c r="BI237" s="22" t="str">
        <f t="shared" si="17"/>
        <v/>
      </c>
      <c r="BJ237" s="7">
        <f>IF(ISBLANK(BF237), 0, VLOOKUP(BF237, 'Price Sheet'!$A$2:$B1015, 2, false))</f>
        <v>0</v>
      </c>
      <c r="BK237" s="33" t="str">
        <f t="shared" si="18"/>
        <v/>
      </c>
      <c r="BL237" s="37"/>
      <c r="BM237" s="29"/>
      <c r="BN237" s="29" t="b">
        <v>0</v>
      </c>
      <c r="BO237" s="22" t="str">
        <f t="shared" si="19"/>
        <v/>
      </c>
      <c r="BP237" s="7">
        <f>IF(ISBLANK(BL237), 0, VLOOKUP(BL237, 'Price Sheet'!$A$2:$B1015, 2, false))</f>
        <v>0</v>
      </c>
      <c r="BQ237" s="33" t="str">
        <f t="shared" si="20"/>
        <v/>
      </c>
    </row>
    <row r="238">
      <c r="B238" s="19">
        <f t="shared" si="1"/>
        <v>0</v>
      </c>
      <c r="C238" s="29"/>
      <c r="D238" s="29"/>
      <c r="E238" s="7" t="str">
        <f>IF(ISBLANK(D238), "", VLOOKUP(D238,'Crafting Tables'!$A$2:$B1015, 2, false))</f>
        <v/>
      </c>
      <c r="F238" s="7" t="str">
        <f>IFERROR(IF(E238 = "None", 1, VLOOKUP(C238,General!$A$5:$L$35, SWITCH(E238, "Basic", 8, "Advanced", 10, "Modern", 12), false)),"")</f>
        <v/>
      </c>
      <c r="G238" s="29"/>
      <c r="H238" s="7">
        <f>IFERROR(VLOOKUP(C238, General!$A$5:$L$35, 6, false) * G238 / 1000, 0)</f>
        <v>0</v>
      </c>
      <c r="I238" s="29"/>
      <c r="J238" s="22" t="str">
        <f>IFERROR(I238*VLOOKUP(D238,'Crafting Tables'!$1:$1000, 4, false)*F238,"")</f>
        <v/>
      </c>
      <c r="K238" s="29" t="b">
        <v>0</v>
      </c>
      <c r="L238" s="37"/>
      <c r="M238" s="29"/>
      <c r="N238" s="21" t="str">
        <f t="shared" si="2"/>
        <v/>
      </c>
      <c r="P238" s="37"/>
      <c r="Q238" s="29"/>
      <c r="R238" s="29" t="b">
        <v>0</v>
      </c>
      <c r="S238" s="22" t="str">
        <f t="shared" si="3"/>
        <v/>
      </c>
      <c r="T238" s="7">
        <f>IF(ISBLANK(P238), 0, VLOOKUP(P238, 'Price Sheet'!$A$2:$B1015, 2, false))</f>
        <v>0</v>
      </c>
      <c r="U238" s="33" t="str">
        <f t="shared" si="4"/>
        <v/>
      </c>
      <c r="V238" s="37"/>
      <c r="W238" s="29"/>
      <c r="X238" s="29" t="b">
        <v>0</v>
      </c>
      <c r="Y238" s="22" t="str">
        <f t="shared" si="5"/>
        <v/>
      </c>
      <c r="Z238" s="7">
        <f>IF(ISBLANK(V238), 0, VLOOKUP(V238, 'Price Sheet'!$A$2:$B1015, 2, false))</f>
        <v>0</v>
      </c>
      <c r="AA238" s="33" t="str">
        <f t="shared" si="6"/>
        <v/>
      </c>
      <c r="AB238" s="37"/>
      <c r="AC238" s="29"/>
      <c r="AD238" s="29" t="b">
        <v>0</v>
      </c>
      <c r="AE238" s="22" t="str">
        <f t="shared" si="7"/>
        <v/>
      </c>
      <c r="AF238" s="7">
        <f>IF(ISBLANK(AB238), 0, VLOOKUP(AB238, 'Price Sheet'!$A$2:$B1015, 2, false))</f>
        <v>0</v>
      </c>
      <c r="AG238" s="33" t="str">
        <f t="shared" si="8"/>
        <v/>
      </c>
      <c r="AH238" s="37"/>
      <c r="AI238" s="29"/>
      <c r="AJ238" s="29" t="b">
        <v>0</v>
      </c>
      <c r="AK238" s="22" t="str">
        <f t="shared" si="9"/>
        <v/>
      </c>
      <c r="AL238" s="7">
        <f>IF(ISBLANK(AH238), 0, VLOOKUP(AH238, 'Price Sheet'!$A$2:$B1015, 2, false))</f>
        <v>0</v>
      </c>
      <c r="AM238" s="33" t="str">
        <f t="shared" si="10"/>
        <v/>
      </c>
      <c r="AN238" s="37"/>
      <c r="AO238" s="29"/>
      <c r="AP238" s="29" t="b">
        <v>0</v>
      </c>
      <c r="AQ238" s="22" t="str">
        <f t="shared" si="11"/>
        <v/>
      </c>
      <c r="AR238" s="7">
        <f>IF(ISBLANK(AN238), 0, VLOOKUP(AN238, 'Price Sheet'!$A$2:$B1015, 2, false))</f>
        <v>0</v>
      </c>
      <c r="AS238" s="33" t="str">
        <f t="shared" si="12"/>
        <v/>
      </c>
      <c r="AT238" s="37"/>
      <c r="AU238" s="29"/>
      <c r="AV238" s="29" t="b">
        <v>0</v>
      </c>
      <c r="AW238" s="22" t="str">
        <f t="shared" si="13"/>
        <v/>
      </c>
      <c r="AX238" s="7">
        <f>IF(ISBLANK(AT238), 0, VLOOKUP(AT238, 'Price Sheet'!$A$2:$B1015, 2, false))</f>
        <v>0</v>
      </c>
      <c r="AY238" s="33" t="str">
        <f t="shared" si="14"/>
        <v/>
      </c>
      <c r="AZ238" s="37"/>
      <c r="BA238" s="29"/>
      <c r="BB238" s="29" t="b">
        <v>0</v>
      </c>
      <c r="BC238" s="22" t="str">
        <f t="shared" si="15"/>
        <v/>
      </c>
      <c r="BD238" s="7">
        <f>IF(ISBLANK(AZ238), 0, VLOOKUP(AZ238, 'Price Sheet'!$A$2:$B1015, 2, false))</f>
        <v>0</v>
      </c>
      <c r="BE238" s="33" t="str">
        <f t="shared" si="16"/>
        <v/>
      </c>
      <c r="BF238" s="37"/>
      <c r="BG238" s="29"/>
      <c r="BH238" s="29" t="b">
        <v>0</v>
      </c>
      <c r="BI238" s="22" t="str">
        <f t="shared" si="17"/>
        <v/>
      </c>
      <c r="BJ238" s="7">
        <f>IF(ISBLANK(BF238), 0, VLOOKUP(BF238, 'Price Sheet'!$A$2:$B1015, 2, false))</f>
        <v>0</v>
      </c>
      <c r="BK238" s="33" t="str">
        <f t="shared" si="18"/>
        <v/>
      </c>
      <c r="BL238" s="37"/>
      <c r="BM238" s="29"/>
      <c r="BN238" s="29" t="b">
        <v>0</v>
      </c>
      <c r="BO238" s="22" t="str">
        <f t="shared" si="19"/>
        <v/>
      </c>
      <c r="BP238" s="7">
        <f>IF(ISBLANK(BL238), 0, VLOOKUP(BL238, 'Price Sheet'!$A$2:$B1015, 2, false))</f>
        <v>0</v>
      </c>
      <c r="BQ238" s="33" t="str">
        <f t="shared" si="20"/>
        <v/>
      </c>
    </row>
    <row r="239">
      <c r="B239" s="19">
        <f t="shared" si="1"/>
        <v>0</v>
      </c>
      <c r="C239" s="29"/>
      <c r="D239" s="29"/>
      <c r="E239" s="7" t="str">
        <f>IF(ISBLANK(D239), "", VLOOKUP(D239,'Crafting Tables'!$A$2:$B1015, 2, false))</f>
        <v/>
      </c>
      <c r="F239" s="7" t="str">
        <f>IFERROR(IF(E239 = "None", 1, VLOOKUP(C239,General!$A$5:$L$35, SWITCH(E239, "Basic", 8, "Advanced", 10, "Modern", 12), false)),"")</f>
        <v/>
      </c>
      <c r="G239" s="29"/>
      <c r="H239" s="7">
        <f>IFERROR(VLOOKUP(C239, General!$A$5:$L$35, 6, false) * G239 / 1000, 0)</f>
        <v>0</v>
      </c>
      <c r="I239" s="29"/>
      <c r="J239" s="22" t="str">
        <f>IFERROR(I239*VLOOKUP(D239,'Crafting Tables'!$1:$1000, 4, false)*F239,"")</f>
        <v/>
      </c>
      <c r="K239" s="29" t="b">
        <v>0</v>
      </c>
      <c r="L239" s="37"/>
      <c r="M239" s="29"/>
      <c r="N239" s="21" t="str">
        <f t="shared" si="2"/>
        <v/>
      </c>
      <c r="P239" s="37"/>
      <c r="Q239" s="29"/>
      <c r="R239" s="29" t="b">
        <v>0</v>
      </c>
      <c r="S239" s="22" t="str">
        <f t="shared" si="3"/>
        <v/>
      </c>
      <c r="T239" s="7">
        <f>IF(ISBLANK(P239), 0, VLOOKUP(P239, 'Price Sheet'!$A$2:$B1015, 2, false))</f>
        <v>0</v>
      </c>
      <c r="U239" s="33" t="str">
        <f t="shared" si="4"/>
        <v/>
      </c>
      <c r="V239" s="37"/>
      <c r="W239" s="29"/>
      <c r="X239" s="29" t="b">
        <v>0</v>
      </c>
      <c r="Y239" s="22" t="str">
        <f t="shared" si="5"/>
        <v/>
      </c>
      <c r="Z239" s="7">
        <f>IF(ISBLANK(V239), 0, VLOOKUP(V239, 'Price Sheet'!$A$2:$B1015, 2, false))</f>
        <v>0</v>
      </c>
      <c r="AA239" s="33" t="str">
        <f t="shared" si="6"/>
        <v/>
      </c>
      <c r="AB239" s="37"/>
      <c r="AC239" s="29"/>
      <c r="AD239" s="29" t="b">
        <v>0</v>
      </c>
      <c r="AE239" s="22" t="str">
        <f t="shared" si="7"/>
        <v/>
      </c>
      <c r="AF239" s="7">
        <f>IF(ISBLANK(AB239), 0, VLOOKUP(AB239, 'Price Sheet'!$A$2:$B1015, 2, false))</f>
        <v>0</v>
      </c>
      <c r="AG239" s="33" t="str">
        <f t="shared" si="8"/>
        <v/>
      </c>
      <c r="AH239" s="37"/>
      <c r="AI239" s="29"/>
      <c r="AJ239" s="29" t="b">
        <v>0</v>
      </c>
      <c r="AK239" s="22" t="str">
        <f t="shared" si="9"/>
        <v/>
      </c>
      <c r="AL239" s="7">
        <f>IF(ISBLANK(AH239), 0, VLOOKUP(AH239, 'Price Sheet'!$A$2:$B1015, 2, false))</f>
        <v>0</v>
      </c>
      <c r="AM239" s="33" t="str">
        <f t="shared" si="10"/>
        <v/>
      </c>
      <c r="AN239" s="37"/>
      <c r="AO239" s="29"/>
      <c r="AP239" s="29" t="b">
        <v>0</v>
      </c>
      <c r="AQ239" s="22" t="str">
        <f t="shared" si="11"/>
        <v/>
      </c>
      <c r="AR239" s="7">
        <f>IF(ISBLANK(AN239), 0, VLOOKUP(AN239, 'Price Sheet'!$A$2:$B1015, 2, false))</f>
        <v>0</v>
      </c>
      <c r="AS239" s="33" t="str">
        <f t="shared" si="12"/>
        <v/>
      </c>
      <c r="AT239" s="37"/>
      <c r="AU239" s="29"/>
      <c r="AV239" s="29" t="b">
        <v>0</v>
      </c>
      <c r="AW239" s="22" t="str">
        <f t="shared" si="13"/>
        <v/>
      </c>
      <c r="AX239" s="7">
        <f>IF(ISBLANK(AT239), 0, VLOOKUP(AT239, 'Price Sheet'!$A$2:$B1015, 2, false))</f>
        <v>0</v>
      </c>
      <c r="AY239" s="33" t="str">
        <f t="shared" si="14"/>
        <v/>
      </c>
      <c r="AZ239" s="37"/>
      <c r="BA239" s="29"/>
      <c r="BB239" s="29" t="b">
        <v>0</v>
      </c>
      <c r="BC239" s="22" t="str">
        <f t="shared" si="15"/>
        <v/>
      </c>
      <c r="BD239" s="7">
        <f>IF(ISBLANK(AZ239), 0, VLOOKUP(AZ239, 'Price Sheet'!$A$2:$B1015, 2, false))</f>
        <v>0</v>
      </c>
      <c r="BE239" s="33" t="str">
        <f t="shared" si="16"/>
        <v/>
      </c>
      <c r="BF239" s="37"/>
      <c r="BG239" s="29"/>
      <c r="BH239" s="29" t="b">
        <v>0</v>
      </c>
      <c r="BI239" s="22" t="str">
        <f t="shared" si="17"/>
        <v/>
      </c>
      <c r="BJ239" s="7">
        <f>IF(ISBLANK(BF239), 0, VLOOKUP(BF239, 'Price Sheet'!$A$2:$B1015, 2, false))</f>
        <v>0</v>
      </c>
      <c r="BK239" s="33" t="str">
        <f t="shared" si="18"/>
        <v/>
      </c>
      <c r="BL239" s="37"/>
      <c r="BM239" s="29"/>
      <c r="BN239" s="29" t="b">
        <v>0</v>
      </c>
      <c r="BO239" s="22" t="str">
        <f t="shared" si="19"/>
        <v/>
      </c>
      <c r="BP239" s="7">
        <f>IF(ISBLANK(BL239), 0, VLOOKUP(BL239, 'Price Sheet'!$A$2:$B1015, 2, false))</f>
        <v>0</v>
      </c>
      <c r="BQ239" s="33" t="str">
        <f t="shared" si="20"/>
        <v/>
      </c>
    </row>
    <row r="240">
      <c r="B240" s="19">
        <f t="shared" si="1"/>
        <v>0</v>
      </c>
      <c r="C240" s="29"/>
      <c r="D240" s="29"/>
      <c r="E240" s="7" t="str">
        <f>IF(ISBLANK(D240), "", VLOOKUP(D240,'Crafting Tables'!$A$2:$B1015, 2, false))</f>
        <v/>
      </c>
      <c r="F240" s="7" t="str">
        <f>IFERROR(IF(E240 = "None", 1, VLOOKUP(C240,General!$A$5:$L$35, SWITCH(E240, "Basic", 8, "Advanced", 10, "Modern", 12), false)),"")</f>
        <v/>
      </c>
      <c r="G240" s="29"/>
      <c r="H240" s="7">
        <f>IFERROR(VLOOKUP(C240, General!$A$5:$L$35, 6, false) * G240 / 1000, 0)</f>
        <v>0</v>
      </c>
      <c r="I240" s="29"/>
      <c r="J240" s="22" t="str">
        <f>IFERROR(I240*VLOOKUP(D240,'Crafting Tables'!$1:$1000, 4, false)*F240,"")</f>
        <v/>
      </c>
      <c r="K240" s="29" t="b">
        <v>0</v>
      </c>
      <c r="L240" s="37"/>
      <c r="M240" s="29"/>
      <c r="N240" s="21" t="str">
        <f t="shared" si="2"/>
        <v/>
      </c>
      <c r="P240" s="37"/>
      <c r="Q240" s="29"/>
      <c r="R240" s="29" t="b">
        <v>0</v>
      </c>
      <c r="S240" s="22" t="str">
        <f t="shared" si="3"/>
        <v/>
      </c>
      <c r="T240" s="7">
        <f>IF(ISBLANK(P240), 0, VLOOKUP(P240, 'Price Sheet'!$A$2:$B1015, 2, false))</f>
        <v>0</v>
      </c>
      <c r="U240" s="33" t="str">
        <f t="shared" si="4"/>
        <v/>
      </c>
      <c r="V240" s="37"/>
      <c r="W240" s="29"/>
      <c r="X240" s="29" t="b">
        <v>0</v>
      </c>
      <c r="Y240" s="22" t="str">
        <f t="shared" si="5"/>
        <v/>
      </c>
      <c r="Z240" s="7">
        <f>IF(ISBLANK(V240), 0, VLOOKUP(V240, 'Price Sheet'!$A$2:$B1015, 2, false))</f>
        <v>0</v>
      </c>
      <c r="AA240" s="33" t="str">
        <f t="shared" si="6"/>
        <v/>
      </c>
      <c r="AB240" s="37"/>
      <c r="AC240" s="29"/>
      <c r="AD240" s="29" t="b">
        <v>0</v>
      </c>
      <c r="AE240" s="22" t="str">
        <f t="shared" si="7"/>
        <v/>
      </c>
      <c r="AF240" s="7">
        <f>IF(ISBLANK(AB240), 0, VLOOKUP(AB240, 'Price Sheet'!$A$2:$B1015, 2, false))</f>
        <v>0</v>
      </c>
      <c r="AG240" s="33" t="str">
        <f t="shared" si="8"/>
        <v/>
      </c>
      <c r="AH240" s="37"/>
      <c r="AI240" s="29"/>
      <c r="AJ240" s="29" t="b">
        <v>0</v>
      </c>
      <c r="AK240" s="22" t="str">
        <f t="shared" si="9"/>
        <v/>
      </c>
      <c r="AL240" s="7">
        <f>IF(ISBLANK(AH240), 0, VLOOKUP(AH240, 'Price Sheet'!$A$2:$B1015, 2, false))</f>
        <v>0</v>
      </c>
      <c r="AM240" s="33" t="str">
        <f t="shared" si="10"/>
        <v/>
      </c>
      <c r="AN240" s="37"/>
      <c r="AO240" s="29"/>
      <c r="AP240" s="29" t="b">
        <v>0</v>
      </c>
      <c r="AQ240" s="22" t="str">
        <f t="shared" si="11"/>
        <v/>
      </c>
      <c r="AR240" s="7">
        <f>IF(ISBLANK(AN240), 0, VLOOKUP(AN240, 'Price Sheet'!$A$2:$B1015, 2, false))</f>
        <v>0</v>
      </c>
      <c r="AS240" s="33" t="str">
        <f t="shared" si="12"/>
        <v/>
      </c>
      <c r="AT240" s="37"/>
      <c r="AU240" s="29"/>
      <c r="AV240" s="29" t="b">
        <v>0</v>
      </c>
      <c r="AW240" s="22" t="str">
        <f t="shared" si="13"/>
        <v/>
      </c>
      <c r="AX240" s="7">
        <f>IF(ISBLANK(AT240), 0, VLOOKUP(AT240, 'Price Sheet'!$A$2:$B1015, 2, false))</f>
        <v>0</v>
      </c>
      <c r="AY240" s="33" t="str">
        <f t="shared" si="14"/>
        <v/>
      </c>
      <c r="AZ240" s="37"/>
      <c r="BA240" s="29"/>
      <c r="BB240" s="29" t="b">
        <v>0</v>
      </c>
      <c r="BC240" s="22" t="str">
        <f t="shared" si="15"/>
        <v/>
      </c>
      <c r="BD240" s="7">
        <f>IF(ISBLANK(AZ240), 0, VLOOKUP(AZ240, 'Price Sheet'!$A$2:$B1015, 2, false))</f>
        <v>0</v>
      </c>
      <c r="BE240" s="33" t="str">
        <f t="shared" si="16"/>
        <v/>
      </c>
      <c r="BF240" s="37"/>
      <c r="BG240" s="29"/>
      <c r="BH240" s="29" t="b">
        <v>0</v>
      </c>
      <c r="BI240" s="22" t="str">
        <f t="shared" si="17"/>
        <v/>
      </c>
      <c r="BJ240" s="7">
        <f>IF(ISBLANK(BF240), 0, VLOOKUP(BF240, 'Price Sheet'!$A$2:$B1015, 2, false))</f>
        <v>0</v>
      </c>
      <c r="BK240" s="33" t="str">
        <f t="shared" si="18"/>
        <v/>
      </c>
      <c r="BL240" s="37"/>
      <c r="BM240" s="29"/>
      <c r="BN240" s="29" t="b">
        <v>0</v>
      </c>
      <c r="BO240" s="22" t="str">
        <f t="shared" si="19"/>
        <v/>
      </c>
      <c r="BP240" s="7">
        <f>IF(ISBLANK(BL240), 0, VLOOKUP(BL240, 'Price Sheet'!$A$2:$B1015, 2, false))</f>
        <v>0</v>
      </c>
      <c r="BQ240" s="33" t="str">
        <f t="shared" si="20"/>
        <v/>
      </c>
    </row>
    <row r="241">
      <c r="B241" s="19">
        <f t="shared" si="1"/>
        <v>0</v>
      </c>
      <c r="C241" s="29"/>
      <c r="D241" s="29"/>
      <c r="E241" s="7" t="str">
        <f>IF(ISBLANK(D241), "", VLOOKUP(D241,'Crafting Tables'!$A$2:$B1015, 2, false))</f>
        <v/>
      </c>
      <c r="F241" s="7" t="str">
        <f>IFERROR(IF(E241 = "None", 1, VLOOKUP(C241,General!$A$5:$L$35, SWITCH(E241, "Basic", 8, "Advanced", 10, "Modern", 12), false)),"")</f>
        <v/>
      </c>
      <c r="G241" s="29"/>
      <c r="H241" s="7">
        <f>IFERROR(VLOOKUP(C241, General!$A$5:$L$35, 6, false) * G241 / 1000, 0)</f>
        <v>0</v>
      </c>
      <c r="I241" s="29"/>
      <c r="J241" s="22" t="str">
        <f>IFERROR(I241*VLOOKUP(D241,'Crafting Tables'!$1:$1000, 4, false)*F241,"")</f>
        <v/>
      </c>
      <c r="K241" s="29" t="b">
        <v>0</v>
      </c>
      <c r="L241" s="37"/>
      <c r="M241" s="29"/>
      <c r="N241" s="21" t="str">
        <f t="shared" si="2"/>
        <v/>
      </c>
      <c r="P241" s="37"/>
      <c r="Q241" s="29"/>
      <c r="R241" s="29" t="b">
        <v>0</v>
      </c>
      <c r="S241" s="22" t="str">
        <f t="shared" si="3"/>
        <v/>
      </c>
      <c r="T241" s="7">
        <f>IF(ISBLANK(P241), 0, VLOOKUP(P241, 'Price Sheet'!$A$2:$B1015, 2, false))</f>
        <v>0</v>
      </c>
      <c r="U241" s="33" t="str">
        <f t="shared" si="4"/>
        <v/>
      </c>
      <c r="V241" s="37"/>
      <c r="W241" s="29"/>
      <c r="X241" s="29" t="b">
        <v>0</v>
      </c>
      <c r="Y241" s="22" t="str">
        <f t="shared" si="5"/>
        <v/>
      </c>
      <c r="Z241" s="7">
        <f>IF(ISBLANK(V241), 0, VLOOKUP(V241, 'Price Sheet'!$A$2:$B1015, 2, false))</f>
        <v>0</v>
      </c>
      <c r="AA241" s="33" t="str">
        <f t="shared" si="6"/>
        <v/>
      </c>
      <c r="AB241" s="37"/>
      <c r="AC241" s="29"/>
      <c r="AD241" s="29" t="b">
        <v>0</v>
      </c>
      <c r="AE241" s="22" t="str">
        <f t="shared" si="7"/>
        <v/>
      </c>
      <c r="AF241" s="7">
        <f>IF(ISBLANK(AB241), 0, VLOOKUP(AB241, 'Price Sheet'!$A$2:$B1015, 2, false))</f>
        <v>0</v>
      </c>
      <c r="AG241" s="33" t="str">
        <f t="shared" si="8"/>
        <v/>
      </c>
      <c r="AH241" s="37"/>
      <c r="AI241" s="29"/>
      <c r="AJ241" s="29" t="b">
        <v>0</v>
      </c>
      <c r="AK241" s="22" t="str">
        <f t="shared" si="9"/>
        <v/>
      </c>
      <c r="AL241" s="7">
        <f>IF(ISBLANK(AH241), 0, VLOOKUP(AH241, 'Price Sheet'!$A$2:$B1015, 2, false))</f>
        <v>0</v>
      </c>
      <c r="AM241" s="33" t="str">
        <f t="shared" si="10"/>
        <v/>
      </c>
      <c r="AN241" s="37"/>
      <c r="AO241" s="29"/>
      <c r="AP241" s="29" t="b">
        <v>0</v>
      </c>
      <c r="AQ241" s="22" t="str">
        <f t="shared" si="11"/>
        <v/>
      </c>
      <c r="AR241" s="7">
        <f>IF(ISBLANK(AN241), 0, VLOOKUP(AN241, 'Price Sheet'!$A$2:$B1015, 2, false))</f>
        <v>0</v>
      </c>
      <c r="AS241" s="33" t="str">
        <f t="shared" si="12"/>
        <v/>
      </c>
      <c r="AT241" s="37"/>
      <c r="AU241" s="29"/>
      <c r="AV241" s="29" t="b">
        <v>0</v>
      </c>
      <c r="AW241" s="22" t="str">
        <f t="shared" si="13"/>
        <v/>
      </c>
      <c r="AX241" s="7">
        <f>IF(ISBLANK(AT241), 0, VLOOKUP(AT241, 'Price Sheet'!$A$2:$B1015, 2, false))</f>
        <v>0</v>
      </c>
      <c r="AY241" s="33" t="str">
        <f t="shared" si="14"/>
        <v/>
      </c>
      <c r="AZ241" s="37"/>
      <c r="BA241" s="29"/>
      <c r="BB241" s="29" t="b">
        <v>0</v>
      </c>
      <c r="BC241" s="22" t="str">
        <f t="shared" si="15"/>
        <v/>
      </c>
      <c r="BD241" s="7">
        <f>IF(ISBLANK(AZ241), 0, VLOOKUP(AZ241, 'Price Sheet'!$A$2:$B1015, 2, false))</f>
        <v>0</v>
      </c>
      <c r="BE241" s="33" t="str">
        <f t="shared" si="16"/>
        <v/>
      </c>
      <c r="BF241" s="37"/>
      <c r="BG241" s="29"/>
      <c r="BH241" s="29" t="b">
        <v>0</v>
      </c>
      <c r="BI241" s="22" t="str">
        <f t="shared" si="17"/>
        <v/>
      </c>
      <c r="BJ241" s="7">
        <f>IF(ISBLANK(BF241), 0, VLOOKUP(BF241, 'Price Sheet'!$A$2:$B1015, 2, false))</f>
        <v>0</v>
      </c>
      <c r="BK241" s="33" t="str">
        <f t="shared" si="18"/>
        <v/>
      </c>
      <c r="BL241" s="37"/>
      <c r="BM241" s="29"/>
      <c r="BN241" s="29" t="b">
        <v>0</v>
      </c>
      <c r="BO241" s="22" t="str">
        <f t="shared" si="19"/>
        <v/>
      </c>
      <c r="BP241" s="7">
        <f>IF(ISBLANK(BL241), 0, VLOOKUP(BL241, 'Price Sheet'!$A$2:$B1015, 2, false))</f>
        <v>0</v>
      </c>
      <c r="BQ241" s="33" t="str">
        <f t="shared" si="20"/>
        <v/>
      </c>
    </row>
    <row r="242">
      <c r="B242" s="19">
        <f t="shared" si="1"/>
        <v>0</v>
      </c>
      <c r="C242" s="29"/>
      <c r="D242" s="29"/>
      <c r="E242" s="7" t="str">
        <f>IF(ISBLANK(D242), "", VLOOKUP(D242,'Crafting Tables'!$A$2:$B1015, 2, false))</f>
        <v/>
      </c>
      <c r="F242" s="7" t="str">
        <f>IFERROR(IF(E242 = "None", 1, VLOOKUP(C242,General!$A$5:$L$35, SWITCH(E242, "Basic", 8, "Advanced", 10, "Modern", 12), false)),"")</f>
        <v/>
      </c>
      <c r="G242" s="29"/>
      <c r="H242" s="7">
        <f>IFERROR(VLOOKUP(C242, General!$A$5:$L$35, 6, false) * G242 / 1000, 0)</f>
        <v>0</v>
      </c>
      <c r="I242" s="29"/>
      <c r="J242" s="22" t="str">
        <f>IFERROR(I242*VLOOKUP(D242,'Crafting Tables'!$1:$1000, 4, false)*F242,"")</f>
        <v/>
      </c>
      <c r="K242" s="29" t="b">
        <v>0</v>
      </c>
      <c r="L242" s="37"/>
      <c r="M242" s="29"/>
      <c r="N242" s="21" t="str">
        <f t="shared" si="2"/>
        <v/>
      </c>
      <c r="P242" s="37"/>
      <c r="Q242" s="29"/>
      <c r="R242" s="29" t="b">
        <v>0</v>
      </c>
      <c r="S242" s="22" t="str">
        <f t="shared" si="3"/>
        <v/>
      </c>
      <c r="T242" s="7">
        <f>IF(ISBLANK(P242), 0, VLOOKUP(P242, 'Price Sheet'!$A$2:$B1015, 2, false))</f>
        <v>0</v>
      </c>
      <c r="U242" s="33" t="str">
        <f t="shared" si="4"/>
        <v/>
      </c>
      <c r="V242" s="37"/>
      <c r="W242" s="29"/>
      <c r="X242" s="29" t="b">
        <v>0</v>
      </c>
      <c r="Y242" s="22" t="str">
        <f t="shared" si="5"/>
        <v/>
      </c>
      <c r="Z242" s="7">
        <f>IF(ISBLANK(V242), 0, VLOOKUP(V242, 'Price Sheet'!$A$2:$B1015, 2, false))</f>
        <v>0</v>
      </c>
      <c r="AA242" s="33" t="str">
        <f t="shared" si="6"/>
        <v/>
      </c>
      <c r="AB242" s="37"/>
      <c r="AC242" s="29"/>
      <c r="AD242" s="29" t="b">
        <v>0</v>
      </c>
      <c r="AE242" s="22" t="str">
        <f t="shared" si="7"/>
        <v/>
      </c>
      <c r="AF242" s="7">
        <f>IF(ISBLANK(AB242), 0, VLOOKUP(AB242, 'Price Sheet'!$A$2:$B1015, 2, false))</f>
        <v>0</v>
      </c>
      <c r="AG242" s="33" t="str">
        <f t="shared" si="8"/>
        <v/>
      </c>
      <c r="AH242" s="37"/>
      <c r="AI242" s="29"/>
      <c r="AJ242" s="29" t="b">
        <v>0</v>
      </c>
      <c r="AK242" s="22" t="str">
        <f t="shared" si="9"/>
        <v/>
      </c>
      <c r="AL242" s="7">
        <f>IF(ISBLANK(AH242), 0, VLOOKUP(AH242, 'Price Sheet'!$A$2:$B1015, 2, false))</f>
        <v>0</v>
      </c>
      <c r="AM242" s="33" t="str">
        <f t="shared" si="10"/>
        <v/>
      </c>
      <c r="AN242" s="37"/>
      <c r="AO242" s="29"/>
      <c r="AP242" s="29" t="b">
        <v>0</v>
      </c>
      <c r="AQ242" s="22" t="str">
        <f t="shared" si="11"/>
        <v/>
      </c>
      <c r="AR242" s="7">
        <f>IF(ISBLANK(AN242), 0, VLOOKUP(AN242, 'Price Sheet'!$A$2:$B1015, 2, false))</f>
        <v>0</v>
      </c>
      <c r="AS242" s="33" t="str">
        <f t="shared" si="12"/>
        <v/>
      </c>
      <c r="AT242" s="37"/>
      <c r="AU242" s="29"/>
      <c r="AV242" s="29" t="b">
        <v>0</v>
      </c>
      <c r="AW242" s="22" t="str">
        <f t="shared" si="13"/>
        <v/>
      </c>
      <c r="AX242" s="7">
        <f>IF(ISBLANK(AT242), 0, VLOOKUP(AT242, 'Price Sheet'!$A$2:$B1015, 2, false))</f>
        <v>0</v>
      </c>
      <c r="AY242" s="33" t="str">
        <f t="shared" si="14"/>
        <v/>
      </c>
      <c r="AZ242" s="37"/>
      <c r="BA242" s="29"/>
      <c r="BB242" s="29" t="b">
        <v>0</v>
      </c>
      <c r="BC242" s="22" t="str">
        <f t="shared" si="15"/>
        <v/>
      </c>
      <c r="BD242" s="7">
        <f>IF(ISBLANK(AZ242), 0, VLOOKUP(AZ242, 'Price Sheet'!$A$2:$B1015, 2, false))</f>
        <v>0</v>
      </c>
      <c r="BE242" s="33" t="str">
        <f t="shared" si="16"/>
        <v/>
      </c>
      <c r="BF242" s="37"/>
      <c r="BG242" s="29"/>
      <c r="BH242" s="29" t="b">
        <v>0</v>
      </c>
      <c r="BI242" s="22" t="str">
        <f t="shared" si="17"/>
        <v/>
      </c>
      <c r="BJ242" s="7">
        <f>IF(ISBLANK(BF242), 0, VLOOKUP(BF242, 'Price Sheet'!$A$2:$B1015, 2, false))</f>
        <v>0</v>
      </c>
      <c r="BK242" s="33" t="str">
        <f t="shared" si="18"/>
        <v/>
      </c>
      <c r="BL242" s="37"/>
      <c r="BM242" s="29"/>
      <c r="BN242" s="29" t="b">
        <v>0</v>
      </c>
      <c r="BO242" s="22" t="str">
        <f t="shared" si="19"/>
        <v/>
      </c>
      <c r="BP242" s="7">
        <f>IF(ISBLANK(BL242), 0, VLOOKUP(BL242, 'Price Sheet'!$A$2:$B1015, 2, false))</f>
        <v>0</v>
      </c>
      <c r="BQ242" s="33" t="str">
        <f t="shared" si="20"/>
        <v/>
      </c>
    </row>
    <row r="243">
      <c r="B243" s="19">
        <f t="shared" si="1"/>
        <v>0</v>
      </c>
      <c r="C243" s="29"/>
      <c r="D243" s="29"/>
      <c r="E243" s="7" t="str">
        <f>IF(ISBLANK(D243), "", VLOOKUP(D243,'Crafting Tables'!$A$2:$B1015, 2, false))</f>
        <v/>
      </c>
      <c r="F243" s="7" t="str">
        <f>IFERROR(IF(E243 = "None", 1, VLOOKUP(C243,General!$A$5:$L$35, SWITCH(E243, "Basic", 8, "Advanced", 10, "Modern", 12), false)),"")</f>
        <v/>
      </c>
      <c r="G243" s="29"/>
      <c r="H243" s="7">
        <f>IFERROR(VLOOKUP(C243, General!$A$5:$L$35, 6, false) * G243 / 1000, 0)</f>
        <v>0</v>
      </c>
      <c r="I243" s="29"/>
      <c r="J243" s="22" t="str">
        <f>IFERROR(I243*VLOOKUP(D243,'Crafting Tables'!$1:$1000, 4, false)*F243,"")</f>
        <v/>
      </c>
      <c r="K243" s="29" t="b">
        <v>0</v>
      </c>
      <c r="L243" s="37"/>
      <c r="M243" s="29"/>
      <c r="N243" s="21" t="str">
        <f t="shared" si="2"/>
        <v/>
      </c>
      <c r="P243" s="37"/>
      <c r="Q243" s="29"/>
      <c r="R243" s="29" t="b">
        <v>0</v>
      </c>
      <c r="S243" s="22" t="str">
        <f t="shared" si="3"/>
        <v/>
      </c>
      <c r="T243" s="7">
        <f>IF(ISBLANK(P243), 0, VLOOKUP(P243, 'Price Sheet'!$A$2:$B1015, 2, false))</f>
        <v>0</v>
      </c>
      <c r="U243" s="33" t="str">
        <f t="shared" si="4"/>
        <v/>
      </c>
      <c r="V243" s="37"/>
      <c r="W243" s="29"/>
      <c r="X243" s="29" t="b">
        <v>0</v>
      </c>
      <c r="Y243" s="22" t="str">
        <f t="shared" si="5"/>
        <v/>
      </c>
      <c r="Z243" s="7">
        <f>IF(ISBLANK(V243), 0, VLOOKUP(V243, 'Price Sheet'!$A$2:$B1015, 2, false))</f>
        <v>0</v>
      </c>
      <c r="AA243" s="33" t="str">
        <f t="shared" si="6"/>
        <v/>
      </c>
      <c r="AB243" s="37"/>
      <c r="AC243" s="29"/>
      <c r="AD243" s="29" t="b">
        <v>0</v>
      </c>
      <c r="AE243" s="22" t="str">
        <f t="shared" si="7"/>
        <v/>
      </c>
      <c r="AF243" s="7">
        <f>IF(ISBLANK(AB243), 0, VLOOKUP(AB243, 'Price Sheet'!$A$2:$B1015, 2, false))</f>
        <v>0</v>
      </c>
      <c r="AG243" s="33" t="str">
        <f t="shared" si="8"/>
        <v/>
      </c>
      <c r="AH243" s="37"/>
      <c r="AI243" s="29"/>
      <c r="AJ243" s="29" t="b">
        <v>0</v>
      </c>
      <c r="AK243" s="22" t="str">
        <f t="shared" si="9"/>
        <v/>
      </c>
      <c r="AL243" s="7">
        <f>IF(ISBLANK(AH243), 0, VLOOKUP(AH243, 'Price Sheet'!$A$2:$B1015, 2, false))</f>
        <v>0</v>
      </c>
      <c r="AM243" s="33" t="str">
        <f t="shared" si="10"/>
        <v/>
      </c>
      <c r="AN243" s="37"/>
      <c r="AO243" s="29"/>
      <c r="AP243" s="29" t="b">
        <v>0</v>
      </c>
      <c r="AQ243" s="22" t="str">
        <f t="shared" si="11"/>
        <v/>
      </c>
      <c r="AR243" s="7">
        <f>IF(ISBLANK(AN243), 0, VLOOKUP(AN243, 'Price Sheet'!$A$2:$B1015, 2, false))</f>
        <v>0</v>
      </c>
      <c r="AS243" s="33" t="str">
        <f t="shared" si="12"/>
        <v/>
      </c>
      <c r="AT243" s="37"/>
      <c r="AU243" s="29"/>
      <c r="AV243" s="29" t="b">
        <v>0</v>
      </c>
      <c r="AW243" s="22" t="str">
        <f t="shared" si="13"/>
        <v/>
      </c>
      <c r="AX243" s="7">
        <f>IF(ISBLANK(AT243), 0, VLOOKUP(AT243, 'Price Sheet'!$A$2:$B1015, 2, false))</f>
        <v>0</v>
      </c>
      <c r="AY243" s="33" t="str">
        <f t="shared" si="14"/>
        <v/>
      </c>
      <c r="AZ243" s="37"/>
      <c r="BA243" s="29"/>
      <c r="BB243" s="29" t="b">
        <v>0</v>
      </c>
      <c r="BC243" s="22" t="str">
        <f t="shared" si="15"/>
        <v/>
      </c>
      <c r="BD243" s="7">
        <f>IF(ISBLANK(AZ243), 0, VLOOKUP(AZ243, 'Price Sheet'!$A$2:$B1015, 2, false))</f>
        <v>0</v>
      </c>
      <c r="BE243" s="33" t="str">
        <f t="shared" si="16"/>
        <v/>
      </c>
      <c r="BF243" s="37"/>
      <c r="BG243" s="29"/>
      <c r="BH243" s="29" t="b">
        <v>0</v>
      </c>
      <c r="BI243" s="22" t="str">
        <f t="shared" si="17"/>
        <v/>
      </c>
      <c r="BJ243" s="7">
        <f>IF(ISBLANK(BF243), 0, VLOOKUP(BF243, 'Price Sheet'!$A$2:$B1015, 2, false))</f>
        <v>0</v>
      </c>
      <c r="BK243" s="33" t="str">
        <f t="shared" si="18"/>
        <v/>
      </c>
      <c r="BL243" s="37"/>
      <c r="BM243" s="29"/>
      <c r="BN243" s="29" t="b">
        <v>0</v>
      </c>
      <c r="BO243" s="22" t="str">
        <f t="shared" si="19"/>
        <v/>
      </c>
      <c r="BP243" s="7">
        <f>IF(ISBLANK(BL243), 0, VLOOKUP(BL243, 'Price Sheet'!$A$2:$B1015, 2, false))</f>
        <v>0</v>
      </c>
      <c r="BQ243" s="33" t="str">
        <f t="shared" si="20"/>
        <v/>
      </c>
    </row>
    <row r="244">
      <c r="B244" s="19">
        <f t="shared" si="1"/>
        <v>0</v>
      </c>
      <c r="C244" s="29"/>
      <c r="D244" s="29"/>
      <c r="E244" s="7" t="str">
        <f>IF(ISBLANK(D244), "", VLOOKUP(D244,'Crafting Tables'!$A$2:$B1015, 2, false))</f>
        <v/>
      </c>
      <c r="F244" s="7" t="str">
        <f>IFERROR(IF(E244 = "None", 1, VLOOKUP(C244,General!$A$5:$L$35, SWITCH(E244, "Basic", 8, "Advanced", 10, "Modern", 12), false)),"")</f>
        <v/>
      </c>
      <c r="G244" s="29"/>
      <c r="H244" s="7">
        <f>IFERROR(VLOOKUP(C244, General!$A$5:$L$35, 6, false) * G244 / 1000, 0)</f>
        <v>0</v>
      </c>
      <c r="I244" s="29"/>
      <c r="J244" s="22" t="str">
        <f>IFERROR(I244*VLOOKUP(D244,'Crafting Tables'!$1:$1000, 4, false)*F244,"")</f>
        <v/>
      </c>
      <c r="K244" s="29" t="b">
        <v>0</v>
      </c>
      <c r="L244" s="37"/>
      <c r="M244" s="29"/>
      <c r="N244" s="21" t="str">
        <f t="shared" si="2"/>
        <v/>
      </c>
      <c r="P244" s="37"/>
      <c r="Q244" s="29"/>
      <c r="R244" s="29" t="b">
        <v>0</v>
      </c>
      <c r="S244" s="22" t="str">
        <f t="shared" si="3"/>
        <v/>
      </c>
      <c r="T244" s="7">
        <f>IF(ISBLANK(P244), 0, VLOOKUP(P244, 'Price Sheet'!$A$2:$B1015, 2, false))</f>
        <v>0</v>
      </c>
      <c r="U244" s="33" t="str">
        <f t="shared" si="4"/>
        <v/>
      </c>
      <c r="V244" s="37"/>
      <c r="W244" s="29"/>
      <c r="X244" s="29" t="b">
        <v>0</v>
      </c>
      <c r="Y244" s="22" t="str">
        <f t="shared" si="5"/>
        <v/>
      </c>
      <c r="Z244" s="7">
        <f>IF(ISBLANK(V244), 0, VLOOKUP(V244, 'Price Sheet'!$A$2:$B1015, 2, false))</f>
        <v>0</v>
      </c>
      <c r="AA244" s="33" t="str">
        <f t="shared" si="6"/>
        <v/>
      </c>
      <c r="AB244" s="37"/>
      <c r="AC244" s="29"/>
      <c r="AD244" s="29" t="b">
        <v>0</v>
      </c>
      <c r="AE244" s="22" t="str">
        <f t="shared" si="7"/>
        <v/>
      </c>
      <c r="AF244" s="7">
        <f>IF(ISBLANK(AB244), 0, VLOOKUP(AB244, 'Price Sheet'!$A$2:$B1015, 2, false))</f>
        <v>0</v>
      </c>
      <c r="AG244" s="33" t="str">
        <f t="shared" si="8"/>
        <v/>
      </c>
      <c r="AH244" s="37"/>
      <c r="AI244" s="29"/>
      <c r="AJ244" s="29" t="b">
        <v>0</v>
      </c>
      <c r="AK244" s="22" t="str">
        <f t="shared" si="9"/>
        <v/>
      </c>
      <c r="AL244" s="7">
        <f>IF(ISBLANK(AH244), 0, VLOOKUP(AH244, 'Price Sheet'!$A$2:$B1015, 2, false))</f>
        <v>0</v>
      </c>
      <c r="AM244" s="33" t="str">
        <f t="shared" si="10"/>
        <v/>
      </c>
      <c r="AN244" s="37"/>
      <c r="AO244" s="29"/>
      <c r="AP244" s="29" t="b">
        <v>0</v>
      </c>
      <c r="AQ244" s="22" t="str">
        <f t="shared" si="11"/>
        <v/>
      </c>
      <c r="AR244" s="7">
        <f>IF(ISBLANK(AN244), 0, VLOOKUP(AN244, 'Price Sheet'!$A$2:$B1015, 2, false))</f>
        <v>0</v>
      </c>
      <c r="AS244" s="33" t="str">
        <f t="shared" si="12"/>
        <v/>
      </c>
      <c r="AT244" s="37"/>
      <c r="AU244" s="29"/>
      <c r="AV244" s="29" t="b">
        <v>0</v>
      </c>
      <c r="AW244" s="22" t="str">
        <f t="shared" si="13"/>
        <v/>
      </c>
      <c r="AX244" s="7">
        <f>IF(ISBLANK(AT244), 0, VLOOKUP(AT244, 'Price Sheet'!$A$2:$B1015, 2, false))</f>
        <v>0</v>
      </c>
      <c r="AY244" s="33" t="str">
        <f t="shared" si="14"/>
        <v/>
      </c>
      <c r="AZ244" s="37"/>
      <c r="BA244" s="29"/>
      <c r="BB244" s="29" t="b">
        <v>0</v>
      </c>
      <c r="BC244" s="22" t="str">
        <f t="shared" si="15"/>
        <v/>
      </c>
      <c r="BD244" s="7">
        <f>IF(ISBLANK(AZ244), 0, VLOOKUP(AZ244, 'Price Sheet'!$A$2:$B1015, 2, false))</f>
        <v>0</v>
      </c>
      <c r="BE244" s="33" t="str">
        <f t="shared" si="16"/>
        <v/>
      </c>
      <c r="BF244" s="37"/>
      <c r="BG244" s="29"/>
      <c r="BH244" s="29" t="b">
        <v>0</v>
      </c>
      <c r="BI244" s="22" t="str">
        <f t="shared" si="17"/>
        <v/>
      </c>
      <c r="BJ244" s="7">
        <f>IF(ISBLANK(BF244), 0, VLOOKUP(BF244, 'Price Sheet'!$A$2:$B1015, 2, false))</f>
        <v>0</v>
      </c>
      <c r="BK244" s="33" t="str">
        <f t="shared" si="18"/>
        <v/>
      </c>
      <c r="BL244" s="37"/>
      <c r="BM244" s="29"/>
      <c r="BN244" s="29" t="b">
        <v>0</v>
      </c>
      <c r="BO244" s="22" t="str">
        <f t="shared" si="19"/>
        <v/>
      </c>
      <c r="BP244" s="7">
        <f>IF(ISBLANK(BL244), 0, VLOOKUP(BL244, 'Price Sheet'!$A$2:$B1015, 2, false))</f>
        <v>0</v>
      </c>
      <c r="BQ244" s="33" t="str">
        <f t="shared" si="20"/>
        <v/>
      </c>
    </row>
    <row r="245">
      <c r="B245" s="19">
        <f t="shared" si="1"/>
        <v>0</v>
      </c>
      <c r="C245" s="29"/>
      <c r="D245" s="29"/>
      <c r="E245" s="7" t="str">
        <f>IF(ISBLANK(D245), "", VLOOKUP(D245,'Crafting Tables'!$A$2:$B1015, 2, false))</f>
        <v/>
      </c>
      <c r="F245" s="7" t="str">
        <f>IFERROR(IF(E245 = "None", 1, VLOOKUP(C245,General!$A$5:$L$35, SWITCH(E245, "Basic", 8, "Advanced", 10, "Modern", 12), false)),"")</f>
        <v/>
      </c>
      <c r="G245" s="29"/>
      <c r="H245" s="7">
        <f>IFERROR(VLOOKUP(C245, General!$A$5:$L$35, 6, false) * G245 / 1000, 0)</f>
        <v>0</v>
      </c>
      <c r="I245" s="29"/>
      <c r="J245" s="22" t="str">
        <f>IFERROR(I245*VLOOKUP(D245,'Crafting Tables'!$1:$1000, 4, false)*F245,"")</f>
        <v/>
      </c>
      <c r="K245" s="29" t="b">
        <v>0</v>
      </c>
      <c r="L245" s="37"/>
      <c r="M245" s="29"/>
      <c r="N245" s="21" t="str">
        <f t="shared" si="2"/>
        <v/>
      </c>
      <c r="P245" s="37"/>
      <c r="Q245" s="29"/>
      <c r="R245" s="29" t="b">
        <v>0</v>
      </c>
      <c r="S245" s="22" t="str">
        <f t="shared" si="3"/>
        <v/>
      </c>
      <c r="T245" s="7">
        <f>IF(ISBLANK(P245), 0, VLOOKUP(P245, 'Price Sheet'!$A$2:$B1015, 2, false))</f>
        <v>0</v>
      </c>
      <c r="U245" s="33" t="str">
        <f t="shared" si="4"/>
        <v/>
      </c>
      <c r="V245" s="37"/>
      <c r="W245" s="29"/>
      <c r="X245" s="29" t="b">
        <v>0</v>
      </c>
      <c r="Y245" s="22" t="str">
        <f t="shared" si="5"/>
        <v/>
      </c>
      <c r="Z245" s="7">
        <f>IF(ISBLANK(V245), 0, VLOOKUP(V245, 'Price Sheet'!$A$2:$B1015, 2, false))</f>
        <v>0</v>
      </c>
      <c r="AA245" s="33" t="str">
        <f t="shared" si="6"/>
        <v/>
      </c>
      <c r="AB245" s="37"/>
      <c r="AC245" s="29"/>
      <c r="AD245" s="29" t="b">
        <v>0</v>
      </c>
      <c r="AE245" s="22" t="str">
        <f t="shared" si="7"/>
        <v/>
      </c>
      <c r="AF245" s="7">
        <f>IF(ISBLANK(AB245), 0, VLOOKUP(AB245, 'Price Sheet'!$A$2:$B1015, 2, false))</f>
        <v>0</v>
      </c>
      <c r="AG245" s="33" t="str">
        <f t="shared" si="8"/>
        <v/>
      </c>
      <c r="AH245" s="37"/>
      <c r="AI245" s="29"/>
      <c r="AJ245" s="29" t="b">
        <v>0</v>
      </c>
      <c r="AK245" s="22" t="str">
        <f t="shared" si="9"/>
        <v/>
      </c>
      <c r="AL245" s="7">
        <f>IF(ISBLANK(AH245), 0, VLOOKUP(AH245, 'Price Sheet'!$A$2:$B1015, 2, false))</f>
        <v>0</v>
      </c>
      <c r="AM245" s="33" t="str">
        <f t="shared" si="10"/>
        <v/>
      </c>
      <c r="AN245" s="37"/>
      <c r="AO245" s="29"/>
      <c r="AP245" s="29" t="b">
        <v>0</v>
      </c>
      <c r="AQ245" s="22" t="str">
        <f t="shared" si="11"/>
        <v/>
      </c>
      <c r="AR245" s="7">
        <f>IF(ISBLANK(AN245), 0, VLOOKUP(AN245, 'Price Sheet'!$A$2:$B1015, 2, false))</f>
        <v>0</v>
      </c>
      <c r="AS245" s="33" t="str">
        <f t="shared" si="12"/>
        <v/>
      </c>
      <c r="AT245" s="37"/>
      <c r="AU245" s="29"/>
      <c r="AV245" s="29" t="b">
        <v>0</v>
      </c>
      <c r="AW245" s="22" t="str">
        <f t="shared" si="13"/>
        <v/>
      </c>
      <c r="AX245" s="7">
        <f>IF(ISBLANK(AT245), 0, VLOOKUP(AT245, 'Price Sheet'!$A$2:$B1015, 2, false))</f>
        <v>0</v>
      </c>
      <c r="AY245" s="33" t="str">
        <f t="shared" si="14"/>
        <v/>
      </c>
      <c r="AZ245" s="37"/>
      <c r="BA245" s="29"/>
      <c r="BB245" s="29" t="b">
        <v>0</v>
      </c>
      <c r="BC245" s="22" t="str">
        <f t="shared" si="15"/>
        <v/>
      </c>
      <c r="BD245" s="7">
        <f>IF(ISBLANK(AZ245), 0, VLOOKUP(AZ245, 'Price Sheet'!$A$2:$B1015, 2, false))</f>
        <v>0</v>
      </c>
      <c r="BE245" s="33" t="str">
        <f t="shared" si="16"/>
        <v/>
      </c>
      <c r="BF245" s="37"/>
      <c r="BG245" s="29"/>
      <c r="BH245" s="29" t="b">
        <v>0</v>
      </c>
      <c r="BI245" s="22" t="str">
        <f t="shared" si="17"/>
        <v/>
      </c>
      <c r="BJ245" s="7">
        <f>IF(ISBLANK(BF245), 0, VLOOKUP(BF245, 'Price Sheet'!$A$2:$B1015, 2, false))</f>
        <v>0</v>
      </c>
      <c r="BK245" s="33" t="str">
        <f t="shared" si="18"/>
        <v/>
      </c>
      <c r="BL245" s="37"/>
      <c r="BM245" s="29"/>
      <c r="BN245" s="29" t="b">
        <v>0</v>
      </c>
      <c r="BO245" s="22" t="str">
        <f t="shared" si="19"/>
        <v/>
      </c>
      <c r="BP245" s="7">
        <f>IF(ISBLANK(BL245), 0, VLOOKUP(BL245, 'Price Sheet'!$A$2:$B1015, 2, false))</f>
        <v>0</v>
      </c>
      <c r="BQ245" s="33" t="str">
        <f t="shared" si="20"/>
        <v/>
      </c>
    </row>
    <row r="246">
      <c r="B246" s="19">
        <f t="shared" si="1"/>
        <v>0</v>
      </c>
      <c r="C246" s="29"/>
      <c r="D246" s="29"/>
      <c r="E246" s="7" t="str">
        <f>IF(ISBLANK(D246), "", VLOOKUP(D246,'Crafting Tables'!$A$2:$B1015, 2, false))</f>
        <v/>
      </c>
      <c r="F246" s="7" t="str">
        <f>IFERROR(IF(E246 = "None", 1, VLOOKUP(C246,General!$A$5:$L$35, SWITCH(E246, "Basic", 8, "Advanced", 10, "Modern", 12), false)),"")</f>
        <v/>
      </c>
      <c r="G246" s="29"/>
      <c r="H246" s="7">
        <f>IFERROR(VLOOKUP(C246, General!$A$5:$L$35, 6, false) * G246 / 1000, 0)</f>
        <v>0</v>
      </c>
      <c r="I246" s="29"/>
      <c r="J246" s="22" t="str">
        <f>IFERROR(I246*VLOOKUP(D246,'Crafting Tables'!$1:$1000, 4, false)*F246,"")</f>
        <v/>
      </c>
      <c r="K246" s="29" t="b">
        <v>0</v>
      </c>
      <c r="L246" s="37"/>
      <c r="M246" s="29"/>
      <c r="N246" s="21" t="str">
        <f t="shared" si="2"/>
        <v/>
      </c>
      <c r="P246" s="37"/>
      <c r="Q246" s="29"/>
      <c r="R246" s="29" t="b">
        <v>0</v>
      </c>
      <c r="S246" s="22" t="str">
        <f t="shared" si="3"/>
        <v/>
      </c>
      <c r="T246" s="7">
        <f>IF(ISBLANK(P246), 0, VLOOKUP(P246, 'Price Sheet'!$A$2:$B1015, 2, false))</f>
        <v>0</v>
      </c>
      <c r="U246" s="33" t="str">
        <f t="shared" si="4"/>
        <v/>
      </c>
      <c r="V246" s="37"/>
      <c r="W246" s="29"/>
      <c r="X246" s="29" t="b">
        <v>0</v>
      </c>
      <c r="Y246" s="22" t="str">
        <f t="shared" si="5"/>
        <v/>
      </c>
      <c r="Z246" s="7">
        <f>IF(ISBLANK(V246), 0, VLOOKUP(V246, 'Price Sheet'!$A$2:$B1015, 2, false))</f>
        <v>0</v>
      </c>
      <c r="AA246" s="33" t="str">
        <f t="shared" si="6"/>
        <v/>
      </c>
      <c r="AB246" s="37"/>
      <c r="AC246" s="29"/>
      <c r="AD246" s="29" t="b">
        <v>0</v>
      </c>
      <c r="AE246" s="22" t="str">
        <f t="shared" si="7"/>
        <v/>
      </c>
      <c r="AF246" s="7">
        <f>IF(ISBLANK(AB246), 0, VLOOKUP(AB246, 'Price Sheet'!$A$2:$B1015, 2, false))</f>
        <v>0</v>
      </c>
      <c r="AG246" s="33" t="str">
        <f t="shared" si="8"/>
        <v/>
      </c>
      <c r="AH246" s="37"/>
      <c r="AI246" s="29"/>
      <c r="AJ246" s="29" t="b">
        <v>0</v>
      </c>
      <c r="AK246" s="22" t="str">
        <f t="shared" si="9"/>
        <v/>
      </c>
      <c r="AL246" s="7">
        <f>IF(ISBLANK(AH246), 0, VLOOKUP(AH246, 'Price Sheet'!$A$2:$B1015, 2, false))</f>
        <v>0</v>
      </c>
      <c r="AM246" s="33" t="str">
        <f t="shared" si="10"/>
        <v/>
      </c>
      <c r="AN246" s="37"/>
      <c r="AO246" s="29"/>
      <c r="AP246" s="29" t="b">
        <v>0</v>
      </c>
      <c r="AQ246" s="22" t="str">
        <f t="shared" si="11"/>
        <v/>
      </c>
      <c r="AR246" s="7">
        <f>IF(ISBLANK(AN246), 0, VLOOKUP(AN246, 'Price Sheet'!$A$2:$B1015, 2, false))</f>
        <v>0</v>
      </c>
      <c r="AS246" s="33" t="str">
        <f t="shared" si="12"/>
        <v/>
      </c>
      <c r="AT246" s="37"/>
      <c r="AU246" s="29"/>
      <c r="AV246" s="29" t="b">
        <v>0</v>
      </c>
      <c r="AW246" s="22" t="str">
        <f t="shared" si="13"/>
        <v/>
      </c>
      <c r="AX246" s="7">
        <f>IF(ISBLANK(AT246), 0, VLOOKUP(AT246, 'Price Sheet'!$A$2:$B1015, 2, false))</f>
        <v>0</v>
      </c>
      <c r="AY246" s="33" t="str">
        <f t="shared" si="14"/>
        <v/>
      </c>
      <c r="AZ246" s="37"/>
      <c r="BA246" s="29"/>
      <c r="BB246" s="29" t="b">
        <v>0</v>
      </c>
      <c r="BC246" s="22" t="str">
        <f t="shared" si="15"/>
        <v/>
      </c>
      <c r="BD246" s="7">
        <f>IF(ISBLANK(AZ246), 0, VLOOKUP(AZ246, 'Price Sheet'!$A$2:$B1015, 2, false))</f>
        <v>0</v>
      </c>
      <c r="BE246" s="33" t="str">
        <f t="shared" si="16"/>
        <v/>
      </c>
      <c r="BF246" s="37"/>
      <c r="BG246" s="29"/>
      <c r="BH246" s="29" t="b">
        <v>0</v>
      </c>
      <c r="BI246" s="22" t="str">
        <f t="shared" si="17"/>
        <v/>
      </c>
      <c r="BJ246" s="7">
        <f>IF(ISBLANK(BF246), 0, VLOOKUP(BF246, 'Price Sheet'!$A$2:$B1015, 2, false))</f>
        <v>0</v>
      </c>
      <c r="BK246" s="33" t="str">
        <f t="shared" si="18"/>
        <v/>
      </c>
      <c r="BL246" s="37"/>
      <c r="BM246" s="29"/>
      <c r="BN246" s="29" t="b">
        <v>0</v>
      </c>
      <c r="BO246" s="22" t="str">
        <f t="shared" si="19"/>
        <v/>
      </c>
      <c r="BP246" s="7">
        <f>IF(ISBLANK(BL246), 0, VLOOKUP(BL246, 'Price Sheet'!$A$2:$B1015, 2, false))</f>
        <v>0</v>
      </c>
      <c r="BQ246" s="33" t="str">
        <f t="shared" si="20"/>
        <v/>
      </c>
    </row>
    <row r="247">
      <c r="B247" s="19">
        <f t="shared" si="1"/>
        <v>0</v>
      </c>
      <c r="C247" s="29"/>
      <c r="D247" s="29"/>
      <c r="E247" s="7" t="str">
        <f>IF(ISBLANK(D247), "", VLOOKUP(D247,'Crafting Tables'!$A$2:$B1015, 2, false))</f>
        <v/>
      </c>
      <c r="F247" s="7" t="str">
        <f>IFERROR(IF(E247 = "None", 1, VLOOKUP(C247,General!$A$5:$L$35, SWITCH(E247, "Basic", 8, "Advanced", 10, "Modern", 12), false)),"")</f>
        <v/>
      </c>
      <c r="G247" s="29"/>
      <c r="H247" s="7">
        <f>IFERROR(VLOOKUP(C247, General!$A$5:$L$35, 6, false) * G247 / 1000, 0)</f>
        <v>0</v>
      </c>
      <c r="I247" s="29"/>
      <c r="J247" s="22" t="str">
        <f>IFERROR(I247*VLOOKUP(D247,'Crafting Tables'!$1:$1000, 4, false)*F247,"")</f>
        <v/>
      </c>
      <c r="K247" s="29" t="b">
        <v>0</v>
      </c>
      <c r="L247" s="37"/>
      <c r="M247" s="29"/>
      <c r="N247" s="21" t="str">
        <f t="shared" si="2"/>
        <v/>
      </c>
      <c r="P247" s="37"/>
      <c r="Q247" s="29"/>
      <c r="R247" s="29" t="b">
        <v>0</v>
      </c>
      <c r="S247" s="22" t="str">
        <f t="shared" si="3"/>
        <v/>
      </c>
      <c r="T247" s="7">
        <f>IF(ISBLANK(P247), 0, VLOOKUP(P247, 'Price Sheet'!$A$2:$B1015, 2, false))</f>
        <v>0</v>
      </c>
      <c r="U247" s="33" t="str">
        <f t="shared" si="4"/>
        <v/>
      </c>
      <c r="V247" s="37"/>
      <c r="W247" s="29"/>
      <c r="X247" s="29" t="b">
        <v>0</v>
      </c>
      <c r="Y247" s="22" t="str">
        <f t="shared" si="5"/>
        <v/>
      </c>
      <c r="Z247" s="7">
        <f>IF(ISBLANK(V247), 0, VLOOKUP(V247, 'Price Sheet'!$A$2:$B1015, 2, false))</f>
        <v>0</v>
      </c>
      <c r="AA247" s="33" t="str">
        <f t="shared" si="6"/>
        <v/>
      </c>
      <c r="AB247" s="37"/>
      <c r="AC247" s="29"/>
      <c r="AD247" s="29" t="b">
        <v>0</v>
      </c>
      <c r="AE247" s="22" t="str">
        <f t="shared" si="7"/>
        <v/>
      </c>
      <c r="AF247" s="7">
        <f>IF(ISBLANK(AB247), 0, VLOOKUP(AB247, 'Price Sheet'!$A$2:$B1015, 2, false))</f>
        <v>0</v>
      </c>
      <c r="AG247" s="33" t="str">
        <f t="shared" si="8"/>
        <v/>
      </c>
      <c r="AH247" s="37"/>
      <c r="AI247" s="29"/>
      <c r="AJ247" s="29" t="b">
        <v>0</v>
      </c>
      <c r="AK247" s="22" t="str">
        <f t="shared" si="9"/>
        <v/>
      </c>
      <c r="AL247" s="7">
        <f>IF(ISBLANK(AH247), 0, VLOOKUP(AH247, 'Price Sheet'!$A$2:$B1015, 2, false))</f>
        <v>0</v>
      </c>
      <c r="AM247" s="33" t="str">
        <f t="shared" si="10"/>
        <v/>
      </c>
      <c r="AN247" s="37"/>
      <c r="AO247" s="29"/>
      <c r="AP247" s="29" t="b">
        <v>0</v>
      </c>
      <c r="AQ247" s="22" t="str">
        <f t="shared" si="11"/>
        <v/>
      </c>
      <c r="AR247" s="7">
        <f>IF(ISBLANK(AN247), 0, VLOOKUP(AN247, 'Price Sheet'!$A$2:$B1015, 2, false))</f>
        <v>0</v>
      </c>
      <c r="AS247" s="33" t="str">
        <f t="shared" si="12"/>
        <v/>
      </c>
      <c r="AT247" s="37"/>
      <c r="AU247" s="29"/>
      <c r="AV247" s="29" t="b">
        <v>0</v>
      </c>
      <c r="AW247" s="22" t="str">
        <f t="shared" si="13"/>
        <v/>
      </c>
      <c r="AX247" s="7">
        <f>IF(ISBLANK(AT247), 0, VLOOKUP(AT247, 'Price Sheet'!$A$2:$B1015, 2, false))</f>
        <v>0</v>
      </c>
      <c r="AY247" s="33" t="str">
        <f t="shared" si="14"/>
        <v/>
      </c>
      <c r="AZ247" s="37"/>
      <c r="BA247" s="29"/>
      <c r="BB247" s="29" t="b">
        <v>0</v>
      </c>
      <c r="BC247" s="22" t="str">
        <f t="shared" si="15"/>
        <v/>
      </c>
      <c r="BD247" s="7">
        <f>IF(ISBLANK(AZ247), 0, VLOOKUP(AZ247, 'Price Sheet'!$A$2:$B1015, 2, false))</f>
        <v>0</v>
      </c>
      <c r="BE247" s="33" t="str">
        <f t="shared" si="16"/>
        <v/>
      </c>
      <c r="BF247" s="37"/>
      <c r="BG247" s="29"/>
      <c r="BH247" s="29" t="b">
        <v>0</v>
      </c>
      <c r="BI247" s="22" t="str">
        <f t="shared" si="17"/>
        <v/>
      </c>
      <c r="BJ247" s="7">
        <f>IF(ISBLANK(BF247), 0, VLOOKUP(BF247, 'Price Sheet'!$A$2:$B1015, 2, false))</f>
        <v>0</v>
      </c>
      <c r="BK247" s="33" t="str">
        <f t="shared" si="18"/>
        <v/>
      </c>
      <c r="BL247" s="37"/>
      <c r="BM247" s="29"/>
      <c r="BN247" s="29" t="b">
        <v>0</v>
      </c>
      <c r="BO247" s="22" t="str">
        <f t="shared" si="19"/>
        <v/>
      </c>
      <c r="BP247" s="7">
        <f>IF(ISBLANK(BL247), 0, VLOOKUP(BL247, 'Price Sheet'!$A$2:$B1015, 2, false))</f>
        <v>0</v>
      </c>
      <c r="BQ247" s="33" t="str">
        <f t="shared" si="20"/>
        <v/>
      </c>
    </row>
    <row r="248">
      <c r="B248" s="19">
        <f t="shared" si="1"/>
        <v>0</v>
      </c>
      <c r="C248" s="29"/>
      <c r="D248" s="29"/>
      <c r="E248" s="7" t="str">
        <f>IF(ISBLANK(D248), "", VLOOKUP(D248,'Crafting Tables'!$A$2:$B1015, 2, false))</f>
        <v/>
      </c>
      <c r="F248" s="7" t="str">
        <f>IFERROR(IF(E248 = "None", 1, VLOOKUP(C248,General!$A$5:$L$35, SWITCH(E248, "Basic", 8, "Advanced", 10, "Modern", 12), false)),"")</f>
        <v/>
      </c>
      <c r="G248" s="29"/>
      <c r="H248" s="7">
        <f>IFERROR(VLOOKUP(C248, General!$A$5:$L$35, 6, false) * G248 / 1000, 0)</f>
        <v>0</v>
      </c>
      <c r="I248" s="29"/>
      <c r="J248" s="22" t="str">
        <f>IFERROR(I248*VLOOKUP(D248,'Crafting Tables'!$1:$1000, 4, false)*F248,"")</f>
        <v/>
      </c>
      <c r="K248" s="29" t="b">
        <v>0</v>
      </c>
      <c r="L248" s="37"/>
      <c r="M248" s="29"/>
      <c r="N248" s="21" t="str">
        <f t="shared" si="2"/>
        <v/>
      </c>
      <c r="P248" s="37"/>
      <c r="Q248" s="29"/>
      <c r="R248" s="29" t="b">
        <v>0</v>
      </c>
      <c r="S248" s="22" t="str">
        <f t="shared" si="3"/>
        <v/>
      </c>
      <c r="T248" s="7">
        <f>IF(ISBLANK(P248), 0, VLOOKUP(P248, 'Price Sheet'!$A$2:$B1015, 2, false))</f>
        <v>0</v>
      </c>
      <c r="U248" s="33" t="str">
        <f t="shared" si="4"/>
        <v/>
      </c>
      <c r="V248" s="37"/>
      <c r="W248" s="29"/>
      <c r="X248" s="29" t="b">
        <v>0</v>
      </c>
      <c r="Y248" s="22" t="str">
        <f t="shared" si="5"/>
        <v/>
      </c>
      <c r="Z248" s="7">
        <f>IF(ISBLANK(V248), 0, VLOOKUP(V248, 'Price Sheet'!$A$2:$B1015, 2, false))</f>
        <v>0</v>
      </c>
      <c r="AA248" s="33" t="str">
        <f t="shared" si="6"/>
        <v/>
      </c>
      <c r="AB248" s="37"/>
      <c r="AC248" s="29"/>
      <c r="AD248" s="29" t="b">
        <v>0</v>
      </c>
      <c r="AE248" s="22" t="str">
        <f t="shared" si="7"/>
        <v/>
      </c>
      <c r="AF248" s="7">
        <f>IF(ISBLANK(AB248), 0, VLOOKUP(AB248, 'Price Sheet'!$A$2:$B1015, 2, false))</f>
        <v>0</v>
      </c>
      <c r="AG248" s="33" t="str">
        <f t="shared" si="8"/>
        <v/>
      </c>
      <c r="AH248" s="37"/>
      <c r="AI248" s="29"/>
      <c r="AJ248" s="29" t="b">
        <v>0</v>
      </c>
      <c r="AK248" s="22" t="str">
        <f t="shared" si="9"/>
        <v/>
      </c>
      <c r="AL248" s="7">
        <f>IF(ISBLANK(AH248), 0, VLOOKUP(AH248, 'Price Sheet'!$A$2:$B1015, 2, false))</f>
        <v>0</v>
      </c>
      <c r="AM248" s="33" t="str">
        <f t="shared" si="10"/>
        <v/>
      </c>
      <c r="AN248" s="37"/>
      <c r="AO248" s="29"/>
      <c r="AP248" s="29" t="b">
        <v>0</v>
      </c>
      <c r="AQ248" s="22" t="str">
        <f t="shared" si="11"/>
        <v/>
      </c>
      <c r="AR248" s="7">
        <f>IF(ISBLANK(AN248), 0, VLOOKUP(AN248, 'Price Sheet'!$A$2:$B1015, 2, false))</f>
        <v>0</v>
      </c>
      <c r="AS248" s="33" t="str">
        <f t="shared" si="12"/>
        <v/>
      </c>
      <c r="AT248" s="37"/>
      <c r="AU248" s="29"/>
      <c r="AV248" s="29" t="b">
        <v>0</v>
      </c>
      <c r="AW248" s="22" t="str">
        <f t="shared" si="13"/>
        <v/>
      </c>
      <c r="AX248" s="7">
        <f>IF(ISBLANK(AT248), 0, VLOOKUP(AT248, 'Price Sheet'!$A$2:$B1015, 2, false))</f>
        <v>0</v>
      </c>
      <c r="AY248" s="33" t="str">
        <f t="shared" si="14"/>
        <v/>
      </c>
      <c r="AZ248" s="37"/>
      <c r="BA248" s="29"/>
      <c r="BB248" s="29" t="b">
        <v>0</v>
      </c>
      <c r="BC248" s="22" t="str">
        <f t="shared" si="15"/>
        <v/>
      </c>
      <c r="BD248" s="7">
        <f>IF(ISBLANK(AZ248), 0, VLOOKUP(AZ248, 'Price Sheet'!$A$2:$B1015, 2, false))</f>
        <v>0</v>
      </c>
      <c r="BE248" s="33" t="str">
        <f t="shared" si="16"/>
        <v/>
      </c>
      <c r="BF248" s="37"/>
      <c r="BG248" s="29"/>
      <c r="BH248" s="29" t="b">
        <v>0</v>
      </c>
      <c r="BI248" s="22" t="str">
        <f t="shared" si="17"/>
        <v/>
      </c>
      <c r="BJ248" s="7">
        <f>IF(ISBLANK(BF248), 0, VLOOKUP(BF248, 'Price Sheet'!$A$2:$B1015, 2, false))</f>
        <v>0</v>
      </c>
      <c r="BK248" s="33" t="str">
        <f t="shared" si="18"/>
        <v/>
      </c>
      <c r="BL248" s="37"/>
      <c r="BM248" s="29"/>
      <c r="BN248" s="29" t="b">
        <v>0</v>
      </c>
      <c r="BO248" s="22" t="str">
        <f t="shared" si="19"/>
        <v/>
      </c>
      <c r="BP248" s="7">
        <f>IF(ISBLANK(BL248), 0, VLOOKUP(BL248, 'Price Sheet'!$A$2:$B1015, 2, false))</f>
        <v>0</v>
      </c>
      <c r="BQ248" s="33" t="str">
        <f t="shared" si="20"/>
        <v/>
      </c>
    </row>
    <row r="249">
      <c r="B249" s="19">
        <f t="shared" si="1"/>
        <v>0</v>
      </c>
      <c r="C249" s="29"/>
      <c r="D249" s="29"/>
      <c r="E249" s="7" t="str">
        <f>IF(ISBLANK(D249), "", VLOOKUP(D249,'Crafting Tables'!$A$2:$B1015, 2, false))</f>
        <v/>
      </c>
      <c r="F249" s="7" t="str">
        <f>IFERROR(IF(E249 = "None", 1, VLOOKUP(C249,General!$A$5:$L$35, SWITCH(E249, "Basic", 8, "Advanced", 10, "Modern", 12), false)),"")</f>
        <v/>
      </c>
      <c r="G249" s="29"/>
      <c r="H249" s="7">
        <f>IFERROR(VLOOKUP(C249, General!$A$5:$L$35, 6, false) * G249 / 1000, 0)</f>
        <v>0</v>
      </c>
      <c r="I249" s="29"/>
      <c r="J249" s="22" t="str">
        <f>IFERROR(I249*VLOOKUP(D249,'Crafting Tables'!$1:$1000, 4, false)*F249,"")</f>
        <v/>
      </c>
      <c r="K249" s="29" t="b">
        <v>0</v>
      </c>
      <c r="L249" s="37"/>
      <c r="M249" s="29"/>
      <c r="N249" s="21" t="str">
        <f t="shared" si="2"/>
        <v/>
      </c>
      <c r="P249" s="37"/>
      <c r="Q249" s="29"/>
      <c r="R249" s="29" t="b">
        <v>0</v>
      </c>
      <c r="S249" s="22" t="str">
        <f t="shared" si="3"/>
        <v/>
      </c>
      <c r="T249" s="7">
        <f>IF(ISBLANK(P249), 0, VLOOKUP(P249, 'Price Sheet'!$A$2:$B1015, 2, false))</f>
        <v>0</v>
      </c>
      <c r="U249" s="33" t="str">
        <f t="shared" si="4"/>
        <v/>
      </c>
      <c r="V249" s="37"/>
      <c r="W249" s="29"/>
      <c r="X249" s="29" t="b">
        <v>0</v>
      </c>
      <c r="Y249" s="22" t="str">
        <f t="shared" si="5"/>
        <v/>
      </c>
      <c r="Z249" s="7">
        <f>IF(ISBLANK(V249), 0, VLOOKUP(V249, 'Price Sheet'!$A$2:$B1015, 2, false))</f>
        <v>0</v>
      </c>
      <c r="AA249" s="33" t="str">
        <f t="shared" si="6"/>
        <v/>
      </c>
      <c r="AB249" s="37"/>
      <c r="AC249" s="29"/>
      <c r="AD249" s="29" t="b">
        <v>0</v>
      </c>
      <c r="AE249" s="22" t="str">
        <f t="shared" si="7"/>
        <v/>
      </c>
      <c r="AF249" s="7">
        <f>IF(ISBLANK(AB249), 0, VLOOKUP(AB249, 'Price Sheet'!$A$2:$B1015, 2, false))</f>
        <v>0</v>
      </c>
      <c r="AG249" s="33" t="str">
        <f t="shared" si="8"/>
        <v/>
      </c>
      <c r="AH249" s="37"/>
      <c r="AI249" s="29"/>
      <c r="AJ249" s="29" t="b">
        <v>0</v>
      </c>
      <c r="AK249" s="22" t="str">
        <f t="shared" si="9"/>
        <v/>
      </c>
      <c r="AL249" s="7">
        <f>IF(ISBLANK(AH249), 0, VLOOKUP(AH249, 'Price Sheet'!$A$2:$B1015, 2, false))</f>
        <v>0</v>
      </c>
      <c r="AM249" s="33" t="str">
        <f t="shared" si="10"/>
        <v/>
      </c>
      <c r="AN249" s="37"/>
      <c r="AO249" s="29"/>
      <c r="AP249" s="29" t="b">
        <v>0</v>
      </c>
      <c r="AQ249" s="22" t="str">
        <f t="shared" si="11"/>
        <v/>
      </c>
      <c r="AR249" s="7">
        <f>IF(ISBLANK(AN249), 0, VLOOKUP(AN249, 'Price Sheet'!$A$2:$B1015, 2, false))</f>
        <v>0</v>
      </c>
      <c r="AS249" s="33" t="str">
        <f t="shared" si="12"/>
        <v/>
      </c>
      <c r="AT249" s="37"/>
      <c r="AU249" s="29"/>
      <c r="AV249" s="29" t="b">
        <v>0</v>
      </c>
      <c r="AW249" s="22" t="str">
        <f t="shared" si="13"/>
        <v/>
      </c>
      <c r="AX249" s="7">
        <f>IF(ISBLANK(AT249), 0, VLOOKUP(AT249, 'Price Sheet'!$A$2:$B1015, 2, false))</f>
        <v>0</v>
      </c>
      <c r="AY249" s="33" t="str">
        <f t="shared" si="14"/>
        <v/>
      </c>
      <c r="AZ249" s="37"/>
      <c r="BA249" s="29"/>
      <c r="BB249" s="29" t="b">
        <v>0</v>
      </c>
      <c r="BC249" s="22" t="str">
        <f t="shared" si="15"/>
        <v/>
      </c>
      <c r="BD249" s="7">
        <f>IF(ISBLANK(AZ249), 0, VLOOKUP(AZ249, 'Price Sheet'!$A$2:$B1015, 2, false))</f>
        <v>0</v>
      </c>
      <c r="BE249" s="33" t="str">
        <f t="shared" si="16"/>
        <v/>
      </c>
      <c r="BF249" s="37"/>
      <c r="BG249" s="29"/>
      <c r="BH249" s="29" t="b">
        <v>0</v>
      </c>
      <c r="BI249" s="22" t="str">
        <f t="shared" si="17"/>
        <v/>
      </c>
      <c r="BJ249" s="7">
        <f>IF(ISBLANK(BF249), 0, VLOOKUP(BF249, 'Price Sheet'!$A$2:$B1015, 2, false))</f>
        <v>0</v>
      </c>
      <c r="BK249" s="33" t="str">
        <f t="shared" si="18"/>
        <v/>
      </c>
      <c r="BL249" s="37"/>
      <c r="BM249" s="29"/>
      <c r="BN249" s="29" t="b">
        <v>0</v>
      </c>
      <c r="BO249" s="22" t="str">
        <f t="shared" si="19"/>
        <v/>
      </c>
      <c r="BP249" s="7">
        <f>IF(ISBLANK(BL249), 0, VLOOKUP(BL249, 'Price Sheet'!$A$2:$B1015, 2, false))</f>
        <v>0</v>
      </c>
      <c r="BQ249" s="33" t="str">
        <f t="shared" si="20"/>
        <v/>
      </c>
    </row>
    <row r="250">
      <c r="B250" s="19">
        <f t="shared" si="1"/>
        <v>0</v>
      </c>
      <c r="C250" s="29"/>
      <c r="D250" s="29"/>
      <c r="E250" s="7" t="str">
        <f>IF(ISBLANK(D250), "", VLOOKUP(D250,'Crafting Tables'!$A$2:$B1015, 2, false))</f>
        <v/>
      </c>
      <c r="F250" s="7" t="str">
        <f>IFERROR(IF(E250 = "None", 1, VLOOKUP(C250,General!$A$5:$L$35, SWITCH(E250, "Basic", 8, "Advanced", 10, "Modern", 12), false)),"")</f>
        <v/>
      </c>
      <c r="G250" s="29"/>
      <c r="H250" s="7">
        <f>IFERROR(VLOOKUP(C250, General!$A$5:$L$35, 6, false) * G250 / 1000, 0)</f>
        <v>0</v>
      </c>
      <c r="I250" s="29"/>
      <c r="J250" s="22" t="str">
        <f>IFERROR(I250*VLOOKUP(D250,'Crafting Tables'!$1:$1000, 4, false)*F250,"")</f>
        <v/>
      </c>
      <c r="K250" s="29" t="b">
        <v>0</v>
      </c>
      <c r="L250" s="37"/>
      <c r="M250" s="29"/>
      <c r="N250" s="21" t="str">
        <f t="shared" si="2"/>
        <v/>
      </c>
      <c r="P250" s="37"/>
      <c r="Q250" s="29"/>
      <c r="R250" s="29" t="b">
        <v>0</v>
      </c>
      <c r="S250" s="22" t="str">
        <f t="shared" si="3"/>
        <v/>
      </c>
      <c r="T250" s="7">
        <f>IF(ISBLANK(P250), 0, VLOOKUP(P250, 'Price Sheet'!$A$2:$B1015, 2, false))</f>
        <v>0</v>
      </c>
      <c r="U250" s="33" t="str">
        <f t="shared" si="4"/>
        <v/>
      </c>
      <c r="V250" s="37"/>
      <c r="W250" s="29"/>
      <c r="X250" s="29" t="b">
        <v>0</v>
      </c>
      <c r="Y250" s="22" t="str">
        <f t="shared" si="5"/>
        <v/>
      </c>
      <c r="Z250" s="7">
        <f>IF(ISBLANK(V250), 0, VLOOKUP(V250, 'Price Sheet'!$A$2:$B1015, 2, false))</f>
        <v>0</v>
      </c>
      <c r="AA250" s="33" t="str">
        <f t="shared" si="6"/>
        <v/>
      </c>
      <c r="AB250" s="37"/>
      <c r="AC250" s="29"/>
      <c r="AD250" s="29" t="b">
        <v>0</v>
      </c>
      <c r="AE250" s="22" t="str">
        <f t="shared" si="7"/>
        <v/>
      </c>
      <c r="AF250" s="7">
        <f>IF(ISBLANK(AB250), 0, VLOOKUP(AB250, 'Price Sheet'!$A$2:$B1015, 2, false))</f>
        <v>0</v>
      </c>
      <c r="AG250" s="33" t="str">
        <f t="shared" si="8"/>
        <v/>
      </c>
      <c r="AH250" s="37"/>
      <c r="AI250" s="29"/>
      <c r="AJ250" s="29" t="b">
        <v>0</v>
      </c>
      <c r="AK250" s="22" t="str">
        <f t="shared" si="9"/>
        <v/>
      </c>
      <c r="AL250" s="7">
        <f>IF(ISBLANK(AH250), 0, VLOOKUP(AH250, 'Price Sheet'!$A$2:$B1015, 2, false))</f>
        <v>0</v>
      </c>
      <c r="AM250" s="33" t="str">
        <f t="shared" si="10"/>
        <v/>
      </c>
      <c r="AN250" s="37"/>
      <c r="AO250" s="29"/>
      <c r="AP250" s="29" t="b">
        <v>0</v>
      </c>
      <c r="AQ250" s="22" t="str">
        <f t="shared" si="11"/>
        <v/>
      </c>
      <c r="AR250" s="7">
        <f>IF(ISBLANK(AN250), 0, VLOOKUP(AN250, 'Price Sheet'!$A$2:$B1015, 2, false))</f>
        <v>0</v>
      </c>
      <c r="AS250" s="33" t="str">
        <f t="shared" si="12"/>
        <v/>
      </c>
      <c r="AT250" s="37"/>
      <c r="AU250" s="29"/>
      <c r="AV250" s="29" t="b">
        <v>0</v>
      </c>
      <c r="AW250" s="22" t="str">
        <f t="shared" si="13"/>
        <v/>
      </c>
      <c r="AX250" s="7">
        <f>IF(ISBLANK(AT250), 0, VLOOKUP(AT250, 'Price Sheet'!$A$2:$B1015, 2, false))</f>
        <v>0</v>
      </c>
      <c r="AY250" s="33" t="str">
        <f t="shared" si="14"/>
        <v/>
      </c>
      <c r="AZ250" s="37"/>
      <c r="BA250" s="29"/>
      <c r="BB250" s="29" t="b">
        <v>0</v>
      </c>
      <c r="BC250" s="22" t="str">
        <f t="shared" si="15"/>
        <v/>
      </c>
      <c r="BD250" s="7">
        <f>IF(ISBLANK(AZ250), 0, VLOOKUP(AZ250, 'Price Sheet'!$A$2:$B1015, 2, false))</f>
        <v>0</v>
      </c>
      <c r="BE250" s="33" t="str">
        <f t="shared" si="16"/>
        <v/>
      </c>
      <c r="BF250" s="37"/>
      <c r="BG250" s="29"/>
      <c r="BH250" s="29" t="b">
        <v>0</v>
      </c>
      <c r="BI250" s="22" t="str">
        <f t="shared" si="17"/>
        <v/>
      </c>
      <c r="BJ250" s="7">
        <f>IF(ISBLANK(BF250), 0, VLOOKUP(BF250, 'Price Sheet'!$A$2:$B1015, 2, false))</f>
        <v>0</v>
      </c>
      <c r="BK250" s="33" t="str">
        <f t="shared" si="18"/>
        <v/>
      </c>
      <c r="BL250" s="37"/>
      <c r="BM250" s="29"/>
      <c r="BN250" s="29" t="b">
        <v>0</v>
      </c>
      <c r="BO250" s="22" t="str">
        <f t="shared" si="19"/>
        <v/>
      </c>
      <c r="BP250" s="7">
        <f>IF(ISBLANK(BL250), 0, VLOOKUP(BL250, 'Price Sheet'!$A$2:$B1015, 2, false))</f>
        <v>0</v>
      </c>
      <c r="BQ250" s="33" t="str">
        <f t="shared" si="20"/>
        <v/>
      </c>
    </row>
    <row r="251">
      <c r="B251" s="19">
        <f t="shared" si="1"/>
        <v>0</v>
      </c>
      <c r="C251" s="29"/>
      <c r="D251" s="29"/>
      <c r="E251" s="7" t="str">
        <f>IF(ISBLANK(D251), "", VLOOKUP(D251,'Crafting Tables'!$A$2:$B1015, 2, false))</f>
        <v/>
      </c>
      <c r="F251" s="7" t="str">
        <f>IFERROR(IF(E251 = "None", 1, VLOOKUP(C251,General!$A$5:$L$35, SWITCH(E251, "Basic", 8, "Advanced", 10, "Modern", 12), false)),"")</f>
        <v/>
      </c>
      <c r="G251" s="29"/>
      <c r="H251" s="7">
        <f>IFERROR(VLOOKUP(C251, General!$A$5:$L$35, 6, false) * G251 / 1000, 0)</f>
        <v>0</v>
      </c>
      <c r="I251" s="29"/>
      <c r="J251" s="22" t="str">
        <f>IFERROR(I251*VLOOKUP(D251,'Crafting Tables'!$1:$1000, 4, false)*F251,"")</f>
        <v/>
      </c>
      <c r="K251" s="29" t="b">
        <v>0</v>
      </c>
      <c r="L251" s="37"/>
      <c r="M251" s="29"/>
      <c r="N251" s="21" t="str">
        <f t="shared" si="2"/>
        <v/>
      </c>
      <c r="P251" s="37"/>
      <c r="Q251" s="29"/>
      <c r="R251" s="29" t="b">
        <v>0</v>
      </c>
      <c r="S251" s="22" t="str">
        <f t="shared" si="3"/>
        <v/>
      </c>
      <c r="T251" s="7">
        <f>IF(ISBLANK(P251), 0, VLOOKUP(P251, 'Price Sheet'!$A$2:$B1015, 2, false))</f>
        <v>0</v>
      </c>
      <c r="U251" s="33" t="str">
        <f t="shared" si="4"/>
        <v/>
      </c>
      <c r="V251" s="37"/>
      <c r="W251" s="29"/>
      <c r="X251" s="29" t="b">
        <v>0</v>
      </c>
      <c r="Y251" s="22" t="str">
        <f t="shared" si="5"/>
        <v/>
      </c>
      <c r="Z251" s="7">
        <f>IF(ISBLANK(V251), 0, VLOOKUP(V251, 'Price Sheet'!$A$2:$B1015, 2, false))</f>
        <v>0</v>
      </c>
      <c r="AA251" s="33" t="str">
        <f t="shared" si="6"/>
        <v/>
      </c>
      <c r="AB251" s="37"/>
      <c r="AC251" s="29"/>
      <c r="AD251" s="29" t="b">
        <v>0</v>
      </c>
      <c r="AE251" s="22" t="str">
        <f t="shared" si="7"/>
        <v/>
      </c>
      <c r="AF251" s="7">
        <f>IF(ISBLANK(AB251), 0, VLOOKUP(AB251, 'Price Sheet'!$A$2:$B1015, 2, false))</f>
        <v>0</v>
      </c>
      <c r="AG251" s="33" t="str">
        <f t="shared" si="8"/>
        <v/>
      </c>
      <c r="AH251" s="37"/>
      <c r="AI251" s="29"/>
      <c r="AJ251" s="29" t="b">
        <v>0</v>
      </c>
      <c r="AK251" s="22" t="str">
        <f t="shared" si="9"/>
        <v/>
      </c>
      <c r="AL251" s="7">
        <f>IF(ISBLANK(AH251), 0, VLOOKUP(AH251, 'Price Sheet'!$A$2:$B1015, 2, false))</f>
        <v>0</v>
      </c>
      <c r="AM251" s="33" t="str">
        <f t="shared" si="10"/>
        <v/>
      </c>
      <c r="AN251" s="37"/>
      <c r="AO251" s="29"/>
      <c r="AP251" s="29" t="b">
        <v>0</v>
      </c>
      <c r="AQ251" s="22" t="str">
        <f t="shared" si="11"/>
        <v/>
      </c>
      <c r="AR251" s="7">
        <f>IF(ISBLANK(AN251), 0, VLOOKUP(AN251, 'Price Sheet'!$A$2:$B1015, 2, false))</f>
        <v>0</v>
      </c>
      <c r="AS251" s="33" t="str">
        <f t="shared" si="12"/>
        <v/>
      </c>
      <c r="AT251" s="37"/>
      <c r="AU251" s="29"/>
      <c r="AV251" s="29" t="b">
        <v>0</v>
      </c>
      <c r="AW251" s="22" t="str">
        <f t="shared" si="13"/>
        <v/>
      </c>
      <c r="AX251" s="7">
        <f>IF(ISBLANK(AT251), 0, VLOOKUP(AT251, 'Price Sheet'!$A$2:$B1015, 2, false))</f>
        <v>0</v>
      </c>
      <c r="AY251" s="33" t="str">
        <f t="shared" si="14"/>
        <v/>
      </c>
      <c r="AZ251" s="37"/>
      <c r="BA251" s="29"/>
      <c r="BB251" s="29" t="b">
        <v>0</v>
      </c>
      <c r="BC251" s="22" t="str">
        <f t="shared" si="15"/>
        <v/>
      </c>
      <c r="BD251" s="7">
        <f>IF(ISBLANK(AZ251), 0, VLOOKUP(AZ251, 'Price Sheet'!$A$2:$B1015, 2, false))</f>
        <v>0</v>
      </c>
      <c r="BE251" s="33" t="str">
        <f t="shared" si="16"/>
        <v/>
      </c>
      <c r="BF251" s="37"/>
      <c r="BG251" s="29"/>
      <c r="BH251" s="29" t="b">
        <v>0</v>
      </c>
      <c r="BI251" s="22" t="str">
        <f t="shared" si="17"/>
        <v/>
      </c>
      <c r="BJ251" s="7">
        <f>IF(ISBLANK(BF251), 0, VLOOKUP(BF251, 'Price Sheet'!$A$2:$B1015, 2, false))</f>
        <v>0</v>
      </c>
      <c r="BK251" s="33" t="str">
        <f t="shared" si="18"/>
        <v/>
      </c>
      <c r="BL251" s="37"/>
      <c r="BM251" s="29"/>
      <c r="BN251" s="29" t="b">
        <v>0</v>
      </c>
      <c r="BO251" s="22" t="str">
        <f t="shared" si="19"/>
        <v/>
      </c>
      <c r="BP251" s="7">
        <f>IF(ISBLANK(BL251), 0, VLOOKUP(BL251, 'Price Sheet'!$A$2:$B1015, 2, false))</f>
        <v>0</v>
      </c>
      <c r="BQ251" s="33" t="str">
        <f t="shared" si="20"/>
        <v/>
      </c>
    </row>
    <row r="252">
      <c r="B252" s="19">
        <f t="shared" si="1"/>
        <v>0</v>
      </c>
      <c r="C252" s="29"/>
      <c r="D252" s="29"/>
      <c r="E252" s="7" t="str">
        <f>IF(ISBLANK(D252), "", VLOOKUP(D252,'Crafting Tables'!$A$2:$B1015, 2, false))</f>
        <v/>
      </c>
      <c r="F252" s="7" t="str">
        <f>IFERROR(IF(E252 = "None", 1, VLOOKUP(C252,General!$A$5:$L$35, SWITCH(E252, "Basic", 8, "Advanced", 10, "Modern", 12), false)),"")</f>
        <v/>
      </c>
      <c r="G252" s="29"/>
      <c r="H252" s="7">
        <f>IFERROR(VLOOKUP(C252, General!$A$5:$L$35, 6, false) * G252 / 1000, 0)</f>
        <v>0</v>
      </c>
      <c r="I252" s="29"/>
      <c r="J252" s="22" t="str">
        <f>IFERROR(I252*VLOOKUP(D252,'Crafting Tables'!$1:$1000, 4, false)*F252,"")</f>
        <v/>
      </c>
      <c r="K252" s="29" t="b">
        <v>0</v>
      </c>
      <c r="L252" s="37"/>
      <c r="M252" s="29"/>
      <c r="N252" s="21" t="str">
        <f t="shared" si="2"/>
        <v/>
      </c>
      <c r="P252" s="37"/>
      <c r="Q252" s="29"/>
      <c r="R252" s="29" t="b">
        <v>0</v>
      </c>
      <c r="S252" s="22" t="str">
        <f t="shared" si="3"/>
        <v/>
      </c>
      <c r="T252" s="7">
        <f>IF(ISBLANK(P252), 0, VLOOKUP(P252, 'Price Sheet'!$A$2:$B1015, 2, false))</f>
        <v>0</v>
      </c>
      <c r="U252" s="33" t="str">
        <f t="shared" si="4"/>
        <v/>
      </c>
      <c r="V252" s="37"/>
      <c r="W252" s="29"/>
      <c r="X252" s="29" t="b">
        <v>0</v>
      </c>
      <c r="Y252" s="22" t="str">
        <f t="shared" si="5"/>
        <v/>
      </c>
      <c r="Z252" s="7">
        <f>IF(ISBLANK(V252), 0, VLOOKUP(V252, 'Price Sheet'!$A$2:$B1015, 2, false))</f>
        <v>0</v>
      </c>
      <c r="AA252" s="33" t="str">
        <f t="shared" si="6"/>
        <v/>
      </c>
      <c r="AB252" s="37"/>
      <c r="AC252" s="29"/>
      <c r="AD252" s="29" t="b">
        <v>0</v>
      </c>
      <c r="AE252" s="22" t="str">
        <f t="shared" si="7"/>
        <v/>
      </c>
      <c r="AF252" s="7">
        <f>IF(ISBLANK(AB252), 0, VLOOKUP(AB252, 'Price Sheet'!$A$2:$B1015, 2, false))</f>
        <v>0</v>
      </c>
      <c r="AG252" s="33" t="str">
        <f t="shared" si="8"/>
        <v/>
      </c>
      <c r="AH252" s="37"/>
      <c r="AI252" s="29"/>
      <c r="AJ252" s="29" t="b">
        <v>0</v>
      </c>
      <c r="AK252" s="22" t="str">
        <f t="shared" si="9"/>
        <v/>
      </c>
      <c r="AL252" s="7">
        <f>IF(ISBLANK(AH252), 0, VLOOKUP(AH252, 'Price Sheet'!$A$2:$B1015, 2, false))</f>
        <v>0</v>
      </c>
      <c r="AM252" s="33" t="str">
        <f t="shared" si="10"/>
        <v/>
      </c>
      <c r="AN252" s="37"/>
      <c r="AO252" s="29"/>
      <c r="AP252" s="29" t="b">
        <v>0</v>
      </c>
      <c r="AQ252" s="22" t="str">
        <f t="shared" si="11"/>
        <v/>
      </c>
      <c r="AR252" s="7">
        <f>IF(ISBLANK(AN252), 0, VLOOKUP(AN252, 'Price Sheet'!$A$2:$B1015, 2, false))</f>
        <v>0</v>
      </c>
      <c r="AS252" s="33" t="str">
        <f t="shared" si="12"/>
        <v/>
      </c>
      <c r="AT252" s="37"/>
      <c r="AU252" s="29"/>
      <c r="AV252" s="29" t="b">
        <v>0</v>
      </c>
      <c r="AW252" s="22" t="str">
        <f t="shared" si="13"/>
        <v/>
      </c>
      <c r="AX252" s="7">
        <f>IF(ISBLANK(AT252), 0, VLOOKUP(AT252, 'Price Sheet'!$A$2:$B1015, 2, false))</f>
        <v>0</v>
      </c>
      <c r="AY252" s="33" t="str">
        <f t="shared" si="14"/>
        <v/>
      </c>
      <c r="AZ252" s="37"/>
      <c r="BA252" s="29"/>
      <c r="BB252" s="29" t="b">
        <v>0</v>
      </c>
      <c r="BC252" s="22" t="str">
        <f t="shared" si="15"/>
        <v/>
      </c>
      <c r="BD252" s="7">
        <f>IF(ISBLANK(AZ252), 0, VLOOKUP(AZ252, 'Price Sheet'!$A$2:$B1015, 2, false))</f>
        <v>0</v>
      </c>
      <c r="BE252" s="33" t="str">
        <f t="shared" si="16"/>
        <v/>
      </c>
      <c r="BF252" s="37"/>
      <c r="BG252" s="29"/>
      <c r="BH252" s="29" t="b">
        <v>0</v>
      </c>
      <c r="BI252" s="22" t="str">
        <f t="shared" si="17"/>
        <v/>
      </c>
      <c r="BJ252" s="7">
        <f>IF(ISBLANK(BF252), 0, VLOOKUP(BF252, 'Price Sheet'!$A$2:$B1015, 2, false))</f>
        <v>0</v>
      </c>
      <c r="BK252" s="33" t="str">
        <f t="shared" si="18"/>
        <v/>
      </c>
      <c r="BL252" s="37"/>
      <c r="BM252" s="29"/>
      <c r="BN252" s="29" t="b">
        <v>0</v>
      </c>
      <c r="BO252" s="22" t="str">
        <f t="shared" si="19"/>
        <v/>
      </c>
      <c r="BP252" s="7">
        <f>IF(ISBLANK(BL252), 0, VLOOKUP(BL252, 'Price Sheet'!$A$2:$B1015, 2, false))</f>
        <v>0</v>
      </c>
      <c r="BQ252" s="33" t="str">
        <f t="shared" si="20"/>
        <v/>
      </c>
    </row>
    <row r="253">
      <c r="B253" s="19">
        <f t="shared" si="1"/>
        <v>0</v>
      </c>
      <c r="C253" s="29"/>
      <c r="D253" s="29"/>
      <c r="E253" s="7" t="str">
        <f>IF(ISBLANK(D253), "", VLOOKUP(D253,'Crafting Tables'!$A$2:$B1015, 2, false))</f>
        <v/>
      </c>
      <c r="F253" s="7" t="str">
        <f>IFERROR(IF(E253 = "None", 1, VLOOKUP(C253,General!$A$5:$L$35, SWITCH(E253, "Basic", 8, "Advanced", 10, "Modern", 12), false)),"")</f>
        <v/>
      </c>
      <c r="G253" s="29"/>
      <c r="H253" s="7">
        <f>IFERROR(VLOOKUP(C253, General!$A$5:$L$35, 6, false) * G253 / 1000, 0)</f>
        <v>0</v>
      </c>
      <c r="I253" s="29"/>
      <c r="J253" s="22" t="str">
        <f>IFERROR(I253*VLOOKUP(D253,'Crafting Tables'!$1:$1000, 4, false)*F253,"")</f>
        <v/>
      </c>
      <c r="K253" s="29" t="b">
        <v>0</v>
      </c>
      <c r="L253" s="37"/>
      <c r="M253" s="29"/>
      <c r="N253" s="21" t="str">
        <f t="shared" si="2"/>
        <v/>
      </c>
      <c r="P253" s="37"/>
      <c r="Q253" s="29"/>
      <c r="R253" s="29" t="b">
        <v>0</v>
      </c>
      <c r="S253" s="22" t="str">
        <f t="shared" si="3"/>
        <v/>
      </c>
      <c r="T253" s="7">
        <f>IF(ISBLANK(P253), 0, VLOOKUP(P253, 'Price Sheet'!$A$2:$B1015, 2, false))</f>
        <v>0</v>
      </c>
      <c r="U253" s="33" t="str">
        <f t="shared" si="4"/>
        <v/>
      </c>
      <c r="V253" s="37"/>
      <c r="W253" s="29"/>
      <c r="X253" s="29" t="b">
        <v>0</v>
      </c>
      <c r="Y253" s="22" t="str">
        <f t="shared" si="5"/>
        <v/>
      </c>
      <c r="Z253" s="7">
        <f>IF(ISBLANK(V253), 0, VLOOKUP(V253, 'Price Sheet'!$A$2:$B1015, 2, false))</f>
        <v>0</v>
      </c>
      <c r="AA253" s="33" t="str">
        <f t="shared" si="6"/>
        <v/>
      </c>
      <c r="AB253" s="37"/>
      <c r="AC253" s="29"/>
      <c r="AD253" s="29" t="b">
        <v>0</v>
      </c>
      <c r="AE253" s="22" t="str">
        <f t="shared" si="7"/>
        <v/>
      </c>
      <c r="AF253" s="7">
        <f>IF(ISBLANK(AB253), 0, VLOOKUP(AB253, 'Price Sheet'!$A$2:$B1015, 2, false))</f>
        <v>0</v>
      </c>
      <c r="AG253" s="33" t="str">
        <f t="shared" si="8"/>
        <v/>
      </c>
      <c r="AH253" s="37"/>
      <c r="AI253" s="29"/>
      <c r="AJ253" s="29" t="b">
        <v>0</v>
      </c>
      <c r="AK253" s="22" t="str">
        <f t="shared" si="9"/>
        <v/>
      </c>
      <c r="AL253" s="7">
        <f>IF(ISBLANK(AH253), 0, VLOOKUP(AH253, 'Price Sheet'!$A$2:$B1015, 2, false))</f>
        <v>0</v>
      </c>
      <c r="AM253" s="33" t="str">
        <f t="shared" si="10"/>
        <v/>
      </c>
      <c r="AN253" s="37"/>
      <c r="AO253" s="29"/>
      <c r="AP253" s="29" t="b">
        <v>0</v>
      </c>
      <c r="AQ253" s="22" t="str">
        <f t="shared" si="11"/>
        <v/>
      </c>
      <c r="AR253" s="7">
        <f>IF(ISBLANK(AN253), 0, VLOOKUP(AN253, 'Price Sheet'!$A$2:$B1015, 2, false))</f>
        <v>0</v>
      </c>
      <c r="AS253" s="33" t="str">
        <f t="shared" si="12"/>
        <v/>
      </c>
      <c r="AT253" s="37"/>
      <c r="AU253" s="29"/>
      <c r="AV253" s="29" t="b">
        <v>0</v>
      </c>
      <c r="AW253" s="22" t="str">
        <f t="shared" si="13"/>
        <v/>
      </c>
      <c r="AX253" s="7">
        <f>IF(ISBLANK(AT253), 0, VLOOKUP(AT253, 'Price Sheet'!$A$2:$B1015, 2, false))</f>
        <v>0</v>
      </c>
      <c r="AY253" s="33" t="str">
        <f t="shared" si="14"/>
        <v/>
      </c>
      <c r="AZ253" s="37"/>
      <c r="BA253" s="29"/>
      <c r="BB253" s="29" t="b">
        <v>0</v>
      </c>
      <c r="BC253" s="22" t="str">
        <f t="shared" si="15"/>
        <v/>
      </c>
      <c r="BD253" s="7">
        <f>IF(ISBLANK(AZ253), 0, VLOOKUP(AZ253, 'Price Sheet'!$A$2:$B1015, 2, false))</f>
        <v>0</v>
      </c>
      <c r="BE253" s="33" t="str">
        <f t="shared" si="16"/>
        <v/>
      </c>
      <c r="BF253" s="37"/>
      <c r="BG253" s="29"/>
      <c r="BH253" s="29" t="b">
        <v>0</v>
      </c>
      <c r="BI253" s="22" t="str">
        <f t="shared" si="17"/>
        <v/>
      </c>
      <c r="BJ253" s="7">
        <f>IF(ISBLANK(BF253), 0, VLOOKUP(BF253, 'Price Sheet'!$A$2:$B1015, 2, false))</f>
        <v>0</v>
      </c>
      <c r="BK253" s="33" t="str">
        <f t="shared" si="18"/>
        <v/>
      </c>
      <c r="BL253" s="37"/>
      <c r="BM253" s="29"/>
      <c r="BN253" s="29" t="b">
        <v>0</v>
      </c>
      <c r="BO253" s="22" t="str">
        <f t="shared" si="19"/>
        <v/>
      </c>
      <c r="BP253" s="7">
        <f>IF(ISBLANK(BL253), 0, VLOOKUP(BL253, 'Price Sheet'!$A$2:$B1015, 2, false))</f>
        <v>0</v>
      </c>
      <c r="BQ253" s="33" t="str">
        <f t="shared" si="20"/>
        <v/>
      </c>
    </row>
    <row r="254">
      <c r="B254" s="19">
        <f t="shared" si="1"/>
        <v>0</v>
      </c>
      <c r="C254" s="29"/>
      <c r="D254" s="29"/>
      <c r="E254" s="7" t="str">
        <f>IF(ISBLANK(D254), "", VLOOKUP(D254,'Crafting Tables'!$A$2:$B1015, 2, false))</f>
        <v/>
      </c>
      <c r="F254" s="7" t="str">
        <f>IFERROR(IF(E254 = "None", 1, VLOOKUP(C254,General!$A$5:$L$35, SWITCH(E254, "Basic", 8, "Advanced", 10, "Modern", 12), false)),"")</f>
        <v/>
      </c>
      <c r="G254" s="29"/>
      <c r="H254" s="7">
        <f>IFERROR(VLOOKUP(C254, General!$A$5:$L$35, 6, false) * G254 / 1000, 0)</f>
        <v>0</v>
      </c>
      <c r="I254" s="29"/>
      <c r="J254" s="22" t="str">
        <f>IFERROR(I254*VLOOKUP(D254,'Crafting Tables'!$1:$1000, 4, false)*F254,"")</f>
        <v/>
      </c>
      <c r="K254" s="29" t="b">
        <v>0</v>
      </c>
      <c r="L254" s="37"/>
      <c r="M254" s="29"/>
      <c r="N254" s="21" t="str">
        <f t="shared" si="2"/>
        <v/>
      </c>
      <c r="P254" s="37"/>
      <c r="Q254" s="29"/>
      <c r="R254" s="29" t="b">
        <v>0</v>
      </c>
      <c r="S254" s="22" t="str">
        <f t="shared" si="3"/>
        <v/>
      </c>
      <c r="T254" s="7">
        <f>IF(ISBLANK(P254), 0, VLOOKUP(P254, 'Price Sheet'!$A$2:$B1015, 2, false))</f>
        <v>0</v>
      </c>
      <c r="U254" s="33" t="str">
        <f t="shared" si="4"/>
        <v/>
      </c>
      <c r="V254" s="37"/>
      <c r="W254" s="29"/>
      <c r="X254" s="29" t="b">
        <v>0</v>
      </c>
      <c r="Y254" s="22" t="str">
        <f t="shared" si="5"/>
        <v/>
      </c>
      <c r="Z254" s="7">
        <f>IF(ISBLANK(V254), 0, VLOOKUP(V254, 'Price Sheet'!$A$2:$B1015, 2, false))</f>
        <v>0</v>
      </c>
      <c r="AA254" s="33" t="str">
        <f t="shared" si="6"/>
        <v/>
      </c>
      <c r="AB254" s="37"/>
      <c r="AC254" s="29"/>
      <c r="AD254" s="29" t="b">
        <v>0</v>
      </c>
      <c r="AE254" s="22" t="str">
        <f t="shared" si="7"/>
        <v/>
      </c>
      <c r="AF254" s="7">
        <f>IF(ISBLANK(AB254), 0, VLOOKUP(AB254, 'Price Sheet'!$A$2:$B1015, 2, false))</f>
        <v>0</v>
      </c>
      <c r="AG254" s="33" t="str">
        <f t="shared" si="8"/>
        <v/>
      </c>
      <c r="AH254" s="37"/>
      <c r="AI254" s="29"/>
      <c r="AJ254" s="29" t="b">
        <v>0</v>
      </c>
      <c r="AK254" s="22" t="str">
        <f t="shared" si="9"/>
        <v/>
      </c>
      <c r="AL254" s="7">
        <f>IF(ISBLANK(AH254), 0, VLOOKUP(AH254, 'Price Sheet'!$A$2:$B1015, 2, false))</f>
        <v>0</v>
      </c>
      <c r="AM254" s="33" t="str">
        <f t="shared" si="10"/>
        <v/>
      </c>
      <c r="AN254" s="37"/>
      <c r="AO254" s="29"/>
      <c r="AP254" s="29" t="b">
        <v>0</v>
      </c>
      <c r="AQ254" s="22" t="str">
        <f t="shared" si="11"/>
        <v/>
      </c>
      <c r="AR254" s="7">
        <f>IF(ISBLANK(AN254), 0, VLOOKUP(AN254, 'Price Sheet'!$A$2:$B1015, 2, false))</f>
        <v>0</v>
      </c>
      <c r="AS254" s="33" t="str">
        <f t="shared" si="12"/>
        <v/>
      </c>
      <c r="AT254" s="37"/>
      <c r="AU254" s="29"/>
      <c r="AV254" s="29" t="b">
        <v>0</v>
      </c>
      <c r="AW254" s="22" t="str">
        <f t="shared" si="13"/>
        <v/>
      </c>
      <c r="AX254" s="7">
        <f>IF(ISBLANK(AT254), 0, VLOOKUP(AT254, 'Price Sheet'!$A$2:$B1015, 2, false))</f>
        <v>0</v>
      </c>
      <c r="AY254" s="33" t="str">
        <f t="shared" si="14"/>
        <v/>
      </c>
      <c r="AZ254" s="37"/>
      <c r="BA254" s="29"/>
      <c r="BB254" s="29" t="b">
        <v>0</v>
      </c>
      <c r="BC254" s="22" t="str">
        <f t="shared" si="15"/>
        <v/>
      </c>
      <c r="BD254" s="7">
        <f>IF(ISBLANK(AZ254), 0, VLOOKUP(AZ254, 'Price Sheet'!$A$2:$B1015, 2, false))</f>
        <v>0</v>
      </c>
      <c r="BE254" s="33" t="str">
        <f t="shared" si="16"/>
        <v/>
      </c>
      <c r="BF254" s="37"/>
      <c r="BG254" s="29"/>
      <c r="BH254" s="29" t="b">
        <v>0</v>
      </c>
      <c r="BI254" s="22" t="str">
        <f t="shared" si="17"/>
        <v/>
      </c>
      <c r="BJ254" s="7">
        <f>IF(ISBLANK(BF254), 0, VLOOKUP(BF254, 'Price Sheet'!$A$2:$B1015, 2, false))</f>
        <v>0</v>
      </c>
      <c r="BK254" s="33" t="str">
        <f t="shared" si="18"/>
        <v/>
      </c>
      <c r="BL254" s="37"/>
      <c r="BM254" s="29"/>
      <c r="BN254" s="29" t="b">
        <v>0</v>
      </c>
      <c r="BO254" s="22" t="str">
        <f t="shared" si="19"/>
        <v/>
      </c>
      <c r="BP254" s="7">
        <f>IF(ISBLANK(BL254), 0, VLOOKUP(BL254, 'Price Sheet'!$A$2:$B1015, 2, false))</f>
        <v>0</v>
      </c>
      <c r="BQ254" s="33" t="str">
        <f t="shared" si="20"/>
        <v/>
      </c>
    </row>
    <row r="255">
      <c r="B255" s="19">
        <f t="shared" si="1"/>
        <v>0</v>
      </c>
      <c r="C255" s="29"/>
      <c r="D255" s="29"/>
      <c r="E255" s="7" t="str">
        <f>IF(ISBLANK(D255), "", VLOOKUP(D255,'Crafting Tables'!$A$2:$B1015, 2, false))</f>
        <v/>
      </c>
      <c r="F255" s="7" t="str">
        <f>IFERROR(IF(E255 = "None", 1, VLOOKUP(C255,General!$A$5:$L$35, SWITCH(E255, "Basic", 8, "Advanced", 10, "Modern", 12), false)),"")</f>
        <v/>
      </c>
      <c r="G255" s="29"/>
      <c r="H255" s="7">
        <f>IFERROR(VLOOKUP(C255, General!$A$5:$L$35, 6, false) * G255 / 1000, 0)</f>
        <v>0</v>
      </c>
      <c r="I255" s="29"/>
      <c r="J255" s="22" t="str">
        <f>IFERROR(I255*VLOOKUP(D255,'Crafting Tables'!$1:$1000, 4, false)*F255,"")</f>
        <v/>
      </c>
      <c r="K255" s="29" t="b">
        <v>0</v>
      </c>
      <c r="L255" s="37"/>
      <c r="M255" s="29"/>
      <c r="N255" s="21" t="str">
        <f t="shared" si="2"/>
        <v/>
      </c>
      <c r="P255" s="37"/>
      <c r="Q255" s="29"/>
      <c r="R255" s="29" t="b">
        <v>0</v>
      </c>
      <c r="S255" s="22" t="str">
        <f t="shared" si="3"/>
        <v/>
      </c>
      <c r="T255" s="7">
        <f>IF(ISBLANK(P255), 0, VLOOKUP(P255, 'Price Sheet'!$A$2:$B1015, 2, false))</f>
        <v>0</v>
      </c>
      <c r="U255" s="33" t="str">
        <f t="shared" si="4"/>
        <v/>
      </c>
      <c r="V255" s="37"/>
      <c r="W255" s="29"/>
      <c r="X255" s="29" t="b">
        <v>0</v>
      </c>
      <c r="Y255" s="22" t="str">
        <f t="shared" si="5"/>
        <v/>
      </c>
      <c r="Z255" s="7">
        <f>IF(ISBLANK(V255), 0, VLOOKUP(V255, 'Price Sheet'!$A$2:$B1015, 2, false))</f>
        <v>0</v>
      </c>
      <c r="AA255" s="33" t="str">
        <f t="shared" si="6"/>
        <v/>
      </c>
      <c r="AB255" s="37"/>
      <c r="AC255" s="29"/>
      <c r="AD255" s="29" t="b">
        <v>0</v>
      </c>
      <c r="AE255" s="22" t="str">
        <f t="shared" si="7"/>
        <v/>
      </c>
      <c r="AF255" s="7">
        <f>IF(ISBLANK(AB255), 0, VLOOKUP(AB255, 'Price Sheet'!$A$2:$B1015, 2, false))</f>
        <v>0</v>
      </c>
      <c r="AG255" s="33" t="str">
        <f t="shared" si="8"/>
        <v/>
      </c>
      <c r="AH255" s="37"/>
      <c r="AI255" s="29"/>
      <c r="AJ255" s="29" t="b">
        <v>0</v>
      </c>
      <c r="AK255" s="22" t="str">
        <f t="shared" si="9"/>
        <v/>
      </c>
      <c r="AL255" s="7">
        <f>IF(ISBLANK(AH255), 0, VLOOKUP(AH255, 'Price Sheet'!$A$2:$B1015, 2, false))</f>
        <v>0</v>
      </c>
      <c r="AM255" s="33" t="str">
        <f t="shared" si="10"/>
        <v/>
      </c>
      <c r="AN255" s="37"/>
      <c r="AO255" s="29"/>
      <c r="AP255" s="29" t="b">
        <v>0</v>
      </c>
      <c r="AQ255" s="22" t="str">
        <f t="shared" si="11"/>
        <v/>
      </c>
      <c r="AR255" s="7">
        <f>IF(ISBLANK(AN255), 0, VLOOKUP(AN255, 'Price Sheet'!$A$2:$B1015, 2, false))</f>
        <v>0</v>
      </c>
      <c r="AS255" s="33" t="str">
        <f t="shared" si="12"/>
        <v/>
      </c>
      <c r="AT255" s="37"/>
      <c r="AU255" s="29"/>
      <c r="AV255" s="29" t="b">
        <v>0</v>
      </c>
      <c r="AW255" s="22" t="str">
        <f t="shared" si="13"/>
        <v/>
      </c>
      <c r="AX255" s="7">
        <f>IF(ISBLANK(AT255), 0, VLOOKUP(AT255, 'Price Sheet'!$A$2:$B1015, 2, false))</f>
        <v>0</v>
      </c>
      <c r="AY255" s="33" t="str">
        <f t="shared" si="14"/>
        <v/>
      </c>
      <c r="AZ255" s="37"/>
      <c r="BA255" s="29"/>
      <c r="BB255" s="29" t="b">
        <v>0</v>
      </c>
      <c r="BC255" s="22" t="str">
        <f t="shared" si="15"/>
        <v/>
      </c>
      <c r="BD255" s="7">
        <f>IF(ISBLANK(AZ255), 0, VLOOKUP(AZ255, 'Price Sheet'!$A$2:$B1015, 2, false))</f>
        <v>0</v>
      </c>
      <c r="BE255" s="33" t="str">
        <f t="shared" si="16"/>
        <v/>
      </c>
      <c r="BF255" s="37"/>
      <c r="BG255" s="29"/>
      <c r="BH255" s="29" t="b">
        <v>0</v>
      </c>
      <c r="BI255" s="22" t="str">
        <f t="shared" si="17"/>
        <v/>
      </c>
      <c r="BJ255" s="7">
        <f>IF(ISBLANK(BF255), 0, VLOOKUP(BF255, 'Price Sheet'!$A$2:$B1015, 2, false))</f>
        <v>0</v>
      </c>
      <c r="BK255" s="33" t="str">
        <f t="shared" si="18"/>
        <v/>
      </c>
      <c r="BL255" s="37"/>
      <c r="BM255" s="29"/>
      <c r="BN255" s="29" t="b">
        <v>0</v>
      </c>
      <c r="BO255" s="22" t="str">
        <f t="shared" si="19"/>
        <v/>
      </c>
      <c r="BP255" s="7">
        <f>IF(ISBLANK(BL255), 0, VLOOKUP(BL255, 'Price Sheet'!$A$2:$B1015, 2, false))</f>
        <v>0</v>
      </c>
      <c r="BQ255" s="33" t="str">
        <f t="shared" si="20"/>
        <v/>
      </c>
    </row>
    <row r="256">
      <c r="B256" s="19">
        <f t="shared" si="1"/>
        <v>0</v>
      </c>
      <c r="C256" s="29"/>
      <c r="D256" s="29"/>
      <c r="E256" s="7" t="str">
        <f>IF(ISBLANK(D256), "", VLOOKUP(D256,'Crafting Tables'!$A$2:$B1015, 2, false))</f>
        <v/>
      </c>
      <c r="F256" s="7" t="str">
        <f>IFERROR(IF(E256 = "None", 1, VLOOKUP(C256,General!$A$5:$L$35, SWITCH(E256, "Basic", 8, "Advanced", 10, "Modern", 12), false)),"")</f>
        <v/>
      </c>
      <c r="G256" s="29"/>
      <c r="H256" s="7">
        <f>IFERROR(VLOOKUP(C256, General!$A$5:$L$35, 6, false) * G256 / 1000, 0)</f>
        <v>0</v>
      </c>
      <c r="I256" s="29"/>
      <c r="J256" s="22" t="str">
        <f>IFERROR(I256*VLOOKUP(D256,'Crafting Tables'!$1:$1000, 4, false)*F256,"")</f>
        <v/>
      </c>
      <c r="K256" s="29" t="b">
        <v>0</v>
      </c>
      <c r="L256" s="37"/>
      <c r="M256" s="29"/>
      <c r="N256" s="21" t="str">
        <f t="shared" si="2"/>
        <v/>
      </c>
      <c r="P256" s="37"/>
      <c r="Q256" s="29"/>
      <c r="R256" s="29" t="b">
        <v>0</v>
      </c>
      <c r="S256" s="22" t="str">
        <f t="shared" si="3"/>
        <v/>
      </c>
      <c r="T256" s="7">
        <f>IF(ISBLANK(P256), 0, VLOOKUP(P256, 'Price Sheet'!$A$2:$B1015, 2, false))</f>
        <v>0</v>
      </c>
      <c r="U256" s="33" t="str">
        <f t="shared" si="4"/>
        <v/>
      </c>
      <c r="V256" s="37"/>
      <c r="W256" s="29"/>
      <c r="X256" s="29" t="b">
        <v>0</v>
      </c>
      <c r="Y256" s="22" t="str">
        <f t="shared" si="5"/>
        <v/>
      </c>
      <c r="Z256" s="7">
        <f>IF(ISBLANK(V256), 0, VLOOKUP(V256, 'Price Sheet'!$A$2:$B1015, 2, false))</f>
        <v>0</v>
      </c>
      <c r="AA256" s="33" t="str">
        <f t="shared" si="6"/>
        <v/>
      </c>
      <c r="AB256" s="37"/>
      <c r="AC256" s="29"/>
      <c r="AD256" s="29" t="b">
        <v>0</v>
      </c>
      <c r="AE256" s="22" t="str">
        <f t="shared" si="7"/>
        <v/>
      </c>
      <c r="AF256" s="7">
        <f>IF(ISBLANK(AB256), 0, VLOOKUP(AB256, 'Price Sheet'!$A$2:$B1015, 2, false))</f>
        <v>0</v>
      </c>
      <c r="AG256" s="33" t="str">
        <f t="shared" si="8"/>
        <v/>
      </c>
      <c r="AH256" s="37"/>
      <c r="AI256" s="29"/>
      <c r="AJ256" s="29" t="b">
        <v>0</v>
      </c>
      <c r="AK256" s="22" t="str">
        <f t="shared" si="9"/>
        <v/>
      </c>
      <c r="AL256" s="7">
        <f>IF(ISBLANK(AH256), 0, VLOOKUP(AH256, 'Price Sheet'!$A$2:$B1015, 2, false))</f>
        <v>0</v>
      </c>
      <c r="AM256" s="33" t="str">
        <f t="shared" si="10"/>
        <v/>
      </c>
      <c r="AN256" s="37"/>
      <c r="AO256" s="29"/>
      <c r="AP256" s="29" t="b">
        <v>0</v>
      </c>
      <c r="AQ256" s="22" t="str">
        <f t="shared" si="11"/>
        <v/>
      </c>
      <c r="AR256" s="7">
        <f>IF(ISBLANK(AN256), 0, VLOOKUP(AN256, 'Price Sheet'!$A$2:$B1015, 2, false))</f>
        <v>0</v>
      </c>
      <c r="AS256" s="33" t="str">
        <f t="shared" si="12"/>
        <v/>
      </c>
      <c r="AT256" s="37"/>
      <c r="AU256" s="29"/>
      <c r="AV256" s="29" t="b">
        <v>0</v>
      </c>
      <c r="AW256" s="22" t="str">
        <f t="shared" si="13"/>
        <v/>
      </c>
      <c r="AX256" s="7">
        <f>IF(ISBLANK(AT256), 0, VLOOKUP(AT256, 'Price Sheet'!$A$2:$B1015, 2, false))</f>
        <v>0</v>
      </c>
      <c r="AY256" s="33" t="str">
        <f t="shared" si="14"/>
        <v/>
      </c>
      <c r="AZ256" s="37"/>
      <c r="BA256" s="29"/>
      <c r="BB256" s="29" t="b">
        <v>0</v>
      </c>
      <c r="BC256" s="22" t="str">
        <f t="shared" si="15"/>
        <v/>
      </c>
      <c r="BD256" s="7">
        <f>IF(ISBLANK(AZ256), 0, VLOOKUP(AZ256, 'Price Sheet'!$A$2:$B1015, 2, false))</f>
        <v>0</v>
      </c>
      <c r="BE256" s="33" t="str">
        <f t="shared" si="16"/>
        <v/>
      </c>
      <c r="BF256" s="37"/>
      <c r="BG256" s="29"/>
      <c r="BH256" s="29" t="b">
        <v>0</v>
      </c>
      <c r="BI256" s="22" t="str">
        <f t="shared" si="17"/>
        <v/>
      </c>
      <c r="BJ256" s="7">
        <f>IF(ISBLANK(BF256), 0, VLOOKUP(BF256, 'Price Sheet'!$A$2:$B1015, 2, false))</f>
        <v>0</v>
      </c>
      <c r="BK256" s="33" t="str">
        <f t="shared" si="18"/>
        <v/>
      </c>
      <c r="BL256" s="37"/>
      <c r="BM256" s="29"/>
      <c r="BN256" s="29" t="b">
        <v>0</v>
      </c>
      <c r="BO256" s="22" t="str">
        <f t="shared" si="19"/>
        <v/>
      </c>
      <c r="BP256" s="7">
        <f>IF(ISBLANK(BL256), 0, VLOOKUP(BL256, 'Price Sheet'!$A$2:$B1015, 2, false))</f>
        <v>0</v>
      </c>
      <c r="BQ256" s="33" t="str">
        <f t="shared" si="20"/>
        <v/>
      </c>
    </row>
    <row r="257">
      <c r="B257" s="19">
        <f t="shared" si="1"/>
        <v>0</v>
      </c>
      <c r="C257" s="29"/>
      <c r="D257" s="29"/>
      <c r="E257" s="7" t="str">
        <f>IF(ISBLANK(D257), "", VLOOKUP(D257,'Crafting Tables'!$A$2:$B1015, 2, false))</f>
        <v/>
      </c>
      <c r="F257" s="7" t="str">
        <f>IFERROR(IF(E257 = "None", 1, VLOOKUP(C257,General!$A$5:$L$35, SWITCH(E257, "Basic", 8, "Advanced", 10, "Modern", 12), false)),"")</f>
        <v/>
      </c>
      <c r="G257" s="29"/>
      <c r="H257" s="7">
        <f>IFERROR(VLOOKUP(C257, General!$A$5:$L$35, 6, false) * G257 / 1000, 0)</f>
        <v>0</v>
      </c>
      <c r="I257" s="29"/>
      <c r="J257" s="22" t="str">
        <f>IFERROR(I257*VLOOKUP(D257,'Crafting Tables'!$1:$1000, 4, false)*F257,"")</f>
        <v/>
      </c>
      <c r="K257" s="29" t="b">
        <v>0</v>
      </c>
      <c r="L257" s="37"/>
      <c r="M257" s="29"/>
      <c r="N257" s="21" t="str">
        <f t="shared" si="2"/>
        <v/>
      </c>
      <c r="P257" s="37"/>
      <c r="Q257" s="29"/>
      <c r="R257" s="29" t="b">
        <v>0</v>
      </c>
      <c r="S257" s="22" t="str">
        <f t="shared" si="3"/>
        <v/>
      </c>
      <c r="T257" s="7">
        <f>IF(ISBLANK(P257), 0, VLOOKUP(P257, 'Price Sheet'!$A$2:$B1015, 2, false))</f>
        <v>0</v>
      </c>
      <c r="U257" s="33" t="str">
        <f t="shared" si="4"/>
        <v/>
      </c>
      <c r="V257" s="37"/>
      <c r="W257" s="29"/>
      <c r="X257" s="29" t="b">
        <v>0</v>
      </c>
      <c r="Y257" s="22" t="str">
        <f t="shared" si="5"/>
        <v/>
      </c>
      <c r="Z257" s="7">
        <f>IF(ISBLANK(V257), 0, VLOOKUP(V257, 'Price Sheet'!$A$2:$B1015, 2, false))</f>
        <v>0</v>
      </c>
      <c r="AA257" s="33" t="str">
        <f t="shared" si="6"/>
        <v/>
      </c>
      <c r="AB257" s="37"/>
      <c r="AC257" s="29"/>
      <c r="AD257" s="29" t="b">
        <v>0</v>
      </c>
      <c r="AE257" s="22" t="str">
        <f t="shared" si="7"/>
        <v/>
      </c>
      <c r="AF257" s="7">
        <f>IF(ISBLANK(AB257), 0, VLOOKUP(AB257, 'Price Sheet'!$A$2:$B1015, 2, false))</f>
        <v>0</v>
      </c>
      <c r="AG257" s="33" t="str">
        <f t="shared" si="8"/>
        <v/>
      </c>
      <c r="AH257" s="37"/>
      <c r="AI257" s="29"/>
      <c r="AJ257" s="29" t="b">
        <v>0</v>
      </c>
      <c r="AK257" s="22" t="str">
        <f t="shared" si="9"/>
        <v/>
      </c>
      <c r="AL257" s="7">
        <f>IF(ISBLANK(AH257), 0, VLOOKUP(AH257, 'Price Sheet'!$A$2:$B1015, 2, false))</f>
        <v>0</v>
      </c>
      <c r="AM257" s="33" t="str">
        <f t="shared" si="10"/>
        <v/>
      </c>
      <c r="AN257" s="37"/>
      <c r="AO257" s="29"/>
      <c r="AP257" s="29" t="b">
        <v>0</v>
      </c>
      <c r="AQ257" s="22" t="str">
        <f t="shared" si="11"/>
        <v/>
      </c>
      <c r="AR257" s="7">
        <f>IF(ISBLANK(AN257), 0, VLOOKUP(AN257, 'Price Sheet'!$A$2:$B1015, 2, false))</f>
        <v>0</v>
      </c>
      <c r="AS257" s="33" t="str">
        <f t="shared" si="12"/>
        <v/>
      </c>
      <c r="AT257" s="37"/>
      <c r="AU257" s="29"/>
      <c r="AV257" s="29" t="b">
        <v>0</v>
      </c>
      <c r="AW257" s="22" t="str">
        <f t="shared" si="13"/>
        <v/>
      </c>
      <c r="AX257" s="7">
        <f>IF(ISBLANK(AT257), 0, VLOOKUP(AT257, 'Price Sheet'!$A$2:$B1015, 2, false))</f>
        <v>0</v>
      </c>
      <c r="AY257" s="33" t="str">
        <f t="shared" si="14"/>
        <v/>
      </c>
      <c r="AZ257" s="37"/>
      <c r="BA257" s="29"/>
      <c r="BB257" s="29" t="b">
        <v>0</v>
      </c>
      <c r="BC257" s="22" t="str">
        <f t="shared" si="15"/>
        <v/>
      </c>
      <c r="BD257" s="7">
        <f>IF(ISBLANK(AZ257), 0, VLOOKUP(AZ257, 'Price Sheet'!$A$2:$B1015, 2, false))</f>
        <v>0</v>
      </c>
      <c r="BE257" s="33" t="str">
        <f t="shared" si="16"/>
        <v/>
      </c>
      <c r="BF257" s="37"/>
      <c r="BG257" s="29"/>
      <c r="BH257" s="29" t="b">
        <v>0</v>
      </c>
      <c r="BI257" s="22" t="str">
        <f t="shared" si="17"/>
        <v/>
      </c>
      <c r="BJ257" s="7">
        <f>IF(ISBLANK(BF257), 0, VLOOKUP(BF257, 'Price Sheet'!$A$2:$B1015, 2, false))</f>
        <v>0</v>
      </c>
      <c r="BK257" s="33" t="str">
        <f t="shared" si="18"/>
        <v/>
      </c>
      <c r="BL257" s="37"/>
      <c r="BM257" s="29"/>
      <c r="BN257" s="29" t="b">
        <v>0</v>
      </c>
      <c r="BO257" s="22" t="str">
        <f t="shared" si="19"/>
        <v/>
      </c>
      <c r="BP257" s="7">
        <f>IF(ISBLANK(BL257), 0, VLOOKUP(BL257, 'Price Sheet'!$A$2:$B1015, 2, false))</f>
        <v>0</v>
      </c>
      <c r="BQ257" s="33" t="str">
        <f t="shared" si="20"/>
        <v/>
      </c>
    </row>
    <row r="258">
      <c r="B258" s="19">
        <f t="shared" si="1"/>
        <v>0</v>
      </c>
      <c r="C258" s="29"/>
      <c r="D258" s="29"/>
      <c r="E258" s="7" t="str">
        <f>IF(ISBLANK(D258), "", VLOOKUP(D258,'Crafting Tables'!$A$2:$B1015, 2, false))</f>
        <v/>
      </c>
      <c r="F258" s="7" t="str">
        <f>IFERROR(IF(E258 = "None", 1, VLOOKUP(C258,General!$A$5:$L$35, SWITCH(E258, "Basic", 8, "Advanced", 10, "Modern", 12), false)),"")</f>
        <v/>
      </c>
      <c r="G258" s="29"/>
      <c r="H258" s="7">
        <f>IFERROR(VLOOKUP(C258, General!$A$5:$L$35, 6, false) * G258 / 1000, 0)</f>
        <v>0</v>
      </c>
      <c r="I258" s="29"/>
      <c r="J258" s="22" t="str">
        <f>IFERROR(I258*VLOOKUP(D258,'Crafting Tables'!$1:$1000, 4, false)*F258,"")</f>
        <v/>
      </c>
      <c r="K258" s="29" t="b">
        <v>0</v>
      </c>
      <c r="L258" s="37"/>
      <c r="M258" s="29"/>
      <c r="N258" s="21" t="str">
        <f t="shared" si="2"/>
        <v/>
      </c>
      <c r="P258" s="37"/>
      <c r="Q258" s="29"/>
      <c r="R258" s="29" t="b">
        <v>0</v>
      </c>
      <c r="S258" s="22" t="str">
        <f t="shared" si="3"/>
        <v/>
      </c>
      <c r="T258" s="7">
        <f>IF(ISBLANK(P258), 0, VLOOKUP(P258, 'Price Sheet'!$A$2:$B1015, 2, false))</f>
        <v>0</v>
      </c>
      <c r="U258" s="33" t="str">
        <f t="shared" si="4"/>
        <v/>
      </c>
      <c r="V258" s="37"/>
      <c r="W258" s="29"/>
      <c r="X258" s="29" t="b">
        <v>0</v>
      </c>
      <c r="Y258" s="22" t="str">
        <f t="shared" si="5"/>
        <v/>
      </c>
      <c r="Z258" s="7">
        <f>IF(ISBLANK(V258), 0, VLOOKUP(V258, 'Price Sheet'!$A$2:$B1015, 2, false))</f>
        <v>0</v>
      </c>
      <c r="AA258" s="33" t="str">
        <f t="shared" si="6"/>
        <v/>
      </c>
      <c r="AB258" s="37"/>
      <c r="AC258" s="29"/>
      <c r="AD258" s="29" t="b">
        <v>0</v>
      </c>
      <c r="AE258" s="22" t="str">
        <f t="shared" si="7"/>
        <v/>
      </c>
      <c r="AF258" s="7">
        <f>IF(ISBLANK(AB258), 0, VLOOKUP(AB258, 'Price Sheet'!$A$2:$B1015, 2, false))</f>
        <v>0</v>
      </c>
      <c r="AG258" s="33" t="str">
        <f t="shared" si="8"/>
        <v/>
      </c>
      <c r="AH258" s="37"/>
      <c r="AI258" s="29"/>
      <c r="AJ258" s="29" t="b">
        <v>0</v>
      </c>
      <c r="AK258" s="22" t="str">
        <f t="shared" si="9"/>
        <v/>
      </c>
      <c r="AL258" s="7">
        <f>IF(ISBLANK(AH258), 0, VLOOKUP(AH258, 'Price Sheet'!$A$2:$B1015, 2, false))</f>
        <v>0</v>
      </c>
      <c r="AM258" s="33" t="str">
        <f t="shared" si="10"/>
        <v/>
      </c>
      <c r="AN258" s="37"/>
      <c r="AO258" s="29"/>
      <c r="AP258" s="29" t="b">
        <v>0</v>
      </c>
      <c r="AQ258" s="22" t="str">
        <f t="shared" si="11"/>
        <v/>
      </c>
      <c r="AR258" s="7">
        <f>IF(ISBLANK(AN258), 0, VLOOKUP(AN258, 'Price Sheet'!$A$2:$B1015, 2, false))</f>
        <v>0</v>
      </c>
      <c r="AS258" s="33" t="str">
        <f t="shared" si="12"/>
        <v/>
      </c>
      <c r="AT258" s="37"/>
      <c r="AU258" s="29"/>
      <c r="AV258" s="29" t="b">
        <v>0</v>
      </c>
      <c r="AW258" s="22" t="str">
        <f t="shared" si="13"/>
        <v/>
      </c>
      <c r="AX258" s="7">
        <f>IF(ISBLANK(AT258), 0, VLOOKUP(AT258, 'Price Sheet'!$A$2:$B1015, 2, false))</f>
        <v>0</v>
      </c>
      <c r="AY258" s="33" t="str">
        <f t="shared" si="14"/>
        <v/>
      </c>
      <c r="AZ258" s="37"/>
      <c r="BA258" s="29"/>
      <c r="BB258" s="29" t="b">
        <v>0</v>
      </c>
      <c r="BC258" s="22" t="str">
        <f t="shared" si="15"/>
        <v/>
      </c>
      <c r="BD258" s="7">
        <f>IF(ISBLANK(AZ258), 0, VLOOKUP(AZ258, 'Price Sheet'!$A$2:$B1015, 2, false))</f>
        <v>0</v>
      </c>
      <c r="BE258" s="33" t="str">
        <f t="shared" si="16"/>
        <v/>
      </c>
      <c r="BF258" s="37"/>
      <c r="BG258" s="29"/>
      <c r="BH258" s="29" t="b">
        <v>0</v>
      </c>
      <c r="BI258" s="22" t="str">
        <f t="shared" si="17"/>
        <v/>
      </c>
      <c r="BJ258" s="7">
        <f>IF(ISBLANK(BF258), 0, VLOOKUP(BF258, 'Price Sheet'!$A$2:$B1015, 2, false))</f>
        <v>0</v>
      </c>
      <c r="BK258" s="33" t="str">
        <f t="shared" si="18"/>
        <v/>
      </c>
      <c r="BL258" s="37"/>
      <c r="BM258" s="29"/>
      <c r="BN258" s="29" t="b">
        <v>0</v>
      </c>
      <c r="BO258" s="22" t="str">
        <f t="shared" si="19"/>
        <v/>
      </c>
      <c r="BP258" s="7">
        <f>IF(ISBLANK(BL258), 0, VLOOKUP(BL258, 'Price Sheet'!$A$2:$B1015, 2, false))</f>
        <v>0</v>
      </c>
      <c r="BQ258" s="33" t="str">
        <f t="shared" si="20"/>
        <v/>
      </c>
    </row>
    <row r="259">
      <c r="B259" s="19">
        <f t="shared" si="1"/>
        <v>0</v>
      </c>
      <c r="C259" s="29"/>
      <c r="D259" s="29"/>
      <c r="E259" s="7" t="str">
        <f>IF(ISBLANK(D259), "", VLOOKUP(D259,'Crafting Tables'!$A$2:$B1015, 2, false))</f>
        <v/>
      </c>
      <c r="F259" s="7" t="str">
        <f>IFERROR(IF(E259 = "None", 1, VLOOKUP(C259,General!$A$5:$L$35, SWITCH(E259, "Basic", 8, "Advanced", 10, "Modern", 12), false)),"")</f>
        <v/>
      </c>
      <c r="G259" s="29"/>
      <c r="H259" s="7">
        <f>IFERROR(VLOOKUP(C259, General!$A$5:$L$35, 6, false) * G259 / 1000, 0)</f>
        <v>0</v>
      </c>
      <c r="I259" s="29"/>
      <c r="J259" s="22" t="str">
        <f>IFERROR(I259*VLOOKUP(D259,'Crafting Tables'!$1:$1000, 4, false)*F259,"")</f>
        <v/>
      </c>
      <c r="K259" s="29" t="b">
        <v>0</v>
      </c>
      <c r="L259" s="37"/>
      <c r="M259" s="29"/>
      <c r="N259" s="21" t="str">
        <f t="shared" si="2"/>
        <v/>
      </c>
      <c r="P259" s="37"/>
      <c r="Q259" s="29"/>
      <c r="R259" s="29" t="b">
        <v>0</v>
      </c>
      <c r="S259" s="22" t="str">
        <f t="shared" si="3"/>
        <v/>
      </c>
      <c r="T259" s="7">
        <f>IF(ISBLANK(P259), 0, VLOOKUP(P259, 'Price Sheet'!$A$2:$B1015, 2, false))</f>
        <v>0</v>
      </c>
      <c r="U259" s="33" t="str">
        <f t="shared" si="4"/>
        <v/>
      </c>
      <c r="V259" s="37"/>
      <c r="W259" s="29"/>
      <c r="X259" s="29" t="b">
        <v>0</v>
      </c>
      <c r="Y259" s="22" t="str">
        <f t="shared" si="5"/>
        <v/>
      </c>
      <c r="Z259" s="7">
        <f>IF(ISBLANK(V259), 0, VLOOKUP(V259, 'Price Sheet'!$A$2:$B1015, 2, false))</f>
        <v>0</v>
      </c>
      <c r="AA259" s="33" t="str">
        <f t="shared" si="6"/>
        <v/>
      </c>
      <c r="AB259" s="37"/>
      <c r="AC259" s="29"/>
      <c r="AD259" s="29" t="b">
        <v>0</v>
      </c>
      <c r="AE259" s="22" t="str">
        <f t="shared" si="7"/>
        <v/>
      </c>
      <c r="AF259" s="7">
        <f>IF(ISBLANK(AB259), 0, VLOOKUP(AB259, 'Price Sheet'!$A$2:$B1015, 2, false))</f>
        <v>0</v>
      </c>
      <c r="AG259" s="33" t="str">
        <f t="shared" si="8"/>
        <v/>
      </c>
      <c r="AH259" s="37"/>
      <c r="AI259" s="29"/>
      <c r="AJ259" s="29" t="b">
        <v>0</v>
      </c>
      <c r="AK259" s="22" t="str">
        <f t="shared" si="9"/>
        <v/>
      </c>
      <c r="AL259" s="7">
        <f>IF(ISBLANK(AH259), 0, VLOOKUP(AH259, 'Price Sheet'!$A$2:$B1015, 2, false))</f>
        <v>0</v>
      </c>
      <c r="AM259" s="33" t="str">
        <f t="shared" si="10"/>
        <v/>
      </c>
      <c r="AN259" s="37"/>
      <c r="AO259" s="29"/>
      <c r="AP259" s="29" t="b">
        <v>0</v>
      </c>
      <c r="AQ259" s="22" t="str">
        <f t="shared" si="11"/>
        <v/>
      </c>
      <c r="AR259" s="7">
        <f>IF(ISBLANK(AN259), 0, VLOOKUP(AN259, 'Price Sheet'!$A$2:$B1015, 2, false))</f>
        <v>0</v>
      </c>
      <c r="AS259" s="33" t="str">
        <f t="shared" si="12"/>
        <v/>
      </c>
      <c r="AT259" s="37"/>
      <c r="AU259" s="29"/>
      <c r="AV259" s="29" t="b">
        <v>0</v>
      </c>
      <c r="AW259" s="22" t="str">
        <f t="shared" si="13"/>
        <v/>
      </c>
      <c r="AX259" s="7">
        <f>IF(ISBLANK(AT259), 0, VLOOKUP(AT259, 'Price Sheet'!$A$2:$B1015, 2, false))</f>
        <v>0</v>
      </c>
      <c r="AY259" s="33" t="str">
        <f t="shared" si="14"/>
        <v/>
      </c>
      <c r="AZ259" s="37"/>
      <c r="BA259" s="29"/>
      <c r="BB259" s="29" t="b">
        <v>0</v>
      </c>
      <c r="BC259" s="22" t="str">
        <f t="shared" si="15"/>
        <v/>
      </c>
      <c r="BD259" s="7">
        <f>IF(ISBLANK(AZ259), 0, VLOOKUP(AZ259, 'Price Sheet'!$A$2:$B1015, 2, false))</f>
        <v>0</v>
      </c>
      <c r="BE259" s="33" t="str">
        <f t="shared" si="16"/>
        <v/>
      </c>
      <c r="BF259" s="37"/>
      <c r="BG259" s="29"/>
      <c r="BH259" s="29" t="b">
        <v>0</v>
      </c>
      <c r="BI259" s="22" t="str">
        <f t="shared" si="17"/>
        <v/>
      </c>
      <c r="BJ259" s="7">
        <f>IF(ISBLANK(BF259), 0, VLOOKUP(BF259, 'Price Sheet'!$A$2:$B1015, 2, false))</f>
        <v>0</v>
      </c>
      <c r="BK259" s="33" t="str">
        <f t="shared" si="18"/>
        <v/>
      </c>
      <c r="BL259" s="37"/>
      <c r="BM259" s="29"/>
      <c r="BN259" s="29" t="b">
        <v>0</v>
      </c>
      <c r="BO259" s="22" t="str">
        <f t="shared" si="19"/>
        <v/>
      </c>
      <c r="BP259" s="7">
        <f>IF(ISBLANK(BL259), 0, VLOOKUP(BL259, 'Price Sheet'!$A$2:$B1015, 2, false))</f>
        <v>0</v>
      </c>
      <c r="BQ259" s="33" t="str">
        <f t="shared" si="20"/>
        <v/>
      </c>
    </row>
    <row r="260">
      <c r="B260" s="19">
        <f t="shared" si="1"/>
        <v>0</v>
      </c>
      <c r="C260" s="29"/>
      <c r="D260" s="29"/>
      <c r="E260" s="7" t="str">
        <f>IF(ISBLANK(D260), "", VLOOKUP(D260,'Crafting Tables'!$A$2:$B1015, 2, false))</f>
        <v/>
      </c>
      <c r="F260" s="7" t="str">
        <f>IFERROR(IF(E260 = "None", 1, VLOOKUP(C260,General!$A$5:$L$35, SWITCH(E260, "Basic", 8, "Advanced", 10, "Modern", 12), false)),"")</f>
        <v/>
      </c>
      <c r="G260" s="29"/>
      <c r="H260" s="7">
        <f>IFERROR(VLOOKUP(C260, General!$A$5:$L$35, 6, false) * G260 / 1000, 0)</f>
        <v>0</v>
      </c>
      <c r="I260" s="29"/>
      <c r="J260" s="22" t="str">
        <f>IFERROR(I260*VLOOKUP(D260,'Crafting Tables'!$1:$1000, 4, false)*F260,"")</f>
        <v/>
      </c>
      <c r="K260" s="29" t="b">
        <v>0</v>
      </c>
      <c r="L260" s="37"/>
      <c r="M260" s="29"/>
      <c r="N260" s="21" t="str">
        <f t="shared" si="2"/>
        <v/>
      </c>
      <c r="P260" s="37"/>
      <c r="Q260" s="29"/>
      <c r="R260" s="29" t="b">
        <v>0</v>
      </c>
      <c r="S260" s="22" t="str">
        <f t="shared" si="3"/>
        <v/>
      </c>
      <c r="T260" s="7">
        <f>IF(ISBLANK(P260), 0, VLOOKUP(P260, 'Price Sheet'!$A$2:$B1015, 2, false))</f>
        <v>0</v>
      </c>
      <c r="U260" s="33" t="str">
        <f t="shared" si="4"/>
        <v/>
      </c>
      <c r="V260" s="37"/>
      <c r="W260" s="29"/>
      <c r="X260" s="29" t="b">
        <v>0</v>
      </c>
      <c r="Y260" s="22" t="str">
        <f t="shared" si="5"/>
        <v/>
      </c>
      <c r="Z260" s="7">
        <f>IF(ISBLANK(V260), 0, VLOOKUP(V260, 'Price Sheet'!$A$2:$B1015, 2, false))</f>
        <v>0</v>
      </c>
      <c r="AA260" s="33" t="str">
        <f t="shared" si="6"/>
        <v/>
      </c>
      <c r="AB260" s="37"/>
      <c r="AC260" s="29"/>
      <c r="AD260" s="29" t="b">
        <v>0</v>
      </c>
      <c r="AE260" s="22" t="str">
        <f t="shared" si="7"/>
        <v/>
      </c>
      <c r="AF260" s="7">
        <f>IF(ISBLANK(AB260), 0, VLOOKUP(AB260, 'Price Sheet'!$A$2:$B1015, 2, false))</f>
        <v>0</v>
      </c>
      <c r="AG260" s="33" t="str">
        <f t="shared" si="8"/>
        <v/>
      </c>
      <c r="AH260" s="37"/>
      <c r="AI260" s="29"/>
      <c r="AJ260" s="29" t="b">
        <v>0</v>
      </c>
      <c r="AK260" s="22" t="str">
        <f t="shared" si="9"/>
        <v/>
      </c>
      <c r="AL260" s="7">
        <f>IF(ISBLANK(AH260), 0, VLOOKUP(AH260, 'Price Sheet'!$A$2:$B1015, 2, false))</f>
        <v>0</v>
      </c>
      <c r="AM260" s="33" t="str">
        <f t="shared" si="10"/>
        <v/>
      </c>
      <c r="AN260" s="37"/>
      <c r="AO260" s="29"/>
      <c r="AP260" s="29" t="b">
        <v>0</v>
      </c>
      <c r="AQ260" s="22" t="str">
        <f t="shared" si="11"/>
        <v/>
      </c>
      <c r="AR260" s="7">
        <f>IF(ISBLANK(AN260), 0, VLOOKUP(AN260, 'Price Sheet'!$A$2:$B1015, 2, false))</f>
        <v>0</v>
      </c>
      <c r="AS260" s="33" t="str">
        <f t="shared" si="12"/>
        <v/>
      </c>
      <c r="AT260" s="37"/>
      <c r="AU260" s="29"/>
      <c r="AV260" s="29" t="b">
        <v>0</v>
      </c>
      <c r="AW260" s="22" t="str">
        <f t="shared" si="13"/>
        <v/>
      </c>
      <c r="AX260" s="7">
        <f>IF(ISBLANK(AT260), 0, VLOOKUP(AT260, 'Price Sheet'!$A$2:$B1015, 2, false))</f>
        <v>0</v>
      </c>
      <c r="AY260" s="33" t="str">
        <f t="shared" si="14"/>
        <v/>
      </c>
      <c r="AZ260" s="37"/>
      <c r="BA260" s="29"/>
      <c r="BB260" s="29" t="b">
        <v>0</v>
      </c>
      <c r="BC260" s="22" t="str">
        <f t="shared" si="15"/>
        <v/>
      </c>
      <c r="BD260" s="7">
        <f>IF(ISBLANK(AZ260), 0, VLOOKUP(AZ260, 'Price Sheet'!$A$2:$B1015, 2, false))</f>
        <v>0</v>
      </c>
      <c r="BE260" s="33" t="str">
        <f t="shared" si="16"/>
        <v/>
      </c>
      <c r="BF260" s="37"/>
      <c r="BG260" s="29"/>
      <c r="BH260" s="29" t="b">
        <v>0</v>
      </c>
      <c r="BI260" s="22" t="str">
        <f t="shared" si="17"/>
        <v/>
      </c>
      <c r="BJ260" s="7">
        <f>IF(ISBLANK(BF260), 0, VLOOKUP(BF260, 'Price Sheet'!$A$2:$B1015, 2, false))</f>
        <v>0</v>
      </c>
      <c r="BK260" s="33" t="str">
        <f t="shared" si="18"/>
        <v/>
      </c>
      <c r="BL260" s="37"/>
      <c r="BM260" s="29"/>
      <c r="BN260" s="29" t="b">
        <v>0</v>
      </c>
      <c r="BO260" s="22" t="str">
        <f t="shared" si="19"/>
        <v/>
      </c>
      <c r="BP260" s="7">
        <f>IF(ISBLANK(BL260), 0, VLOOKUP(BL260, 'Price Sheet'!$A$2:$B1015, 2, false))</f>
        <v>0</v>
      </c>
      <c r="BQ260" s="33" t="str">
        <f t="shared" si="20"/>
        <v/>
      </c>
    </row>
    <row r="261">
      <c r="B261" s="19">
        <f t="shared" si="1"/>
        <v>0</v>
      </c>
      <c r="C261" s="29"/>
      <c r="D261" s="29"/>
      <c r="E261" s="7" t="str">
        <f>IF(ISBLANK(D261), "", VLOOKUP(D261,'Crafting Tables'!$A$2:$B1015, 2, false))</f>
        <v/>
      </c>
      <c r="F261" s="7" t="str">
        <f>IFERROR(IF(E261 = "None", 1, VLOOKUP(C261,General!$A$5:$L$35, SWITCH(E261, "Basic", 8, "Advanced", 10, "Modern", 12), false)),"")</f>
        <v/>
      </c>
      <c r="G261" s="29"/>
      <c r="H261" s="7">
        <f>IFERROR(VLOOKUP(C261, General!$A$5:$L$35, 6, false) * G261 / 1000, 0)</f>
        <v>0</v>
      </c>
      <c r="I261" s="29"/>
      <c r="J261" s="22" t="str">
        <f>IFERROR(I261*VLOOKUP(D261,'Crafting Tables'!$1:$1000, 4, false)*F261,"")</f>
        <v/>
      </c>
      <c r="K261" s="29" t="b">
        <v>0</v>
      </c>
      <c r="L261" s="37"/>
      <c r="M261" s="29"/>
      <c r="N261" s="21" t="str">
        <f t="shared" si="2"/>
        <v/>
      </c>
      <c r="P261" s="37"/>
      <c r="Q261" s="29"/>
      <c r="R261" s="29" t="b">
        <v>0</v>
      </c>
      <c r="S261" s="22" t="str">
        <f t="shared" si="3"/>
        <v/>
      </c>
      <c r="T261" s="7">
        <f>IF(ISBLANK(P261), 0, VLOOKUP(P261, 'Price Sheet'!$A$2:$B1015, 2, false))</f>
        <v>0</v>
      </c>
      <c r="U261" s="33" t="str">
        <f t="shared" si="4"/>
        <v/>
      </c>
      <c r="V261" s="37"/>
      <c r="W261" s="29"/>
      <c r="X261" s="29" t="b">
        <v>0</v>
      </c>
      <c r="Y261" s="22" t="str">
        <f t="shared" si="5"/>
        <v/>
      </c>
      <c r="Z261" s="7">
        <f>IF(ISBLANK(V261), 0, VLOOKUP(V261, 'Price Sheet'!$A$2:$B1015, 2, false))</f>
        <v>0</v>
      </c>
      <c r="AA261" s="33" t="str">
        <f t="shared" si="6"/>
        <v/>
      </c>
      <c r="AB261" s="37"/>
      <c r="AC261" s="29"/>
      <c r="AD261" s="29" t="b">
        <v>0</v>
      </c>
      <c r="AE261" s="22" t="str">
        <f t="shared" si="7"/>
        <v/>
      </c>
      <c r="AF261" s="7">
        <f>IF(ISBLANK(AB261), 0, VLOOKUP(AB261, 'Price Sheet'!$A$2:$B1015, 2, false))</f>
        <v>0</v>
      </c>
      <c r="AG261" s="33" t="str">
        <f t="shared" si="8"/>
        <v/>
      </c>
      <c r="AH261" s="37"/>
      <c r="AI261" s="29"/>
      <c r="AJ261" s="29" t="b">
        <v>0</v>
      </c>
      <c r="AK261" s="22" t="str">
        <f t="shared" si="9"/>
        <v/>
      </c>
      <c r="AL261" s="7">
        <f>IF(ISBLANK(AH261), 0, VLOOKUP(AH261, 'Price Sheet'!$A$2:$B1015, 2, false))</f>
        <v>0</v>
      </c>
      <c r="AM261" s="33" t="str">
        <f t="shared" si="10"/>
        <v/>
      </c>
      <c r="AN261" s="37"/>
      <c r="AO261" s="29"/>
      <c r="AP261" s="29" t="b">
        <v>0</v>
      </c>
      <c r="AQ261" s="22" t="str">
        <f t="shared" si="11"/>
        <v/>
      </c>
      <c r="AR261" s="7">
        <f>IF(ISBLANK(AN261), 0, VLOOKUP(AN261, 'Price Sheet'!$A$2:$B1015, 2, false))</f>
        <v>0</v>
      </c>
      <c r="AS261" s="33" t="str">
        <f t="shared" si="12"/>
        <v/>
      </c>
      <c r="AT261" s="37"/>
      <c r="AU261" s="29"/>
      <c r="AV261" s="29" t="b">
        <v>0</v>
      </c>
      <c r="AW261" s="22" t="str">
        <f t="shared" si="13"/>
        <v/>
      </c>
      <c r="AX261" s="7">
        <f>IF(ISBLANK(AT261), 0, VLOOKUP(AT261, 'Price Sheet'!$A$2:$B1015, 2, false))</f>
        <v>0</v>
      </c>
      <c r="AY261" s="33" t="str">
        <f t="shared" si="14"/>
        <v/>
      </c>
      <c r="AZ261" s="37"/>
      <c r="BA261" s="29"/>
      <c r="BB261" s="29" t="b">
        <v>0</v>
      </c>
      <c r="BC261" s="22" t="str">
        <f t="shared" si="15"/>
        <v/>
      </c>
      <c r="BD261" s="7">
        <f>IF(ISBLANK(AZ261), 0, VLOOKUP(AZ261, 'Price Sheet'!$A$2:$B1015, 2, false))</f>
        <v>0</v>
      </c>
      <c r="BE261" s="33" t="str">
        <f t="shared" si="16"/>
        <v/>
      </c>
      <c r="BF261" s="37"/>
      <c r="BG261" s="29"/>
      <c r="BH261" s="29" t="b">
        <v>0</v>
      </c>
      <c r="BI261" s="22" t="str">
        <f t="shared" si="17"/>
        <v/>
      </c>
      <c r="BJ261" s="7">
        <f>IF(ISBLANK(BF261), 0, VLOOKUP(BF261, 'Price Sheet'!$A$2:$B1015, 2, false))</f>
        <v>0</v>
      </c>
      <c r="BK261" s="33" t="str">
        <f t="shared" si="18"/>
        <v/>
      </c>
      <c r="BL261" s="37"/>
      <c r="BM261" s="29"/>
      <c r="BN261" s="29" t="b">
        <v>0</v>
      </c>
      <c r="BO261" s="22" t="str">
        <f t="shared" si="19"/>
        <v/>
      </c>
      <c r="BP261" s="7">
        <f>IF(ISBLANK(BL261), 0, VLOOKUP(BL261, 'Price Sheet'!$A$2:$B1015, 2, false))</f>
        <v>0</v>
      </c>
      <c r="BQ261" s="33" t="str">
        <f t="shared" si="20"/>
        <v/>
      </c>
    </row>
    <row r="262">
      <c r="B262" s="19">
        <f t="shared" si="1"/>
        <v>0</v>
      </c>
      <c r="C262" s="29"/>
      <c r="D262" s="29"/>
      <c r="E262" s="7" t="str">
        <f>IF(ISBLANK(D262), "", VLOOKUP(D262,'Crafting Tables'!$A$2:$B1015, 2, false))</f>
        <v/>
      </c>
      <c r="F262" s="7" t="str">
        <f>IFERROR(IF(E262 = "None", 1, VLOOKUP(C262,General!$A$5:$L$35, SWITCH(E262, "Basic", 8, "Advanced", 10, "Modern", 12), false)),"")</f>
        <v/>
      </c>
      <c r="G262" s="29"/>
      <c r="H262" s="7">
        <f>IFERROR(VLOOKUP(C262, General!$A$5:$L$35, 6, false) * G262 / 1000, 0)</f>
        <v>0</v>
      </c>
      <c r="I262" s="29"/>
      <c r="J262" s="22" t="str">
        <f>IFERROR(I262*VLOOKUP(D262,'Crafting Tables'!$1:$1000, 4, false)*F262,"")</f>
        <v/>
      </c>
      <c r="K262" s="29" t="b">
        <v>0</v>
      </c>
      <c r="L262" s="37"/>
      <c r="M262" s="29"/>
      <c r="N262" s="21" t="str">
        <f t="shared" si="2"/>
        <v/>
      </c>
      <c r="P262" s="37"/>
      <c r="Q262" s="29"/>
      <c r="R262" s="29" t="b">
        <v>0</v>
      </c>
      <c r="S262" s="22" t="str">
        <f t="shared" si="3"/>
        <v/>
      </c>
      <c r="T262" s="7">
        <f>IF(ISBLANK(P262), 0, VLOOKUP(P262, 'Price Sheet'!$A$2:$B1015, 2, false))</f>
        <v>0</v>
      </c>
      <c r="U262" s="33" t="str">
        <f t="shared" si="4"/>
        <v/>
      </c>
      <c r="V262" s="37"/>
      <c r="W262" s="29"/>
      <c r="X262" s="29" t="b">
        <v>0</v>
      </c>
      <c r="Y262" s="22" t="str">
        <f t="shared" si="5"/>
        <v/>
      </c>
      <c r="Z262" s="7">
        <f>IF(ISBLANK(V262), 0, VLOOKUP(V262, 'Price Sheet'!$A$2:$B1015, 2, false))</f>
        <v>0</v>
      </c>
      <c r="AA262" s="33" t="str">
        <f t="shared" si="6"/>
        <v/>
      </c>
      <c r="AB262" s="37"/>
      <c r="AC262" s="29"/>
      <c r="AD262" s="29" t="b">
        <v>0</v>
      </c>
      <c r="AE262" s="22" t="str">
        <f t="shared" si="7"/>
        <v/>
      </c>
      <c r="AF262" s="7">
        <f>IF(ISBLANK(AB262), 0, VLOOKUP(AB262, 'Price Sheet'!$A$2:$B1015, 2, false))</f>
        <v>0</v>
      </c>
      <c r="AG262" s="33" t="str">
        <f t="shared" si="8"/>
        <v/>
      </c>
      <c r="AH262" s="37"/>
      <c r="AI262" s="29"/>
      <c r="AJ262" s="29" t="b">
        <v>0</v>
      </c>
      <c r="AK262" s="22" t="str">
        <f t="shared" si="9"/>
        <v/>
      </c>
      <c r="AL262" s="7">
        <f>IF(ISBLANK(AH262), 0, VLOOKUP(AH262, 'Price Sheet'!$A$2:$B1015, 2, false))</f>
        <v>0</v>
      </c>
      <c r="AM262" s="33" t="str">
        <f t="shared" si="10"/>
        <v/>
      </c>
      <c r="AN262" s="37"/>
      <c r="AO262" s="29"/>
      <c r="AP262" s="29" t="b">
        <v>0</v>
      </c>
      <c r="AQ262" s="22" t="str">
        <f t="shared" si="11"/>
        <v/>
      </c>
      <c r="AR262" s="7">
        <f>IF(ISBLANK(AN262), 0, VLOOKUP(AN262, 'Price Sheet'!$A$2:$B1015, 2, false))</f>
        <v>0</v>
      </c>
      <c r="AS262" s="33" t="str">
        <f t="shared" si="12"/>
        <v/>
      </c>
      <c r="AT262" s="37"/>
      <c r="AU262" s="29"/>
      <c r="AV262" s="29" t="b">
        <v>0</v>
      </c>
      <c r="AW262" s="22" t="str">
        <f t="shared" si="13"/>
        <v/>
      </c>
      <c r="AX262" s="7">
        <f>IF(ISBLANK(AT262), 0, VLOOKUP(AT262, 'Price Sheet'!$A$2:$B1015, 2, false))</f>
        <v>0</v>
      </c>
      <c r="AY262" s="33" t="str">
        <f t="shared" si="14"/>
        <v/>
      </c>
      <c r="AZ262" s="37"/>
      <c r="BA262" s="29"/>
      <c r="BB262" s="29" t="b">
        <v>0</v>
      </c>
      <c r="BC262" s="22" t="str">
        <f t="shared" si="15"/>
        <v/>
      </c>
      <c r="BD262" s="7">
        <f>IF(ISBLANK(AZ262), 0, VLOOKUP(AZ262, 'Price Sheet'!$A$2:$B1015, 2, false))</f>
        <v>0</v>
      </c>
      <c r="BE262" s="33" t="str">
        <f t="shared" si="16"/>
        <v/>
      </c>
      <c r="BF262" s="37"/>
      <c r="BG262" s="29"/>
      <c r="BH262" s="29" t="b">
        <v>0</v>
      </c>
      <c r="BI262" s="22" t="str">
        <f t="shared" si="17"/>
        <v/>
      </c>
      <c r="BJ262" s="7">
        <f>IF(ISBLANK(BF262), 0, VLOOKUP(BF262, 'Price Sheet'!$A$2:$B1015, 2, false))</f>
        <v>0</v>
      </c>
      <c r="BK262" s="33" t="str">
        <f t="shared" si="18"/>
        <v/>
      </c>
      <c r="BL262" s="37"/>
      <c r="BM262" s="29"/>
      <c r="BN262" s="29" t="b">
        <v>0</v>
      </c>
      <c r="BO262" s="22" t="str">
        <f t="shared" si="19"/>
        <v/>
      </c>
      <c r="BP262" s="7">
        <f>IF(ISBLANK(BL262), 0, VLOOKUP(BL262, 'Price Sheet'!$A$2:$B1015, 2, false))</f>
        <v>0</v>
      </c>
      <c r="BQ262" s="33" t="str">
        <f t="shared" si="20"/>
        <v/>
      </c>
    </row>
    <row r="263">
      <c r="B263" s="19">
        <f t="shared" si="1"/>
        <v>0</v>
      </c>
      <c r="C263" s="29"/>
      <c r="D263" s="29"/>
      <c r="E263" s="7" t="str">
        <f>IF(ISBLANK(D263), "", VLOOKUP(D263,'Crafting Tables'!$A$2:$B1015, 2, false))</f>
        <v/>
      </c>
      <c r="F263" s="7" t="str">
        <f>IFERROR(IF(E263 = "None", 1, VLOOKUP(C263,General!$A$5:$L$35, SWITCH(E263, "Basic", 8, "Advanced", 10, "Modern", 12), false)),"")</f>
        <v/>
      </c>
      <c r="G263" s="29"/>
      <c r="H263" s="7">
        <f>IFERROR(VLOOKUP(C263, General!$A$5:$L$35, 6, false) * G263 / 1000, 0)</f>
        <v>0</v>
      </c>
      <c r="I263" s="29"/>
      <c r="J263" s="22" t="str">
        <f>IFERROR(I263*VLOOKUP(D263,'Crafting Tables'!$1:$1000, 4, false)*F263,"")</f>
        <v/>
      </c>
      <c r="K263" s="29" t="b">
        <v>0</v>
      </c>
      <c r="L263" s="37"/>
      <c r="M263" s="29"/>
      <c r="N263" s="21" t="str">
        <f t="shared" si="2"/>
        <v/>
      </c>
      <c r="P263" s="37"/>
      <c r="Q263" s="29"/>
      <c r="R263" s="29" t="b">
        <v>0</v>
      </c>
      <c r="S263" s="22" t="str">
        <f t="shared" si="3"/>
        <v/>
      </c>
      <c r="T263" s="7">
        <f>IF(ISBLANK(P263), 0, VLOOKUP(P263, 'Price Sheet'!$A$2:$B1015, 2, false))</f>
        <v>0</v>
      </c>
      <c r="U263" s="33" t="str">
        <f t="shared" si="4"/>
        <v/>
      </c>
      <c r="V263" s="37"/>
      <c r="W263" s="29"/>
      <c r="X263" s="29" t="b">
        <v>0</v>
      </c>
      <c r="Y263" s="22" t="str">
        <f t="shared" si="5"/>
        <v/>
      </c>
      <c r="Z263" s="7">
        <f>IF(ISBLANK(V263), 0, VLOOKUP(V263, 'Price Sheet'!$A$2:$B1015, 2, false))</f>
        <v>0</v>
      </c>
      <c r="AA263" s="33" t="str">
        <f t="shared" si="6"/>
        <v/>
      </c>
      <c r="AB263" s="37"/>
      <c r="AC263" s="29"/>
      <c r="AD263" s="29" t="b">
        <v>0</v>
      </c>
      <c r="AE263" s="22" t="str">
        <f t="shared" si="7"/>
        <v/>
      </c>
      <c r="AF263" s="7">
        <f>IF(ISBLANK(AB263), 0, VLOOKUP(AB263, 'Price Sheet'!$A$2:$B1015, 2, false))</f>
        <v>0</v>
      </c>
      <c r="AG263" s="33" t="str">
        <f t="shared" si="8"/>
        <v/>
      </c>
      <c r="AH263" s="37"/>
      <c r="AI263" s="29"/>
      <c r="AJ263" s="29" t="b">
        <v>0</v>
      </c>
      <c r="AK263" s="22" t="str">
        <f t="shared" si="9"/>
        <v/>
      </c>
      <c r="AL263" s="7">
        <f>IF(ISBLANK(AH263), 0, VLOOKUP(AH263, 'Price Sheet'!$A$2:$B1015, 2, false))</f>
        <v>0</v>
      </c>
      <c r="AM263" s="33" t="str">
        <f t="shared" si="10"/>
        <v/>
      </c>
      <c r="AN263" s="37"/>
      <c r="AO263" s="29"/>
      <c r="AP263" s="29" t="b">
        <v>0</v>
      </c>
      <c r="AQ263" s="22" t="str">
        <f t="shared" si="11"/>
        <v/>
      </c>
      <c r="AR263" s="7">
        <f>IF(ISBLANK(AN263), 0, VLOOKUP(AN263, 'Price Sheet'!$A$2:$B1015, 2, false))</f>
        <v>0</v>
      </c>
      <c r="AS263" s="33" t="str">
        <f t="shared" si="12"/>
        <v/>
      </c>
      <c r="AT263" s="37"/>
      <c r="AU263" s="29"/>
      <c r="AV263" s="29" t="b">
        <v>0</v>
      </c>
      <c r="AW263" s="22" t="str">
        <f t="shared" si="13"/>
        <v/>
      </c>
      <c r="AX263" s="7">
        <f>IF(ISBLANK(AT263), 0, VLOOKUP(AT263, 'Price Sheet'!$A$2:$B1015, 2, false))</f>
        <v>0</v>
      </c>
      <c r="AY263" s="33" t="str">
        <f t="shared" si="14"/>
        <v/>
      </c>
      <c r="AZ263" s="37"/>
      <c r="BA263" s="29"/>
      <c r="BB263" s="29" t="b">
        <v>0</v>
      </c>
      <c r="BC263" s="22" t="str">
        <f t="shared" si="15"/>
        <v/>
      </c>
      <c r="BD263" s="7">
        <f>IF(ISBLANK(AZ263), 0, VLOOKUP(AZ263, 'Price Sheet'!$A$2:$B1015, 2, false))</f>
        <v>0</v>
      </c>
      <c r="BE263" s="33" t="str">
        <f t="shared" si="16"/>
        <v/>
      </c>
      <c r="BF263" s="37"/>
      <c r="BG263" s="29"/>
      <c r="BH263" s="29" t="b">
        <v>0</v>
      </c>
      <c r="BI263" s="22" t="str">
        <f t="shared" si="17"/>
        <v/>
      </c>
      <c r="BJ263" s="7">
        <f>IF(ISBLANK(BF263), 0, VLOOKUP(BF263, 'Price Sheet'!$A$2:$B1015, 2, false))</f>
        <v>0</v>
      </c>
      <c r="BK263" s="33" t="str">
        <f t="shared" si="18"/>
        <v/>
      </c>
      <c r="BL263" s="37"/>
      <c r="BM263" s="29"/>
      <c r="BN263" s="29" t="b">
        <v>0</v>
      </c>
      <c r="BO263" s="22" t="str">
        <f t="shared" si="19"/>
        <v/>
      </c>
      <c r="BP263" s="7">
        <f>IF(ISBLANK(BL263), 0, VLOOKUP(BL263, 'Price Sheet'!$A$2:$B1015, 2, false))</f>
        <v>0</v>
      </c>
      <c r="BQ263" s="33" t="str">
        <f t="shared" si="20"/>
        <v/>
      </c>
    </row>
    <row r="264">
      <c r="B264" s="19">
        <f t="shared" si="1"/>
        <v>0</v>
      </c>
      <c r="C264" s="29"/>
      <c r="D264" s="29"/>
      <c r="E264" s="7" t="str">
        <f>IF(ISBLANK(D264), "", VLOOKUP(D264,'Crafting Tables'!$A$2:$B1015, 2, false))</f>
        <v/>
      </c>
      <c r="F264" s="7" t="str">
        <f>IFERROR(IF(E264 = "None", 1, VLOOKUP(C264,General!$A$5:$L$35, SWITCH(E264, "Basic", 8, "Advanced", 10, "Modern", 12), false)),"")</f>
        <v/>
      </c>
      <c r="G264" s="29"/>
      <c r="H264" s="7">
        <f>IFERROR(VLOOKUP(C264, General!$A$5:$L$35, 6, false) * G264 / 1000, 0)</f>
        <v>0</v>
      </c>
      <c r="I264" s="29"/>
      <c r="J264" s="22" t="str">
        <f>IFERROR(I264*VLOOKUP(D264,'Crafting Tables'!$1:$1000, 4, false)*F264,"")</f>
        <v/>
      </c>
      <c r="K264" s="29" t="b">
        <v>0</v>
      </c>
      <c r="L264" s="37"/>
      <c r="M264" s="29"/>
      <c r="N264" s="21" t="str">
        <f t="shared" si="2"/>
        <v/>
      </c>
      <c r="P264" s="37"/>
      <c r="Q264" s="29"/>
      <c r="R264" s="29" t="b">
        <v>0</v>
      </c>
      <c r="S264" s="22" t="str">
        <f t="shared" si="3"/>
        <v/>
      </c>
      <c r="T264" s="7">
        <f>IF(ISBLANK(P264), 0, VLOOKUP(P264, 'Price Sheet'!$A$2:$B1015, 2, false))</f>
        <v>0</v>
      </c>
      <c r="U264" s="33" t="str">
        <f t="shared" si="4"/>
        <v/>
      </c>
      <c r="V264" s="37"/>
      <c r="W264" s="29"/>
      <c r="X264" s="29" t="b">
        <v>0</v>
      </c>
      <c r="Y264" s="22" t="str">
        <f t="shared" si="5"/>
        <v/>
      </c>
      <c r="Z264" s="7">
        <f>IF(ISBLANK(V264), 0, VLOOKUP(V264, 'Price Sheet'!$A$2:$B1015, 2, false))</f>
        <v>0</v>
      </c>
      <c r="AA264" s="33" t="str">
        <f t="shared" si="6"/>
        <v/>
      </c>
      <c r="AB264" s="37"/>
      <c r="AC264" s="29"/>
      <c r="AD264" s="29" t="b">
        <v>0</v>
      </c>
      <c r="AE264" s="22" t="str">
        <f t="shared" si="7"/>
        <v/>
      </c>
      <c r="AF264" s="7">
        <f>IF(ISBLANK(AB264), 0, VLOOKUP(AB264, 'Price Sheet'!$A$2:$B1015, 2, false))</f>
        <v>0</v>
      </c>
      <c r="AG264" s="33" t="str">
        <f t="shared" si="8"/>
        <v/>
      </c>
      <c r="AH264" s="37"/>
      <c r="AI264" s="29"/>
      <c r="AJ264" s="29" t="b">
        <v>0</v>
      </c>
      <c r="AK264" s="22" t="str">
        <f t="shared" si="9"/>
        <v/>
      </c>
      <c r="AL264" s="7">
        <f>IF(ISBLANK(AH264), 0, VLOOKUP(AH264, 'Price Sheet'!$A$2:$B1015, 2, false))</f>
        <v>0</v>
      </c>
      <c r="AM264" s="33" t="str">
        <f t="shared" si="10"/>
        <v/>
      </c>
      <c r="AN264" s="37"/>
      <c r="AO264" s="29"/>
      <c r="AP264" s="29" t="b">
        <v>0</v>
      </c>
      <c r="AQ264" s="22" t="str">
        <f t="shared" si="11"/>
        <v/>
      </c>
      <c r="AR264" s="7">
        <f>IF(ISBLANK(AN264), 0, VLOOKUP(AN264, 'Price Sheet'!$A$2:$B1015, 2, false))</f>
        <v>0</v>
      </c>
      <c r="AS264" s="33" t="str">
        <f t="shared" si="12"/>
        <v/>
      </c>
      <c r="AT264" s="37"/>
      <c r="AU264" s="29"/>
      <c r="AV264" s="29" t="b">
        <v>0</v>
      </c>
      <c r="AW264" s="22" t="str">
        <f t="shared" si="13"/>
        <v/>
      </c>
      <c r="AX264" s="7">
        <f>IF(ISBLANK(AT264), 0, VLOOKUP(AT264, 'Price Sheet'!$A$2:$B1015, 2, false))</f>
        <v>0</v>
      </c>
      <c r="AY264" s="33" t="str">
        <f t="shared" si="14"/>
        <v/>
      </c>
      <c r="AZ264" s="37"/>
      <c r="BA264" s="29"/>
      <c r="BB264" s="29" t="b">
        <v>0</v>
      </c>
      <c r="BC264" s="22" t="str">
        <f t="shared" si="15"/>
        <v/>
      </c>
      <c r="BD264" s="7">
        <f>IF(ISBLANK(AZ264), 0, VLOOKUP(AZ264, 'Price Sheet'!$A$2:$B1015, 2, false))</f>
        <v>0</v>
      </c>
      <c r="BE264" s="33" t="str">
        <f t="shared" si="16"/>
        <v/>
      </c>
      <c r="BF264" s="37"/>
      <c r="BG264" s="29"/>
      <c r="BH264" s="29" t="b">
        <v>0</v>
      </c>
      <c r="BI264" s="22" t="str">
        <f t="shared" si="17"/>
        <v/>
      </c>
      <c r="BJ264" s="7">
        <f>IF(ISBLANK(BF264), 0, VLOOKUP(BF264, 'Price Sheet'!$A$2:$B1015, 2, false))</f>
        <v>0</v>
      </c>
      <c r="BK264" s="33" t="str">
        <f t="shared" si="18"/>
        <v/>
      </c>
      <c r="BL264" s="37"/>
      <c r="BM264" s="29"/>
      <c r="BN264" s="29" t="b">
        <v>0</v>
      </c>
      <c r="BO264" s="22" t="str">
        <f t="shared" si="19"/>
        <v/>
      </c>
      <c r="BP264" s="7">
        <f>IF(ISBLANK(BL264), 0, VLOOKUP(BL264, 'Price Sheet'!$A$2:$B1015, 2, false))</f>
        <v>0</v>
      </c>
      <c r="BQ264" s="33" t="str">
        <f t="shared" si="20"/>
        <v/>
      </c>
    </row>
    <row r="265">
      <c r="B265" s="19">
        <f t="shared" si="1"/>
        <v>0</v>
      </c>
      <c r="C265" s="29"/>
      <c r="D265" s="29"/>
      <c r="E265" s="7" t="str">
        <f>IF(ISBLANK(D265), "", VLOOKUP(D265,'Crafting Tables'!$A$2:$B1015, 2, false))</f>
        <v/>
      </c>
      <c r="F265" s="7" t="str">
        <f>IFERROR(IF(E265 = "None", 1, VLOOKUP(C265,General!$A$5:$L$35, SWITCH(E265, "Basic", 8, "Advanced", 10, "Modern", 12), false)),"")</f>
        <v/>
      </c>
      <c r="G265" s="29"/>
      <c r="H265" s="7">
        <f>IFERROR(VLOOKUP(C265, General!$A$5:$L$35, 6, false) * G265 / 1000, 0)</f>
        <v>0</v>
      </c>
      <c r="I265" s="29"/>
      <c r="J265" s="22" t="str">
        <f>IFERROR(I265*VLOOKUP(D265,'Crafting Tables'!$1:$1000, 4, false)*F265,"")</f>
        <v/>
      </c>
      <c r="K265" s="29" t="b">
        <v>0</v>
      </c>
      <c r="L265" s="37"/>
      <c r="M265" s="29"/>
      <c r="N265" s="21" t="str">
        <f t="shared" si="2"/>
        <v/>
      </c>
      <c r="P265" s="37"/>
      <c r="Q265" s="29"/>
      <c r="R265" s="29" t="b">
        <v>0</v>
      </c>
      <c r="S265" s="22" t="str">
        <f t="shared" si="3"/>
        <v/>
      </c>
      <c r="T265" s="7">
        <f>IF(ISBLANK(P265), 0, VLOOKUP(P265, 'Price Sheet'!$A$2:$B1015, 2, false))</f>
        <v>0</v>
      </c>
      <c r="U265" s="33" t="str">
        <f t="shared" si="4"/>
        <v/>
      </c>
      <c r="V265" s="37"/>
      <c r="W265" s="29"/>
      <c r="X265" s="29" t="b">
        <v>0</v>
      </c>
      <c r="Y265" s="22" t="str">
        <f t="shared" si="5"/>
        <v/>
      </c>
      <c r="Z265" s="7">
        <f>IF(ISBLANK(V265), 0, VLOOKUP(V265, 'Price Sheet'!$A$2:$B1015, 2, false))</f>
        <v>0</v>
      </c>
      <c r="AA265" s="33" t="str">
        <f t="shared" si="6"/>
        <v/>
      </c>
      <c r="AB265" s="37"/>
      <c r="AC265" s="29"/>
      <c r="AD265" s="29" t="b">
        <v>0</v>
      </c>
      <c r="AE265" s="22" t="str">
        <f t="shared" si="7"/>
        <v/>
      </c>
      <c r="AF265" s="7">
        <f>IF(ISBLANK(AB265), 0, VLOOKUP(AB265, 'Price Sheet'!$A$2:$B1015, 2, false))</f>
        <v>0</v>
      </c>
      <c r="AG265" s="33" t="str">
        <f t="shared" si="8"/>
        <v/>
      </c>
      <c r="AH265" s="37"/>
      <c r="AI265" s="29"/>
      <c r="AJ265" s="29" t="b">
        <v>0</v>
      </c>
      <c r="AK265" s="22" t="str">
        <f t="shared" si="9"/>
        <v/>
      </c>
      <c r="AL265" s="7">
        <f>IF(ISBLANK(AH265), 0, VLOOKUP(AH265, 'Price Sheet'!$A$2:$B1015, 2, false))</f>
        <v>0</v>
      </c>
      <c r="AM265" s="33" t="str">
        <f t="shared" si="10"/>
        <v/>
      </c>
      <c r="AN265" s="37"/>
      <c r="AO265" s="29"/>
      <c r="AP265" s="29" t="b">
        <v>0</v>
      </c>
      <c r="AQ265" s="22" t="str">
        <f t="shared" si="11"/>
        <v/>
      </c>
      <c r="AR265" s="7">
        <f>IF(ISBLANK(AN265), 0, VLOOKUP(AN265, 'Price Sheet'!$A$2:$B1015, 2, false))</f>
        <v>0</v>
      </c>
      <c r="AS265" s="33" t="str">
        <f t="shared" si="12"/>
        <v/>
      </c>
      <c r="AT265" s="37"/>
      <c r="AU265" s="29"/>
      <c r="AV265" s="29" t="b">
        <v>0</v>
      </c>
      <c r="AW265" s="22" t="str">
        <f t="shared" si="13"/>
        <v/>
      </c>
      <c r="AX265" s="7">
        <f>IF(ISBLANK(AT265), 0, VLOOKUP(AT265, 'Price Sheet'!$A$2:$B1015, 2, false))</f>
        <v>0</v>
      </c>
      <c r="AY265" s="33" t="str">
        <f t="shared" si="14"/>
        <v/>
      </c>
      <c r="AZ265" s="37"/>
      <c r="BA265" s="29"/>
      <c r="BB265" s="29" t="b">
        <v>0</v>
      </c>
      <c r="BC265" s="22" t="str">
        <f t="shared" si="15"/>
        <v/>
      </c>
      <c r="BD265" s="7">
        <f>IF(ISBLANK(AZ265), 0, VLOOKUP(AZ265, 'Price Sheet'!$A$2:$B1015, 2, false))</f>
        <v>0</v>
      </c>
      <c r="BE265" s="33" t="str">
        <f t="shared" si="16"/>
        <v/>
      </c>
      <c r="BF265" s="37"/>
      <c r="BG265" s="29"/>
      <c r="BH265" s="29" t="b">
        <v>0</v>
      </c>
      <c r="BI265" s="22" t="str">
        <f t="shared" si="17"/>
        <v/>
      </c>
      <c r="BJ265" s="7">
        <f>IF(ISBLANK(BF265), 0, VLOOKUP(BF265, 'Price Sheet'!$A$2:$B1015, 2, false))</f>
        <v>0</v>
      </c>
      <c r="BK265" s="33" t="str">
        <f t="shared" si="18"/>
        <v/>
      </c>
      <c r="BL265" s="37"/>
      <c r="BM265" s="29"/>
      <c r="BN265" s="29" t="b">
        <v>0</v>
      </c>
      <c r="BO265" s="22" t="str">
        <f t="shared" si="19"/>
        <v/>
      </c>
      <c r="BP265" s="7">
        <f>IF(ISBLANK(BL265), 0, VLOOKUP(BL265, 'Price Sheet'!$A$2:$B1015, 2, false))</f>
        <v>0</v>
      </c>
      <c r="BQ265" s="33" t="str">
        <f t="shared" si="20"/>
        <v/>
      </c>
    </row>
    <row r="266">
      <c r="B266" s="19">
        <f t="shared" si="1"/>
        <v>0</v>
      </c>
      <c r="C266" s="29"/>
      <c r="D266" s="29"/>
      <c r="E266" s="7" t="str">
        <f>IF(ISBLANK(D266), "", VLOOKUP(D266,'Crafting Tables'!$A$2:$B1015, 2, false))</f>
        <v/>
      </c>
      <c r="F266" s="7" t="str">
        <f>IFERROR(IF(E266 = "None", 1, VLOOKUP(C266,General!$A$5:$L$35, SWITCH(E266, "Basic", 8, "Advanced", 10, "Modern", 12), false)),"")</f>
        <v/>
      </c>
      <c r="G266" s="29"/>
      <c r="H266" s="7">
        <f>IFERROR(VLOOKUP(C266, General!$A$5:$L$35, 6, false) * G266 / 1000, 0)</f>
        <v>0</v>
      </c>
      <c r="I266" s="29"/>
      <c r="J266" s="22" t="str">
        <f>IFERROR(I266*VLOOKUP(D266,'Crafting Tables'!$1:$1000, 4, false)*F266,"")</f>
        <v/>
      </c>
      <c r="K266" s="29" t="b">
        <v>0</v>
      </c>
      <c r="L266" s="37"/>
      <c r="M266" s="29"/>
      <c r="N266" s="21" t="str">
        <f t="shared" si="2"/>
        <v/>
      </c>
      <c r="P266" s="37"/>
      <c r="Q266" s="29"/>
      <c r="R266" s="29" t="b">
        <v>0</v>
      </c>
      <c r="S266" s="22" t="str">
        <f t="shared" si="3"/>
        <v/>
      </c>
      <c r="T266" s="7">
        <f>IF(ISBLANK(P266), 0, VLOOKUP(P266, 'Price Sheet'!$A$2:$B1015, 2, false))</f>
        <v>0</v>
      </c>
      <c r="U266" s="33" t="str">
        <f t="shared" si="4"/>
        <v/>
      </c>
      <c r="V266" s="37"/>
      <c r="W266" s="29"/>
      <c r="X266" s="29" t="b">
        <v>0</v>
      </c>
      <c r="Y266" s="22" t="str">
        <f t="shared" si="5"/>
        <v/>
      </c>
      <c r="Z266" s="7">
        <f>IF(ISBLANK(V266), 0, VLOOKUP(V266, 'Price Sheet'!$A$2:$B1015, 2, false))</f>
        <v>0</v>
      </c>
      <c r="AA266" s="33" t="str">
        <f t="shared" si="6"/>
        <v/>
      </c>
      <c r="AB266" s="37"/>
      <c r="AC266" s="29"/>
      <c r="AD266" s="29" t="b">
        <v>0</v>
      </c>
      <c r="AE266" s="22" t="str">
        <f t="shared" si="7"/>
        <v/>
      </c>
      <c r="AF266" s="7">
        <f>IF(ISBLANK(AB266), 0, VLOOKUP(AB266, 'Price Sheet'!$A$2:$B1015, 2, false))</f>
        <v>0</v>
      </c>
      <c r="AG266" s="33" t="str">
        <f t="shared" si="8"/>
        <v/>
      </c>
      <c r="AH266" s="37"/>
      <c r="AI266" s="29"/>
      <c r="AJ266" s="29" t="b">
        <v>0</v>
      </c>
      <c r="AK266" s="22" t="str">
        <f t="shared" si="9"/>
        <v/>
      </c>
      <c r="AL266" s="7">
        <f>IF(ISBLANK(AH266), 0, VLOOKUP(AH266, 'Price Sheet'!$A$2:$B1015, 2, false))</f>
        <v>0</v>
      </c>
      <c r="AM266" s="33" t="str">
        <f t="shared" si="10"/>
        <v/>
      </c>
      <c r="AN266" s="37"/>
      <c r="AO266" s="29"/>
      <c r="AP266" s="29" t="b">
        <v>0</v>
      </c>
      <c r="AQ266" s="22" t="str">
        <f t="shared" si="11"/>
        <v/>
      </c>
      <c r="AR266" s="7">
        <f>IF(ISBLANK(AN266), 0, VLOOKUP(AN266, 'Price Sheet'!$A$2:$B1015, 2, false))</f>
        <v>0</v>
      </c>
      <c r="AS266" s="33" t="str">
        <f t="shared" si="12"/>
        <v/>
      </c>
      <c r="AT266" s="37"/>
      <c r="AU266" s="29"/>
      <c r="AV266" s="29" t="b">
        <v>0</v>
      </c>
      <c r="AW266" s="22" t="str">
        <f t="shared" si="13"/>
        <v/>
      </c>
      <c r="AX266" s="7">
        <f>IF(ISBLANK(AT266), 0, VLOOKUP(AT266, 'Price Sheet'!$A$2:$B1015, 2, false))</f>
        <v>0</v>
      </c>
      <c r="AY266" s="33" t="str">
        <f t="shared" si="14"/>
        <v/>
      </c>
      <c r="AZ266" s="37"/>
      <c r="BA266" s="29"/>
      <c r="BB266" s="29" t="b">
        <v>0</v>
      </c>
      <c r="BC266" s="22" t="str">
        <f t="shared" si="15"/>
        <v/>
      </c>
      <c r="BD266" s="7">
        <f>IF(ISBLANK(AZ266), 0, VLOOKUP(AZ266, 'Price Sheet'!$A$2:$B1015, 2, false))</f>
        <v>0</v>
      </c>
      <c r="BE266" s="33" t="str">
        <f t="shared" si="16"/>
        <v/>
      </c>
      <c r="BF266" s="37"/>
      <c r="BG266" s="29"/>
      <c r="BH266" s="29" t="b">
        <v>0</v>
      </c>
      <c r="BI266" s="22" t="str">
        <f t="shared" si="17"/>
        <v/>
      </c>
      <c r="BJ266" s="7">
        <f>IF(ISBLANK(BF266), 0, VLOOKUP(BF266, 'Price Sheet'!$A$2:$B1015, 2, false))</f>
        <v>0</v>
      </c>
      <c r="BK266" s="33" t="str">
        <f t="shared" si="18"/>
        <v/>
      </c>
      <c r="BL266" s="37"/>
      <c r="BM266" s="29"/>
      <c r="BN266" s="29" t="b">
        <v>0</v>
      </c>
      <c r="BO266" s="22" t="str">
        <f t="shared" si="19"/>
        <v/>
      </c>
      <c r="BP266" s="7">
        <f>IF(ISBLANK(BL266), 0, VLOOKUP(BL266, 'Price Sheet'!$A$2:$B1015, 2, false))</f>
        <v>0</v>
      </c>
      <c r="BQ266" s="33" t="str">
        <f t="shared" si="20"/>
        <v/>
      </c>
    </row>
    <row r="267">
      <c r="B267" s="19">
        <f t="shared" si="1"/>
        <v>0</v>
      </c>
      <c r="C267" s="29"/>
      <c r="D267" s="29"/>
      <c r="E267" s="7" t="str">
        <f>IF(ISBLANK(D267), "", VLOOKUP(D267,'Crafting Tables'!$A$2:$B1015, 2, false))</f>
        <v/>
      </c>
      <c r="F267" s="7" t="str">
        <f>IFERROR(IF(E267 = "None", 1, VLOOKUP(C267,General!$A$5:$L$35, SWITCH(E267, "Basic", 8, "Advanced", 10, "Modern", 12), false)),"")</f>
        <v/>
      </c>
      <c r="G267" s="29"/>
      <c r="H267" s="7">
        <f>IFERROR(VLOOKUP(C267, General!$A$5:$L$35, 6, false) * G267 / 1000, 0)</f>
        <v>0</v>
      </c>
      <c r="I267" s="29"/>
      <c r="J267" s="22" t="str">
        <f>IFERROR(I267*VLOOKUP(D267,'Crafting Tables'!$1:$1000, 4, false)*F267,"")</f>
        <v/>
      </c>
      <c r="K267" s="29" t="b">
        <v>0</v>
      </c>
      <c r="L267" s="37"/>
      <c r="M267" s="29"/>
      <c r="N267" s="21" t="str">
        <f t="shared" si="2"/>
        <v/>
      </c>
      <c r="P267" s="37"/>
      <c r="Q267" s="29"/>
      <c r="R267" s="29" t="b">
        <v>0</v>
      </c>
      <c r="S267" s="22" t="str">
        <f t="shared" si="3"/>
        <v/>
      </c>
      <c r="T267" s="7">
        <f>IF(ISBLANK(P267), 0, VLOOKUP(P267, 'Price Sheet'!$A$2:$B1015, 2, false))</f>
        <v>0</v>
      </c>
      <c r="U267" s="33" t="str">
        <f t="shared" si="4"/>
        <v/>
      </c>
      <c r="V267" s="37"/>
      <c r="W267" s="29"/>
      <c r="X267" s="29" t="b">
        <v>0</v>
      </c>
      <c r="Y267" s="22" t="str">
        <f t="shared" si="5"/>
        <v/>
      </c>
      <c r="Z267" s="7">
        <f>IF(ISBLANK(V267), 0, VLOOKUP(V267, 'Price Sheet'!$A$2:$B1015, 2, false))</f>
        <v>0</v>
      </c>
      <c r="AA267" s="33" t="str">
        <f t="shared" si="6"/>
        <v/>
      </c>
      <c r="AB267" s="37"/>
      <c r="AC267" s="29"/>
      <c r="AD267" s="29" t="b">
        <v>0</v>
      </c>
      <c r="AE267" s="22" t="str">
        <f t="shared" si="7"/>
        <v/>
      </c>
      <c r="AF267" s="7">
        <f>IF(ISBLANK(AB267), 0, VLOOKUP(AB267, 'Price Sheet'!$A$2:$B1015, 2, false))</f>
        <v>0</v>
      </c>
      <c r="AG267" s="33" t="str">
        <f t="shared" si="8"/>
        <v/>
      </c>
      <c r="AH267" s="37"/>
      <c r="AI267" s="29"/>
      <c r="AJ267" s="29" t="b">
        <v>0</v>
      </c>
      <c r="AK267" s="22" t="str">
        <f t="shared" si="9"/>
        <v/>
      </c>
      <c r="AL267" s="7">
        <f>IF(ISBLANK(AH267), 0, VLOOKUP(AH267, 'Price Sheet'!$A$2:$B1015, 2, false))</f>
        <v>0</v>
      </c>
      <c r="AM267" s="33" t="str">
        <f t="shared" si="10"/>
        <v/>
      </c>
      <c r="AN267" s="37"/>
      <c r="AO267" s="29"/>
      <c r="AP267" s="29" t="b">
        <v>0</v>
      </c>
      <c r="AQ267" s="22" t="str">
        <f t="shared" si="11"/>
        <v/>
      </c>
      <c r="AR267" s="7">
        <f>IF(ISBLANK(AN267), 0, VLOOKUP(AN267, 'Price Sheet'!$A$2:$B1015, 2, false))</f>
        <v>0</v>
      </c>
      <c r="AS267" s="33" t="str">
        <f t="shared" si="12"/>
        <v/>
      </c>
      <c r="AT267" s="37"/>
      <c r="AU267" s="29"/>
      <c r="AV267" s="29" t="b">
        <v>0</v>
      </c>
      <c r="AW267" s="22" t="str">
        <f t="shared" si="13"/>
        <v/>
      </c>
      <c r="AX267" s="7">
        <f>IF(ISBLANK(AT267), 0, VLOOKUP(AT267, 'Price Sheet'!$A$2:$B1015, 2, false))</f>
        <v>0</v>
      </c>
      <c r="AY267" s="33" t="str">
        <f t="shared" si="14"/>
        <v/>
      </c>
      <c r="AZ267" s="37"/>
      <c r="BA267" s="29"/>
      <c r="BB267" s="29" t="b">
        <v>0</v>
      </c>
      <c r="BC267" s="22" t="str">
        <f t="shared" si="15"/>
        <v/>
      </c>
      <c r="BD267" s="7">
        <f>IF(ISBLANK(AZ267), 0, VLOOKUP(AZ267, 'Price Sheet'!$A$2:$B1015, 2, false))</f>
        <v>0</v>
      </c>
      <c r="BE267" s="33" t="str">
        <f t="shared" si="16"/>
        <v/>
      </c>
      <c r="BF267" s="37"/>
      <c r="BG267" s="29"/>
      <c r="BH267" s="29" t="b">
        <v>0</v>
      </c>
      <c r="BI267" s="22" t="str">
        <f t="shared" si="17"/>
        <v/>
      </c>
      <c r="BJ267" s="7">
        <f>IF(ISBLANK(BF267), 0, VLOOKUP(BF267, 'Price Sheet'!$A$2:$B1015, 2, false))</f>
        <v>0</v>
      </c>
      <c r="BK267" s="33" t="str">
        <f t="shared" si="18"/>
        <v/>
      </c>
      <c r="BL267" s="37"/>
      <c r="BM267" s="29"/>
      <c r="BN267" s="29" t="b">
        <v>0</v>
      </c>
      <c r="BO267" s="22" t="str">
        <f t="shared" si="19"/>
        <v/>
      </c>
      <c r="BP267" s="7">
        <f>IF(ISBLANK(BL267), 0, VLOOKUP(BL267, 'Price Sheet'!$A$2:$B1015, 2, false))</f>
        <v>0</v>
      </c>
      <c r="BQ267" s="33" t="str">
        <f t="shared" si="20"/>
        <v/>
      </c>
    </row>
    <row r="268">
      <c r="B268" s="19">
        <f t="shared" si="1"/>
        <v>0</v>
      </c>
      <c r="C268" s="29"/>
      <c r="D268" s="29"/>
      <c r="E268" s="7" t="str">
        <f>IF(ISBLANK(D268), "", VLOOKUP(D268,'Crafting Tables'!$A$2:$B1015, 2, false))</f>
        <v/>
      </c>
      <c r="F268" s="7" t="str">
        <f>IFERROR(IF(E268 = "None", 1, VLOOKUP(C268,General!$A$5:$L$35, SWITCH(E268, "Basic", 8, "Advanced", 10, "Modern", 12), false)),"")</f>
        <v/>
      </c>
      <c r="G268" s="29"/>
      <c r="H268" s="7">
        <f>IFERROR(VLOOKUP(C268, General!$A$5:$L$35, 6, false) * G268 / 1000, 0)</f>
        <v>0</v>
      </c>
      <c r="I268" s="29"/>
      <c r="J268" s="22" t="str">
        <f>IFERROR(I268*VLOOKUP(D268,'Crafting Tables'!$1:$1000, 4, false)*F268,"")</f>
        <v/>
      </c>
      <c r="K268" s="29" t="b">
        <v>0</v>
      </c>
      <c r="L268" s="37"/>
      <c r="M268" s="29"/>
      <c r="N268" s="21" t="str">
        <f t="shared" si="2"/>
        <v/>
      </c>
      <c r="P268" s="37"/>
      <c r="Q268" s="29"/>
      <c r="R268" s="29" t="b">
        <v>0</v>
      </c>
      <c r="S268" s="22" t="str">
        <f t="shared" si="3"/>
        <v/>
      </c>
      <c r="T268" s="7">
        <f>IF(ISBLANK(P268), 0, VLOOKUP(P268, 'Price Sheet'!$A$2:$B1015, 2, false))</f>
        <v>0</v>
      </c>
      <c r="U268" s="33" t="str">
        <f t="shared" si="4"/>
        <v/>
      </c>
      <c r="V268" s="37"/>
      <c r="W268" s="29"/>
      <c r="X268" s="29" t="b">
        <v>0</v>
      </c>
      <c r="Y268" s="22" t="str">
        <f t="shared" si="5"/>
        <v/>
      </c>
      <c r="Z268" s="7">
        <f>IF(ISBLANK(V268), 0, VLOOKUP(V268, 'Price Sheet'!$A$2:$B1015, 2, false))</f>
        <v>0</v>
      </c>
      <c r="AA268" s="33" t="str">
        <f t="shared" si="6"/>
        <v/>
      </c>
      <c r="AB268" s="37"/>
      <c r="AC268" s="29"/>
      <c r="AD268" s="29" t="b">
        <v>0</v>
      </c>
      <c r="AE268" s="22" t="str">
        <f t="shared" si="7"/>
        <v/>
      </c>
      <c r="AF268" s="7">
        <f>IF(ISBLANK(AB268), 0, VLOOKUP(AB268, 'Price Sheet'!$A$2:$B1015, 2, false))</f>
        <v>0</v>
      </c>
      <c r="AG268" s="33" t="str">
        <f t="shared" si="8"/>
        <v/>
      </c>
      <c r="AH268" s="37"/>
      <c r="AI268" s="29"/>
      <c r="AJ268" s="29" t="b">
        <v>0</v>
      </c>
      <c r="AK268" s="22" t="str">
        <f t="shared" si="9"/>
        <v/>
      </c>
      <c r="AL268" s="7">
        <f>IF(ISBLANK(AH268), 0, VLOOKUP(AH268, 'Price Sheet'!$A$2:$B1015, 2, false))</f>
        <v>0</v>
      </c>
      <c r="AM268" s="33" t="str">
        <f t="shared" si="10"/>
        <v/>
      </c>
      <c r="AN268" s="37"/>
      <c r="AO268" s="29"/>
      <c r="AP268" s="29" t="b">
        <v>0</v>
      </c>
      <c r="AQ268" s="22" t="str">
        <f t="shared" si="11"/>
        <v/>
      </c>
      <c r="AR268" s="7">
        <f>IF(ISBLANK(AN268), 0, VLOOKUP(AN268, 'Price Sheet'!$A$2:$B1015, 2, false))</f>
        <v>0</v>
      </c>
      <c r="AS268" s="33" t="str">
        <f t="shared" si="12"/>
        <v/>
      </c>
      <c r="AT268" s="37"/>
      <c r="AU268" s="29"/>
      <c r="AV268" s="29" t="b">
        <v>0</v>
      </c>
      <c r="AW268" s="22" t="str">
        <f t="shared" si="13"/>
        <v/>
      </c>
      <c r="AX268" s="7">
        <f>IF(ISBLANK(AT268), 0, VLOOKUP(AT268, 'Price Sheet'!$A$2:$B1015, 2, false))</f>
        <v>0</v>
      </c>
      <c r="AY268" s="33" t="str">
        <f t="shared" si="14"/>
        <v/>
      </c>
      <c r="AZ268" s="37"/>
      <c r="BA268" s="29"/>
      <c r="BB268" s="29" t="b">
        <v>0</v>
      </c>
      <c r="BC268" s="22" t="str">
        <f t="shared" si="15"/>
        <v/>
      </c>
      <c r="BD268" s="7">
        <f>IF(ISBLANK(AZ268), 0, VLOOKUP(AZ268, 'Price Sheet'!$A$2:$B1015, 2, false))</f>
        <v>0</v>
      </c>
      <c r="BE268" s="33" t="str">
        <f t="shared" si="16"/>
        <v/>
      </c>
      <c r="BF268" s="37"/>
      <c r="BG268" s="29"/>
      <c r="BH268" s="29" t="b">
        <v>0</v>
      </c>
      <c r="BI268" s="22" t="str">
        <f t="shared" si="17"/>
        <v/>
      </c>
      <c r="BJ268" s="7">
        <f>IF(ISBLANK(BF268), 0, VLOOKUP(BF268, 'Price Sheet'!$A$2:$B1015, 2, false))</f>
        <v>0</v>
      </c>
      <c r="BK268" s="33" t="str">
        <f t="shared" si="18"/>
        <v/>
      </c>
      <c r="BL268" s="37"/>
      <c r="BM268" s="29"/>
      <c r="BN268" s="29" t="b">
        <v>0</v>
      </c>
      <c r="BO268" s="22" t="str">
        <f t="shared" si="19"/>
        <v/>
      </c>
      <c r="BP268" s="7">
        <f>IF(ISBLANK(BL268), 0, VLOOKUP(BL268, 'Price Sheet'!$A$2:$B1015, 2, false))</f>
        <v>0</v>
      </c>
      <c r="BQ268" s="33" t="str">
        <f t="shared" si="20"/>
        <v/>
      </c>
    </row>
    <row r="269">
      <c r="B269" s="19">
        <f t="shared" si="1"/>
        <v>0</v>
      </c>
      <c r="C269" s="29"/>
      <c r="D269" s="29"/>
      <c r="E269" s="7" t="str">
        <f>IF(ISBLANK(D269), "", VLOOKUP(D269,'Crafting Tables'!$A$2:$B1015, 2, false))</f>
        <v/>
      </c>
      <c r="F269" s="7" t="str">
        <f>IFERROR(IF(E269 = "None", 1, VLOOKUP(C269,General!$A$5:$L$35, SWITCH(E269, "Basic", 8, "Advanced", 10, "Modern", 12), false)),"")</f>
        <v/>
      </c>
      <c r="G269" s="29"/>
      <c r="H269" s="7">
        <f>IFERROR(VLOOKUP(C269, General!$A$5:$L$35, 6, false) * G269 / 1000, 0)</f>
        <v>0</v>
      </c>
      <c r="I269" s="29"/>
      <c r="J269" s="22" t="str">
        <f>IFERROR(I269*VLOOKUP(D269,'Crafting Tables'!$1:$1000, 4, false)*F269,"")</f>
        <v/>
      </c>
      <c r="K269" s="29" t="b">
        <v>0</v>
      </c>
      <c r="L269" s="37"/>
      <c r="M269" s="29"/>
      <c r="N269" s="21" t="str">
        <f t="shared" si="2"/>
        <v/>
      </c>
      <c r="P269" s="37"/>
      <c r="Q269" s="29"/>
      <c r="R269" s="29" t="b">
        <v>0</v>
      </c>
      <c r="S269" s="22" t="str">
        <f t="shared" si="3"/>
        <v/>
      </c>
      <c r="T269" s="7">
        <f>IF(ISBLANK(P269), 0, VLOOKUP(P269, 'Price Sheet'!$A$2:$B1015, 2, false))</f>
        <v>0</v>
      </c>
      <c r="U269" s="33" t="str">
        <f t="shared" si="4"/>
        <v/>
      </c>
      <c r="V269" s="37"/>
      <c r="W269" s="29"/>
      <c r="X269" s="29" t="b">
        <v>0</v>
      </c>
      <c r="Y269" s="22" t="str">
        <f t="shared" si="5"/>
        <v/>
      </c>
      <c r="Z269" s="7">
        <f>IF(ISBLANK(V269), 0, VLOOKUP(V269, 'Price Sheet'!$A$2:$B1015, 2, false))</f>
        <v>0</v>
      </c>
      <c r="AA269" s="33" t="str">
        <f t="shared" si="6"/>
        <v/>
      </c>
      <c r="AB269" s="37"/>
      <c r="AC269" s="29"/>
      <c r="AD269" s="29" t="b">
        <v>0</v>
      </c>
      <c r="AE269" s="22" t="str">
        <f t="shared" si="7"/>
        <v/>
      </c>
      <c r="AF269" s="7">
        <f>IF(ISBLANK(AB269), 0, VLOOKUP(AB269, 'Price Sheet'!$A$2:$B1015, 2, false))</f>
        <v>0</v>
      </c>
      <c r="AG269" s="33" t="str">
        <f t="shared" si="8"/>
        <v/>
      </c>
      <c r="AH269" s="37"/>
      <c r="AI269" s="29"/>
      <c r="AJ269" s="29" t="b">
        <v>0</v>
      </c>
      <c r="AK269" s="22" t="str">
        <f t="shared" si="9"/>
        <v/>
      </c>
      <c r="AL269" s="7">
        <f>IF(ISBLANK(AH269), 0, VLOOKUP(AH269, 'Price Sheet'!$A$2:$B1015, 2, false))</f>
        <v>0</v>
      </c>
      <c r="AM269" s="33" t="str">
        <f t="shared" si="10"/>
        <v/>
      </c>
      <c r="AN269" s="37"/>
      <c r="AO269" s="29"/>
      <c r="AP269" s="29" t="b">
        <v>0</v>
      </c>
      <c r="AQ269" s="22" t="str">
        <f t="shared" si="11"/>
        <v/>
      </c>
      <c r="AR269" s="7">
        <f>IF(ISBLANK(AN269), 0, VLOOKUP(AN269, 'Price Sheet'!$A$2:$B1015, 2, false))</f>
        <v>0</v>
      </c>
      <c r="AS269" s="33" t="str">
        <f t="shared" si="12"/>
        <v/>
      </c>
      <c r="AT269" s="37"/>
      <c r="AU269" s="29"/>
      <c r="AV269" s="29" t="b">
        <v>0</v>
      </c>
      <c r="AW269" s="22" t="str">
        <f t="shared" si="13"/>
        <v/>
      </c>
      <c r="AX269" s="7">
        <f>IF(ISBLANK(AT269), 0, VLOOKUP(AT269, 'Price Sheet'!$A$2:$B1015, 2, false))</f>
        <v>0</v>
      </c>
      <c r="AY269" s="33" t="str">
        <f t="shared" si="14"/>
        <v/>
      </c>
      <c r="AZ269" s="37"/>
      <c r="BA269" s="29"/>
      <c r="BB269" s="29" t="b">
        <v>0</v>
      </c>
      <c r="BC269" s="22" t="str">
        <f t="shared" si="15"/>
        <v/>
      </c>
      <c r="BD269" s="7">
        <f>IF(ISBLANK(AZ269), 0, VLOOKUP(AZ269, 'Price Sheet'!$A$2:$B1015, 2, false))</f>
        <v>0</v>
      </c>
      <c r="BE269" s="33" t="str">
        <f t="shared" si="16"/>
        <v/>
      </c>
      <c r="BF269" s="37"/>
      <c r="BG269" s="29"/>
      <c r="BH269" s="29" t="b">
        <v>0</v>
      </c>
      <c r="BI269" s="22" t="str">
        <f t="shared" si="17"/>
        <v/>
      </c>
      <c r="BJ269" s="7">
        <f>IF(ISBLANK(BF269), 0, VLOOKUP(BF269, 'Price Sheet'!$A$2:$B1015, 2, false))</f>
        <v>0</v>
      </c>
      <c r="BK269" s="33" t="str">
        <f t="shared" si="18"/>
        <v/>
      </c>
      <c r="BL269" s="37"/>
      <c r="BM269" s="29"/>
      <c r="BN269" s="29" t="b">
        <v>0</v>
      </c>
      <c r="BO269" s="22" t="str">
        <f t="shared" si="19"/>
        <v/>
      </c>
      <c r="BP269" s="7">
        <f>IF(ISBLANK(BL269), 0, VLOOKUP(BL269, 'Price Sheet'!$A$2:$B1015, 2, false))</f>
        <v>0</v>
      </c>
      <c r="BQ269" s="33" t="str">
        <f t="shared" si="20"/>
        <v/>
      </c>
    </row>
    <row r="270">
      <c r="B270" s="19">
        <f t="shared" si="1"/>
        <v>0</v>
      </c>
      <c r="C270" s="29"/>
      <c r="D270" s="29"/>
      <c r="E270" s="7" t="str">
        <f>IF(ISBLANK(D270), "", VLOOKUP(D270,'Crafting Tables'!$A$2:$B1015, 2, false))</f>
        <v/>
      </c>
      <c r="F270" s="7" t="str">
        <f>IFERROR(IF(E270 = "None", 1, VLOOKUP(C270,General!$A$5:$L$35, SWITCH(E270, "Basic", 8, "Advanced", 10, "Modern", 12), false)),"")</f>
        <v/>
      </c>
      <c r="G270" s="29"/>
      <c r="H270" s="7">
        <f>IFERROR(VLOOKUP(C270, General!$A$5:$L$35, 6, false) * G270 / 1000, 0)</f>
        <v>0</v>
      </c>
      <c r="I270" s="29"/>
      <c r="J270" s="22" t="str">
        <f>IFERROR(I270*VLOOKUP(D270,'Crafting Tables'!$1:$1000, 4, false)*F270,"")</f>
        <v/>
      </c>
      <c r="K270" s="29" t="b">
        <v>0</v>
      </c>
      <c r="L270" s="37"/>
      <c r="M270" s="29"/>
      <c r="N270" s="21" t="str">
        <f t="shared" si="2"/>
        <v/>
      </c>
      <c r="P270" s="37"/>
      <c r="Q270" s="29"/>
      <c r="R270" s="29" t="b">
        <v>0</v>
      </c>
      <c r="S270" s="22" t="str">
        <f t="shared" si="3"/>
        <v/>
      </c>
      <c r="T270" s="7">
        <f>IF(ISBLANK(P270), 0, VLOOKUP(P270, 'Price Sheet'!$A$2:$B1015, 2, false))</f>
        <v>0</v>
      </c>
      <c r="U270" s="33" t="str">
        <f t="shared" si="4"/>
        <v/>
      </c>
      <c r="V270" s="37"/>
      <c r="W270" s="29"/>
      <c r="X270" s="29" t="b">
        <v>0</v>
      </c>
      <c r="Y270" s="22" t="str">
        <f t="shared" si="5"/>
        <v/>
      </c>
      <c r="Z270" s="7">
        <f>IF(ISBLANK(V270), 0, VLOOKUP(V270, 'Price Sheet'!$A$2:$B1015, 2, false))</f>
        <v>0</v>
      </c>
      <c r="AA270" s="33" t="str">
        <f t="shared" si="6"/>
        <v/>
      </c>
      <c r="AB270" s="37"/>
      <c r="AC270" s="29"/>
      <c r="AD270" s="29" t="b">
        <v>0</v>
      </c>
      <c r="AE270" s="22" t="str">
        <f t="shared" si="7"/>
        <v/>
      </c>
      <c r="AF270" s="7">
        <f>IF(ISBLANK(AB270), 0, VLOOKUP(AB270, 'Price Sheet'!$A$2:$B1015, 2, false))</f>
        <v>0</v>
      </c>
      <c r="AG270" s="33" t="str">
        <f t="shared" si="8"/>
        <v/>
      </c>
      <c r="AH270" s="37"/>
      <c r="AI270" s="29"/>
      <c r="AJ270" s="29" t="b">
        <v>0</v>
      </c>
      <c r="AK270" s="22" t="str">
        <f t="shared" si="9"/>
        <v/>
      </c>
      <c r="AL270" s="7">
        <f>IF(ISBLANK(AH270), 0, VLOOKUP(AH270, 'Price Sheet'!$A$2:$B1015, 2, false))</f>
        <v>0</v>
      </c>
      <c r="AM270" s="33" t="str">
        <f t="shared" si="10"/>
        <v/>
      </c>
      <c r="AN270" s="37"/>
      <c r="AO270" s="29"/>
      <c r="AP270" s="29" t="b">
        <v>0</v>
      </c>
      <c r="AQ270" s="22" t="str">
        <f t="shared" si="11"/>
        <v/>
      </c>
      <c r="AR270" s="7">
        <f>IF(ISBLANK(AN270), 0, VLOOKUP(AN270, 'Price Sheet'!$A$2:$B1015, 2, false))</f>
        <v>0</v>
      </c>
      <c r="AS270" s="33" t="str">
        <f t="shared" si="12"/>
        <v/>
      </c>
      <c r="AT270" s="37"/>
      <c r="AU270" s="29"/>
      <c r="AV270" s="29" t="b">
        <v>0</v>
      </c>
      <c r="AW270" s="22" t="str">
        <f t="shared" si="13"/>
        <v/>
      </c>
      <c r="AX270" s="7">
        <f>IF(ISBLANK(AT270), 0, VLOOKUP(AT270, 'Price Sheet'!$A$2:$B1015, 2, false))</f>
        <v>0</v>
      </c>
      <c r="AY270" s="33" t="str">
        <f t="shared" si="14"/>
        <v/>
      </c>
      <c r="AZ270" s="37"/>
      <c r="BA270" s="29"/>
      <c r="BB270" s="29" t="b">
        <v>0</v>
      </c>
      <c r="BC270" s="22" t="str">
        <f t="shared" si="15"/>
        <v/>
      </c>
      <c r="BD270" s="7">
        <f>IF(ISBLANK(AZ270), 0, VLOOKUP(AZ270, 'Price Sheet'!$A$2:$B1015, 2, false))</f>
        <v>0</v>
      </c>
      <c r="BE270" s="33" t="str">
        <f t="shared" si="16"/>
        <v/>
      </c>
      <c r="BF270" s="37"/>
      <c r="BG270" s="29"/>
      <c r="BH270" s="29" t="b">
        <v>0</v>
      </c>
      <c r="BI270" s="22" t="str">
        <f t="shared" si="17"/>
        <v/>
      </c>
      <c r="BJ270" s="7">
        <f>IF(ISBLANK(BF270), 0, VLOOKUP(BF270, 'Price Sheet'!$A$2:$B1015, 2, false))</f>
        <v>0</v>
      </c>
      <c r="BK270" s="33" t="str">
        <f t="shared" si="18"/>
        <v/>
      </c>
      <c r="BL270" s="37"/>
      <c r="BM270" s="29"/>
      <c r="BN270" s="29" t="b">
        <v>0</v>
      </c>
      <c r="BO270" s="22" t="str">
        <f t="shared" si="19"/>
        <v/>
      </c>
      <c r="BP270" s="7">
        <f>IF(ISBLANK(BL270), 0, VLOOKUP(BL270, 'Price Sheet'!$A$2:$B1015, 2, false))</f>
        <v>0</v>
      </c>
      <c r="BQ270" s="33" t="str">
        <f t="shared" si="20"/>
        <v/>
      </c>
    </row>
    <row r="271">
      <c r="B271" s="19">
        <f t="shared" si="1"/>
        <v>0</v>
      </c>
      <c r="C271" s="29"/>
      <c r="D271" s="29"/>
      <c r="E271" s="7" t="str">
        <f>IF(ISBLANK(D271), "", VLOOKUP(D271,'Crafting Tables'!$A$2:$B1015, 2, false))</f>
        <v/>
      </c>
      <c r="F271" s="7" t="str">
        <f>IFERROR(IF(E271 = "None", 1, VLOOKUP(C271,General!$A$5:$L$35, SWITCH(E271, "Basic", 8, "Advanced", 10, "Modern", 12), false)),"")</f>
        <v/>
      </c>
      <c r="G271" s="29"/>
      <c r="H271" s="7">
        <f>IFERROR(VLOOKUP(C271, General!$A$5:$L$35, 6, false) * G271 / 1000, 0)</f>
        <v>0</v>
      </c>
      <c r="I271" s="29"/>
      <c r="J271" s="22" t="str">
        <f>IFERROR(I271*VLOOKUP(D271,'Crafting Tables'!$1:$1000, 4, false)*F271,"")</f>
        <v/>
      </c>
      <c r="K271" s="29" t="b">
        <v>0</v>
      </c>
      <c r="L271" s="37"/>
      <c r="M271" s="29"/>
      <c r="N271" s="21" t="str">
        <f t="shared" si="2"/>
        <v/>
      </c>
      <c r="P271" s="37"/>
      <c r="Q271" s="29"/>
      <c r="R271" s="29" t="b">
        <v>0</v>
      </c>
      <c r="S271" s="22" t="str">
        <f t="shared" si="3"/>
        <v/>
      </c>
      <c r="T271" s="7">
        <f>IF(ISBLANK(P271), 0, VLOOKUP(P271, 'Price Sheet'!$A$2:$B1015, 2, false))</f>
        <v>0</v>
      </c>
      <c r="U271" s="33" t="str">
        <f t="shared" si="4"/>
        <v/>
      </c>
      <c r="V271" s="37"/>
      <c r="W271" s="29"/>
      <c r="X271" s="29" t="b">
        <v>0</v>
      </c>
      <c r="Y271" s="22" t="str">
        <f t="shared" si="5"/>
        <v/>
      </c>
      <c r="Z271" s="7">
        <f>IF(ISBLANK(V271), 0, VLOOKUP(V271, 'Price Sheet'!$A$2:$B1015, 2, false))</f>
        <v>0</v>
      </c>
      <c r="AA271" s="33" t="str">
        <f t="shared" si="6"/>
        <v/>
      </c>
      <c r="AB271" s="37"/>
      <c r="AC271" s="29"/>
      <c r="AD271" s="29" t="b">
        <v>0</v>
      </c>
      <c r="AE271" s="22" t="str">
        <f t="shared" si="7"/>
        <v/>
      </c>
      <c r="AF271" s="7">
        <f>IF(ISBLANK(AB271), 0, VLOOKUP(AB271, 'Price Sheet'!$A$2:$B1015, 2, false))</f>
        <v>0</v>
      </c>
      <c r="AG271" s="33" t="str">
        <f t="shared" si="8"/>
        <v/>
      </c>
      <c r="AH271" s="37"/>
      <c r="AI271" s="29"/>
      <c r="AJ271" s="29" t="b">
        <v>0</v>
      </c>
      <c r="AK271" s="22" t="str">
        <f t="shared" si="9"/>
        <v/>
      </c>
      <c r="AL271" s="7">
        <f>IF(ISBLANK(AH271), 0, VLOOKUP(AH271, 'Price Sheet'!$A$2:$B1015, 2, false))</f>
        <v>0</v>
      </c>
      <c r="AM271" s="33" t="str">
        <f t="shared" si="10"/>
        <v/>
      </c>
      <c r="AN271" s="37"/>
      <c r="AO271" s="29"/>
      <c r="AP271" s="29" t="b">
        <v>0</v>
      </c>
      <c r="AQ271" s="22" t="str">
        <f t="shared" si="11"/>
        <v/>
      </c>
      <c r="AR271" s="7">
        <f>IF(ISBLANK(AN271), 0, VLOOKUP(AN271, 'Price Sheet'!$A$2:$B1015, 2, false))</f>
        <v>0</v>
      </c>
      <c r="AS271" s="33" t="str">
        <f t="shared" si="12"/>
        <v/>
      </c>
      <c r="AT271" s="37"/>
      <c r="AU271" s="29"/>
      <c r="AV271" s="29" t="b">
        <v>0</v>
      </c>
      <c r="AW271" s="22" t="str">
        <f t="shared" si="13"/>
        <v/>
      </c>
      <c r="AX271" s="7">
        <f>IF(ISBLANK(AT271), 0, VLOOKUP(AT271, 'Price Sheet'!$A$2:$B1015, 2, false))</f>
        <v>0</v>
      </c>
      <c r="AY271" s="33" t="str">
        <f t="shared" si="14"/>
        <v/>
      </c>
      <c r="AZ271" s="37"/>
      <c r="BA271" s="29"/>
      <c r="BB271" s="29" t="b">
        <v>0</v>
      </c>
      <c r="BC271" s="22" t="str">
        <f t="shared" si="15"/>
        <v/>
      </c>
      <c r="BD271" s="7">
        <f>IF(ISBLANK(AZ271), 0, VLOOKUP(AZ271, 'Price Sheet'!$A$2:$B1015, 2, false))</f>
        <v>0</v>
      </c>
      <c r="BE271" s="33" t="str">
        <f t="shared" si="16"/>
        <v/>
      </c>
      <c r="BF271" s="37"/>
      <c r="BG271" s="29"/>
      <c r="BH271" s="29" t="b">
        <v>0</v>
      </c>
      <c r="BI271" s="22" t="str">
        <f t="shared" si="17"/>
        <v/>
      </c>
      <c r="BJ271" s="7">
        <f>IF(ISBLANK(BF271), 0, VLOOKUP(BF271, 'Price Sheet'!$A$2:$B1015, 2, false))</f>
        <v>0</v>
      </c>
      <c r="BK271" s="33" t="str">
        <f t="shared" si="18"/>
        <v/>
      </c>
      <c r="BL271" s="37"/>
      <c r="BM271" s="29"/>
      <c r="BN271" s="29" t="b">
        <v>0</v>
      </c>
      <c r="BO271" s="22" t="str">
        <f t="shared" si="19"/>
        <v/>
      </c>
      <c r="BP271" s="7">
        <f>IF(ISBLANK(BL271), 0, VLOOKUP(BL271, 'Price Sheet'!$A$2:$B1015, 2, false))</f>
        <v>0</v>
      </c>
      <c r="BQ271" s="33" t="str">
        <f t="shared" si="20"/>
        <v/>
      </c>
    </row>
    <row r="272">
      <c r="B272" s="19">
        <f t="shared" si="1"/>
        <v>0</v>
      </c>
      <c r="C272" s="29"/>
      <c r="D272" s="29"/>
      <c r="E272" s="7" t="str">
        <f>IF(ISBLANK(D272), "", VLOOKUP(D272,'Crafting Tables'!$A$2:$B1015, 2, false))</f>
        <v/>
      </c>
      <c r="F272" s="7" t="str">
        <f>IFERROR(IF(E272 = "None", 1, VLOOKUP(C272,General!$A$5:$L$35, SWITCH(E272, "Basic", 8, "Advanced", 10, "Modern", 12), false)),"")</f>
        <v/>
      </c>
      <c r="G272" s="29"/>
      <c r="H272" s="7">
        <f>IFERROR(VLOOKUP(C272, General!$A$5:$L$35, 6, false) * G272 / 1000, 0)</f>
        <v>0</v>
      </c>
      <c r="I272" s="29"/>
      <c r="J272" s="22" t="str">
        <f>IFERROR(I272*VLOOKUP(D272,'Crafting Tables'!$1:$1000, 4, false)*F272,"")</f>
        <v/>
      </c>
      <c r="K272" s="29" t="b">
        <v>0</v>
      </c>
      <c r="L272" s="37"/>
      <c r="M272" s="29"/>
      <c r="N272" s="21" t="str">
        <f t="shared" si="2"/>
        <v/>
      </c>
      <c r="P272" s="37"/>
      <c r="Q272" s="29"/>
      <c r="R272" s="29" t="b">
        <v>0</v>
      </c>
      <c r="S272" s="22" t="str">
        <f t="shared" si="3"/>
        <v/>
      </c>
      <c r="T272" s="7">
        <f>IF(ISBLANK(P272), 0, VLOOKUP(P272, 'Price Sheet'!$A$2:$B1015, 2, false))</f>
        <v>0</v>
      </c>
      <c r="U272" s="33" t="str">
        <f t="shared" si="4"/>
        <v/>
      </c>
      <c r="V272" s="37"/>
      <c r="W272" s="29"/>
      <c r="X272" s="29" t="b">
        <v>0</v>
      </c>
      <c r="Y272" s="22" t="str">
        <f t="shared" si="5"/>
        <v/>
      </c>
      <c r="Z272" s="7">
        <f>IF(ISBLANK(V272), 0, VLOOKUP(V272, 'Price Sheet'!$A$2:$B1015, 2, false))</f>
        <v>0</v>
      </c>
      <c r="AA272" s="33" t="str">
        <f t="shared" si="6"/>
        <v/>
      </c>
      <c r="AB272" s="37"/>
      <c r="AC272" s="29"/>
      <c r="AD272" s="29" t="b">
        <v>0</v>
      </c>
      <c r="AE272" s="22" t="str">
        <f t="shared" si="7"/>
        <v/>
      </c>
      <c r="AF272" s="7">
        <f>IF(ISBLANK(AB272), 0, VLOOKUP(AB272, 'Price Sheet'!$A$2:$B1015, 2, false))</f>
        <v>0</v>
      </c>
      <c r="AG272" s="33" t="str">
        <f t="shared" si="8"/>
        <v/>
      </c>
      <c r="AH272" s="37"/>
      <c r="AI272" s="29"/>
      <c r="AJ272" s="29" t="b">
        <v>0</v>
      </c>
      <c r="AK272" s="22" t="str">
        <f t="shared" si="9"/>
        <v/>
      </c>
      <c r="AL272" s="7">
        <f>IF(ISBLANK(AH272), 0, VLOOKUP(AH272, 'Price Sheet'!$A$2:$B1015, 2, false))</f>
        <v>0</v>
      </c>
      <c r="AM272" s="33" t="str">
        <f t="shared" si="10"/>
        <v/>
      </c>
      <c r="AN272" s="37"/>
      <c r="AO272" s="29"/>
      <c r="AP272" s="29" t="b">
        <v>0</v>
      </c>
      <c r="AQ272" s="22" t="str">
        <f t="shared" si="11"/>
        <v/>
      </c>
      <c r="AR272" s="7">
        <f>IF(ISBLANK(AN272), 0, VLOOKUP(AN272, 'Price Sheet'!$A$2:$B1015, 2, false))</f>
        <v>0</v>
      </c>
      <c r="AS272" s="33" t="str">
        <f t="shared" si="12"/>
        <v/>
      </c>
      <c r="AT272" s="37"/>
      <c r="AU272" s="29"/>
      <c r="AV272" s="29" t="b">
        <v>0</v>
      </c>
      <c r="AW272" s="22" t="str">
        <f t="shared" si="13"/>
        <v/>
      </c>
      <c r="AX272" s="7">
        <f>IF(ISBLANK(AT272), 0, VLOOKUP(AT272, 'Price Sheet'!$A$2:$B1015, 2, false))</f>
        <v>0</v>
      </c>
      <c r="AY272" s="33" t="str">
        <f t="shared" si="14"/>
        <v/>
      </c>
      <c r="AZ272" s="37"/>
      <c r="BA272" s="29"/>
      <c r="BB272" s="29" t="b">
        <v>0</v>
      </c>
      <c r="BC272" s="22" t="str">
        <f t="shared" si="15"/>
        <v/>
      </c>
      <c r="BD272" s="7">
        <f>IF(ISBLANK(AZ272), 0, VLOOKUP(AZ272, 'Price Sheet'!$A$2:$B1015, 2, false))</f>
        <v>0</v>
      </c>
      <c r="BE272" s="33" t="str">
        <f t="shared" si="16"/>
        <v/>
      </c>
      <c r="BF272" s="37"/>
      <c r="BG272" s="29"/>
      <c r="BH272" s="29" t="b">
        <v>0</v>
      </c>
      <c r="BI272" s="22" t="str">
        <f t="shared" si="17"/>
        <v/>
      </c>
      <c r="BJ272" s="7">
        <f>IF(ISBLANK(BF272), 0, VLOOKUP(BF272, 'Price Sheet'!$A$2:$B1015, 2, false))</f>
        <v>0</v>
      </c>
      <c r="BK272" s="33" t="str">
        <f t="shared" si="18"/>
        <v/>
      </c>
      <c r="BL272" s="37"/>
      <c r="BM272" s="29"/>
      <c r="BN272" s="29" t="b">
        <v>0</v>
      </c>
      <c r="BO272" s="22" t="str">
        <f t="shared" si="19"/>
        <v/>
      </c>
      <c r="BP272" s="7">
        <f>IF(ISBLANK(BL272), 0, VLOOKUP(BL272, 'Price Sheet'!$A$2:$B1015, 2, false))</f>
        <v>0</v>
      </c>
      <c r="BQ272" s="33" t="str">
        <f t="shared" si="20"/>
        <v/>
      </c>
    </row>
    <row r="273">
      <c r="B273" s="19">
        <f t="shared" si="1"/>
        <v>0</v>
      </c>
      <c r="C273" s="29"/>
      <c r="D273" s="29"/>
      <c r="E273" s="7" t="str">
        <f>IF(ISBLANK(D273), "", VLOOKUP(D273,'Crafting Tables'!$A$2:$B1015, 2, false))</f>
        <v/>
      </c>
      <c r="F273" s="7" t="str">
        <f>IFERROR(IF(E273 = "None", 1, VLOOKUP(C273,General!$A$5:$L$35, SWITCH(E273, "Basic", 8, "Advanced", 10, "Modern", 12), false)),"")</f>
        <v/>
      </c>
      <c r="G273" s="29"/>
      <c r="H273" s="7">
        <f>IFERROR(VLOOKUP(C273, General!$A$5:$L$35, 6, false) * G273 / 1000, 0)</f>
        <v>0</v>
      </c>
      <c r="I273" s="29"/>
      <c r="J273" s="22" t="str">
        <f>IFERROR(I273*VLOOKUP(D273,'Crafting Tables'!$1:$1000, 4, false)*F273,"")</f>
        <v/>
      </c>
      <c r="K273" s="29" t="b">
        <v>0</v>
      </c>
      <c r="L273" s="37"/>
      <c r="M273" s="29"/>
      <c r="N273" s="21" t="str">
        <f t="shared" si="2"/>
        <v/>
      </c>
      <c r="P273" s="37"/>
      <c r="Q273" s="29"/>
      <c r="R273" s="29" t="b">
        <v>0</v>
      </c>
      <c r="S273" s="22" t="str">
        <f t="shared" si="3"/>
        <v/>
      </c>
      <c r="T273" s="7">
        <f>IF(ISBLANK(P273), 0, VLOOKUP(P273, 'Price Sheet'!$A$2:$B1015, 2, false))</f>
        <v>0</v>
      </c>
      <c r="U273" s="33" t="str">
        <f t="shared" si="4"/>
        <v/>
      </c>
      <c r="V273" s="37"/>
      <c r="W273" s="29"/>
      <c r="X273" s="29" t="b">
        <v>0</v>
      </c>
      <c r="Y273" s="22" t="str">
        <f t="shared" si="5"/>
        <v/>
      </c>
      <c r="Z273" s="7">
        <f>IF(ISBLANK(V273), 0, VLOOKUP(V273, 'Price Sheet'!$A$2:$B1015, 2, false))</f>
        <v>0</v>
      </c>
      <c r="AA273" s="33" t="str">
        <f t="shared" si="6"/>
        <v/>
      </c>
      <c r="AB273" s="37"/>
      <c r="AC273" s="29"/>
      <c r="AD273" s="29" t="b">
        <v>0</v>
      </c>
      <c r="AE273" s="22" t="str">
        <f t="shared" si="7"/>
        <v/>
      </c>
      <c r="AF273" s="7">
        <f>IF(ISBLANK(AB273), 0, VLOOKUP(AB273, 'Price Sheet'!$A$2:$B1015, 2, false))</f>
        <v>0</v>
      </c>
      <c r="AG273" s="33" t="str">
        <f t="shared" si="8"/>
        <v/>
      </c>
      <c r="AH273" s="37"/>
      <c r="AI273" s="29"/>
      <c r="AJ273" s="29" t="b">
        <v>0</v>
      </c>
      <c r="AK273" s="22" t="str">
        <f t="shared" si="9"/>
        <v/>
      </c>
      <c r="AL273" s="7">
        <f>IF(ISBLANK(AH273), 0, VLOOKUP(AH273, 'Price Sheet'!$A$2:$B1015, 2, false))</f>
        <v>0</v>
      </c>
      <c r="AM273" s="33" t="str">
        <f t="shared" si="10"/>
        <v/>
      </c>
      <c r="AN273" s="37"/>
      <c r="AO273" s="29"/>
      <c r="AP273" s="29" t="b">
        <v>0</v>
      </c>
      <c r="AQ273" s="22" t="str">
        <f t="shared" si="11"/>
        <v/>
      </c>
      <c r="AR273" s="7">
        <f>IF(ISBLANK(AN273), 0, VLOOKUP(AN273, 'Price Sheet'!$A$2:$B1015, 2, false))</f>
        <v>0</v>
      </c>
      <c r="AS273" s="33" t="str">
        <f t="shared" si="12"/>
        <v/>
      </c>
      <c r="AT273" s="37"/>
      <c r="AU273" s="29"/>
      <c r="AV273" s="29" t="b">
        <v>0</v>
      </c>
      <c r="AW273" s="22" t="str">
        <f t="shared" si="13"/>
        <v/>
      </c>
      <c r="AX273" s="7">
        <f>IF(ISBLANK(AT273), 0, VLOOKUP(AT273, 'Price Sheet'!$A$2:$B1015, 2, false))</f>
        <v>0</v>
      </c>
      <c r="AY273" s="33" t="str">
        <f t="shared" si="14"/>
        <v/>
      </c>
      <c r="AZ273" s="37"/>
      <c r="BA273" s="29"/>
      <c r="BB273" s="29" t="b">
        <v>0</v>
      </c>
      <c r="BC273" s="22" t="str">
        <f t="shared" si="15"/>
        <v/>
      </c>
      <c r="BD273" s="7">
        <f>IF(ISBLANK(AZ273), 0, VLOOKUP(AZ273, 'Price Sheet'!$A$2:$B1015, 2, false))</f>
        <v>0</v>
      </c>
      <c r="BE273" s="33" t="str">
        <f t="shared" si="16"/>
        <v/>
      </c>
      <c r="BF273" s="37"/>
      <c r="BG273" s="29"/>
      <c r="BH273" s="29" t="b">
        <v>0</v>
      </c>
      <c r="BI273" s="22" t="str">
        <f t="shared" si="17"/>
        <v/>
      </c>
      <c r="BJ273" s="7">
        <f>IF(ISBLANK(BF273), 0, VLOOKUP(BF273, 'Price Sheet'!$A$2:$B1015, 2, false))</f>
        <v>0</v>
      </c>
      <c r="BK273" s="33" t="str">
        <f t="shared" si="18"/>
        <v/>
      </c>
      <c r="BL273" s="37"/>
      <c r="BM273" s="29"/>
      <c r="BN273" s="29" t="b">
        <v>0</v>
      </c>
      <c r="BO273" s="22" t="str">
        <f t="shared" si="19"/>
        <v/>
      </c>
      <c r="BP273" s="7">
        <f>IF(ISBLANK(BL273), 0, VLOOKUP(BL273, 'Price Sheet'!$A$2:$B1015, 2, false))</f>
        <v>0</v>
      </c>
      <c r="BQ273" s="33" t="str">
        <f t="shared" si="20"/>
        <v/>
      </c>
    </row>
    <row r="274">
      <c r="B274" s="19">
        <f t="shared" si="1"/>
        <v>0</v>
      </c>
      <c r="C274" s="29"/>
      <c r="D274" s="29"/>
      <c r="E274" s="7" t="str">
        <f>IF(ISBLANK(D274), "", VLOOKUP(D274,'Crafting Tables'!$A$2:$B1015, 2, false))</f>
        <v/>
      </c>
      <c r="F274" s="7" t="str">
        <f>IFERROR(IF(E274 = "None", 1, VLOOKUP(C274,General!$A$5:$L$35, SWITCH(E274, "Basic", 8, "Advanced", 10, "Modern", 12), false)),"")</f>
        <v/>
      </c>
      <c r="G274" s="29"/>
      <c r="H274" s="7">
        <f>IFERROR(VLOOKUP(C274, General!$A$5:$L$35, 6, false) * G274 / 1000, 0)</f>
        <v>0</v>
      </c>
      <c r="I274" s="29"/>
      <c r="J274" s="22" t="str">
        <f>IFERROR(I274*VLOOKUP(D274,'Crafting Tables'!$1:$1000, 4, false)*F274,"")</f>
        <v/>
      </c>
      <c r="K274" s="29" t="b">
        <v>0</v>
      </c>
      <c r="L274" s="37"/>
      <c r="M274" s="29"/>
      <c r="N274" s="21" t="str">
        <f t="shared" si="2"/>
        <v/>
      </c>
      <c r="P274" s="37"/>
      <c r="Q274" s="29"/>
      <c r="R274" s="29" t="b">
        <v>0</v>
      </c>
      <c r="S274" s="22" t="str">
        <f t="shared" si="3"/>
        <v/>
      </c>
      <c r="T274" s="7">
        <f>IF(ISBLANK(P274), 0, VLOOKUP(P274, 'Price Sheet'!$A$2:$B1015, 2, false))</f>
        <v>0</v>
      </c>
      <c r="U274" s="33" t="str">
        <f t="shared" si="4"/>
        <v/>
      </c>
      <c r="V274" s="37"/>
      <c r="W274" s="29"/>
      <c r="X274" s="29" t="b">
        <v>0</v>
      </c>
      <c r="Y274" s="22" t="str">
        <f t="shared" si="5"/>
        <v/>
      </c>
      <c r="Z274" s="7">
        <f>IF(ISBLANK(V274), 0, VLOOKUP(V274, 'Price Sheet'!$A$2:$B1015, 2, false))</f>
        <v>0</v>
      </c>
      <c r="AA274" s="33" t="str">
        <f t="shared" si="6"/>
        <v/>
      </c>
      <c r="AB274" s="37"/>
      <c r="AC274" s="29"/>
      <c r="AD274" s="29" t="b">
        <v>0</v>
      </c>
      <c r="AE274" s="22" t="str">
        <f t="shared" si="7"/>
        <v/>
      </c>
      <c r="AF274" s="7">
        <f>IF(ISBLANK(AB274), 0, VLOOKUP(AB274, 'Price Sheet'!$A$2:$B1015, 2, false))</f>
        <v>0</v>
      </c>
      <c r="AG274" s="33" t="str">
        <f t="shared" si="8"/>
        <v/>
      </c>
      <c r="AH274" s="37"/>
      <c r="AI274" s="29"/>
      <c r="AJ274" s="29" t="b">
        <v>0</v>
      </c>
      <c r="AK274" s="22" t="str">
        <f t="shared" si="9"/>
        <v/>
      </c>
      <c r="AL274" s="7">
        <f>IF(ISBLANK(AH274), 0, VLOOKUP(AH274, 'Price Sheet'!$A$2:$B1015, 2, false))</f>
        <v>0</v>
      </c>
      <c r="AM274" s="33" t="str">
        <f t="shared" si="10"/>
        <v/>
      </c>
      <c r="AN274" s="37"/>
      <c r="AO274" s="29"/>
      <c r="AP274" s="29" t="b">
        <v>0</v>
      </c>
      <c r="AQ274" s="22" t="str">
        <f t="shared" si="11"/>
        <v/>
      </c>
      <c r="AR274" s="7">
        <f>IF(ISBLANK(AN274), 0, VLOOKUP(AN274, 'Price Sheet'!$A$2:$B1015, 2, false))</f>
        <v>0</v>
      </c>
      <c r="AS274" s="33" t="str">
        <f t="shared" si="12"/>
        <v/>
      </c>
      <c r="AT274" s="37"/>
      <c r="AU274" s="29"/>
      <c r="AV274" s="29" t="b">
        <v>0</v>
      </c>
      <c r="AW274" s="22" t="str">
        <f t="shared" si="13"/>
        <v/>
      </c>
      <c r="AX274" s="7">
        <f>IF(ISBLANK(AT274), 0, VLOOKUP(AT274, 'Price Sheet'!$A$2:$B1015, 2, false))</f>
        <v>0</v>
      </c>
      <c r="AY274" s="33" t="str">
        <f t="shared" si="14"/>
        <v/>
      </c>
      <c r="AZ274" s="37"/>
      <c r="BA274" s="29"/>
      <c r="BB274" s="29" t="b">
        <v>0</v>
      </c>
      <c r="BC274" s="22" t="str">
        <f t="shared" si="15"/>
        <v/>
      </c>
      <c r="BD274" s="7">
        <f>IF(ISBLANK(AZ274), 0, VLOOKUP(AZ274, 'Price Sheet'!$A$2:$B1015, 2, false))</f>
        <v>0</v>
      </c>
      <c r="BE274" s="33" t="str">
        <f t="shared" si="16"/>
        <v/>
      </c>
      <c r="BF274" s="37"/>
      <c r="BG274" s="29"/>
      <c r="BH274" s="29" t="b">
        <v>0</v>
      </c>
      <c r="BI274" s="22" t="str">
        <f t="shared" si="17"/>
        <v/>
      </c>
      <c r="BJ274" s="7">
        <f>IF(ISBLANK(BF274), 0, VLOOKUP(BF274, 'Price Sheet'!$A$2:$B1015, 2, false))</f>
        <v>0</v>
      </c>
      <c r="BK274" s="33" t="str">
        <f t="shared" si="18"/>
        <v/>
      </c>
      <c r="BL274" s="37"/>
      <c r="BM274" s="29"/>
      <c r="BN274" s="29" t="b">
        <v>0</v>
      </c>
      <c r="BO274" s="22" t="str">
        <f t="shared" si="19"/>
        <v/>
      </c>
      <c r="BP274" s="7">
        <f>IF(ISBLANK(BL274), 0, VLOOKUP(BL274, 'Price Sheet'!$A$2:$B1015, 2, false))</f>
        <v>0</v>
      </c>
      <c r="BQ274" s="33" t="str">
        <f t="shared" si="20"/>
        <v/>
      </c>
    </row>
    <row r="275">
      <c r="B275" s="19">
        <f t="shared" si="1"/>
        <v>0</v>
      </c>
      <c r="C275" s="29"/>
      <c r="D275" s="29"/>
      <c r="E275" s="7" t="str">
        <f>IF(ISBLANK(D275), "", VLOOKUP(D275,'Crafting Tables'!$A$2:$B1015, 2, false))</f>
        <v/>
      </c>
      <c r="F275" s="7" t="str">
        <f>IFERROR(IF(E275 = "None", 1, VLOOKUP(C275,General!$A$5:$L$35, SWITCH(E275, "Basic", 8, "Advanced", 10, "Modern", 12), false)),"")</f>
        <v/>
      </c>
      <c r="G275" s="29"/>
      <c r="H275" s="7">
        <f>IFERROR(VLOOKUP(C275, General!$A$5:$L$35, 6, false) * G275 / 1000, 0)</f>
        <v>0</v>
      </c>
      <c r="I275" s="29"/>
      <c r="J275" s="22" t="str">
        <f>IFERROR(I275*VLOOKUP(D275,'Crafting Tables'!$1:$1000, 4, false)*F275,"")</f>
        <v/>
      </c>
      <c r="K275" s="29" t="b">
        <v>0</v>
      </c>
      <c r="L275" s="37"/>
      <c r="M275" s="29"/>
      <c r="N275" s="21" t="str">
        <f t="shared" si="2"/>
        <v/>
      </c>
      <c r="P275" s="37"/>
      <c r="Q275" s="29"/>
      <c r="R275" s="29" t="b">
        <v>0</v>
      </c>
      <c r="S275" s="22" t="str">
        <f t="shared" si="3"/>
        <v/>
      </c>
      <c r="T275" s="7">
        <f>IF(ISBLANK(P275), 0, VLOOKUP(P275, 'Price Sheet'!$A$2:$B1015, 2, false))</f>
        <v>0</v>
      </c>
      <c r="U275" s="33" t="str">
        <f t="shared" si="4"/>
        <v/>
      </c>
      <c r="V275" s="37"/>
      <c r="W275" s="29"/>
      <c r="X275" s="29" t="b">
        <v>0</v>
      </c>
      <c r="Y275" s="22" t="str">
        <f t="shared" si="5"/>
        <v/>
      </c>
      <c r="Z275" s="7">
        <f>IF(ISBLANK(V275), 0, VLOOKUP(V275, 'Price Sheet'!$A$2:$B1015, 2, false))</f>
        <v>0</v>
      </c>
      <c r="AA275" s="33" t="str">
        <f t="shared" si="6"/>
        <v/>
      </c>
      <c r="AB275" s="37"/>
      <c r="AC275" s="29"/>
      <c r="AD275" s="29" t="b">
        <v>0</v>
      </c>
      <c r="AE275" s="22" t="str">
        <f t="shared" si="7"/>
        <v/>
      </c>
      <c r="AF275" s="7">
        <f>IF(ISBLANK(AB275), 0, VLOOKUP(AB275, 'Price Sheet'!$A$2:$B1015, 2, false))</f>
        <v>0</v>
      </c>
      <c r="AG275" s="33" t="str">
        <f t="shared" si="8"/>
        <v/>
      </c>
      <c r="AH275" s="37"/>
      <c r="AI275" s="29"/>
      <c r="AJ275" s="29" t="b">
        <v>0</v>
      </c>
      <c r="AK275" s="22" t="str">
        <f t="shared" si="9"/>
        <v/>
      </c>
      <c r="AL275" s="7">
        <f>IF(ISBLANK(AH275), 0, VLOOKUP(AH275, 'Price Sheet'!$A$2:$B1015, 2, false))</f>
        <v>0</v>
      </c>
      <c r="AM275" s="33" t="str">
        <f t="shared" si="10"/>
        <v/>
      </c>
      <c r="AN275" s="37"/>
      <c r="AO275" s="29"/>
      <c r="AP275" s="29" t="b">
        <v>0</v>
      </c>
      <c r="AQ275" s="22" t="str">
        <f t="shared" si="11"/>
        <v/>
      </c>
      <c r="AR275" s="7">
        <f>IF(ISBLANK(AN275), 0, VLOOKUP(AN275, 'Price Sheet'!$A$2:$B1015, 2, false))</f>
        <v>0</v>
      </c>
      <c r="AS275" s="33" t="str">
        <f t="shared" si="12"/>
        <v/>
      </c>
      <c r="AT275" s="37"/>
      <c r="AU275" s="29"/>
      <c r="AV275" s="29" t="b">
        <v>0</v>
      </c>
      <c r="AW275" s="22" t="str">
        <f t="shared" si="13"/>
        <v/>
      </c>
      <c r="AX275" s="7">
        <f>IF(ISBLANK(AT275), 0, VLOOKUP(AT275, 'Price Sheet'!$A$2:$B1015, 2, false))</f>
        <v>0</v>
      </c>
      <c r="AY275" s="33" t="str">
        <f t="shared" si="14"/>
        <v/>
      </c>
      <c r="AZ275" s="37"/>
      <c r="BA275" s="29"/>
      <c r="BB275" s="29" t="b">
        <v>0</v>
      </c>
      <c r="BC275" s="22" t="str">
        <f t="shared" si="15"/>
        <v/>
      </c>
      <c r="BD275" s="7">
        <f>IF(ISBLANK(AZ275), 0, VLOOKUP(AZ275, 'Price Sheet'!$A$2:$B1015, 2, false))</f>
        <v>0</v>
      </c>
      <c r="BE275" s="33" t="str">
        <f t="shared" si="16"/>
        <v/>
      </c>
      <c r="BF275" s="37"/>
      <c r="BG275" s="29"/>
      <c r="BH275" s="29" t="b">
        <v>0</v>
      </c>
      <c r="BI275" s="22" t="str">
        <f t="shared" si="17"/>
        <v/>
      </c>
      <c r="BJ275" s="7">
        <f>IF(ISBLANK(BF275), 0, VLOOKUP(BF275, 'Price Sheet'!$A$2:$B1015, 2, false))</f>
        <v>0</v>
      </c>
      <c r="BK275" s="33" t="str">
        <f t="shared" si="18"/>
        <v/>
      </c>
      <c r="BL275" s="37"/>
      <c r="BM275" s="29"/>
      <c r="BN275" s="29" t="b">
        <v>0</v>
      </c>
      <c r="BO275" s="22" t="str">
        <f t="shared" si="19"/>
        <v/>
      </c>
      <c r="BP275" s="7">
        <f>IF(ISBLANK(BL275), 0, VLOOKUP(BL275, 'Price Sheet'!$A$2:$B1015, 2, false))</f>
        <v>0</v>
      </c>
      <c r="BQ275" s="33" t="str">
        <f t="shared" si="20"/>
        <v/>
      </c>
    </row>
    <row r="276">
      <c r="B276" s="19">
        <f t="shared" si="1"/>
        <v>0</v>
      </c>
      <c r="C276" s="29"/>
      <c r="D276" s="29"/>
      <c r="E276" s="7" t="str">
        <f>IF(ISBLANK(D276), "", VLOOKUP(D276,'Crafting Tables'!$A$2:$B1015, 2, false))</f>
        <v/>
      </c>
      <c r="F276" s="7" t="str">
        <f>IFERROR(IF(E276 = "None", 1, VLOOKUP(C276,General!$A$5:$L$35, SWITCH(E276, "Basic", 8, "Advanced", 10, "Modern", 12), false)),"")</f>
        <v/>
      </c>
      <c r="G276" s="29"/>
      <c r="H276" s="7">
        <f>IFERROR(VLOOKUP(C276, General!$A$5:$L$35, 6, false) * G276 / 1000, 0)</f>
        <v>0</v>
      </c>
      <c r="I276" s="29"/>
      <c r="J276" s="22" t="str">
        <f>IFERROR(I276*VLOOKUP(D276,'Crafting Tables'!$1:$1000, 4, false)*F276,"")</f>
        <v/>
      </c>
      <c r="K276" s="29" t="b">
        <v>0</v>
      </c>
      <c r="L276" s="37"/>
      <c r="M276" s="29"/>
      <c r="N276" s="21" t="str">
        <f t="shared" si="2"/>
        <v/>
      </c>
      <c r="P276" s="37"/>
      <c r="Q276" s="29"/>
      <c r="R276" s="29" t="b">
        <v>0</v>
      </c>
      <c r="S276" s="22" t="str">
        <f t="shared" si="3"/>
        <v/>
      </c>
      <c r="T276" s="7">
        <f>IF(ISBLANK(P276), 0, VLOOKUP(P276, 'Price Sheet'!$A$2:$B1015, 2, false))</f>
        <v>0</v>
      </c>
      <c r="U276" s="33" t="str">
        <f t="shared" si="4"/>
        <v/>
      </c>
      <c r="V276" s="37"/>
      <c r="W276" s="29"/>
      <c r="X276" s="29" t="b">
        <v>0</v>
      </c>
      <c r="Y276" s="22" t="str">
        <f t="shared" si="5"/>
        <v/>
      </c>
      <c r="Z276" s="7">
        <f>IF(ISBLANK(V276), 0, VLOOKUP(V276, 'Price Sheet'!$A$2:$B1015, 2, false))</f>
        <v>0</v>
      </c>
      <c r="AA276" s="33" t="str">
        <f t="shared" si="6"/>
        <v/>
      </c>
      <c r="AB276" s="37"/>
      <c r="AC276" s="29"/>
      <c r="AD276" s="29" t="b">
        <v>0</v>
      </c>
      <c r="AE276" s="22" t="str">
        <f t="shared" si="7"/>
        <v/>
      </c>
      <c r="AF276" s="7">
        <f>IF(ISBLANK(AB276), 0, VLOOKUP(AB276, 'Price Sheet'!$A$2:$B1015, 2, false))</f>
        <v>0</v>
      </c>
      <c r="AG276" s="33" t="str">
        <f t="shared" si="8"/>
        <v/>
      </c>
      <c r="AH276" s="37"/>
      <c r="AI276" s="29"/>
      <c r="AJ276" s="29" t="b">
        <v>0</v>
      </c>
      <c r="AK276" s="22" t="str">
        <f t="shared" si="9"/>
        <v/>
      </c>
      <c r="AL276" s="7">
        <f>IF(ISBLANK(AH276), 0, VLOOKUP(AH276, 'Price Sheet'!$A$2:$B1015, 2, false))</f>
        <v>0</v>
      </c>
      <c r="AM276" s="33" t="str">
        <f t="shared" si="10"/>
        <v/>
      </c>
      <c r="AN276" s="37"/>
      <c r="AO276" s="29"/>
      <c r="AP276" s="29" t="b">
        <v>0</v>
      </c>
      <c r="AQ276" s="22" t="str">
        <f t="shared" si="11"/>
        <v/>
      </c>
      <c r="AR276" s="7">
        <f>IF(ISBLANK(AN276), 0, VLOOKUP(AN276, 'Price Sheet'!$A$2:$B1015, 2, false))</f>
        <v>0</v>
      </c>
      <c r="AS276" s="33" t="str">
        <f t="shared" si="12"/>
        <v/>
      </c>
      <c r="AT276" s="37"/>
      <c r="AU276" s="29"/>
      <c r="AV276" s="29" t="b">
        <v>0</v>
      </c>
      <c r="AW276" s="22" t="str">
        <f t="shared" si="13"/>
        <v/>
      </c>
      <c r="AX276" s="7">
        <f>IF(ISBLANK(AT276), 0, VLOOKUP(AT276, 'Price Sheet'!$A$2:$B1015, 2, false))</f>
        <v>0</v>
      </c>
      <c r="AY276" s="33" t="str">
        <f t="shared" si="14"/>
        <v/>
      </c>
      <c r="AZ276" s="37"/>
      <c r="BA276" s="29"/>
      <c r="BB276" s="29" t="b">
        <v>0</v>
      </c>
      <c r="BC276" s="22" t="str">
        <f t="shared" si="15"/>
        <v/>
      </c>
      <c r="BD276" s="7">
        <f>IF(ISBLANK(AZ276), 0, VLOOKUP(AZ276, 'Price Sheet'!$A$2:$B1015, 2, false))</f>
        <v>0</v>
      </c>
      <c r="BE276" s="33" t="str">
        <f t="shared" si="16"/>
        <v/>
      </c>
      <c r="BF276" s="37"/>
      <c r="BG276" s="29"/>
      <c r="BH276" s="29" t="b">
        <v>0</v>
      </c>
      <c r="BI276" s="22" t="str">
        <f t="shared" si="17"/>
        <v/>
      </c>
      <c r="BJ276" s="7">
        <f>IF(ISBLANK(BF276), 0, VLOOKUP(BF276, 'Price Sheet'!$A$2:$B1015, 2, false))</f>
        <v>0</v>
      </c>
      <c r="BK276" s="33" t="str">
        <f t="shared" si="18"/>
        <v/>
      </c>
      <c r="BL276" s="37"/>
      <c r="BM276" s="29"/>
      <c r="BN276" s="29" t="b">
        <v>0</v>
      </c>
      <c r="BO276" s="22" t="str">
        <f t="shared" si="19"/>
        <v/>
      </c>
      <c r="BP276" s="7">
        <f>IF(ISBLANK(BL276), 0, VLOOKUP(BL276, 'Price Sheet'!$A$2:$B1015, 2, false))</f>
        <v>0</v>
      </c>
      <c r="BQ276" s="33" t="str">
        <f t="shared" si="20"/>
        <v/>
      </c>
    </row>
    <row r="277">
      <c r="B277" s="19">
        <f t="shared" si="1"/>
        <v>0</v>
      </c>
      <c r="C277" s="29"/>
      <c r="D277" s="29"/>
      <c r="E277" s="7" t="str">
        <f>IF(ISBLANK(D277), "", VLOOKUP(D277,'Crafting Tables'!$A$2:$B1015, 2, false))</f>
        <v/>
      </c>
      <c r="F277" s="7" t="str">
        <f>IFERROR(IF(E277 = "None", 1, VLOOKUP(C277,General!$A$5:$L$35, SWITCH(E277, "Basic", 8, "Advanced", 10, "Modern", 12), false)),"")</f>
        <v/>
      </c>
      <c r="G277" s="29"/>
      <c r="H277" s="7">
        <f>IFERROR(VLOOKUP(C277, General!$A$5:$L$35, 6, false) * G277 / 1000, 0)</f>
        <v>0</v>
      </c>
      <c r="I277" s="29"/>
      <c r="J277" s="22" t="str">
        <f>IFERROR(I277*VLOOKUP(D277,'Crafting Tables'!$1:$1000, 4, false)*F277,"")</f>
        <v/>
      </c>
      <c r="K277" s="29" t="b">
        <v>0</v>
      </c>
      <c r="L277" s="37"/>
      <c r="M277" s="29"/>
      <c r="N277" s="21" t="str">
        <f t="shared" si="2"/>
        <v/>
      </c>
      <c r="P277" s="37"/>
      <c r="Q277" s="29"/>
      <c r="R277" s="29" t="b">
        <v>0</v>
      </c>
      <c r="S277" s="22" t="str">
        <f t="shared" si="3"/>
        <v/>
      </c>
      <c r="T277" s="7">
        <f>IF(ISBLANK(P277), 0, VLOOKUP(P277, 'Price Sheet'!$A$2:$B1015, 2, false))</f>
        <v>0</v>
      </c>
      <c r="U277" s="33" t="str">
        <f t="shared" si="4"/>
        <v/>
      </c>
      <c r="V277" s="37"/>
      <c r="W277" s="29"/>
      <c r="X277" s="29" t="b">
        <v>0</v>
      </c>
      <c r="Y277" s="22" t="str">
        <f t="shared" si="5"/>
        <v/>
      </c>
      <c r="Z277" s="7">
        <f>IF(ISBLANK(V277), 0, VLOOKUP(V277, 'Price Sheet'!$A$2:$B1015, 2, false))</f>
        <v>0</v>
      </c>
      <c r="AA277" s="33" t="str">
        <f t="shared" si="6"/>
        <v/>
      </c>
      <c r="AB277" s="37"/>
      <c r="AC277" s="29"/>
      <c r="AD277" s="29" t="b">
        <v>0</v>
      </c>
      <c r="AE277" s="22" t="str">
        <f t="shared" si="7"/>
        <v/>
      </c>
      <c r="AF277" s="7">
        <f>IF(ISBLANK(AB277), 0, VLOOKUP(AB277, 'Price Sheet'!$A$2:$B1015, 2, false))</f>
        <v>0</v>
      </c>
      <c r="AG277" s="33" t="str">
        <f t="shared" si="8"/>
        <v/>
      </c>
      <c r="AH277" s="37"/>
      <c r="AI277" s="29"/>
      <c r="AJ277" s="29" t="b">
        <v>0</v>
      </c>
      <c r="AK277" s="22" t="str">
        <f t="shared" si="9"/>
        <v/>
      </c>
      <c r="AL277" s="7">
        <f>IF(ISBLANK(AH277), 0, VLOOKUP(AH277, 'Price Sheet'!$A$2:$B1015, 2, false))</f>
        <v>0</v>
      </c>
      <c r="AM277" s="33" t="str">
        <f t="shared" si="10"/>
        <v/>
      </c>
      <c r="AN277" s="37"/>
      <c r="AO277" s="29"/>
      <c r="AP277" s="29" t="b">
        <v>0</v>
      </c>
      <c r="AQ277" s="22" t="str">
        <f t="shared" si="11"/>
        <v/>
      </c>
      <c r="AR277" s="7">
        <f>IF(ISBLANK(AN277), 0, VLOOKUP(AN277, 'Price Sheet'!$A$2:$B1015, 2, false))</f>
        <v>0</v>
      </c>
      <c r="AS277" s="33" t="str">
        <f t="shared" si="12"/>
        <v/>
      </c>
      <c r="AT277" s="37"/>
      <c r="AU277" s="29"/>
      <c r="AV277" s="29" t="b">
        <v>0</v>
      </c>
      <c r="AW277" s="22" t="str">
        <f t="shared" si="13"/>
        <v/>
      </c>
      <c r="AX277" s="7">
        <f>IF(ISBLANK(AT277), 0, VLOOKUP(AT277, 'Price Sheet'!$A$2:$B1015, 2, false))</f>
        <v>0</v>
      </c>
      <c r="AY277" s="33" t="str">
        <f t="shared" si="14"/>
        <v/>
      </c>
      <c r="AZ277" s="37"/>
      <c r="BA277" s="29"/>
      <c r="BB277" s="29" t="b">
        <v>0</v>
      </c>
      <c r="BC277" s="22" t="str">
        <f t="shared" si="15"/>
        <v/>
      </c>
      <c r="BD277" s="7">
        <f>IF(ISBLANK(AZ277), 0, VLOOKUP(AZ277, 'Price Sheet'!$A$2:$B1015, 2, false))</f>
        <v>0</v>
      </c>
      <c r="BE277" s="33" t="str">
        <f t="shared" si="16"/>
        <v/>
      </c>
      <c r="BF277" s="37"/>
      <c r="BG277" s="29"/>
      <c r="BH277" s="29" t="b">
        <v>0</v>
      </c>
      <c r="BI277" s="22" t="str">
        <f t="shared" si="17"/>
        <v/>
      </c>
      <c r="BJ277" s="7">
        <f>IF(ISBLANK(BF277), 0, VLOOKUP(BF277, 'Price Sheet'!$A$2:$B1015, 2, false))</f>
        <v>0</v>
      </c>
      <c r="BK277" s="33" t="str">
        <f t="shared" si="18"/>
        <v/>
      </c>
      <c r="BL277" s="37"/>
      <c r="BM277" s="29"/>
      <c r="BN277" s="29" t="b">
        <v>0</v>
      </c>
      <c r="BO277" s="22" t="str">
        <f t="shared" si="19"/>
        <v/>
      </c>
      <c r="BP277" s="7">
        <f>IF(ISBLANK(BL277), 0, VLOOKUP(BL277, 'Price Sheet'!$A$2:$B1015, 2, false))</f>
        <v>0</v>
      </c>
      <c r="BQ277" s="33" t="str">
        <f t="shared" si="20"/>
        <v/>
      </c>
    </row>
    <row r="278">
      <c r="B278" s="19">
        <f t="shared" si="1"/>
        <v>0</v>
      </c>
      <c r="C278" s="29"/>
      <c r="D278" s="29"/>
      <c r="E278" s="7" t="str">
        <f>IF(ISBLANK(D278), "", VLOOKUP(D278,'Crafting Tables'!$A$2:$B1015, 2, false))</f>
        <v/>
      </c>
      <c r="F278" s="7" t="str">
        <f>IFERROR(IF(E278 = "None", 1, VLOOKUP(C278,General!$A$5:$L$35, SWITCH(E278, "Basic", 8, "Advanced", 10, "Modern", 12), false)),"")</f>
        <v/>
      </c>
      <c r="G278" s="29"/>
      <c r="H278" s="7">
        <f>IFERROR(VLOOKUP(C278, General!$A$5:$L$35, 6, false) * G278 / 1000, 0)</f>
        <v>0</v>
      </c>
      <c r="I278" s="29"/>
      <c r="J278" s="22" t="str">
        <f>IFERROR(I278*VLOOKUP(D278,'Crafting Tables'!$1:$1000, 4, false)*F278,"")</f>
        <v/>
      </c>
      <c r="K278" s="29" t="b">
        <v>0</v>
      </c>
      <c r="L278" s="37"/>
      <c r="M278" s="29"/>
      <c r="N278" s="21" t="str">
        <f t="shared" si="2"/>
        <v/>
      </c>
      <c r="P278" s="37"/>
      <c r="Q278" s="29"/>
      <c r="R278" s="29" t="b">
        <v>0</v>
      </c>
      <c r="S278" s="22" t="str">
        <f t="shared" si="3"/>
        <v/>
      </c>
      <c r="T278" s="7">
        <f>IF(ISBLANK(P278), 0, VLOOKUP(P278, 'Price Sheet'!$A$2:$B1015, 2, false))</f>
        <v>0</v>
      </c>
      <c r="U278" s="33" t="str">
        <f t="shared" si="4"/>
        <v/>
      </c>
      <c r="V278" s="37"/>
      <c r="W278" s="29"/>
      <c r="X278" s="29" t="b">
        <v>0</v>
      </c>
      <c r="Y278" s="22" t="str">
        <f t="shared" si="5"/>
        <v/>
      </c>
      <c r="Z278" s="7">
        <f>IF(ISBLANK(V278), 0, VLOOKUP(V278, 'Price Sheet'!$A$2:$B1015, 2, false))</f>
        <v>0</v>
      </c>
      <c r="AA278" s="33" t="str">
        <f t="shared" si="6"/>
        <v/>
      </c>
      <c r="AB278" s="37"/>
      <c r="AC278" s="29"/>
      <c r="AD278" s="29" t="b">
        <v>0</v>
      </c>
      <c r="AE278" s="22" t="str">
        <f t="shared" si="7"/>
        <v/>
      </c>
      <c r="AF278" s="7">
        <f>IF(ISBLANK(AB278), 0, VLOOKUP(AB278, 'Price Sheet'!$A$2:$B1015, 2, false))</f>
        <v>0</v>
      </c>
      <c r="AG278" s="33" t="str">
        <f t="shared" si="8"/>
        <v/>
      </c>
      <c r="AH278" s="37"/>
      <c r="AI278" s="29"/>
      <c r="AJ278" s="29" t="b">
        <v>0</v>
      </c>
      <c r="AK278" s="22" t="str">
        <f t="shared" si="9"/>
        <v/>
      </c>
      <c r="AL278" s="7">
        <f>IF(ISBLANK(AH278), 0, VLOOKUP(AH278, 'Price Sheet'!$A$2:$B1015, 2, false))</f>
        <v>0</v>
      </c>
      <c r="AM278" s="33" t="str">
        <f t="shared" si="10"/>
        <v/>
      </c>
      <c r="AN278" s="37"/>
      <c r="AO278" s="29"/>
      <c r="AP278" s="29" t="b">
        <v>0</v>
      </c>
      <c r="AQ278" s="22" t="str">
        <f t="shared" si="11"/>
        <v/>
      </c>
      <c r="AR278" s="7">
        <f>IF(ISBLANK(AN278), 0, VLOOKUP(AN278, 'Price Sheet'!$A$2:$B1015, 2, false))</f>
        <v>0</v>
      </c>
      <c r="AS278" s="33" t="str">
        <f t="shared" si="12"/>
        <v/>
      </c>
      <c r="AT278" s="37"/>
      <c r="AU278" s="29"/>
      <c r="AV278" s="29" t="b">
        <v>0</v>
      </c>
      <c r="AW278" s="22" t="str">
        <f t="shared" si="13"/>
        <v/>
      </c>
      <c r="AX278" s="7">
        <f>IF(ISBLANK(AT278), 0, VLOOKUP(AT278, 'Price Sheet'!$A$2:$B1015, 2, false))</f>
        <v>0</v>
      </c>
      <c r="AY278" s="33" t="str">
        <f t="shared" si="14"/>
        <v/>
      </c>
      <c r="AZ278" s="37"/>
      <c r="BA278" s="29"/>
      <c r="BB278" s="29" t="b">
        <v>0</v>
      </c>
      <c r="BC278" s="22" t="str">
        <f t="shared" si="15"/>
        <v/>
      </c>
      <c r="BD278" s="7">
        <f>IF(ISBLANK(AZ278), 0, VLOOKUP(AZ278, 'Price Sheet'!$A$2:$B1015, 2, false))</f>
        <v>0</v>
      </c>
      <c r="BE278" s="33" t="str">
        <f t="shared" si="16"/>
        <v/>
      </c>
      <c r="BF278" s="37"/>
      <c r="BG278" s="29"/>
      <c r="BH278" s="29" t="b">
        <v>0</v>
      </c>
      <c r="BI278" s="22" t="str">
        <f t="shared" si="17"/>
        <v/>
      </c>
      <c r="BJ278" s="7">
        <f>IF(ISBLANK(BF278), 0, VLOOKUP(BF278, 'Price Sheet'!$A$2:$B1015, 2, false))</f>
        <v>0</v>
      </c>
      <c r="BK278" s="33" t="str">
        <f t="shared" si="18"/>
        <v/>
      </c>
      <c r="BL278" s="37"/>
      <c r="BM278" s="29"/>
      <c r="BN278" s="29" t="b">
        <v>0</v>
      </c>
      <c r="BO278" s="22" t="str">
        <f t="shared" si="19"/>
        <v/>
      </c>
      <c r="BP278" s="7">
        <f>IF(ISBLANK(BL278), 0, VLOOKUP(BL278, 'Price Sheet'!$A$2:$B1015, 2, false))</f>
        <v>0</v>
      </c>
      <c r="BQ278" s="33" t="str">
        <f t="shared" si="20"/>
        <v/>
      </c>
    </row>
    <row r="279">
      <c r="B279" s="19">
        <f t="shared" si="1"/>
        <v>0</v>
      </c>
      <c r="C279" s="29"/>
      <c r="D279" s="29"/>
      <c r="E279" s="7" t="str">
        <f>IF(ISBLANK(D279), "", VLOOKUP(D279,'Crafting Tables'!$A$2:$B1015, 2, false))</f>
        <v/>
      </c>
      <c r="F279" s="7" t="str">
        <f>IFERROR(IF(E279 = "None", 1, VLOOKUP(C279,General!$A$5:$L$35, SWITCH(E279, "Basic", 8, "Advanced", 10, "Modern", 12), false)),"")</f>
        <v/>
      </c>
      <c r="G279" s="29"/>
      <c r="H279" s="7">
        <f>IFERROR(VLOOKUP(C279, General!$A$5:$L$35, 6, false) * G279 / 1000, 0)</f>
        <v>0</v>
      </c>
      <c r="I279" s="29"/>
      <c r="J279" s="22" t="str">
        <f>IFERROR(I279*VLOOKUP(D279,'Crafting Tables'!$1:$1000, 4, false)*F279,"")</f>
        <v/>
      </c>
      <c r="K279" s="29" t="b">
        <v>0</v>
      </c>
      <c r="L279" s="37"/>
      <c r="M279" s="29"/>
      <c r="N279" s="21" t="str">
        <f t="shared" si="2"/>
        <v/>
      </c>
      <c r="P279" s="37"/>
      <c r="Q279" s="29"/>
      <c r="R279" s="29" t="b">
        <v>0</v>
      </c>
      <c r="S279" s="22" t="str">
        <f t="shared" si="3"/>
        <v/>
      </c>
      <c r="T279" s="7">
        <f>IF(ISBLANK(P279), 0, VLOOKUP(P279, 'Price Sheet'!$A$2:$B1015, 2, false))</f>
        <v>0</v>
      </c>
      <c r="U279" s="33" t="str">
        <f t="shared" si="4"/>
        <v/>
      </c>
      <c r="V279" s="37"/>
      <c r="W279" s="29"/>
      <c r="X279" s="29" t="b">
        <v>0</v>
      </c>
      <c r="Y279" s="22" t="str">
        <f t="shared" si="5"/>
        <v/>
      </c>
      <c r="Z279" s="7">
        <f>IF(ISBLANK(V279), 0, VLOOKUP(V279, 'Price Sheet'!$A$2:$B1015, 2, false))</f>
        <v>0</v>
      </c>
      <c r="AA279" s="33" t="str">
        <f t="shared" si="6"/>
        <v/>
      </c>
      <c r="AB279" s="37"/>
      <c r="AC279" s="29"/>
      <c r="AD279" s="29" t="b">
        <v>0</v>
      </c>
      <c r="AE279" s="22" t="str">
        <f t="shared" si="7"/>
        <v/>
      </c>
      <c r="AF279" s="7">
        <f>IF(ISBLANK(AB279), 0, VLOOKUP(AB279, 'Price Sheet'!$A$2:$B1015, 2, false))</f>
        <v>0</v>
      </c>
      <c r="AG279" s="33" t="str">
        <f t="shared" si="8"/>
        <v/>
      </c>
      <c r="AH279" s="37"/>
      <c r="AI279" s="29"/>
      <c r="AJ279" s="29" t="b">
        <v>0</v>
      </c>
      <c r="AK279" s="22" t="str">
        <f t="shared" si="9"/>
        <v/>
      </c>
      <c r="AL279" s="7">
        <f>IF(ISBLANK(AH279), 0, VLOOKUP(AH279, 'Price Sheet'!$A$2:$B1015, 2, false))</f>
        <v>0</v>
      </c>
      <c r="AM279" s="33" t="str">
        <f t="shared" si="10"/>
        <v/>
      </c>
      <c r="AN279" s="37"/>
      <c r="AO279" s="29"/>
      <c r="AP279" s="29" t="b">
        <v>0</v>
      </c>
      <c r="AQ279" s="22" t="str">
        <f t="shared" si="11"/>
        <v/>
      </c>
      <c r="AR279" s="7">
        <f>IF(ISBLANK(AN279), 0, VLOOKUP(AN279, 'Price Sheet'!$A$2:$B1015, 2, false))</f>
        <v>0</v>
      </c>
      <c r="AS279" s="33" t="str">
        <f t="shared" si="12"/>
        <v/>
      </c>
      <c r="AT279" s="37"/>
      <c r="AU279" s="29"/>
      <c r="AV279" s="29" t="b">
        <v>0</v>
      </c>
      <c r="AW279" s="22" t="str">
        <f t="shared" si="13"/>
        <v/>
      </c>
      <c r="AX279" s="7">
        <f>IF(ISBLANK(AT279), 0, VLOOKUP(AT279, 'Price Sheet'!$A$2:$B1015, 2, false))</f>
        <v>0</v>
      </c>
      <c r="AY279" s="33" t="str">
        <f t="shared" si="14"/>
        <v/>
      </c>
      <c r="AZ279" s="37"/>
      <c r="BA279" s="29"/>
      <c r="BB279" s="29" t="b">
        <v>0</v>
      </c>
      <c r="BC279" s="22" t="str">
        <f t="shared" si="15"/>
        <v/>
      </c>
      <c r="BD279" s="7">
        <f>IF(ISBLANK(AZ279), 0, VLOOKUP(AZ279, 'Price Sheet'!$A$2:$B1015, 2, false))</f>
        <v>0</v>
      </c>
      <c r="BE279" s="33" t="str">
        <f t="shared" si="16"/>
        <v/>
      </c>
      <c r="BF279" s="37"/>
      <c r="BG279" s="29"/>
      <c r="BH279" s="29" t="b">
        <v>0</v>
      </c>
      <c r="BI279" s="22" t="str">
        <f t="shared" si="17"/>
        <v/>
      </c>
      <c r="BJ279" s="7">
        <f>IF(ISBLANK(BF279), 0, VLOOKUP(BF279, 'Price Sheet'!$A$2:$B1015, 2, false))</f>
        <v>0</v>
      </c>
      <c r="BK279" s="33" t="str">
        <f t="shared" si="18"/>
        <v/>
      </c>
      <c r="BL279" s="37"/>
      <c r="BM279" s="29"/>
      <c r="BN279" s="29" t="b">
        <v>0</v>
      </c>
      <c r="BO279" s="22" t="str">
        <f t="shared" si="19"/>
        <v/>
      </c>
      <c r="BP279" s="7">
        <f>IF(ISBLANK(BL279), 0, VLOOKUP(BL279, 'Price Sheet'!$A$2:$B1015, 2, false))</f>
        <v>0</v>
      </c>
      <c r="BQ279" s="33" t="str">
        <f t="shared" si="20"/>
        <v/>
      </c>
    </row>
    <row r="280">
      <c r="B280" s="19">
        <f t="shared" si="1"/>
        <v>0</v>
      </c>
      <c r="C280" s="29"/>
      <c r="D280" s="29"/>
      <c r="E280" s="7" t="str">
        <f>IF(ISBLANK(D280), "", VLOOKUP(D280,'Crafting Tables'!$A$2:$B1015, 2, false))</f>
        <v/>
      </c>
      <c r="F280" s="7" t="str">
        <f>IFERROR(IF(E280 = "None", 1, VLOOKUP(C280,General!$A$5:$L$35, SWITCH(E280, "Basic", 8, "Advanced", 10, "Modern", 12), false)),"")</f>
        <v/>
      </c>
      <c r="G280" s="29"/>
      <c r="H280" s="7">
        <f>IFERROR(VLOOKUP(C280, General!$A$5:$L$35, 6, false) * G280 / 1000, 0)</f>
        <v>0</v>
      </c>
      <c r="I280" s="29"/>
      <c r="J280" s="22" t="str">
        <f>IFERROR(I280*VLOOKUP(D280,'Crafting Tables'!$1:$1000, 4, false)*F280,"")</f>
        <v/>
      </c>
      <c r="K280" s="29" t="b">
        <v>0</v>
      </c>
      <c r="L280" s="37"/>
      <c r="M280" s="29"/>
      <c r="N280" s="21" t="str">
        <f t="shared" si="2"/>
        <v/>
      </c>
      <c r="P280" s="37"/>
      <c r="Q280" s="29"/>
      <c r="R280" s="29" t="b">
        <v>0</v>
      </c>
      <c r="S280" s="22" t="str">
        <f t="shared" si="3"/>
        <v/>
      </c>
      <c r="T280" s="7">
        <f>IF(ISBLANK(P280), 0, VLOOKUP(P280, 'Price Sheet'!$A$2:$B1015, 2, false))</f>
        <v>0</v>
      </c>
      <c r="U280" s="33" t="str">
        <f t="shared" si="4"/>
        <v/>
      </c>
      <c r="V280" s="37"/>
      <c r="W280" s="29"/>
      <c r="X280" s="29" t="b">
        <v>0</v>
      </c>
      <c r="Y280" s="22" t="str">
        <f t="shared" si="5"/>
        <v/>
      </c>
      <c r="Z280" s="7">
        <f>IF(ISBLANK(V280), 0, VLOOKUP(V280, 'Price Sheet'!$A$2:$B1015, 2, false))</f>
        <v>0</v>
      </c>
      <c r="AA280" s="33" t="str">
        <f t="shared" si="6"/>
        <v/>
      </c>
      <c r="AB280" s="37"/>
      <c r="AC280" s="29"/>
      <c r="AD280" s="29" t="b">
        <v>0</v>
      </c>
      <c r="AE280" s="22" t="str">
        <f t="shared" si="7"/>
        <v/>
      </c>
      <c r="AF280" s="7">
        <f>IF(ISBLANK(AB280), 0, VLOOKUP(AB280, 'Price Sheet'!$A$2:$B1015, 2, false))</f>
        <v>0</v>
      </c>
      <c r="AG280" s="33" t="str">
        <f t="shared" si="8"/>
        <v/>
      </c>
      <c r="AH280" s="37"/>
      <c r="AI280" s="29"/>
      <c r="AJ280" s="29" t="b">
        <v>0</v>
      </c>
      <c r="AK280" s="22" t="str">
        <f t="shared" si="9"/>
        <v/>
      </c>
      <c r="AL280" s="7">
        <f>IF(ISBLANK(AH280), 0, VLOOKUP(AH280, 'Price Sheet'!$A$2:$B1015, 2, false))</f>
        <v>0</v>
      </c>
      <c r="AM280" s="33" t="str">
        <f t="shared" si="10"/>
        <v/>
      </c>
      <c r="AN280" s="37"/>
      <c r="AO280" s="29"/>
      <c r="AP280" s="29" t="b">
        <v>0</v>
      </c>
      <c r="AQ280" s="22" t="str">
        <f t="shared" si="11"/>
        <v/>
      </c>
      <c r="AR280" s="7">
        <f>IF(ISBLANK(AN280), 0, VLOOKUP(AN280, 'Price Sheet'!$A$2:$B1015, 2, false))</f>
        <v>0</v>
      </c>
      <c r="AS280" s="33" t="str">
        <f t="shared" si="12"/>
        <v/>
      </c>
      <c r="AT280" s="37"/>
      <c r="AU280" s="29"/>
      <c r="AV280" s="29" t="b">
        <v>0</v>
      </c>
      <c r="AW280" s="22" t="str">
        <f t="shared" si="13"/>
        <v/>
      </c>
      <c r="AX280" s="7">
        <f>IF(ISBLANK(AT280), 0, VLOOKUP(AT280, 'Price Sheet'!$A$2:$B1015, 2, false))</f>
        <v>0</v>
      </c>
      <c r="AY280" s="33" t="str">
        <f t="shared" si="14"/>
        <v/>
      </c>
      <c r="AZ280" s="37"/>
      <c r="BA280" s="29"/>
      <c r="BB280" s="29" t="b">
        <v>0</v>
      </c>
      <c r="BC280" s="22" t="str">
        <f t="shared" si="15"/>
        <v/>
      </c>
      <c r="BD280" s="7">
        <f>IF(ISBLANK(AZ280), 0, VLOOKUP(AZ280, 'Price Sheet'!$A$2:$B1015, 2, false))</f>
        <v>0</v>
      </c>
      <c r="BE280" s="33" t="str">
        <f t="shared" si="16"/>
        <v/>
      </c>
      <c r="BF280" s="37"/>
      <c r="BG280" s="29"/>
      <c r="BH280" s="29" t="b">
        <v>0</v>
      </c>
      <c r="BI280" s="22" t="str">
        <f t="shared" si="17"/>
        <v/>
      </c>
      <c r="BJ280" s="7">
        <f>IF(ISBLANK(BF280), 0, VLOOKUP(BF280, 'Price Sheet'!$A$2:$B1015, 2, false))</f>
        <v>0</v>
      </c>
      <c r="BK280" s="33" t="str">
        <f t="shared" si="18"/>
        <v/>
      </c>
      <c r="BL280" s="37"/>
      <c r="BM280" s="29"/>
      <c r="BN280" s="29" t="b">
        <v>0</v>
      </c>
      <c r="BO280" s="22" t="str">
        <f t="shared" si="19"/>
        <v/>
      </c>
      <c r="BP280" s="7">
        <f>IF(ISBLANK(BL280), 0, VLOOKUP(BL280, 'Price Sheet'!$A$2:$B1015, 2, false))</f>
        <v>0</v>
      </c>
      <c r="BQ280" s="33" t="str">
        <f t="shared" si="20"/>
        <v/>
      </c>
    </row>
    <row r="281">
      <c r="B281" s="19">
        <f t="shared" si="1"/>
        <v>0</v>
      </c>
      <c r="C281" s="29"/>
      <c r="D281" s="29"/>
      <c r="E281" s="7" t="str">
        <f>IF(ISBLANK(D281), "", VLOOKUP(D281,'Crafting Tables'!$A$2:$B1015, 2, false))</f>
        <v/>
      </c>
      <c r="F281" s="7" t="str">
        <f>IFERROR(IF(E281 = "None", 1, VLOOKUP(C281,General!$A$5:$L$35, SWITCH(E281, "Basic", 8, "Advanced", 10, "Modern", 12), false)),"")</f>
        <v/>
      </c>
      <c r="G281" s="29"/>
      <c r="H281" s="7">
        <f>IFERROR(VLOOKUP(C281, General!$A$5:$L$35, 6, false) * G281 / 1000, 0)</f>
        <v>0</v>
      </c>
      <c r="I281" s="29"/>
      <c r="J281" s="22" t="str">
        <f>IFERROR(I281*VLOOKUP(D281,'Crafting Tables'!$1:$1000, 4, false)*F281,"")</f>
        <v/>
      </c>
      <c r="K281" s="29" t="b">
        <v>0</v>
      </c>
      <c r="L281" s="37"/>
      <c r="M281" s="29"/>
      <c r="N281" s="21" t="str">
        <f t="shared" si="2"/>
        <v/>
      </c>
      <c r="P281" s="37"/>
      <c r="Q281" s="29"/>
      <c r="R281" s="29" t="b">
        <v>0</v>
      </c>
      <c r="S281" s="22" t="str">
        <f t="shared" si="3"/>
        <v/>
      </c>
      <c r="T281" s="7">
        <f>IF(ISBLANK(P281), 0, VLOOKUP(P281, 'Price Sheet'!$A$2:$B1015, 2, false))</f>
        <v>0</v>
      </c>
      <c r="U281" s="33" t="str">
        <f t="shared" si="4"/>
        <v/>
      </c>
      <c r="V281" s="37"/>
      <c r="W281" s="29"/>
      <c r="X281" s="29" t="b">
        <v>0</v>
      </c>
      <c r="Y281" s="22" t="str">
        <f t="shared" si="5"/>
        <v/>
      </c>
      <c r="Z281" s="7">
        <f>IF(ISBLANK(V281), 0, VLOOKUP(V281, 'Price Sheet'!$A$2:$B1015, 2, false))</f>
        <v>0</v>
      </c>
      <c r="AA281" s="33" t="str">
        <f t="shared" si="6"/>
        <v/>
      </c>
      <c r="AB281" s="37"/>
      <c r="AC281" s="29"/>
      <c r="AD281" s="29" t="b">
        <v>0</v>
      </c>
      <c r="AE281" s="22" t="str">
        <f t="shared" si="7"/>
        <v/>
      </c>
      <c r="AF281" s="7">
        <f>IF(ISBLANK(AB281), 0, VLOOKUP(AB281, 'Price Sheet'!$A$2:$B1015, 2, false))</f>
        <v>0</v>
      </c>
      <c r="AG281" s="33" t="str">
        <f t="shared" si="8"/>
        <v/>
      </c>
      <c r="AH281" s="37"/>
      <c r="AI281" s="29"/>
      <c r="AJ281" s="29" t="b">
        <v>0</v>
      </c>
      <c r="AK281" s="22" t="str">
        <f t="shared" si="9"/>
        <v/>
      </c>
      <c r="AL281" s="7">
        <f>IF(ISBLANK(AH281), 0, VLOOKUP(AH281, 'Price Sheet'!$A$2:$B1015, 2, false))</f>
        <v>0</v>
      </c>
      <c r="AM281" s="33" t="str">
        <f t="shared" si="10"/>
        <v/>
      </c>
      <c r="AN281" s="37"/>
      <c r="AO281" s="29"/>
      <c r="AP281" s="29" t="b">
        <v>0</v>
      </c>
      <c r="AQ281" s="22" t="str">
        <f t="shared" si="11"/>
        <v/>
      </c>
      <c r="AR281" s="7">
        <f>IF(ISBLANK(AN281), 0, VLOOKUP(AN281, 'Price Sheet'!$A$2:$B1015, 2, false))</f>
        <v>0</v>
      </c>
      <c r="AS281" s="33" t="str">
        <f t="shared" si="12"/>
        <v/>
      </c>
      <c r="AT281" s="37"/>
      <c r="AU281" s="29"/>
      <c r="AV281" s="29" t="b">
        <v>0</v>
      </c>
      <c r="AW281" s="22" t="str">
        <f t="shared" si="13"/>
        <v/>
      </c>
      <c r="AX281" s="7">
        <f>IF(ISBLANK(AT281), 0, VLOOKUP(AT281, 'Price Sheet'!$A$2:$B1015, 2, false))</f>
        <v>0</v>
      </c>
      <c r="AY281" s="33" t="str">
        <f t="shared" si="14"/>
        <v/>
      </c>
      <c r="AZ281" s="37"/>
      <c r="BA281" s="29"/>
      <c r="BB281" s="29" t="b">
        <v>0</v>
      </c>
      <c r="BC281" s="22" t="str">
        <f t="shared" si="15"/>
        <v/>
      </c>
      <c r="BD281" s="7">
        <f>IF(ISBLANK(AZ281), 0, VLOOKUP(AZ281, 'Price Sheet'!$A$2:$B1015, 2, false))</f>
        <v>0</v>
      </c>
      <c r="BE281" s="33" t="str">
        <f t="shared" si="16"/>
        <v/>
      </c>
      <c r="BF281" s="37"/>
      <c r="BG281" s="29"/>
      <c r="BH281" s="29" t="b">
        <v>0</v>
      </c>
      <c r="BI281" s="22" t="str">
        <f t="shared" si="17"/>
        <v/>
      </c>
      <c r="BJ281" s="7">
        <f>IF(ISBLANK(BF281), 0, VLOOKUP(BF281, 'Price Sheet'!$A$2:$B1015, 2, false))</f>
        <v>0</v>
      </c>
      <c r="BK281" s="33" t="str">
        <f t="shared" si="18"/>
        <v/>
      </c>
      <c r="BL281" s="37"/>
      <c r="BM281" s="29"/>
      <c r="BN281" s="29" t="b">
        <v>0</v>
      </c>
      <c r="BO281" s="22" t="str">
        <f t="shared" si="19"/>
        <v/>
      </c>
      <c r="BP281" s="7">
        <f>IF(ISBLANK(BL281), 0, VLOOKUP(BL281, 'Price Sheet'!$A$2:$B1015, 2, false))</f>
        <v>0</v>
      </c>
      <c r="BQ281" s="33" t="str">
        <f t="shared" si="20"/>
        <v/>
      </c>
    </row>
    <row r="282">
      <c r="B282" s="19">
        <f t="shared" si="1"/>
        <v>0</v>
      </c>
      <c r="C282" s="29"/>
      <c r="D282" s="29"/>
      <c r="E282" s="7" t="str">
        <f>IF(ISBLANK(D282), "", VLOOKUP(D282,'Crafting Tables'!$A$2:$B1015, 2, false))</f>
        <v/>
      </c>
      <c r="F282" s="7" t="str">
        <f>IFERROR(IF(E282 = "None", 1, VLOOKUP(C282,General!$A$5:$L$35, SWITCH(E282, "Basic", 8, "Advanced", 10, "Modern", 12), false)),"")</f>
        <v/>
      </c>
      <c r="G282" s="29"/>
      <c r="H282" s="7">
        <f>IFERROR(VLOOKUP(C282, General!$A$5:$L$35, 6, false) * G282 / 1000, 0)</f>
        <v>0</v>
      </c>
      <c r="I282" s="29"/>
      <c r="J282" s="22" t="str">
        <f>IFERROR(I282*VLOOKUP(D282,'Crafting Tables'!$1:$1000, 4, false)*F282,"")</f>
        <v/>
      </c>
      <c r="K282" s="29" t="b">
        <v>0</v>
      </c>
      <c r="L282" s="37"/>
      <c r="M282" s="29"/>
      <c r="N282" s="21" t="str">
        <f t="shared" si="2"/>
        <v/>
      </c>
      <c r="P282" s="37"/>
      <c r="Q282" s="29"/>
      <c r="R282" s="29" t="b">
        <v>0</v>
      </c>
      <c r="S282" s="22" t="str">
        <f t="shared" si="3"/>
        <v/>
      </c>
      <c r="T282" s="7">
        <f>IF(ISBLANK(P282), 0, VLOOKUP(P282, 'Price Sheet'!$A$2:$B1015, 2, false))</f>
        <v>0</v>
      </c>
      <c r="U282" s="33" t="str">
        <f t="shared" si="4"/>
        <v/>
      </c>
      <c r="V282" s="37"/>
      <c r="W282" s="29"/>
      <c r="X282" s="29" t="b">
        <v>0</v>
      </c>
      <c r="Y282" s="22" t="str">
        <f t="shared" si="5"/>
        <v/>
      </c>
      <c r="Z282" s="7">
        <f>IF(ISBLANK(V282), 0, VLOOKUP(V282, 'Price Sheet'!$A$2:$B1015, 2, false))</f>
        <v>0</v>
      </c>
      <c r="AA282" s="33" t="str">
        <f t="shared" si="6"/>
        <v/>
      </c>
      <c r="AB282" s="37"/>
      <c r="AC282" s="29"/>
      <c r="AD282" s="29" t="b">
        <v>0</v>
      </c>
      <c r="AE282" s="22" t="str">
        <f t="shared" si="7"/>
        <v/>
      </c>
      <c r="AF282" s="7">
        <f>IF(ISBLANK(AB282), 0, VLOOKUP(AB282, 'Price Sheet'!$A$2:$B1015, 2, false))</f>
        <v>0</v>
      </c>
      <c r="AG282" s="33" t="str">
        <f t="shared" si="8"/>
        <v/>
      </c>
      <c r="AH282" s="37"/>
      <c r="AI282" s="29"/>
      <c r="AJ282" s="29" t="b">
        <v>0</v>
      </c>
      <c r="AK282" s="22" t="str">
        <f t="shared" si="9"/>
        <v/>
      </c>
      <c r="AL282" s="7">
        <f>IF(ISBLANK(AH282), 0, VLOOKUP(AH282, 'Price Sheet'!$A$2:$B1015, 2, false))</f>
        <v>0</v>
      </c>
      <c r="AM282" s="33" t="str">
        <f t="shared" si="10"/>
        <v/>
      </c>
      <c r="AN282" s="37"/>
      <c r="AO282" s="29"/>
      <c r="AP282" s="29" t="b">
        <v>0</v>
      </c>
      <c r="AQ282" s="22" t="str">
        <f t="shared" si="11"/>
        <v/>
      </c>
      <c r="AR282" s="7">
        <f>IF(ISBLANK(AN282), 0, VLOOKUP(AN282, 'Price Sheet'!$A$2:$B1015, 2, false))</f>
        <v>0</v>
      </c>
      <c r="AS282" s="33" t="str">
        <f t="shared" si="12"/>
        <v/>
      </c>
      <c r="AT282" s="37"/>
      <c r="AU282" s="29"/>
      <c r="AV282" s="29" t="b">
        <v>0</v>
      </c>
      <c r="AW282" s="22" t="str">
        <f t="shared" si="13"/>
        <v/>
      </c>
      <c r="AX282" s="7">
        <f>IF(ISBLANK(AT282), 0, VLOOKUP(AT282, 'Price Sheet'!$A$2:$B1015, 2, false))</f>
        <v>0</v>
      </c>
      <c r="AY282" s="33" t="str">
        <f t="shared" si="14"/>
        <v/>
      </c>
      <c r="AZ282" s="37"/>
      <c r="BA282" s="29"/>
      <c r="BB282" s="29" t="b">
        <v>0</v>
      </c>
      <c r="BC282" s="22" t="str">
        <f t="shared" si="15"/>
        <v/>
      </c>
      <c r="BD282" s="7">
        <f>IF(ISBLANK(AZ282), 0, VLOOKUP(AZ282, 'Price Sheet'!$A$2:$B1015, 2, false))</f>
        <v>0</v>
      </c>
      <c r="BE282" s="33" t="str">
        <f t="shared" si="16"/>
        <v/>
      </c>
      <c r="BF282" s="37"/>
      <c r="BG282" s="29"/>
      <c r="BH282" s="29" t="b">
        <v>0</v>
      </c>
      <c r="BI282" s="22" t="str">
        <f t="shared" si="17"/>
        <v/>
      </c>
      <c r="BJ282" s="7">
        <f>IF(ISBLANK(BF282), 0, VLOOKUP(BF282, 'Price Sheet'!$A$2:$B1015, 2, false))</f>
        <v>0</v>
      </c>
      <c r="BK282" s="33" t="str">
        <f t="shared" si="18"/>
        <v/>
      </c>
      <c r="BL282" s="37"/>
      <c r="BM282" s="29"/>
      <c r="BN282" s="29" t="b">
        <v>0</v>
      </c>
      <c r="BO282" s="22" t="str">
        <f t="shared" si="19"/>
        <v/>
      </c>
      <c r="BP282" s="7">
        <f>IF(ISBLANK(BL282), 0, VLOOKUP(BL282, 'Price Sheet'!$A$2:$B1015, 2, false))</f>
        <v>0</v>
      </c>
      <c r="BQ282" s="33" t="str">
        <f t="shared" si="20"/>
        <v/>
      </c>
    </row>
    <row r="283">
      <c r="B283" s="19">
        <f t="shared" si="1"/>
        <v>0</v>
      </c>
      <c r="C283" s="29"/>
      <c r="D283" s="29"/>
      <c r="E283" s="7" t="str">
        <f>IF(ISBLANK(D283), "", VLOOKUP(D283,'Crafting Tables'!$A$2:$B1015, 2, false))</f>
        <v/>
      </c>
      <c r="F283" s="7" t="str">
        <f>IFERROR(IF(E283 = "None", 1, VLOOKUP(C283,General!$A$5:$L$35, SWITCH(E283, "Basic", 8, "Advanced", 10, "Modern", 12), false)),"")</f>
        <v/>
      </c>
      <c r="G283" s="29"/>
      <c r="H283" s="7">
        <f>IFERROR(VLOOKUP(C283, General!$A$5:$L$35, 6, false) * G283 / 1000, 0)</f>
        <v>0</v>
      </c>
      <c r="I283" s="29"/>
      <c r="J283" s="22" t="str">
        <f>IFERROR(I283*VLOOKUP(D283,'Crafting Tables'!$1:$1000, 4, false)*F283,"")</f>
        <v/>
      </c>
      <c r="K283" s="29" t="b">
        <v>0</v>
      </c>
      <c r="L283" s="37"/>
      <c r="M283" s="29"/>
      <c r="N283" s="21" t="str">
        <f t="shared" si="2"/>
        <v/>
      </c>
      <c r="P283" s="37"/>
      <c r="Q283" s="29"/>
      <c r="R283" s="29" t="b">
        <v>0</v>
      </c>
      <c r="S283" s="22" t="str">
        <f t="shared" si="3"/>
        <v/>
      </c>
      <c r="T283" s="7">
        <f>IF(ISBLANK(P283), 0, VLOOKUP(P283, 'Price Sheet'!$A$2:$B1015, 2, false))</f>
        <v>0</v>
      </c>
      <c r="U283" s="33" t="str">
        <f t="shared" si="4"/>
        <v/>
      </c>
      <c r="V283" s="37"/>
      <c r="W283" s="29"/>
      <c r="X283" s="29" t="b">
        <v>0</v>
      </c>
      <c r="Y283" s="22" t="str">
        <f t="shared" si="5"/>
        <v/>
      </c>
      <c r="Z283" s="7">
        <f>IF(ISBLANK(V283), 0, VLOOKUP(V283, 'Price Sheet'!$A$2:$B1015, 2, false))</f>
        <v>0</v>
      </c>
      <c r="AA283" s="33" t="str">
        <f t="shared" si="6"/>
        <v/>
      </c>
      <c r="AB283" s="37"/>
      <c r="AC283" s="29"/>
      <c r="AD283" s="29" t="b">
        <v>0</v>
      </c>
      <c r="AE283" s="22" t="str">
        <f t="shared" si="7"/>
        <v/>
      </c>
      <c r="AF283" s="7">
        <f>IF(ISBLANK(AB283), 0, VLOOKUP(AB283, 'Price Sheet'!$A$2:$B1015, 2, false))</f>
        <v>0</v>
      </c>
      <c r="AG283" s="33" t="str">
        <f t="shared" si="8"/>
        <v/>
      </c>
      <c r="AH283" s="37"/>
      <c r="AI283" s="29"/>
      <c r="AJ283" s="29" t="b">
        <v>0</v>
      </c>
      <c r="AK283" s="22" t="str">
        <f t="shared" si="9"/>
        <v/>
      </c>
      <c r="AL283" s="7">
        <f>IF(ISBLANK(AH283), 0, VLOOKUP(AH283, 'Price Sheet'!$A$2:$B1015, 2, false))</f>
        <v>0</v>
      </c>
      <c r="AM283" s="33" t="str">
        <f t="shared" si="10"/>
        <v/>
      </c>
      <c r="AN283" s="37"/>
      <c r="AO283" s="29"/>
      <c r="AP283" s="29" t="b">
        <v>0</v>
      </c>
      <c r="AQ283" s="22" t="str">
        <f t="shared" si="11"/>
        <v/>
      </c>
      <c r="AR283" s="7">
        <f>IF(ISBLANK(AN283), 0, VLOOKUP(AN283, 'Price Sheet'!$A$2:$B1015, 2, false))</f>
        <v>0</v>
      </c>
      <c r="AS283" s="33" t="str">
        <f t="shared" si="12"/>
        <v/>
      </c>
      <c r="AT283" s="37"/>
      <c r="AU283" s="29"/>
      <c r="AV283" s="29" t="b">
        <v>0</v>
      </c>
      <c r="AW283" s="22" t="str">
        <f t="shared" si="13"/>
        <v/>
      </c>
      <c r="AX283" s="7">
        <f>IF(ISBLANK(AT283), 0, VLOOKUP(AT283, 'Price Sheet'!$A$2:$B1015, 2, false))</f>
        <v>0</v>
      </c>
      <c r="AY283" s="33" t="str">
        <f t="shared" si="14"/>
        <v/>
      </c>
      <c r="AZ283" s="37"/>
      <c r="BA283" s="29"/>
      <c r="BB283" s="29" t="b">
        <v>0</v>
      </c>
      <c r="BC283" s="22" t="str">
        <f t="shared" si="15"/>
        <v/>
      </c>
      <c r="BD283" s="7">
        <f>IF(ISBLANK(AZ283), 0, VLOOKUP(AZ283, 'Price Sheet'!$A$2:$B1015, 2, false))</f>
        <v>0</v>
      </c>
      <c r="BE283" s="33" t="str">
        <f t="shared" si="16"/>
        <v/>
      </c>
      <c r="BF283" s="37"/>
      <c r="BG283" s="29"/>
      <c r="BH283" s="29" t="b">
        <v>0</v>
      </c>
      <c r="BI283" s="22" t="str">
        <f t="shared" si="17"/>
        <v/>
      </c>
      <c r="BJ283" s="7">
        <f>IF(ISBLANK(BF283), 0, VLOOKUP(BF283, 'Price Sheet'!$A$2:$B1015, 2, false))</f>
        <v>0</v>
      </c>
      <c r="BK283" s="33" t="str">
        <f t="shared" si="18"/>
        <v/>
      </c>
      <c r="BL283" s="37"/>
      <c r="BM283" s="29"/>
      <c r="BN283" s="29" t="b">
        <v>0</v>
      </c>
      <c r="BO283" s="22" t="str">
        <f t="shared" si="19"/>
        <v/>
      </c>
      <c r="BP283" s="7">
        <f>IF(ISBLANK(BL283), 0, VLOOKUP(BL283, 'Price Sheet'!$A$2:$B1015, 2, false))</f>
        <v>0</v>
      </c>
      <c r="BQ283" s="33" t="str">
        <f t="shared" si="20"/>
        <v/>
      </c>
    </row>
    <row r="284">
      <c r="B284" s="19">
        <f t="shared" si="1"/>
        <v>0</v>
      </c>
      <c r="C284" s="29"/>
      <c r="D284" s="29"/>
      <c r="E284" s="7" t="str">
        <f>IF(ISBLANK(D284), "", VLOOKUP(D284,'Crafting Tables'!$A$2:$B1015, 2, false))</f>
        <v/>
      </c>
      <c r="F284" s="7" t="str">
        <f>IFERROR(IF(E284 = "None", 1, VLOOKUP(C284,General!$A$5:$L$35, SWITCH(E284, "Basic", 8, "Advanced", 10, "Modern", 12), false)),"")</f>
        <v/>
      </c>
      <c r="G284" s="29"/>
      <c r="H284" s="7">
        <f>IFERROR(VLOOKUP(C284, General!$A$5:$L$35, 6, false) * G284 / 1000, 0)</f>
        <v>0</v>
      </c>
      <c r="I284" s="29"/>
      <c r="J284" s="22" t="str">
        <f>IFERROR(I284*VLOOKUP(D284,'Crafting Tables'!$1:$1000, 4, false)*F284,"")</f>
        <v/>
      </c>
      <c r="K284" s="29" t="b">
        <v>0</v>
      </c>
      <c r="L284" s="37"/>
      <c r="M284" s="29"/>
      <c r="N284" s="21" t="str">
        <f t="shared" si="2"/>
        <v/>
      </c>
      <c r="P284" s="37"/>
      <c r="Q284" s="29"/>
      <c r="R284" s="29" t="b">
        <v>0</v>
      </c>
      <c r="S284" s="22" t="str">
        <f t="shared" si="3"/>
        <v/>
      </c>
      <c r="T284" s="7">
        <f>IF(ISBLANK(P284), 0, VLOOKUP(P284, 'Price Sheet'!$A$2:$B1015, 2, false))</f>
        <v>0</v>
      </c>
      <c r="U284" s="33" t="str">
        <f t="shared" si="4"/>
        <v/>
      </c>
      <c r="V284" s="37"/>
      <c r="W284" s="29"/>
      <c r="X284" s="29" t="b">
        <v>0</v>
      </c>
      <c r="Y284" s="22" t="str">
        <f t="shared" si="5"/>
        <v/>
      </c>
      <c r="Z284" s="7">
        <f>IF(ISBLANK(V284), 0, VLOOKUP(V284, 'Price Sheet'!$A$2:$B1015, 2, false))</f>
        <v>0</v>
      </c>
      <c r="AA284" s="33" t="str">
        <f t="shared" si="6"/>
        <v/>
      </c>
      <c r="AB284" s="37"/>
      <c r="AC284" s="29"/>
      <c r="AD284" s="29" t="b">
        <v>0</v>
      </c>
      <c r="AE284" s="22" t="str">
        <f t="shared" si="7"/>
        <v/>
      </c>
      <c r="AF284" s="7">
        <f>IF(ISBLANK(AB284), 0, VLOOKUP(AB284, 'Price Sheet'!$A$2:$B1015, 2, false))</f>
        <v>0</v>
      </c>
      <c r="AG284" s="33" t="str">
        <f t="shared" si="8"/>
        <v/>
      </c>
      <c r="AH284" s="37"/>
      <c r="AI284" s="29"/>
      <c r="AJ284" s="29" t="b">
        <v>0</v>
      </c>
      <c r="AK284" s="22" t="str">
        <f t="shared" si="9"/>
        <v/>
      </c>
      <c r="AL284" s="7">
        <f>IF(ISBLANK(AH284), 0, VLOOKUP(AH284, 'Price Sheet'!$A$2:$B1015, 2, false))</f>
        <v>0</v>
      </c>
      <c r="AM284" s="33" t="str">
        <f t="shared" si="10"/>
        <v/>
      </c>
      <c r="AN284" s="37"/>
      <c r="AO284" s="29"/>
      <c r="AP284" s="29" t="b">
        <v>0</v>
      </c>
      <c r="AQ284" s="22" t="str">
        <f t="shared" si="11"/>
        <v/>
      </c>
      <c r="AR284" s="7">
        <f>IF(ISBLANK(AN284), 0, VLOOKUP(AN284, 'Price Sheet'!$A$2:$B1015, 2, false))</f>
        <v>0</v>
      </c>
      <c r="AS284" s="33" t="str">
        <f t="shared" si="12"/>
        <v/>
      </c>
      <c r="AT284" s="37"/>
      <c r="AU284" s="29"/>
      <c r="AV284" s="29" t="b">
        <v>0</v>
      </c>
      <c r="AW284" s="22" t="str">
        <f t="shared" si="13"/>
        <v/>
      </c>
      <c r="AX284" s="7">
        <f>IF(ISBLANK(AT284), 0, VLOOKUP(AT284, 'Price Sheet'!$A$2:$B1015, 2, false))</f>
        <v>0</v>
      </c>
      <c r="AY284" s="33" t="str">
        <f t="shared" si="14"/>
        <v/>
      </c>
      <c r="AZ284" s="37"/>
      <c r="BA284" s="29"/>
      <c r="BB284" s="29" t="b">
        <v>0</v>
      </c>
      <c r="BC284" s="22" t="str">
        <f t="shared" si="15"/>
        <v/>
      </c>
      <c r="BD284" s="7">
        <f>IF(ISBLANK(AZ284), 0, VLOOKUP(AZ284, 'Price Sheet'!$A$2:$B1015, 2, false))</f>
        <v>0</v>
      </c>
      <c r="BE284" s="33" t="str">
        <f t="shared" si="16"/>
        <v/>
      </c>
      <c r="BF284" s="37"/>
      <c r="BG284" s="29"/>
      <c r="BH284" s="29" t="b">
        <v>0</v>
      </c>
      <c r="BI284" s="22" t="str">
        <f t="shared" si="17"/>
        <v/>
      </c>
      <c r="BJ284" s="7">
        <f>IF(ISBLANK(BF284), 0, VLOOKUP(BF284, 'Price Sheet'!$A$2:$B1015, 2, false))</f>
        <v>0</v>
      </c>
      <c r="BK284" s="33" t="str">
        <f t="shared" si="18"/>
        <v/>
      </c>
      <c r="BL284" s="37"/>
      <c r="BM284" s="29"/>
      <c r="BN284" s="29" t="b">
        <v>0</v>
      </c>
      <c r="BO284" s="22" t="str">
        <f t="shared" si="19"/>
        <v/>
      </c>
      <c r="BP284" s="7">
        <f>IF(ISBLANK(BL284), 0, VLOOKUP(BL284, 'Price Sheet'!$A$2:$B1015, 2, false))</f>
        <v>0</v>
      </c>
      <c r="BQ284" s="33" t="str">
        <f t="shared" si="20"/>
        <v/>
      </c>
    </row>
    <row r="285">
      <c r="B285" s="19">
        <f t="shared" si="1"/>
        <v>0</v>
      </c>
      <c r="C285" s="29"/>
      <c r="D285" s="29"/>
      <c r="E285" s="7" t="str">
        <f>IF(ISBLANK(D285), "", VLOOKUP(D285,'Crafting Tables'!$A$2:$B1015, 2, false))</f>
        <v/>
      </c>
      <c r="F285" s="7" t="str">
        <f>IFERROR(IF(E285 = "None", 1, VLOOKUP(C285,General!$A$5:$L$35, SWITCH(E285, "Basic", 8, "Advanced", 10, "Modern", 12), false)),"")</f>
        <v/>
      </c>
      <c r="G285" s="29"/>
      <c r="H285" s="7">
        <f>IFERROR(VLOOKUP(C285, General!$A$5:$L$35, 6, false) * G285 / 1000, 0)</f>
        <v>0</v>
      </c>
      <c r="I285" s="29"/>
      <c r="J285" s="22" t="str">
        <f>IFERROR(I285*VLOOKUP(D285,'Crafting Tables'!$1:$1000, 4, false)*F285,"")</f>
        <v/>
      </c>
      <c r="K285" s="29" t="b">
        <v>0</v>
      </c>
      <c r="L285" s="37"/>
      <c r="M285" s="29"/>
      <c r="N285" s="21" t="str">
        <f t="shared" si="2"/>
        <v/>
      </c>
      <c r="P285" s="37"/>
      <c r="Q285" s="29"/>
      <c r="R285" s="29" t="b">
        <v>0</v>
      </c>
      <c r="S285" s="22" t="str">
        <f t="shared" si="3"/>
        <v/>
      </c>
      <c r="T285" s="7">
        <f>IF(ISBLANK(P285), 0, VLOOKUP(P285, 'Price Sheet'!$A$2:$B1015, 2, false))</f>
        <v>0</v>
      </c>
      <c r="U285" s="33" t="str">
        <f t="shared" si="4"/>
        <v/>
      </c>
      <c r="V285" s="37"/>
      <c r="W285" s="29"/>
      <c r="X285" s="29" t="b">
        <v>0</v>
      </c>
      <c r="Y285" s="22" t="str">
        <f t="shared" si="5"/>
        <v/>
      </c>
      <c r="Z285" s="7">
        <f>IF(ISBLANK(V285), 0, VLOOKUP(V285, 'Price Sheet'!$A$2:$B1015, 2, false))</f>
        <v>0</v>
      </c>
      <c r="AA285" s="33" t="str">
        <f t="shared" si="6"/>
        <v/>
      </c>
      <c r="AB285" s="37"/>
      <c r="AC285" s="29"/>
      <c r="AD285" s="29" t="b">
        <v>0</v>
      </c>
      <c r="AE285" s="22" t="str">
        <f t="shared" si="7"/>
        <v/>
      </c>
      <c r="AF285" s="7">
        <f>IF(ISBLANK(AB285), 0, VLOOKUP(AB285, 'Price Sheet'!$A$2:$B1015, 2, false))</f>
        <v>0</v>
      </c>
      <c r="AG285" s="33" t="str">
        <f t="shared" si="8"/>
        <v/>
      </c>
      <c r="AH285" s="37"/>
      <c r="AI285" s="29"/>
      <c r="AJ285" s="29" t="b">
        <v>0</v>
      </c>
      <c r="AK285" s="22" t="str">
        <f t="shared" si="9"/>
        <v/>
      </c>
      <c r="AL285" s="7">
        <f>IF(ISBLANK(AH285), 0, VLOOKUP(AH285, 'Price Sheet'!$A$2:$B1015, 2, false))</f>
        <v>0</v>
      </c>
      <c r="AM285" s="33" t="str">
        <f t="shared" si="10"/>
        <v/>
      </c>
      <c r="AN285" s="37"/>
      <c r="AO285" s="29"/>
      <c r="AP285" s="29" t="b">
        <v>0</v>
      </c>
      <c r="AQ285" s="22" t="str">
        <f t="shared" si="11"/>
        <v/>
      </c>
      <c r="AR285" s="7">
        <f>IF(ISBLANK(AN285), 0, VLOOKUP(AN285, 'Price Sheet'!$A$2:$B1015, 2, false))</f>
        <v>0</v>
      </c>
      <c r="AS285" s="33" t="str">
        <f t="shared" si="12"/>
        <v/>
      </c>
      <c r="AT285" s="37"/>
      <c r="AU285" s="29"/>
      <c r="AV285" s="29" t="b">
        <v>0</v>
      </c>
      <c r="AW285" s="22" t="str">
        <f t="shared" si="13"/>
        <v/>
      </c>
      <c r="AX285" s="7">
        <f>IF(ISBLANK(AT285), 0, VLOOKUP(AT285, 'Price Sheet'!$A$2:$B1015, 2, false))</f>
        <v>0</v>
      </c>
      <c r="AY285" s="33" t="str">
        <f t="shared" si="14"/>
        <v/>
      </c>
      <c r="AZ285" s="37"/>
      <c r="BA285" s="29"/>
      <c r="BB285" s="29" t="b">
        <v>0</v>
      </c>
      <c r="BC285" s="22" t="str">
        <f t="shared" si="15"/>
        <v/>
      </c>
      <c r="BD285" s="7">
        <f>IF(ISBLANK(AZ285), 0, VLOOKUP(AZ285, 'Price Sheet'!$A$2:$B1015, 2, false))</f>
        <v>0</v>
      </c>
      <c r="BE285" s="33" t="str">
        <f t="shared" si="16"/>
        <v/>
      </c>
      <c r="BF285" s="37"/>
      <c r="BG285" s="29"/>
      <c r="BH285" s="29" t="b">
        <v>0</v>
      </c>
      <c r="BI285" s="22" t="str">
        <f t="shared" si="17"/>
        <v/>
      </c>
      <c r="BJ285" s="7">
        <f>IF(ISBLANK(BF285), 0, VLOOKUP(BF285, 'Price Sheet'!$A$2:$B1015, 2, false))</f>
        <v>0</v>
      </c>
      <c r="BK285" s="33" t="str">
        <f t="shared" si="18"/>
        <v/>
      </c>
      <c r="BL285" s="37"/>
      <c r="BM285" s="29"/>
      <c r="BN285" s="29" t="b">
        <v>0</v>
      </c>
      <c r="BO285" s="22" t="str">
        <f t="shared" si="19"/>
        <v/>
      </c>
      <c r="BP285" s="7">
        <f>IF(ISBLANK(BL285), 0, VLOOKUP(BL285, 'Price Sheet'!$A$2:$B1015, 2, false))</f>
        <v>0</v>
      </c>
      <c r="BQ285" s="33" t="str">
        <f t="shared" si="20"/>
        <v/>
      </c>
    </row>
    <row r="286">
      <c r="B286" s="19">
        <f t="shared" si="1"/>
        <v>0</v>
      </c>
      <c r="C286" s="29"/>
      <c r="D286" s="29"/>
      <c r="E286" s="7" t="str">
        <f>IF(ISBLANK(D286), "", VLOOKUP(D286,'Crafting Tables'!$A$2:$B1015, 2, false))</f>
        <v/>
      </c>
      <c r="F286" s="7" t="str">
        <f>IFERROR(IF(E286 = "None", 1, VLOOKUP(C286,General!$A$5:$L$35, SWITCH(E286, "Basic", 8, "Advanced", 10, "Modern", 12), false)),"")</f>
        <v/>
      </c>
      <c r="G286" s="29"/>
      <c r="H286" s="7">
        <f>IFERROR(VLOOKUP(C286, General!$A$5:$L$35, 6, false) * G286 / 1000, 0)</f>
        <v>0</v>
      </c>
      <c r="I286" s="29"/>
      <c r="J286" s="22" t="str">
        <f>IFERROR(I286*VLOOKUP(D286,'Crafting Tables'!$1:$1000, 4, false)*F286,"")</f>
        <v/>
      </c>
      <c r="K286" s="29" t="b">
        <v>0</v>
      </c>
      <c r="L286" s="37"/>
      <c r="M286" s="29"/>
      <c r="N286" s="21" t="str">
        <f t="shared" si="2"/>
        <v/>
      </c>
      <c r="P286" s="37"/>
      <c r="Q286" s="29"/>
      <c r="R286" s="29" t="b">
        <v>0</v>
      </c>
      <c r="S286" s="22" t="str">
        <f t="shared" si="3"/>
        <v/>
      </c>
      <c r="T286" s="7">
        <f>IF(ISBLANK(P286), 0, VLOOKUP(P286, 'Price Sheet'!$A$2:$B1015, 2, false))</f>
        <v>0</v>
      </c>
      <c r="U286" s="33" t="str">
        <f t="shared" si="4"/>
        <v/>
      </c>
      <c r="V286" s="37"/>
      <c r="W286" s="29"/>
      <c r="X286" s="29" t="b">
        <v>0</v>
      </c>
      <c r="Y286" s="22" t="str">
        <f t="shared" si="5"/>
        <v/>
      </c>
      <c r="Z286" s="7">
        <f>IF(ISBLANK(V286), 0, VLOOKUP(V286, 'Price Sheet'!$A$2:$B1015, 2, false))</f>
        <v>0</v>
      </c>
      <c r="AA286" s="33" t="str">
        <f t="shared" si="6"/>
        <v/>
      </c>
      <c r="AB286" s="37"/>
      <c r="AC286" s="29"/>
      <c r="AD286" s="29" t="b">
        <v>0</v>
      </c>
      <c r="AE286" s="22" t="str">
        <f t="shared" si="7"/>
        <v/>
      </c>
      <c r="AF286" s="7">
        <f>IF(ISBLANK(AB286), 0, VLOOKUP(AB286, 'Price Sheet'!$A$2:$B1015, 2, false))</f>
        <v>0</v>
      </c>
      <c r="AG286" s="33" t="str">
        <f t="shared" si="8"/>
        <v/>
      </c>
      <c r="AH286" s="37"/>
      <c r="AI286" s="29"/>
      <c r="AJ286" s="29" t="b">
        <v>0</v>
      </c>
      <c r="AK286" s="22" t="str">
        <f t="shared" si="9"/>
        <v/>
      </c>
      <c r="AL286" s="7">
        <f>IF(ISBLANK(AH286), 0, VLOOKUP(AH286, 'Price Sheet'!$A$2:$B1015, 2, false))</f>
        <v>0</v>
      </c>
      <c r="AM286" s="33" t="str">
        <f t="shared" si="10"/>
        <v/>
      </c>
      <c r="AN286" s="37"/>
      <c r="AO286" s="29"/>
      <c r="AP286" s="29" t="b">
        <v>0</v>
      </c>
      <c r="AQ286" s="22" t="str">
        <f t="shared" si="11"/>
        <v/>
      </c>
      <c r="AR286" s="7">
        <f>IF(ISBLANK(AN286), 0, VLOOKUP(AN286, 'Price Sheet'!$A$2:$B1015, 2, false))</f>
        <v>0</v>
      </c>
      <c r="AS286" s="33" t="str">
        <f t="shared" si="12"/>
        <v/>
      </c>
      <c r="AT286" s="37"/>
      <c r="AU286" s="29"/>
      <c r="AV286" s="29" t="b">
        <v>0</v>
      </c>
      <c r="AW286" s="22" t="str">
        <f t="shared" si="13"/>
        <v/>
      </c>
      <c r="AX286" s="7">
        <f>IF(ISBLANK(AT286), 0, VLOOKUP(AT286, 'Price Sheet'!$A$2:$B1015, 2, false))</f>
        <v>0</v>
      </c>
      <c r="AY286" s="33" t="str">
        <f t="shared" si="14"/>
        <v/>
      </c>
      <c r="AZ286" s="37"/>
      <c r="BA286" s="29"/>
      <c r="BB286" s="29" t="b">
        <v>0</v>
      </c>
      <c r="BC286" s="22" t="str">
        <f t="shared" si="15"/>
        <v/>
      </c>
      <c r="BD286" s="7">
        <f>IF(ISBLANK(AZ286), 0, VLOOKUP(AZ286, 'Price Sheet'!$A$2:$B1015, 2, false))</f>
        <v>0</v>
      </c>
      <c r="BE286" s="33" t="str">
        <f t="shared" si="16"/>
        <v/>
      </c>
      <c r="BF286" s="37"/>
      <c r="BG286" s="29"/>
      <c r="BH286" s="29" t="b">
        <v>0</v>
      </c>
      <c r="BI286" s="22" t="str">
        <f t="shared" si="17"/>
        <v/>
      </c>
      <c r="BJ286" s="7">
        <f>IF(ISBLANK(BF286), 0, VLOOKUP(BF286, 'Price Sheet'!$A$2:$B1015, 2, false))</f>
        <v>0</v>
      </c>
      <c r="BK286" s="33" t="str">
        <f t="shared" si="18"/>
        <v/>
      </c>
      <c r="BL286" s="37"/>
      <c r="BM286" s="29"/>
      <c r="BN286" s="29" t="b">
        <v>0</v>
      </c>
      <c r="BO286" s="22" t="str">
        <f t="shared" si="19"/>
        <v/>
      </c>
      <c r="BP286" s="7">
        <f>IF(ISBLANK(BL286), 0, VLOOKUP(BL286, 'Price Sheet'!$A$2:$B1015, 2, false))</f>
        <v>0</v>
      </c>
      <c r="BQ286" s="33" t="str">
        <f t="shared" si="20"/>
        <v/>
      </c>
    </row>
    <row r="287">
      <c r="B287" s="19">
        <f t="shared" si="1"/>
        <v>0</v>
      </c>
      <c r="C287" s="29"/>
      <c r="D287" s="29"/>
      <c r="E287" s="7" t="str">
        <f>IF(ISBLANK(D287), "", VLOOKUP(D287,'Crafting Tables'!$A$2:$B1015, 2, false))</f>
        <v/>
      </c>
      <c r="F287" s="7" t="str">
        <f>IFERROR(IF(E287 = "None", 1, VLOOKUP(C287,General!$A$5:$L$35, SWITCH(E287, "Basic", 8, "Advanced", 10, "Modern", 12), false)),"")</f>
        <v/>
      </c>
      <c r="G287" s="29"/>
      <c r="H287" s="7">
        <f>IFERROR(VLOOKUP(C287, General!$A$5:$L$35, 6, false) * G287 / 1000, 0)</f>
        <v>0</v>
      </c>
      <c r="I287" s="29"/>
      <c r="J287" s="22" t="str">
        <f>IFERROR(I287*VLOOKUP(D287,'Crafting Tables'!$1:$1000, 4, false)*F287,"")</f>
        <v/>
      </c>
      <c r="K287" s="29" t="b">
        <v>0</v>
      </c>
      <c r="L287" s="37"/>
      <c r="M287" s="29"/>
      <c r="N287" s="21" t="str">
        <f t="shared" si="2"/>
        <v/>
      </c>
      <c r="P287" s="37"/>
      <c r="Q287" s="29"/>
      <c r="R287" s="29" t="b">
        <v>0</v>
      </c>
      <c r="S287" s="22" t="str">
        <f t="shared" si="3"/>
        <v/>
      </c>
      <c r="T287" s="7">
        <f>IF(ISBLANK(P287), 0, VLOOKUP(P287, 'Price Sheet'!$A$2:$B1015, 2, false))</f>
        <v>0</v>
      </c>
      <c r="U287" s="33" t="str">
        <f t="shared" si="4"/>
        <v/>
      </c>
      <c r="V287" s="37"/>
      <c r="W287" s="29"/>
      <c r="X287" s="29" t="b">
        <v>0</v>
      </c>
      <c r="Y287" s="22" t="str">
        <f t="shared" si="5"/>
        <v/>
      </c>
      <c r="Z287" s="7">
        <f>IF(ISBLANK(V287), 0, VLOOKUP(V287, 'Price Sheet'!$A$2:$B1015, 2, false))</f>
        <v>0</v>
      </c>
      <c r="AA287" s="33" t="str">
        <f t="shared" si="6"/>
        <v/>
      </c>
      <c r="AB287" s="37"/>
      <c r="AC287" s="29"/>
      <c r="AD287" s="29" t="b">
        <v>0</v>
      </c>
      <c r="AE287" s="22" t="str">
        <f t="shared" si="7"/>
        <v/>
      </c>
      <c r="AF287" s="7">
        <f>IF(ISBLANK(AB287), 0, VLOOKUP(AB287, 'Price Sheet'!$A$2:$B1015, 2, false))</f>
        <v>0</v>
      </c>
      <c r="AG287" s="33" t="str">
        <f t="shared" si="8"/>
        <v/>
      </c>
      <c r="AH287" s="37"/>
      <c r="AI287" s="29"/>
      <c r="AJ287" s="29" t="b">
        <v>0</v>
      </c>
      <c r="AK287" s="22" t="str">
        <f t="shared" si="9"/>
        <v/>
      </c>
      <c r="AL287" s="7">
        <f>IF(ISBLANK(AH287), 0, VLOOKUP(AH287, 'Price Sheet'!$A$2:$B1015, 2, false))</f>
        <v>0</v>
      </c>
      <c r="AM287" s="33" t="str">
        <f t="shared" si="10"/>
        <v/>
      </c>
      <c r="AN287" s="37"/>
      <c r="AO287" s="29"/>
      <c r="AP287" s="29" t="b">
        <v>0</v>
      </c>
      <c r="AQ287" s="22" t="str">
        <f t="shared" si="11"/>
        <v/>
      </c>
      <c r="AR287" s="7">
        <f>IF(ISBLANK(AN287), 0, VLOOKUP(AN287, 'Price Sheet'!$A$2:$B1015, 2, false))</f>
        <v>0</v>
      </c>
      <c r="AS287" s="33" t="str">
        <f t="shared" si="12"/>
        <v/>
      </c>
      <c r="AT287" s="37"/>
      <c r="AU287" s="29"/>
      <c r="AV287" s="29" t="b">
        <v>0</v>
      </c>
      <c r="AW287" s="22" t="str">
        <f t="shared" si="13"/>
        <v/>
      </c>
      <c r="AX287" s="7">
        <f>IF(ISBLANK(AT287), 0, VLOOKUP(AT287, 'Price Sheet'!$A$2:$B1015, 2, false))</f>
        <v>0</v>
      </c>
      <c r="AY287" s="33" t="str">
        <f t="shared" si="14"/>
        <v/>
      </c>
      <c r="AZ287" s="37"/>
      <c r="BA287" s="29"/>
      <c r="BB287" s="29" t="b">
        <v>0</v>
      </c>
      <c r="BC287" s="22" t="str">
        <f t="shared" si="15"/>
        <v/>
      </c>
      <c r="BD287" s="7">
        <f>IF(ISBLANK(AZ287), 0, VLOOKUP(AZ287, 'Price Sheet'!$A$2:$B1015, 2, false))</f>
        <v>0</v>
      </c>
      <c r="BE287" s="33" t="str">
        <f t="shared" si="16"/>
        <v/>
      </c>
      <c r="BF287" s="37"/>
      <c r="BG287" s="29"/>
      <c r="BH287" s="29" t="b">
        <v>0</v>
      </c>
      <c r="BI287" s="22" t="str">
        <f t="shared" si="17"/>
        <v/>
      </c>
      <c r="BJ287" s="7">
        <f>IF(ISBLANK(BF287), 0, VLOOKUP(BF287, 'Price Sheet'!$A$2:$B1015, 2, false))</f>
        <v>0</v>
      </c>
      <c r="BK287" s="33" t="str">
        <f t="shared" si="18"/>
        <v/>
      </c>
      <c r="BL287" s="37"/>
      <c r="BM287" s="29"/>
      <c r="BN287" s="29" t="b">
        <v>0</v>
      </c>
      <c r="BO287" s="22" t="str">
        <f t="shared" si="19"/>
        <v/>
      </c>
      <c r="BP287" s="7">
        <f>IF(ISBLANK(BL287), 0, VLOOKUP(BL287, 'Price Sheet'!$A$2:$B1015, 2, false))</f>
        <v>0</v>
      </c>
      <c r="BQ287" s="33" t="str">
        <f t="shared" si="20"/>
        <v/>
      </c>
    </row>
    <row r="288">
      <c r="B288" s="19">
        <f t="shared" si="1"/>
        <v>0</v>
      </c>
      <c r="C288" s="29"/>
      <c r="D288" s="29"/>
      <c r="E288" s="7" t="str">
        <f>IF(ISBLANK(D288), "", VLOOKUP(D288,'Crafting Tables'!$A$2:$B1015, 2, false))</f>
        <v/>
      </c>
      <c r="F288" s="7" t="str">
        <f>IFERROR(IF(E288 = "None", 1, VLOOKUP(C288,General!$A$5:$L$35, SWITCH(E288, "Basic", 8, "Advanced", 10, "Modern", 12), false)),"")</f>
        <v/>
      </c>
      <c r="G288" s="29"/>
      <c r="H288" s="7">
        <f>IFERROR(VLOOKUP(C288, General!$A$5:$L$35, 6, false) * G288 / 1000, 0)</f>
        <v>0</v>
      </c>
      <c r="I288" s="29"/>
      <c r="J288" s="22" t="str">
        <f>IFERROR(I288*VLOOKUP(D288,'Crafting Tables'!$1:$1000, 4, false)*F288,"")</f>
        <v/>
      </c>
      <c r="K288" s="29" t="b">
        <v>0</v>
      </c>
      <c r="L288" s="37"/>
      <c r="M288" s="29"/>
      <c r="N288" s="21" t="str">
        <f t="shared" si="2"/>
        <v/>
      </c>
      <c r="P288" s="37"/>
      <c r="Q288" s="29"/>
      <c r="R288" s="29" t="b">
        <v>0</v>
      </c>
      <c r="S288" s="22" t="str">
        <f t="shared" si="3"/>
        <v/>
      </c>
      <c r="T288" s="7">
        <f>IF(ISBLANK(P288), 0, VLOOKUP(P288, 'Price Sheet'!$A$2:$B1015, 2, false))</f>
        <v>0</v>
      </c>
      <c r="U288" s="33" t="str">
        <f t="shared" si="4"/>
        <v/>
      </c>
      <c r="V288" s="37"/>
      <c r="W288" s="29"/>
      <c r="X288" s="29" t="b">
        <v>0</v>
      </c>
      <c r="Y288" s="22" t="str">
        <f t="shared" si="5"/>
        <v/>
      </c>
      <c r="Z288" s="7">
        <f>IF(ISBLANK(V288), 0, VLOOKUP(V288, 'Price Sheet'!$A$2:$B1015, 2, false))</f>
        <v>0</v>
      </c>
      <c r="AA288" s="33" t="str">
        <f t="shared" si="6"/>
        <v/>
      </c>
      <c r="AB288" s="37"/>
      <c r="AC288" s="29"/>
      <c r="AD288" s="29" t="b">
        <v>0</v>
      </c>
      <c r="AE288" s="22" t="str">
        <f t="shared" si="7"/>
        <v/>
      </c>
      <c r="AF288" s="7">
        <f>IF(ISBLANK(AB288), 0, VLOOKUP(AB288, 'Price Sheet'!$A$2:$B1015, 2, false))</f>
        <v>0</v>
      </c>
      <c r="AG288" s="33" t="str">
        <f t="shared" si="8"/>
        <v/>
      </c>
      <c r="AH288" s="37"/>
      <c r="AI288" s="29"/>
      <c r="AJ288" s="29" t="b">
        <v>0</v>
      </c>
      <c r="AK288" s="22" t="str">
        <f t="shared" si="9"/>
        <v/>
      </c>
      <c r="AL288" s="7">
        <f>IF(ISBLANK(AH288), 0, VLOOKUP(AH288, 'Price Sheet'!$A$2:$B1015, 2, false))</f>
        <v>0</v>
      </c>
      <c r="AM288" s="33" t="str">
        <f t="shared" si="10"/>
        <v/>
      </c>
      <c r="AN288" s="37"/>
      <c r="AO288" s="29"/>
      <c r="AP288" s="29" t="b">
        <v>0</v>
      </c>
      <c r="AQ288" s="22" t="str">
        <f t="shared" si="11"/>
        <v/>
      </c>
      <c r="AR288" s="7">
        <f>IF(ISBLANK(AN288), 0, VLOOKUP(AN288, 'Price Sheet'!$A$2:$B1015, 2, false))</f>
        <v>0</v>
      </c>
      <c r="AS288" s="33" t="str">
        <f t="shared" si="12"/>
        <v/>
      </c>
      <c r="AT288" s="37"/>
      <c r="AU288" s="29"/>
      <c r="AV288" s="29" t="b">
        <v>0</v>
      </c>
      <c r="AW288" s="22" t="str">
        <f t="shared" si="13"/>
        <v/>
      </c>
      <c r="AX288" s="7">
        <f>IF(ISBLANK(AT288), 0, VLOOKUP(AT288, 'Price Sheet'!$A$2:$B1015, 2, false))</f>
        <v>0</v>
      </c>
      <c r="AY288" s="33" t="str">
        <f t="shared" si="14"/>
        <v/>
      </c>
      <c r="AZ288" s="37"/>
      <c r="BA288" s="29"/>
      <c r="BB288" s="29" t="b">
        <v>0</v>
      </c>
      <c r="BC288" s="22" t="str">
        <f t="shared" si="15"/>
        <v/>
      </c>
      <c r="BD288" s="7">
        <f>IF(ISBLANK(AZ288), 0, VLOOKUP(AZ288, 'Price Sheet'!$A$2:$B1015, 2, false))</f>
        <v>0</v>
      </c>
      <c r="BE288" s="33" t="str">
        <f t="shared" si="16"/>
        <v/>
      </c>
      <c r="BF288" s="37"/>
      <c r="BG288" s="29"/>
      <c r="BH288" s="29" t="b">
        <v>0</v>
      </c>
      <c r="BI288" s="22" t="str">
        <f t="shared" si="17"/>
        <v/>
      </c>
      <c r="BJ288" s="7">
        <f>IF(ISBLANK(BF288), 0, VLOOKUP(BF288, 'Price Sheet'!$A$2:$B1015, 2, false))</f>
        <v>0</v>
      </c>
      <c r="BK288" s="33" t="str">
        <f t="shared" si="18"/>
        <v/>
      </c>
      <c r="BL288" s="37"/>
      <c r="BM288" s="29"/>
      <c r="BN288" s="29" t="b">
        <v>0</v>
      </c>
      <c r="BO288" s="22" t="str">
        <f t="shared" si="19"/>
        <v/>
      </c>
      <c r="BP288" s="7">
        <f>IF(ISBLANK(BL288), 0, VLOOKUP(BL288, 'Price Sheet'!$A$2:$B1015, 2, false))</f>
        <v>0</v>
      </c>
      <c r="BQ288" s="33" t="str">
        <f t="shared" si="20"/>
        <v/>
      </c>
    </row>
    <row r="289">
      <c r="B289" s="19">
        <f t="shared" si="1"/>
        <v>0</v>
      </c>
      <c r="C289" s="29"/>
      <c r="D289" s="29"/>
      <c r="E289" s="7" t="str">
        <f>IF(ISBLANK(D289), "", VLOOKUP(D289,'Crafting Tables'!$A$2:$B1015, 2, false))</f>
        <v/>
      </c>
      <c r="F289" s="7" t="str">
        <f>IFERROR(IF(E289 = "None", 1, VLOOKUP(C289,General!$A$5:$L$35, SWITCH(E289, "Basic", 8, "Advanced", 10, "Modern", 12), false)),"")</f>
        <v/>
      </c>
      <c r="G289" s="29"/>
      <c r="H289" s="7">
        <f>IFERROR(VLOOKUP(C289, General!$A$5:$L$35, 6, false) * G289 / 1000, 0)</f>
        <v>0</v>
      </c>
      <c r="I289" s="29"/>
      <c r="J289" s="22" t="str">
        <f>IFERROR(I289*VLOOKUP(D289,'Crafting Tables'!$1:$1000, 4, false)*F289,"")</f>
        <v/>
      </c>
      <c r="K289" s="29" t="b">
        <v>0</v>
      </c>
      <c r="L289" s="37"/>
      <c r="M289" s="29"/>
      <c r="N289" s="21" t="str">
        <f t="shared" si="2"/>
        <v/>
      </c>
      <c r="P289" s="37"/>
      <c r="Q289" s="29"/>
      <c r="R289" s="29" t="b">
        <v>0</v>
      </c>
      <c r="S289" s="22" t="str">
        <f t="shared" si="3"/>
        <v/>
      </c>
      <c r="T289" s="7">
        <f>IF(ISBLANK(P289), 0, VLOOKUP(P289, 'Price Sheet'!$A$2:$B1015, 2, false))</f>
        <v>0</v>
      </c>
      <c r="U289" s="33" t="str">
        <f t="shared" si="4"/>
        <v/>
      </c>
      <c r="V289" s="37"/>
      <c r="W289" s="29"/>
      <c r="X289" s="29" t="b">
        <v>0</v>
      </c>
      <c r="Y289" s="22" t="str">
        <f t="shared" si="5"/>
        <v/>
      </c>
      <c r="Z289" s="7">
        <f>IF(ISBLANK(V289), 0, VLOOKUP(V289, 'Price Sheet'!$A$2:$B1015, 2, false))</f>
        <v>0</v>
      </c>
      <c r="AA289" s="33" t="str">
        <f t="shared" si="6"/>
        <v/>
      </c>
      <c r="AB289" s="37"/>
      <c r="AC289" s="29"/>
      <c r="AD289" s="29" t="b">
        <v>0</v>
      </c>
      <c r="AE289" s="22" t="str">
        <f t="shared" si="7"/>
        <v/>
      </c>
      <c r="AF289" s="7">
        <f>IF(ISBLANK(AB289), 0, VLOOKUP(AB289, 'Price Sheet'!$A$2:$B1015, 2, false))</f>
        <v>0</v>
      </c>
      <c r="AG289" s="33" t="str">
        <f t="shared" si="8"/>
        <v/>
      </c>
      <c r="AH289" s="37"/>
      <c r="AI289" s="29"/>
      <c r="AJ289" s="29" t="b">
        <v>0</v>
      </c>
      <c r="AK289" s="22" t="str">
        <f t="shared" si="9"/>
        <v/>
      </c>
      <c r="AL289" s="7">
        <f>IF(ISBLANK(AH289), 0, VLOOKUP(AH289, 'Price Sheet'!$A$2:$B1015, 2, false))</f>
        <v>0</v>
      </c>
      <c r="AM289" s="33" t="str">
        <f t="shared" si="10"/>
        <v/>
      </c>
      <c r="AN289" s="37"/>
      <c r="AO289" s="29"/>
      <c r="AP289" s="29" t="b">
        <v>0</v>
      </c>
      <c r="AQ289" s="22" t="str">
        <f t="shared" si="11"/>
        <v/>
      </c>
      <c r="AR289" s="7">
        <f>IF(ISBLANK(AN289), 0, VLOOKUP(AN289, 'Price Sheet'!$A$2:$B1015, 2, false))</f>
        <v>0</v>
      </c>
      <c r="AS289" s="33" t="str">
        <f t="shared" si="12"/>
        <v/>
      </c>
      <c r="AT289" s="37"/>
      <c r="AU289" s="29"/>
      <c r="AV289" s="29" t="b">
        <v>0</v>
      </c>
      <c r="AW289" s="22" t="str">
        <f t="shared" si="13"/>
        <v/>
      </c>
      <c r="AX289" s="7">
        <f>IF(ISBLANK(AT289), 0, VLOOKUP(AT289, 'Price Sheet'!$A$2:$B1015, 2, false))</f>
        <v>0</v>
      </c>
      <c r="AY289" s="33" t="str">
        <f t="shared" si="14"/>
        <v/>
      </c>
      <c r="AZ289" s="37"/>
      <c r="BA289" s="29"/>
      <c r="BB289" s="29" t="b">
        <v>0</v>
      </c>
      <c r="BC289" s="22" t="str">
        <f t="shared" si="15"/>
        <v/>
      </c>
      <c r="BD289" s="7">
        <f>IF(ISBLANK(AZ289), 0, VLOOKUP(AZ289, 'Price Sheet'!$A$2:$B1015, 2, false))</f>
        <v>0</v>
      </c>
      <c r="BE289" s="33" t="str">
        <f t="shared" si="16"/>
        <v/>
      </c>
      <c r="BF289" s="37"/>
      <c r="BG289" s="29"/>
      <c r="BH289" s="29" t="b">
        <v>0</v>
      </c>
      <c r="BI289" s="22" t="str">
        <f t="shared" si="17"/>
        <v/>
      </c>
      <c r="BJ289" s="7">
        <f>IF(ISBLANK(BF289), 0, VLOOKUP(BF289, 'Price Sheet'!$A$2:$B1015, 2, false))</f>
        <v>0</v>
      </c>
      <c r="BK289" s="33" t="str">
        <f t="shared" si="18"/>
        <v/>
      </c>
      <c r="BL289" s="37"/>
      <c r="BM289" s="29"/>
      <c r="BN289" s="29" t="b">
        <v>0</v>
      </c>
      <c r="BO289" s="22" t="str">
        <f t="shared" si="19"/>
        <v/>
      </c>
      <c r="BP289" s="7">
        <f>IF(ISBLANK(BL289), 0, VLOOKUP(BL289, 'Price Sheet'!$A$2:$B1015, 2, false))</f>
        <v>0</v>
      </c>
      <c r="BQ289" s="33" t="str">
        <f t="shared" si="20"/>
        <v/>
      </c>
    </row>
    <row r="290">
      <c r="B290" s="19">
        <f t="shared" si="1"/>
        <v>0</v>
      </c>
      <c r="C290" s="29"/>
      <c r="D290" s="29"/>
      <c r="E290" s="7" t="str">
        <f>IF(ISBLANK(D290), "", VLOOKUP(D290,'Crafting Tables'!$A$2:$B1015, 2, false))</f>
        <v/>
      </c>
      <c r="F290" s="7" t="str">
        <f>IFERROR(IF(E290 = "None", 1, VLOOKUP(C290,General!$A$5:$L$35, SWITCH(E290, "Basic", 8, "Advanced", 10, "Modern", 12), false)),"")</f>
        <v/>
      </c>
      <c r="G290" s="29"/>
      <c r="H290" s="7">
        <f>IFERROR(VLOOKUP(C290, General!$A$5:$L$35, 6, false) * G290 / 1000, 0)</f>
        <v>0</v>
      </c>
      <c r="I290" s="29"/>
      <c r="J290" s="22" t="str">
        <f>IFERROR(I290*VLOOKUP(D290,'Crafting Tables'!$1:$1000, 4, false)*F290,"")</f>
        <v/>
      </c>
      <c r="K290" s="29" t="b">
        <v>0</v>
      </c>
      <c r="L290" s="37"/>
      <c r="M290" s="29"/>
      <c r="N290" s="21" t="str">
        <f t="shared" si="2"/>
        <v/>
      </c>
      <c r="P290" s="37"/>
      <c r="Q290" s="29"/>
      <c r="R290" s="29" t="b">
        <v>0</v>
      </c>
      <c r="S290" s="22" t="str">
        <f t="shared" si="3"/>
        <v/>
      </c>
      <c r="T290" s="7">
        <f>IF(ISBLANK(P290), 0, VLOOKUP(P290, 'Price Sheet'!$A$2:$B1015, 2, false))</f>
        <v>0</v>
      </c>
      <c r="U290" s="33" t="str">
        <f t="shared" si="4"/>
        <v/>
      </c>
      <c r="V290" s="37"/>
      <c r="W290" s="29"/>
      <c r="X290" s="29" t="b">
        <v>0</v>
      </c>
      <c r="Y290" s="22" t="str">
        <f t="shared" si="5"/>
        <v/>
      </c>
      <c r="Z290" s="7">
        <f>IF(ISBLANK(V290), 0, VLOOKUP(V290, 'Price Sheet'!$A$2:$B1015, 2, false))</f>
        <v>0</v>
      </c>
      <c r="AA290" s="33" t="str">
        <f t="shared" si="6"/>
        <v/>
      </c>
      <c r="AB290" s="37"/>
      <c r="AC290" s="29"/>
      <c r="AD290" s="29" t="b">
        <v>0</v>
      </c>
      <c r="AE290" s="22" t="str">
        <f t="shared" si="7"/>
        <v/>
      </c>
      <c r="AF290" s="7">
        <f>IF(ISBLANK(AB290), 0, VLOOKUP(AB290, 'Price Sheet'!$A$2:$B1015, 2, false))</f>
        <v>0</v>
      </c>
      <c r="AG290" s="33" t="str">
        <f t="shared" si="8"/>
        <v/>
      </c>
      <c r="AH290" s="37"/>
      <c r="AI290" s="29"/>
      <c r="AJ290" s="29" t="b">
        <v>0</v>
      </c>
      <c r="AK290" s="22" t="str">
        <f t="shared" si="9"/>
        <v/>
      </c>
      <c r="AL290" s="7">
        <f>IF(ISBLANK(AH290), 0, VLOOKUP(AH290, 'Price Sheet'!$A$2:$B1015, 2, false))</f>
        <v>0</v>
      </c>
      <c r="AM290" s="33" t="str">
        <f t="shared" si="10"/>
        <v/>
      </c>
      <c r="AN290" s="37"/>
      <c r="AO290" s="29"/>
      <c r="AP290" s="29" t="b">
        <v>0</v>
      </c>
      <c r="AQ290" s="22" t="str">
        <f t="shared" si="11"/>
        <v/>
      </c>
      <c r="AR290" s="7">
        <f>IF(ISBLANK(AN290), 0, VLOOKUP(AN290, 'Price Sheet'!$A$2:$B1015, 2, false))</f>
        <v>0</v>
      </c>
      <c r="AS290" s="33" t="str">
        <f t="shared" si="12"/>
        <v/>
      </c>
      <c r="AT290" s="37"/>
      <c r="AU290" s="29"/>
      <c r="AV290" s="29" t="b">
        <v>0</v>
      </c>
      <c r="AW290" s="22" t="str">
        <f t="shared" si="13"/>
        <v/>
      </c>
      <c r="AX290" s="7">
        <f>IF(ISBLANK(AT290), 0, VLOOKUP(AT290, 'Price Sheet'!$A$2:$B1015, 2, false))</f>
        <v>0</v>
      </c>
      <c r="AY290" s="33" t="str">
        <f t="shared" si="14"/>
        <v/>
      </c>
      <c r="AZ290" s="37"/>
      <c r="BA290" s="29"/>
      <c r="BB290" s="29" t="b">
        <v>0</v>
      </c>
      <c r="BC290" s="22" t="str">
        <f t="shared" si="15"/>
        <v/>
      </c>
      <c r="BD290" s="7">
        <f>IF(ISBLANK(AZ290), 0, VLOOKUP(AZ290, 'Price Sheet'!$A$2:$B1015, 2, false))</f>
        <v>0</v>
      </c>
      <c r="BE290" s="33" t="str">
        <f t="shared" si="16"/>
        <v/>
      </c>
      <c r="BF290" s="37"/>
      <c r="BG290" s="29"/>
      <c r="BH290" s="29" t="b">
        <v>0</v>
      </c>
      <c r="BI290" s="22" t="str">
        <f t="shared" si="17"/>
        <v/>
      </c>
      <c r="BJ290" s="7">
        <f>IF(ISBLANK(BF290), 0, VLOOKUP(BF290, 'Price Sheet'!$A$2:$B1015, 2, false))</f>
        <v>0</v>
      </c>
      <c r="BK290" s="33" t="str">
        <f t="shared" si="18"/>
        <v/>
      </c>
      <c r="BL290" s="37"/>
      <c r="BM290" s="29"/>
      <c r="BN290" s="29" t="b">
        <v>0</v>
      </c>
      <c r="BO290" s="22" t="str">
        <f t="shared" si="19"/>
        <v/>
      </c>
      <c r="BP290" s="7">
        <f>IF(ISBLANK(BL290), 0, VLOOKUP(BL290, 'Price Sheet'!$A$2:$B1015, 2, false))</f>
        <v>0</v>
      </c>
      <c r="BQ290" s="33" t="str">
        <f t="shared" si="20"/>
        <v/>
      </c>
    </row>
    <row r="291">
      <c r="B291" s="19">
        <f t="shared" si="1"/>
        <v>0</v>
      </c>
      <c r="C291" s="29"/>
      <c r="D291" s="29"/>
      <c r="E291" s="7" t="str">
        <f>IF(ISBLANK(D291), "", VLOOKUP(D291,'Crafting Tables'!$A$2:$B1015, 2, false))</f>
        <v/>
      </c>
      <c r="F291" s="7" t="str">
        <f>IFERROR(IF(E291 = "None", 1, VLOOKUP(C291,General!$A$5:$L$35, SWITCH(E291, "Basic", 8, "Advanced", 10, "Modern", 12), false)),"")</f>
        <v/>
      </c>
      <c r="G291" s="29"/>
      <c r="H291" s="7">
        <f>IFERROR(VLOOKUP(C291, General!$A$5:$L$35, 6, false) * G291 / 1000, 0)</f>
        <v>0</v>
      </c>
      <c r="I291" s="29"/>
      <c r="J291" s="22" t="str">
        <f>IFERROR(I291*VLOOKUP(D291,'Crafting Tables'!$1:$1000, 4, false)*F291,"")</f>
        <v/>
      </c>
      <c r="K291" s="29" t="b">
        <v>0</v>
      </c>
      <c r="L291" s="37"/>
      <c r="M291" s="29"/>
      <c r="N291" s="21" t="str">
        <f t="shared" si="2"/>
        <v/>
      </c>
      <c r="P291" s="37"/>
      <c r="Q291" s="29"/>
      <c r="R291" s="29" t="b">
        <v>0</v>
      </c>
      <c r="S291" s="22" t="str">
        <f t="shared" si="3"/>
        <v/>
      </c>
      <c r="T291" s="7">
        <f>IF(ISBLANK(P291), 0, VLOOKUP(P291, 'Price Sheet'!$A$2:$B1015, 2, false))</f>
        <v>0</v>
      </c>
      <c r="U291" s="33" t="str">
        <f t="shared" si="4"/>
        <v/>
      </c>
      <c r="V291" s="37"/>
      <c r="W291" s="29"/>
      <c r="X291" s="29" t="b">
        <v>0</v>
      </c>
      <c r="Y291" s="22" t="str">
        <f t="shared" si="5"/>
        <v/>
      </c>
      <c r="Z291" s="7">
        <f>IF(ISBLANK(V291), 0, VLOOKUP(V291, 'Price Sheet'!$A$2:$B1015, 2, false))</f>
        <v>0</v>
      </c>
      <c r="AA291" s="33" t="str">
        <f t="shared" si="6"/>
        <v/>
      </c>
      <c r="AB291" s="37"/>
      <c r="AC291" s="29"/>
      <c r="AD291" s="29" t="b">
        <v>0</v>
      </c>
      <c r="AE291" s="22" t="str">
        <f t="shared" si="7"/>
        <v/>
      </c>
      <c r="AF291" s="7">
        <f>IF(ISBLANK(AB291), 0, VLOOKUP(AB291, 'Price Sheet'!$A$2:$B1015, 2, false))</f>
        <v>0</v>
      </c>
      <c r="AG291" s="33" t="str">
        <f t="shared" si="8"/>
        <v/>
      </c>
      <c r="AH291" s="37"/>
      <c r="AI291" s="29"/>
      <c r="AJ291" s="29" t="b">
        <v>0</v>
      </c>
      <c r="AK291" s="22" t="str">
        <f t="shared" si="9"/>
        <v/>
      </c>
      <c r="AL291" s="7">
        <f>IF(ISBLANK(AH291), 0, VLOOKUP(AH291, 'Price Sheet'!$A$2:$B1015, 2, false))</f>
        <v>0</v>
      </c>
      <c r="AM291" s="33" t="str">
        <f t="shared" si="10"/>
        <v/>
      </c>
      <c r="AN291" s="37"/>
      <c r="AO291" s="29"/>
      <c r="AP291" s="29" t="b">
        <v>0</v>
      </c>
      <c r="AQ291" s="22" t="str">
        <f t="shared" si="11"/>
        <v/>
      </c>
      <c r="AR291" s="7">
        <f>IF(ISBLANK(AN291), 0, VLOOKUP(AN291, 'Price Sheet'!$A$2:$B1015, 2, false))</f>
        <v>0</v>
      </c>
      <c r="AS291" s="33" t="str">
        <f t="shared" si="12"/>
        <v/>
      </c>
      <c r="AT291" s="37"/>
      <c r="AU291" s="29"/>
      <c r="AV291" s="29" t="b">
        <v>0</v>
      </c>
      <c r="AW291" s="22" t="str">
        <f t="shared" si="13"/>
        <v/>
      </c>
      <c r="AX291" s="7">
        <f>IF(ISBLANK(AT291), 0, VLOOKUP(AT291, 'Price Sheet'!$A$2:$B1015, 2, false))</f>
        <v>0</v>
      </c>
      <c r="AY291" s="33" t="str">
        <f t="shared" si="14"/>
        <v/>
      </c>
      <c r="AZ291" s="37"/>
      <c r="BA291" s="29"/>
      <c r="BB291" s="29" t="b">
        <v>0</v>
      </c>
      <c r="BC291" s="22" t="str">
        <f t="shared" si="15"/>
        <v/>
      </c>
      <c r="BD291" s="7">
        <f>IF(ISBLANK(AZ291), 0, VLOOKUP(AZ291, 'Price Sheet'!$A$2:$B1015, 2, false))</f>
        <v>0</v>
      </c>
      <c r="BE291" s="33" t="str">
        <f t="shared" si="16"/>
        <v/>
      </c>
      <c r="BF291" s="37"/>
      <c r="BG291" s="29"/>
      <c r="BH291" s="29" t="b">
        <v>0</v>
      </c>
      <c r="BI291" s="22" t="str">
        <f t="shared" si="17"/>
        <v/>
      </c>
      <c r="BJ291" s="7">
        <f>IF(ISBLANK(BF291), 0, VLOOKUP(BF291, 'Price Sheet'!$A$2:$B1015, 2, false))</f>
        <v>0</v>
      </c>
      <c r="BK291" s="33" t="str">
        <f t="shared" si="18"/>
        <v/>
      </c>
      <c r="BL291" s="37"/>
      <c r="BM291" s="29"/>
      <c r="BN291" s="29" t="b">
        <v>0</v>
      </c>
      <c r="BO291" s="22" t="str">
        <f t="shared" si="19"/>
        <v/>
      </c>
      <c r="BP291" s="7">
        <f>IF(ISBLANK(BL291), 0, VLOOKUP(BL291, 'Price Sheet'!$A$2:$B1015, 2, false))</f>
        <v>0</v>
      </c>
      <c r="BQ291" s="33" t="str">
        <f t="shared" si="20"/>
        <v/>
      </c>
    </row>
    <row r="292">
      <c r="B292" s="19">
        <f t="shared" si="1"/>
        <v>0</v>
      </c>
      <c r="C292" s="29"/>
      <c r="D292" s="29"/>
      <c r="E292" s="7" t="str">
        <f>IF(ISBLANK(D292), "", VLOOKUP(D292,'Crafting Tables'!$A$2:$B1015, 2, false))</f>
        <v/>
      </c>
      <c r="F292" s="7" t="str">
        <f>IFERROR(IF(E292 = "None", 1, VLOOKUP(C292,General!$A$5:$L$35, SWITCH(E292, "Basic", 8, "Advanced", 10, "Modern", 12), false)),"")</f>
        <v/>
      </c>
      <c r="G292" s="29"/>
      <c r="H292" s="7">
        <f>IFERROR(VLOOKUP(C292, General!$A$5:$L$35, 6, false) * G292 / 1000, 0)</f>
        <v>0</v>
      </c>
      <c r="I292" s="29"/>
      <c r="J292" s="22" t="str">
        <f>IFERROR(I292*VLOOKUP(D292,'Crafting Tables'!$1:$1000, 4, false)*F292,"")</f>
        <v/>
      </c>
      <c r="K292" s="29" t="b">
        <v>0</v>
      </c>
      <c r="L292" s="37"/>
      <c r="M292" s="29"/>
      <c r="N292" s="21" t="str">
        <f t="shared" si="2"/>
        <v/>
      </c>
      <c r="P292" s="37"/>
      <c r="Q292" s="29"/>
      <c r="R292" s="29" t="b">
        <v>0</v>
      </c>
      <c r="S292" s="22" t="str">
        <f t="shared" si="3"/>
        <v/>
      </c>
      <c r="T292" s="7">
        <f>IF(ISBLANK(P292), 0, VLOOKUP(P292, 'Price Sheet'!$A$2:$B1015, 2, false))</f>
        <v>0</v>
      </c>
      <c r="U292" s="33" t="str">
        <f t="shared" si="4"/>
        <v/>
      </c>
      <c r="V292" s="37"/>
      <c r="W292" s="29"/>
      <c r="X292" s="29" t="b">
        <v>0</v>
      </c>
      <c r="Y292" s="22" t="str">
        <f t="shared" si="5"/>
        <v/>
      </c>
      <c r="Z292" s="7">
        <f>IF(ISBLANK(V292), 0, VLOOKUP(V292, 'Price Sheet'!$A$2:$B1015, 2, false))</f>
        <v>0</v>
      </c>
      <c r="AA292" s="33" t="str">
        <f t="shared" si="6"/>
        <v/>
      </c>
      <c r="AB292" s="37"/>
      <c r="AC292" s="29"/>
      <c r="AD292" s="29" t="b">
        <v>0</v>
      </c>
      <c r="AE292" s="22" t="str">
        <f t="shared" si="7"/>
        <v/>
      </c>
      <c r="AF292" s="7">
        <f>IF(ISBLANK(AB292), 0, VLOOKUP(AB292, 'Price Sheet'!$A$2:$B1015, 2, false))</f>
        <v>0</v>
      </c>
      <c r="AG292" s="33" t="str">
        <f t="shared" si="8"/>
        <v/>
      </c>
      <c r="AH292" s="37"/>
      <c r="AI292" s="29"/>
      <c r="AJ292" s="29" t="b">
        <v>0</v>
      </c>
      <c r="AK292" s="22" t="str">
        <f t="shared" si="9"/>
        <v/>
      </c>
      <c r="AL292" s="7">
        <f>IF(ISBLANK(AH292), 0, VLOOKUP(AH292, 'Price Sheet'!$A$2:$B1015, 2, false))</f>
        <v>0</v>
      </c>
      <c r="AM292" s="33" t="str">
        <f t="shared" si="10"/>
        <v/>
      </c>
      <c r="AN292" s="37"/>
      <c r="AO292" s="29"/>
      <c r="AP292" s="29" t="b">
        <v>0</v>
      </c>
      <c r="AQ292" s="22" t="str">
        <f t="shared" si="11"/>
        <v/>
      </c>
      <c r="AR292" s="7">
        <f>IF(ISBLANK(AN292), 0, VLOOKUP(AN292, 'Price Sheet'!$A$2:$B1015, 2, false))</f>
        <v>0</v>
      </c>
      <c r="AS292" s="33" t="str">
        <f t="shared" si="12"/>
        <v/>
      </c>
      <c r="AT292" s="37"/>
      <c r="AU292" s="29"/>
      <c r="AV292" s="29" t="b">
        <v>0</v>
      </c>
      <c r="AW292" s="22" t="str">
        <f t="shared" si="13"/>
        <v/>
      </c>
      <c r="AX292" s="7">
        <f>IF(ISBLANK(AT292), 0, VLOOKUP(AT292, 'Price Sheet'!$A$2:$B1015, 2, false))</f>
        <v>0</v>
      </c>
      <c r="AY292" s="33" t="str">
        <f t="shared" si="14"/>
        <v/>
      </c>
      <c r="AZ292" s="37"/>
      <c r="BA292" s="29"/>
      <c r="BB292" s="29" t="b">
        <v>0</v>
      </c>
      <c r="BC292" s="22" t="str">
        <f t="shared" si="15"/>
        <v/>
      </c>
      <c r="BD292" s="7">
        <f>IF(ISBLANK(AZ292), 0, VLOOKUP(AZ292, 'Price Sheet'!$A$2:$B1015, 2, false))</f>
        <v>0</v>
      </c>
      <c r="BE292" s="33" t="str">
        <f t="shared" si="16"/>
        <v/>
      </c>
      <c r="BF292" s="37"/>
      <c r="BG292" s="29"/>
      <c r="BH292" s="29" t="b">
        <v>0</v>
      </c>
      <c r="BI292" s="22" t="str">
        <f t="shared" si="17"/>
        <v/>
      </c>
      <c r="BJ292" s="7">
        <f>IF(ISBLANK(BF292), 0, VLOOKUP(BF292, 'Price Sheet'!$A$2:$B1015, 2, false))</f>
        <v>0</v>
      </c>
      <c r="BK292" s="33" t="str">
        <f t="shared" si="18"/>
        <v/>
      </c>
      <c r="BL292" s="37"/>
      <c r="BM292" s="29"/>
      <c r="BN292" s="29" t="b">
        <v>0</v>
      </c>
      <c r="BO292" s="22" t="str">
        <f t="shared" si="19"/>
        <v/>
      </c>
      <c r="BP292" s="7">
        <f>IF(ISBLANK(BL292), 0, VLOOKUP(BL292, 'Price Sheet'!$A$2:$B1015, 2, false))</f>
        <v>0</v>
      </c>
      <c r="BQ292" s="33" t="str">
        <f t="shared" si="20"/>
        <v/>
      </c>
    </row>
    <row r="293">
      <c r="B293" s="19">
        <f t="shared" si="1"/>
        <v>0</v>
      </c>
      <c r="C293" s="29"/>
      <c r="D293" s="29"/>
      <c r="E293" s="7" t="str">
        <f>IF(ISBLANK(D293), "", VLOOKUP(D293,'Crafting Tables'!$A$2:$B1015, 2, false))</f>
        <v/>
      </c>
      <c r="F293" s="7" t="str">
        <f>IFERROR(IF(E293 = "None", 1, VLOOKUP(C293,General!$A$5:$L$35, SWITCH(E293, "Basic", 8, "Advanced", 10, "Modern", 12), false)),"")</f>
        <v/>
      </c>
      <c r="G293" s="29"/>
      <c r="H293" s="7">
        <f>IFERROR(VLOOKUP(C293, General!$A$5:$L$35, 6, false) * G293 / 1000, 0)</f>
        <v>0</v>
      </c>
      <c r="I293" s="29"/>
      <c r="J293" s="22" t="str">
        <f>IFERROR(I293*VLOOKUP(D293,'Crafting Tables'!$1:$1000, 4, false)*F293,"")</f>
        <v/>
      </c>
      <c r="K293" s="29" t="b">
        <v>0</v>
      </c>
      <c r="L293" s="37"/>
      <c r="M293" s="29"/>
      <c r="N293" s="21" t="str">
        <f t="shared" si="2"/>
        <v/>
      </c>
      <c r="P293" s="37"/>
      <c r="Q293" s="29"/>
      <c r="R293" s="29" t="b">
        <v>0</v>
      </c>
      <c r="S293" s="22" t="str">
        <f t="shared" si="3"/>
        <v/>
      </c>
      <c r="T293" s="7">
        <f>IF(ISBLANK(P293), 0, VLOOKUP(P293, 'Price Sheet'!$A$2:$B1015, 2, false))</f>
        <v>0</v>
      </c>
      <c r="U293" s="33" t="str">
        <f t="shared" si="4"/>
        <v/>
      </c>
      <c r="V293" s="37"/>
      <c r="W293" s="29"/>
      <c r="X293" s="29" t="b">
        <v>0</v>
      </c>
      <c r="Y293" s="22" t="str">
        <f t="shared" si="5"/>
        <v/>
      </c>
      <c r="Z293" s="7">
        <f>IF(ISBLANK(V293), 0, VLOOKUP(V293, 'Price Sheet'!$A$2:$B1015, 2, false))</f>
        <v>0</v>
      </c>
      <c r="AA293" s="33" t="str">
        <f t="shared" si="6"/>
        <v/>
      </c>
      <c r="AB293" s="37"/>
      <c r="AC293" s="29"/>
      <c r="AD293" s="29" t="b">
        <v>0</v>
      </c>
      <c r="AE293" s="22" t="str">
        <f t="shared" si="7"/>
        <v/>
      </c>
      <c r="AF293" s="7">
        <f>IF(ISBLANK(AB293), 0, VLOOKUP(AB293, 'Price Sheet'!$A$2:$B1015, 2, false))</f>
        <v>0</v>
      </c>
      <c r="AG293" s="33" t="str">
        <f t="shared" si="8"/>
        <v/>
      </c>
      <c r="AH293" s="37"/>
      <c r="AI293" s="29"/>
      <c r="AJ293" s="29" t="b">
        <v>0</v>
      </c>
      <c r="AK293" s="22" t="str">
        <f t="shared" si="9"/>
        <v/>
      </c>
      <c r="AL293" s="7">
        <f>IF(ISBLANK(AH293), 0, VLOOKUP(AH293, 'Price Sheet'!$A$2:$B1015, 2, false))</f>
        <v>0</v>
      </c>
      <c r="AM293" s="33" t="str">
        <f t="shared" si="10"/>
        <v/>
      </c>
      <c r="AN293" s="37"/>
      <c r="AO293" s="29"/>
      <c r="AP293" s="29" t="b">
        <v>0</v>
      </c>
      <c r="AQ293" s="22" t="str">
        <f t="shared" si="11"/>
        <v/>
      </c>
      <c r="AR293" s="7">
        <f>IF(ISBLANK(AN293), 0, VLOOKUP(AN293, 'Price Sheet'!$A$2:$B1015, 2, false))</f>
        <v>0</v>
      </c>
      <c r="AS293" s="33" t="str">
        <f t="shared" si="12"/>
        <v/>
      </c>
      <c r="AT293" s="37"/>
      <c r="AU293" s="29"/>
      <c r="AV293" s="29" t="b">
        <v>0</v>
      </c>
      <c r="AW293" s="22" t="str">
        <f t="shared" si="13"/>
        <v/>
      </c>
      <c r="AX293" s="7">
        <f>IF(ISBLANK(AT293), 0, VLOOKUP(AT293, 'Price Sheet'!$A$2:$B1015, 2, false))</f>
        <v>0</v>
      </c>
      <c r="AY293" s="33" t="str">
        <f t="shared" si="14"/>
        <v/>
      </c>
      <c r="AZ293" s="37"/>
      <c r="BA293" s="29"/>
      <c r="BB293" s="29" t="b">
        <v>0</v>
      </c>
      <c r="BC293" s="22" t="str">
        <f t="shared" si="15"/>
        <v/>
      </c>
      <c r="BD293" s="7">
        <f>IF(ISBLANK(AZ293), 0, VLOOKUP(AZ293, 'Price Sheet'!$A$2:$B1015, 2, false))</f>
        <v>0</v>
      </c>
      <c r="BE293" s="33" t="str">
        <f t="shared" si="16"/>
        <v/>
      </c>
      <c r="BF293" s="37"/>
      <c r="BG293" s="29"/>
      <c r="BH293" s="29" t="b">
        <v>0</v>
      </c>
      <c r="BI293" s="22" t="str">
        <f t="shared" si="17"/>
        <v/>
      </c>
      <c r="BJ293" s="7">
        <f>IF(ISBLANK(BF293), 0, VLOOKUP(BF293, 'Price Sheet'!$A$2:$B1015, 2, false))</f>
        <v>0</v>
      </c>
      <c r="BK293" s="33" t="str">
        <f t="shared" si="18"/>
        <v/>
      </c>
      <c r="BL293" s="37"/>
      <c r="BM293" s="29"/>
      <c r="BN293" s="29" t="b">
        <v>0</v>
      </c>
      <c r="BO293" s="22" t="str">
        <f t="shared" si="19"/>
        <v/>
      </c>
      <c r="BP293" s="7">
        <f>IF(ISBLANK(BL293), 0, VLOOKUP(BL293, 'Price Sheet'!$A$2:$B1015, 2, false))</f>
        <v>0</v>
      </c>
      <c r="BQ293" s="33" t="str">
        <f t="shared" si="20"/>
        <v/>
      </c>
    </row>
    <row r="294">
      <c r="B294" s="19">
        <f t="shared" si="1"/>
        <v>0</v>
      </c>
      <c r="C294" s="29"/>
      <c r="D294" s="29"/>
      <c r="E294" s="7" t="str">
        <f>IF(ISBLANK(D294), "", VLOOKUP(D294,'Crafting Tables'!$A$2:$B1015, 2, false))</f>
        <v/>
      </c>
      <c r="F294" s="7" t="str">
        <f>IFERROR(IF(E294 = "None", 1, VLOOKUP(C294,General!$A$5:$L$35, SWITCH(E294, "Basic", 8, "Advanced", 10, "Modern", 12), false)),"")</f>
        <v/>
      </c>
      <c r="G294" s="29"/>
      <c r="H294" s="7">
        <f>IFERROR(VLOOKUP(C294, General!$A$5:$L$35, 6, false) * G294 / 1000, 0)</f>
        <v>0</v>
      </c>
      <c r="I294" s="29"/>
      <c r="J294" s="22" t="str">
        <f>IFERROR(I294*VLOOKUP(D294,'Crafting Tables'!$1:$1000, 4, false)*F294,"")</f>
        <v/>
      </c>
      <c r="K294" s="29" t="b">
        <v>0</v>
      </c>
      <c r="L294" s="37"/>
      <c r="M294" s="29"/>
      <c r="N294" s="21" t="str">
        <f t="shared" si="2"/>
        <v/>
      </c>
      <c r="P294" s="37"/>
      <c r="Q294" s="29"/>
      <c r="R294" s="29" t="b">
        <v>0</v>
      </c>
      <c r="S294" s="22" t="str">
        <f t="shared" si="3"/>
        <v/>
      </c>
      <c r="T294" s="7">
        <f>IF(ISBLANK(P294), 0, VLOOKUP(P294, 'Price Sheet'!$A$2:$B1015, 2, false))</f>
        <v>0</v>
      </c>
      <c r="U294" s="33" t="str">
        <f t="shared" si="4"/>
        <v/>
      </c>
      <c r="V294" s="37"/>
      <c r="W294" s="29"/>
      <c r="X294" s="29" t="b">
        <v>0</v>
      </c>
      <c r="Y294" s="22" t="str">
        <f t="shared" si="5"/>
        <v/>
      </c>
      <c r="Z294" s="7">
        <f>IF(ISBLANK(V294), 0, VLOOKUP(V294, 'Price Sheet'!$A$2:$B1015, 2, false))</f>
        <v>0</v>
      </c>
      <c r="AA294" s="33" t="str">
        <f t="shared" si="6"/>
        <v/>
      </c>
      <c r="AB294" s="37"/>
      <c r="AC294" s="29"/>
      <c r="AD294" s="29" t="b">
        <v>0</v>
      </c>
      <c r="AE294" s="22" t="str">
        <f t="shared" si="7"/>
        <v/>
      </c>
      <c r="AF294" s="7">
        <f>IF(ISBLANK(AB294), 0, VLOOKUP(AB294, 'Price Sheet'!$A$2:$B1015, 2, false))</f>
        <v>0</v>
      </c>
      <c r="AG294" s="33" t="str">
        <f t="shared" si="8"/>
        <v/>
      </c>
      <c r="AH294" s="37"/>
      <c r="AI294" s="29"/>
      <c r="AJ294" s="29" t="b">
        <v>0</v>
      </c>
      <c r="AK294" s="22" t="str">
        <f t="shared" si="9"/>
        <v/>
      </c>
      <c r="AL294" s="7">
        <f>IF(ISBLANK(AH294), 0, VLOOKUP(AH294, 'Price Sheet'!$A$2:$B1015, 2, false))</f>
        <v>0</v>
      </c>
      <c r="AM294" s="33" t="str">
        <f t="shared" si="10"/>
        <v/>
      </c>
      <c r="AN294" s="37"/>
      <c r="AO294" s="29"/>
      <c r="AP294" s="29" t="b">
        <v>0</v>
      </c>
      <c r="AQ294" s="22" t="str">
        <f t="shared" si="11"/>
        <v/>
      </c>
      <c r="AR294" s="7">
        <f>IF(ISBLANK(AN294), 0, VLOOKUP(AN294, 'Price Sheet'!$A$2:$B1015, 2, false))</f>
        <v>0</v>
      </c>
      <c r="AS294" s="33" t="str">
        <f t="shared" si="12"/>
        <v/>
      </c>
      <c r="AT294" s="37"/>
      <c r="AU294" s="29"/>
      <c r="AV294" s="29" t="b">
        <v>0</v>
      </c>
      <c r="AW294" s="22" t="str">
        <f t="shared" si="13"/>
        <v/>
      </c>
      <c r="AX294" s="7">
        <f>IF(ISBLANK(AT294), 0, VLOOKUP(AT294, 'Price Sheet'!$A$2:$B1015, 2, false))</f>
        <v>0</v>
      </c>
      <c r="AY294" s="33" t="str">
        <f t="shared" si="14"/>
        <v/>
      </c>
      <c r="AZ294" s="37"/>
      <c r="BA294" s="29"/>
      <c r="BB294" s="29" t="b">
        <v>0</v>
      </c>
      <c r="BC294" s="22" t="str">
        <f t="shared" si="15"/>
        <v/>
      </c>
      <c r="BD294" s="7">
        <f>IF(ISBLANK(AZ294), 0, VLOOKUP(AZ294, 'Price Sheet'!$A$2:$B1015, 2, false))</f>
        <v>0</v>
      </c>
      <c r="BE294" s="33" t="str">
        <f t="shared" si="16"/>
        <v/>
      </c>
      <c r="BF294" s="37"/>
      <c r="BG294" s="29"/>
      <c r="BH294" s="29" t="b">
        <v>0</v>
      </c>
      <c r="BI294" s="22" t="str">
        <f t="shared" si="17"/>
        <v/>
      </c>
      <c r="BJ294" s="7">
        <f>IF(ISBLANK(BF294), 0, VLOOKUP(BF294, 'Price Sheet'!$A$2:$B1015, 2, false))</f>
        <v>0</v>
      </c>
      <c r="BK294" s="33" t="str">
        <f t="shared" si="18"/>
        <v/>
      </c>
      <c r="BL294" s="37"/>
      <c r="BM294" s="29"/>
      <c r="BN294" s="29" t="b">
        <v>0</v>
      </c>
      <c r="BO294" s="22" t="str">
        <f t="shared" si="19"/>
        <v/>
      </c>
      <c r="BP294" s="7">
        <f>IF(ISBLANK(BL294), 0, VLOOKUP(BL294, 'Price Sheet'!$A$2:$B1015, 2, false))</f>
        <v>0</v>
      </c>
      <c r="BQ294" s="33" t="str">
        <f t="shared" si="20"/>
        <v/>
      </c>
    </row>
    <row r="295">
      <c r="B295" s="19">
        <f t="shared" si="1"/>
        <v>0</v>
      </c>
      <c r="C295" s="29"/>
      <c r="D295" s="29"/>
      <c r="E295" s="7" t="str">
        <f>IF(ISBLANK(D295), "", VLOOKUP(D295,'Crafting Tables'!$A$2:$B1015, 2, false))</f>
        <v/>
      </c>
      <c r="F295" s="7" t="str">
        <f>IFERROR(IF(E295 = "None", 1, VLOOKUP(C295,General!$A$5:$L$35, SWITCH(E295, "Basic", 8, "Advanced", 10, "Modern", 12), false)),"")</f>
        <v/>
      </c>
      <c r="G295" s="29"/>
      <c r="H295" s="7">
        <f>IFERROR(VLOOKUP(C295, General!$A$5:$L$35, 6, false) * G295 / 1000, 0)</f>
        <v>0</v>
      </c>
      <c r="I295" s="29"/>
      <c r="J295" s="22" t="str">
        <f>IFERROR(I295*VLOOKUP(D295,'Crafting Tables'!$1:$1000, 4, false)*F295,"")</f>
        <v/>
      </c>
      <c r="K295" s="29" t="b">
        <v>0</v>
      </c>
      <c r="L295" s="37"/>
      <c r="M295" s="29"/>
      <c r="N295" s="21" t="str">
        <f t="shared" si="2"/>
        <v/>
      </c>
      <c r="P295" s="37"/>
      <c r="Q295" s="29"/>
      <c r="R295" s="29" t="b">
        <v>0</v>
      </c>
      <c r="S295" s="22" t="str">
        <f t="shared" si="3"/>
        <v/>
      </c>
      <c r="T295" s="7">
        <f>IF(ISBLANK(P295), 0, VLOOKUP(P295, 'Price Sheet'!$A$2:$B1015, 2, false))</f>
        <v>0</v>
      </c>
      <c r="U295" s="33" t="str">
        <f t="shared" si="4"/>
        <v/>
      </c>
      <c r="V295" s="37"/>
      <c r="W295" s="29"/>
      <c r="X295" s="29" t="b">
        <v>0</v>
      </c>
      <c r="Y295" s="22" t="str">
        <f t="shared" si="5"/>
        <v/>
      </c>
      <c r="Z295" s="7">
        <f>IF(ISBLANK(V295), 0, VLOOKUP(V295, 'Price Sheet'!$A$2:$B1015, 2, false))</f>
        <v>0</v>
      </c>
      <c r="AA295" s="33" t="str">
        <f t="shared" si="6"/>
        <v/>
      </c>
      <c r="AB295" s="37"/>
      <c r="AC295" s="29"/>
      <c r="AD295" s="29" t="b">
        <v>0</v>
      </c>
      <c r="AE295" s="22" t="str">
        <f t="shared" si="7"/>
        <v/>
      </c>
      <c r="AF295" s="7">
        <f>IF(ISBLANK(AB295), 0, VLOOKUP(AB295, 'Price Sheet'!$A$2:$B1015, 2, false))</f>
        <v>0</v>
      </c>
      <c r="AG295" s="33" t="str">
        <f t="shared" si="8"/>
        <v/>
      </c>
      <c r="AH295" s="37"/>
      <c r="AI295" s="29"/>
      <c r="AJ295" s="29" t="b">
        <v>0</v>
      </c>
      <c r="AK295" s="22" t="str">
        <f t="shared" si="9"/>
        <v/>
      </c>
      <c r="AL295" s="7">
        <f>IF(ISBLANK(AH295), 0, VLOOKUP(AH295, 'Price Sheet'!$A$2:$B1015, 2, false))</f>
        <v>0</v>
      </c>
      <c r="AM295" s="33" t="str">
        <f t="shared" si="10"/>
        <v/>
      </c>
      <c r="AN295" s="37"/>
      <c r="AO295" s="29"/>
      <c r="AP295" s="29" t="b">
        <v>0</v>
      </c>
      <c r="AQ295" s="22" t="str">
        <f t="shared" si="11"/>
        <v/>
      </c>
      <c r="AR295" s="7">
        <f>IF(ISBLANK(AN295), 0, VLOOKUP(AN295, 'Price Sheet'!$A$2:$B1015, 2, false))</f>
        <v>0</v>
      </c>
      <c r="AS295" s="33" t="str">
        <f t="shared" si="12"/>
        <v/>
      </c>
      <c r="AT295" s="37"/>
      <c r="AU295" s="29"/>
      <c r="AV295" s="29" t="b">
        <v>0</v>
      </c>
      <c r="AW295" s="22" t="str">
        <f t="shared" si="13"/>
        <v/>
      </c>
      <c r="AX295" s="7">
        <f>IF(ISBLANK(AT295), 0, VLOOKUP(AT295, 'Price Sheet'!$A$2:$B1015, 2, false))</f>
        <v>0</v>
      </c>
      <c r="AY295" s="33" t="str">
        <f t="shared" si="14"/>
        <v/>
      </c>
      <c r="AZ295" s="37"/>
      <c r="BA295" s="29"/>
      <c r="BB295" s="29" t="b">
        <v>0</v>
      </c>
      <c r="BC295" s="22" t="str">
        <f t="shared" si="15"/>
        <v/>
      </c>
      <c r="BD295" s="7">
        <f>IF(ISBLANK(AZ295), 0, VLOOKUP(AZ295, 'Price Sheet'!$A$2:$B1015, 2, false))</f>
        <v>0</v>
      </c>
      <c r="BE295" s="33" t="str">
        <f t="shared" si="16"/>
        <v/>
      </c>
      <c r="BF295" s="37"/>
      <c r="BG295" s="29"/>
      <c r="BH295" s="29" t="b">
        <v>0</v>
      </c>
      <c r="BI295" s="22" t="str">
        <f t="shared" si="17"/>
        <v/>
      </c>
      <c r="BJ295" s="7">
        <f>IF(ISBLANK(BF295), 0, VLOOKUP(BF295, 'Price Sheet'!$A$2:$B1015, 2, false))</f>
        <v>0</v>
      </c>
      <c r="BK295" s="33" t="str">
        <f t="shared" si="18"/>
        <v/>
      </c>
      <c r="BL295" s="37"/>
      <c r="BM295" s="29"/>
      <c r="BN295" s="29" t="b">
        <v>0</v>
      </c>
      <c r="BO295" s="22" t="str">
        <f t="shared" si="19"/>
        <v/>
      </c>
      <c r="BP295" s="7">
        <f>IF(ISBLANK(BL295), 0, VLOOKUP(BL295, 'Price Sheet'!$A$2:$B1015, 2, false))</f>
        <v>0</v>
      </c>
      <c r="BQ295" s="33" t="str">
        <f t="shared" si="20"/>
        <v/>
      </c>
    </row>
    <row r="296">
      <c r="B296" s="19">
        <f t="shared" si="1"/>
        <v>0</v>
      </c>
      <c r="C296" s="29"/>
      <c r="D296" s="29"/>
      <c r="E296" s="7" t="str">
        <f>IF(ISBLANK(D296), "", VLOOKUP(D296,'Crafting Tables'!$A$2:$B1015, 2, false))</f>
        <v/>
      </c>
      <c r="F296" s="7" t="str">
        <f>IFERROR(IF(E296 = "None", 1, VLOOKUP(C296,General!$A$5:$L$35, SWITCH(E296, "Basic", 8, "Advanced", 10, "Modern", 12), false)),"")</f>
        <v/>
      </c>
      <c r="G296" s="29"/>
      <c r="H296" s="7">
        <f>IFERROR(VLOOKUP(C296, General!$A$5:$L$35, 6, false) * G296 / 1000, 0)</f>
        <v>0</v>
      </c>
      <c r="I296" s="29"/>
      <c r="J296" s="22" t="str">
        <f>IFERROR(I296*VLOOKUP(D296,'Crafting Tables'!$1:$1000, 4, false)*F296,"")</f>
        <v/>
      </c>
      <c r="K296" s="29" t="b">
        <v>0</v>
      </c>
      <c r="L296" s="37"/>
      <c r="M296" s="29"/>
      <c r="N296" s="21" t="str">
        <f t="shared" si="2"/>
        <v/>
      </c>
      <c r="P296" s="37"/>
      <c r="Q296" s="29"/>
      <c r="R296" s="29" t="b">
        <v>0</v>
      </c>
      <c r="S296" s="22" t="str">
        <f t="shared" si="3"/>
        <v/>
      </c>
      <c r="T296" s="7">
        <f>IF(ISBLANK(P296), 0, VLOOKUP(P296, 'Price Sheet'!$A$2:$B1015, 2, false))</f>
        <v>0</v>
      </c>
      <c r="U296" s="33" t="str">
        <f t="shared" si="4"/>
        <v/>
      </c>
      <c r="V296" s="37"/>
      <c r="W296" s="29"/>
      <c r="X296" s="29" t="b">
        <v>0</v>
      </c>
      <c r="Y296" s="22" t="str">
        <f t="shared" si="5"/>
        <v/>
      </c>
      <c r="Z296" s="7">
        <f>IF(ISBLANK(V296), 0, VLOOKUP(V296, 'Price Sheet'!$A$2:$B1015, 2, false))</f>
        <v>0</v>
      </c>
      <c r="AA296" s="33" t="str">
        <f t="shared" si="6"/>
        <v/>
      </c>
      <c r="AB296" s="37"/>
      <c r="AC296" s="29"/>
      <c r="AD296" s="29" t="b">
        <v>0</v>
      </c>
      <c r="AE296" s="22" t="str">
        <f t="shared" si="7"/>
        <v/>
      </c>
      <c r="AF296" s="7">
        <f>IF(ISBLANK(AB296), 0, VLOOKUP(AB296, 'Price Sheet'!$A$2:$B1015, 2, false))</f>
        <v>0</v>
      </c>
      <c r="AG296" s="33" t="str">
        <f t="shared" si="8"/>
        <v/>
      </c>
      <c r="AH296" s="37"/>
      <c r="AI296" s="29"/>
      <c r="AJ296" s="29" t="b">
        <v>0</v>
      </c>
      <c r="AK296" s="22" t="str">
        <f t="shared" si="9"/>
        <v/>
      </c>
      <c r="AL296" s="7">
        <f>IF(ISBLANK(AH296), 0, VLOOKUP(AH296, 'Price Sheet'!$A$2:$B1015, 2, false))</f>
        <v>0</v>
      </c>
      <c r="AM296" s="33" t="str">
        <f t="shared" si="10"/>
        <v/>
      </c>
      <c r="AN296" s="37"/>
      <c r="AO296" s="29"/>
      <c r="AP296" s="29" t="b">
        <v>0</v>
      </c>
      <c r="AQ296" s="22" t="str">
        <f t="shared" si="11"/>
        <v/>
      </c>
      <c r="AR296" s="7">
        <f>IF(ISBLANK(AN296), 0, VLOOKUP(AN296, 'Price Sheet'!$A$2:$B1015, 2, false))</f>
        <v>0</v>
      </c>
      <c r="AS296" s="33" t="str">
        <f t="shared" si="12"/>
        <v/>
      </c>
      <c r="AT296" s="37"/>
      <c r="AU296" s="29"/>
      <c r="AV296" s="29" t="b">
        <v>0</v>
      </c>
      <c r="AW296" s="22" t="str">
        <f t="shared" si="13"/>
        <v/>
      </c>
      <c r="AX296" s="7">
        <f>IF(ISBLANK(AT296), 0, VLOOKUP(AT296, 'Price Sheet'!$A$2:$B1015, 2, false))</f>
        <v>0</v>
      </c>
      <c r="AY296" s="33" t="str">
        <f t="shared" si="14"/>
        <v/>
      </c>
      <c r="AZ296" s="37"/>
      <c r="BA296" s="29"/>
      <c r="BB296" s="29" t="b">
        <v>0</v>
      </c>
      <c r="BC296" s="22" t="str">
        <f t="shared" si="15"/>
        <v/>
      </c>
      <c r="BD296" s="7">
        <f>IF(ISBLANK(AZ296), 0, VLOOKUP(AZ296, 'Price Sheet'!$A$2:$B1015, 2, false))</f>
        <v>0</v>
      </c>
      <c r="BE296" s="33" t="str">
        <f t="shared" si="16"/>
        <v/>
      </c>
      <c r="BF296" s="37"/>
      <c r="BG296" s="29"/>
      <c r="BH296" s="29" t="b">
        <v>0</v>
      </c>
      <c r="BI296" s="22" t="str">
        <f t="shared" si="17"/>
        <v/>
      </c>
      <c r="BJ296" s="7">
        <f>IF(ISBLANK(BF296), 0, VLOOKUP(BF296, 'Price Sheet'!$A$2:$B1015, 2, false))</f>
        <v>0</v>
      </c>
      <c r="BK296" s="33" t="str">
        <f t="shared" si="18"/>
        <v/>
      </c>
      <c r="BL296" s="37"/>
      <c r="BM296" s="29"/>
      <c r="BN296" s="29" t="b">
        <v>0</v>
      </c>
      <c r="BO296" s="22" t="str">
        <f t="shared" si="19"/>
        <v/>
      </c>
      <c r="BP296" s="7">
        <f>IF(ISBLANK(BL296), 0, VLOOKUP(BL296, 'Price Sheet'!$A$2:$B1015, 2, false))</f>
        <v>0</v>
      </c>
      <c r="BQ296" s="33" t="str">
        <f t="shared" si="20"/>
        <v/>
      </c>
    </row>
    <row r="297">
      <c r="B297" s="19">
        <f t="shared" si="1"/>
        <v>0</v>
      </c>
      <c r="C297" s="29"/>
      <c r="D297" s="29"/>
      <c r="E297" s="7" t="str">
        <f>IF(ISBLANK(D297), "", VLOOKUP(D297,'Crafting Tables'!$A$2:$B1015, 2, false))</f>
        <v/>
      </c>
      <c r="F297" s="7" t="str">
        <f>IFERROR(IF(E297 = "None", 1, VLOOKUP(C297,General!$A$5:$L$35, SWITCH(E297, "Basic", 8, "Advanced", 10, "Modern", 12), false)),"")</f>
        <v/>
      </c>
      <c r="G297" s="29"/>
      <c r="H297" s="7">
        <f>IFERROR(VLOOKUP(C297, General!$A$5:$L$35, 6, false) * G297 / 1000, 0)</f>
        <v>0</v>
      </c>
      <c r="I297" s="29"/>
      <c r="J297" s="22" t="str">
        <f>IFERROR(I297*VLOOKUP(D297,'Crafting Tables'!$1:$1000, 4, false)*F297,"")</f>
        <v/>
      </c>
      <c r="K297" s="29" t="b">
        <v>0</v>
      </c>
      <c r="L297" s="37"/>
      <c r="M297" s="29"/>
      <c r="N297" s="21" t="str">
        <f t="shared" si="2"/>
        <v/>
      </c>
      <c r="P297" s="37"/>
      <c r="Q297" s="29"/>
      <c r="R297" s="29" t="b">
        <v>0</v>
      </c>
      <c r="S297" s="22" t="str">
        <f t="shared" si="3"/>
        <v/>
      </c>
      <c r="T297" s="7">
        <f>IF(ISBLANK(P297), 0, VLOOKUP(P297, 'Price Sheet'!$A$2:$B1015, 2, false))</f>
        <v>0</v>
      </c>
      <c r="U297" s="33" t="str">
        <f t="shared" si="4"/>
        <v/>
      </c>
      <c r="V297" s="37"/>
      <c r="W297" s="29"/>
      <c r="X297" s="29" t="b">
        <v>0</v>
      </c>
      <c r="Y297" s="22" t="str">
        <f t="shared" si="5"/>
        <v/>
      </c>
      <c r="Z297" s="7">
        <f>IF(ISBLANK(V297), 0, VLOOKUP(V297, 'Price Sheet'!$A$2:$B1015, 2, false))</f>
        <v>0</v>
      </c>
      <c r="AA297" s="33" t="str">
        <f t="shared" si="6"/>
        <v/>
      </c>
      <c r="AB297" s="37"/>
      <c r="AC297" s="29"/>
      <c r="AD297" s="29" t="b">
        <v>0</v>
      </c>
      <c r="AE297" s="22" t="str">
        <f t="shared" si="7"/>
        <v/>
      </c>
      <c r="AF297" s="7">
        <f>IF(ISBLANK(AB297), 0, VLOOKUP(AB297, 'Price Sheet'!$A$2:$B1015, 2, false))</f>
        <v>0</v>
      </c>
      <c r="AG297" s="33" t="str">
        <f t="shared" si="8"/>
        <v/>
      </c>
      <c r="AH297" s="37"/>
      <c r="AI297" s="29"/>
      <c r="AJ297" s="29" t="b">
        <v>0</v>
      </c>
      <c r="AK297" s="22" t="str">
        <f t="shared" si="9"/>
        <v/>
      </c>
      <c r="AL297" s="7">
        <f>IF(ISBLANK(AH297), 0, VLOOKUP(AH297, 'Price Sheet'!$A$2:$B1015, 2, false))</f>
        <v>0</v>
      </c>
      <c r="AM297" s="33" t="str">
        <f t="shared" si="10"/>
        <v/>
      </c>
      <c r="AN297" s="37"/>
      <c r="AO297" s="29"/>
      <c r="AP297" s="29" t="b">
        <v>0</v>
      </c>
      <c r="AQ297" s="22" t="str">
        <f t="shared" si="11"/>
        <v/>
      </c>
      <c r="AR297" s="7">
        <f>IF(ISBLANK(AN297), 0, VLOOKUP(AN297, 'Price Sheet'!$A$2:$B1015, 2, false))</f>
        <v>0</v>
      </c>
      <c r="AS297" s="33" t="str">
        <f t="shared" si="12"/>
        <v/>
      </c>
      <c r="AT297" s="37"/>
      <c r="AU297" s="29"/>
      <c r="AV297" s="29" t="b">
        <v>0</v>
      </c>
      <c r="AW297" s="22" t="str">
        <f t="shared" si="13"/>
        <v/>
      </c>
      <c r="AX297" s="7">
        <f>IF(ISBLANK(AT297), 0, VLOOKUP(AT297, 'Price Sheet'!$A$2:$B1015, 2, false))</f>
        <v>0</v>
      </c>
      <c r="AY297" s="33" t="str">
        <f t="shared" si="14"/>
        <v/>
      </c>
      <c r="AZ297" s="37"/>
      <c r="BA297" s="29"/>
      <c r="BB297" s="29" t="b">
        <v>0</v>
      </c>
      <c r="BC297" s="22" t="str">
        <f t="shared" si="15"/>
        <v/>
      </c>
      <c r="BD297" s="7">
        <f>IF(ISBLANK(AZ297), 0, VLOOKUP(AZ297, 'Price Sheet'!$A$2:$B1015, 2, false))</f>
        <v>0</v>
      </c>
      <c r="BE297" s="33" t="str">
        <f t="shared" si="16"/>
        <v/>
      </c>
      <c r="BF297" s="37"/>
      <c r="BG297" s="29"/>
      <c r="BH297" s="29" t="b">
        <v>0</v>
      </c>
      <c r="BI297" s="22" t="str">
        <f t="shared" si="17"/>
        <v/>
      </c>
      <c r="BJ297" s="7">
        <f>IF(ISBLANK(BF297), 0, VLOOKUP(BF297, 'Price Sheet'!$A$2:$B1015, 2, false))</f>
        <v>0</v>
      </c>
      <c r="BK297" s="33" t="str">
        <f t="shared" si="18"/>
        <v/>
      </c>
      <c r="BL297" s="37"/>
      <c r="BM297" s="29"/>
      <c r="BN297" s="29" t="b">
        <v>0</v>
      </c>
      <c r="BO297" s="22" t="str">
        <f t="shared" si="19"/>
        <v/>
      </c>
      <c r="BP297" s="7">
        <f>IF(ISBLANK(BL297), 0, VLOOKUP(BL297, 'Price Sheet'!$A$2:$B1015, 2, false))</f>
        <v>0</v>
      </c>
      <c r="BQ297" s="33" t="str">
        <f t="shared" si="20"/>
        <v/>
      </c>
    </row>
    <row r="298">
      <c r="B298" s="19">
        <f t="shared" si="1"/>
        <v>0</v>
      </c>
      <c r="C298" s="29"/>
      <c r="D298" s="29"/>
      <c r="E298" s="7" t="str">
        <f>IF(ISBLANK(D298), "", VLOOKUP(D298,'Crafting Tables'!$A$2:$B1015, 2, false))</f>
        <v/>
      </c>
      <c r="F298" s="7" t="str">
        <f>IFERROR(IF(E298 = "None", 1, VLOOKUP(C298,General!$A$5:$L$35, SWITCH(E298, "Basic", 8, "Advanced", 10, "Modern", 12), false)),"")</f>
        <v/>
      </c>
      <c r="G298" s="29"/>
      <c r="H298" s="7">
        <f>IFERROR(VLOOKUP(C298, General!$A$5:$L$35, 6, false) * G298 / 1000, 0)</f>
        <v>0</v>
      </c>
      <c r="I298" s="29"/>
      <c r="J298" s="22" t="str">
        <f>IFERROR(I298*VLOOKUP(D298,'Crafting Tables'!$1:$1000, 4, false)*F298,"")</f>
        <v/>
      </c>
      <c r="K298" s="29" t="b">
        <v>0</v>
      </c>
      <c r="L298" s="37"/>
      <c r="M298" s="29"/>
      <c r="N298" s="21" t="str">
        <f t="shared" si="2"/>
        <v/>
      </c>
      <c r="P298" s="37"/>
      <c r="Q298" s="29"/>
      <c r="R298" s="29" t="b">
        <v>0</v>
      </c>
      <c r="S298" s="22" t="str">
        <f t="shared" si="3"/>
        <v/>
      </c>
      <c r="T298" s="7">
        <f>IF(ISBLANK(P298), 0, VLOOKUP(P298, 'Price Sheet'!$A$2:$B1015, 2, false))</f>
        <v>0</v>
      </c>
      <c r="U298" s="33" t="str">
        <f t="shared" si="4"/>
        <v/>
      </c>
      <c r="V298" s="37"/>
      <c r="W298" s="29"/>
      <c r="X298" s="29" t="b">
        <v>0</v>
      </c>
      <c r="Y298" s="22" t="str">
        <f t="shared" si="5"/>
        <v/>
      </c>
      <c r="Z298" s="7">
        <f>IF(ISBLANK(V298), 0, VLOOKUP(V298, 'Price Sheet'!$A$2:$B1015, 2, false))</f>
        <v>0</v>
      </c>
      <c r="AA298" s="33" t="str">
        <f t="shared" si="6"/>
        <v/>
      </c>
      <c r="AB298" s="37"/>
      <c r="AC298" s="29"/>
      <c r="AD298" s="29" t="b">
        <v>0</v>
      </c>
      <c r="AE298" s="22" t="str">
        <f t="shared" si="7"/>
        <v/>
      </c>
      <c r="AF298" s="7">
        <f>IF(ISBLANK(AB298), 0, VLOOKUP(AB298, 'Price Sheet'!$A$2:$B1015, 2, false))</f>
        <v>0</v>
      </c>
      <c r="AG298" s="33" t="str">
        <f t="shared" si="8"/>
        <v/>
      </c>
      <c r="AH298" s="37"/>
      <c r="AI298" s="29"/>
      <c r="AJ298" s="29" t="b">
        <v>0</v>
      </c>
      <c r="AK298" s="22" t="str">
        <f t="shared" si="9"/>
        <v/>
      </c>
      <c r="AL298" s="7">
        <f>IF(ISBLANK(AH298), 0, VLOOKUP(AH298, 'Price Sheet'!$A$2:$B1015, 2, false))</f>
        <v>0</v>
      </c>
      <c r="AM298" s="33" t="str">
        <f t="shared" si="10"/>
        <v/>
      </c>
      <c r="AN298" s="37"/>
      <c r="AO298" s="29"/>
      <c r="AP298" s="29" t="b">
        <v>0</v>
      </c>
      <c r="AQ298" s="22" t="str">
        <f t="shared" si="11"/>
        <v/>
      </c>
      <c r="AR298" s="7">
        <f>IF(ISBLANK(AN298), 0, VLOOKUP(AN298, 'Price Sheet'!$A$2:$B1015, 2, false))</f>
        <v>0</v>
      </c>
      <c r="AS298" s="33" t="str">
        <f t="shared" si="12"/>
        <v/>
      </c>
      <c r="AT298" s="37"/>
      <c r="AU298" s="29"/>
      <c r="AV298" s="29" t="b">
        <v>0</v>
      </c>
      <c r="AW298" s="22" t="str">
        <f t="shared" si="13"/>
        <v/>
      </c>
      <c r="AX298" s="7">
        <f>IF(ISBLANK(AT298), 0, VLOOKUP(AT298, 'Price Sheet'!$A$2:$B1015, 2, false))</f>
        <v>0</v>
      </c>
      <c r="AY298" s="33" t="str">
        <f t="shared" si="14"/>
        <v/>
      </c>
      <c r="AZ298" s="37"/>
      <c r="BA298" s="29"/>
      <c r="BB298" s="29" t="b">
        <v>0</v>
      </c>
      <c r="BC298" s="22" t="str">
        <f t="shared" si="15"/>
        <v/>
      </c>
      <c r="BD298" s="7">
        <f>IF(ISBLANK(AZ298), 0, VLOOKUP(AZ298, 'Price Sheet'!$A$2:$B1015, 2, false))</f>
        <v>0</v>
      </c>
      <c r="BE298" s="33" t="str">
        <f t="shared" si="16"/>
        <v/>
      </c>
      <c r="BF298" s="37"/>
      <c r="BG298" s="29"/>
      <c r="BH298" s="29" t="b">
        <v>0</v>
      </c>
      <c r="BI298" s="22" t="str">
        <f t="shared" si="17"/>
        <v/>
      </c>
      <c r="BJ298" s="7">
        <f>IF(ISBLANK(BF298), 0, VLOOKUP(BF298, 'Price Sheet'!$A$2:$B1015, 2, false))</f>
        <v>0</v>
      </c>
      <c r="BK298" s="33" t="str">
        <f t="shared" si="18"/>
        <v/>
      </c>
      <c r="BL298" s="37"/>
      <c r="BM298" s="29"/>
      <c r="BN298" s="29" t="b">
        <v>0</v>
      </c>
      <c r="BO298" s="22" t="str">
        <f t="shared" si="19"/>
        <v/>
      </c>
      <c r="BP298" s="7">
        <f>IF(ISBLANK(BL298), 0, VLOOKUP(BL298, 'Price Sheet'!$A$2:$B1015, 2, false))</f>
        <v>0</v>
      </c>
      <c r="BQ298" s="33" t="str">
        <f t="shared" si="20"/>
        <v/>
      </c>
    </row>
    <row r="299">
      <c r="B299" s="19">
        <f t="shared" si="1"/>
        <v>0</v>
      </c>
      <c r="C299" s="29"/>
      <c r="D299" s="29"/>
      <c r="E299" s="7" t="str">
        <f>IF(ISBLANK(D299), "", VLOOKUP(D299,'Crafting Tables'!$A$2:$B1015, 2, false))</f>
        <v/>
      </c>
      <c r="F299" s="7" t="str">
        <f>IFERROR(IF(E299 = "None", 1, VLOOKUP(C299,General!$A$5:$L$35, SWITCH(E299, "Basic", 8, "Advanced", 10, "Modern", 12), false)),"")</f>
        <v/>
      </c>
      <c r="G299" s="29"/>
      <c r="H299" s="7">
        <f>IFERROR(VLOOKUP(C299, General!$A$5:$L$35, 6, false) * G299 / 1000, 0)</f>
        <v>0</v>
      </c>
      <c r="I299" s="29"/>
      <c r="J299" s="22" t="str">
        <f>IFERROR(I299*VLOOKUP(D299,'Crafting Tables'!$1:$1000, 4, false)*F299,"")</f>
        <v/>
      </c>
      <c r="K299" s="29" t="b">
        <v>0</v>
      </c>
      <c r="L299" s="37"/>
      <c r="M299" s="29"/>
      <c r="N299" s="21" t="str">
        <f t="shared" si="2"/>
        <v/>
      </c>
      <c r="P299" s="37"/>
      <c r="Q299" s="29"/>
      <c r="R299" s="29" t="b">
        <v>0</v>
      </c>
      <c r="S299" s="22" t="str">
        <f t="shared" si="3"/>
        <v/>
      </c>
      <c r="T299" s="7">
        <f>IF(ISBLANK(P299), 0, VLOOKUP(P299, 'Price Sheet'!$A$2:$B1015, 2, false))</f>
        <v>0</v>
      </c>
      <c r="U299" s="33" t="str">
        <f t="shared" si="4"/>
        <v/>
      </c>
      <c r="V299" s="37"/>
      <c r="W299" s="29"/>
      <c r="X299" s="29" t="b">
        <v>0</v>
      </c>
      <c r="Y299" s="22" t="str">
        <f t="shared" si="5"/>
        <v/>
      </c>
      <c r="Z299" s="7">
        <f>IF(ISBLANK(V299), 0, VLOOKUP(V299, 'Price Sheet'!$A$2:$B1015, 2, false))</f>
        <v>0</v>
      </c>
      <c r="AA299" s="33" t="str">
        <f t="shared" si="6"/>
        <v/>
      </c>
      <c r="AB299" s="37"/>
      <c r="AC299" s="29"/>
      <c r="AD299" s="29" t="b">
        <v>0</v>
      </c>
      <c r="AE299" s="22" t="str">
        <f t="shared" si="7"/>
        <v/>
      </c>
      <c r="AF299" s="7">
        <f>IF(ISBLANK(AB299), 0, VLOOKUP(AB299, 'Price Sheet'!$A$2:$B1015, 2, false))</f>
        <v>0</v>
      </c>
      <c r="AG299" s="33" t="str">
        <f t="shared" si="8"/>
        <v/>
      </c>
      <c r="AH299" s="37"/>
      <c r="AI299" s="29"/>
      <c r="AJ299" s="29" t="b">
        <v>0</v>
      </c>
      <c r="AK299" s="22" t="str">
        <f t="shared" si="9"/>
        <v/>
      </c>
      <c r="AL299" s="7">
        <f>IF(ISBLANK(AH299), 0, VLOOKUP(AH299, 'Price Sheet'!$A$2:$B1015, 2, false))</f>
        <v>0</v>
      </c>
      <c r="AM299" s="33" t="str">
        <f t="shared" si="10"/>
        <v/>
      </c>
      <c r="AN299" s="37"/>
      <c r="AO299" s="29"/>
      <c r="AP299" s="29" t="b">
        <v>0</v>
      </c>
      <c r="AQ299" s="22" t="str">
        <f t="shared" si="11"/>
        <v/>
      </c>
      <c r="AR299" s="7">
        <f>IF(ISBLANK(AN299), 0, VLOOKUP(AN299, 'Price Sheet'!$A$2:$B1015, 2, false))</f>
        <v>0</v>
      </c>
      <c r="AS299" s="33" t="str">
        <f t="shared" si="12"/>
        <v/>
      </c>
      <c r="AT299" s="37"/>
      <c r="AU299" s="29"/>
      <c r="AV299" s="29" t="b">
        <v>0</v>
      </c>
      <c r="AW299" s="22" t="str">
        <f t="shared" si="13"/>
        <v/>
      </c>
      <c r="AX299" s="7">
        <f>IF(ISBLANK(AT299), 0, VLOOKUP(AT299, 'Price Sheet'!$A$2:$B1015, 2, false))</f>
        <v>0</v>
      </c>
      <c r="AY299" s="33" t="str">
        <f t="shared" si="14"/>
        <v/>
      </c>
      <c r="AZ299" s="37"/>
      <c r="BA299" s="29"/>
      <c r="BB299" s="29" t="b">
        <v>0</v>
      </c>
      <c r="BC299" s="22" t="str">
        <f t="shared" si="15"/>
        <v/>
      </c>
      <c r="BD299" s="7">
        <f>IF(ISBLANK(AZ299), 0, VLOOKUP(AZ299, 'Price Sheet'!$A$2:$B1015, 2, false))</f>
        <v>0</v>
      </c>
      <c r="BE299" s="33" t="str">
        <f t="shared" si="16"/>
        <v/>
      </c>
      <c r="BF299" s="37"/>
      <c r="BG299" s="29"/>
      <c r="BH299" s="29" t="b">
        <v>0</v>
      </c>
      <c r="BI299" s="22" t="str">
        <f t="shared" si="17"/>
        <v/>
      </c>
      <c r="BJ299" s="7">
        <f>IF(ISBLANK(BF299), 0, VLOOKUP(BF299, 'Price Sheet'!$A$2:$B1015, 2, false))</f>
        <v>0</v>
      </c>
      <c r="BK299" s="33" t="str">
        <f t="shared" si="18"/>
        <v/>
      </c>
      <c r="BL299" s="37"/>
      <c r="BM299" s="29"/>
      <c r="BN299" s="29" t="b">
        <v>0</v>
      </c>
      <c r="BO299" s="22" t="str">
        <f t="shared" si="19"/>
        <v/>
      </c>
      <c r="BP299" s="7">
        <f>IF(ISBLANK(BL299), 0, VLOOKUP(BL299, 'Price Sheet'!$A$2:$B1015, 2, false))</f>
        <v>0</v>
      </c>
      <c r="BQ299" s="33" t="str">
        <f t="shared" si="20"/>
        <v/>
      </c>
    </row>
    <row r="300">
      <c r="B300" s="19"/>
      <c r="C300" s="29"/>
      <c r="D300" s="29"/>
      <c r="E300" s="7" t="str">
        <f>IF(ISBLANK(D300), "", VLOOKUP(D300,'Crafting Tables'!$A$2:$B1015, 2, false))</f>
        <v/>
      </c>
      <c r="F300" s="7" t="str">
        <f>IFERROR(IF(E300 = "None", 1, VLOOKUP(C300,General!$A$5:$L$35, SWITCH(E300, "Basic", 8, "Advanced", 10, "Modern", 12), false)),"")</f>
        <v/>
      </c>
      <c r="G300" s="29"/>
      <c r="H300" s="7">
        <f>IFERROR(VLOOKUP(C300, General!$A$5:$L$35, 6, false) * G300 / 1000, 0)</f>
        <v>0</v>
      </c>
      <c r="I300" s="29"/>
      <c r="J300" s="22" t="str">
        <f>IFERROR(I300*VLOOKUP(D300,'Crafting Tables'!$1:$1000, 4, false)*F300,"")</f>
        <v/>
      </c>
      <c r="K300" s="29" t="b">
        <v>0</v>
      </c>
      <c r="L300" s="37"/>
      <c r="M300" s="29"/>
      <c r="N300" s="21" t="str">
        <f t="shared" si="2"/>
        <v/>
      </c>
      <c r="P300" s="37"/>
      <c r="Q300" s="29"/>
      <c r="R300" s="29" t="b">
        <v>0</v>
      </c>
      <c r="S300" s="22" t="str">
        <f t="shared" si="3"/>
        <v/>
      </c>
      <c r="T300" s="7">
        <f>IF(ISBLANK(P300), 0, VLOOKUP(P300, 'Price Sheet'!$A$2:$B1015, 2, false))</f>
        <v>0</v>
      </c>
      <c r="U300" s="33" t="str">
        <f t="shared" si="4"/>
        <v/>
      </c>
      <c r="V300" s="37"/>
      <c r="W300" s="29"/>
      <c r="X300" s="29" t="b">
        <v>0</v>
      </c>
      <c r="Y300" s="22" t="str">
        <f t="shared" si="5"/>
        <v/>
      </c>
      <c r="Z300" s="7">
        <f>IF(ISBLANK(V300), 0, VLOOKUP(V300, 'Price Sheet'!$A$2:$B1015, 2, false))</f>
        <v>0</v>
      </c>
      <c r="AA300" s="33" t="str">
        <f t="shared" si="6"/>
        <v/>
      </c>
      <c r="AB300" s="37"/>
      <c r="AC300" s="29"/>
      <c r="AD300" s="29" t="b">
        <v>0</v>
      </c>
      <c r="AE300" s="22" t="str">
        <f t="shared" si="7"/>
        <v/>
      </c>
      <c r="AF300" s="7">
        <f>IF(ISBLANK(AB300), 0, VLOOKUP(AB300, 'Price Sheet'!$A$2:$B1015, 2, false))</f>
        <v>0</v>
      </c>
      <c r="AG300" s="33" t="str">
        <f t="shared" si="8"/>
        <v/>
      </c>
      <c r="AH300" s="37"/>
      <c r="AI300" s="29"/>
      <c r="AJ300" s="29" t="b">
        <v>0</v>
      </c>
      <c r="AK300" s="22" t="str">
        <f t="shared" si="9"/>
        <v/>
      </c>
      <c r="AL300" s="7">
        <f>IF(ISBLANK(AH300), 0, VLOOKUP(AH300, 'Price Sheet'!$A$2:$B1015, 2, false))</f>
        <v>0</v>
      </c>
      <c r="AM300" s="33" t="str">
        <f t="shared" si="10"/>
        <v/>
      </c>
      <c r="AN300" s="37"/>
      <c r="AO300" s="29"/>
      <c r="AP300" s="29" t="b">
        <v>0</v>
      </c>
      <c r="AQ300" s="22" t="str">
        <f t="shared" si="11"/>
        <v/>
      </c>
      <c r="AR300" s="7">
        <f>IF(ISBLANK(AN300), 0, VLOOKUP(AN300, 'Price Sheet'!$A$2:$B1015, 2, false))</f>
        <v>0</v>
      </c>
      <c r="AS300" s="33" t="str">
        <f t="shared" si="12"/>
        <v/>
      </c>
      <c r="AT300" s="37"/>
      <c r="AU300" s="29"/>
      <c r="AV300" s="29" t="b">
        <v>0</v>
      </c>
      <c r="AW300" s="22" t="str">
        <f t="shared" si="13"/>
        <v/>
      </c>
      <c r="AX300" s="7">
        <f>IF(ISBLANK(AT300), 0, VLOOKUP(AT300, 'Price Sheet'!$A$2:$B1015, 2, false))</f>
        <v>0</v>
      </c>
      <c r="AY300" s="33" t="str">
        <f t="shared" si="14"/>
        <v/>
      </c>
      <c r="AZ300" s="37"/>
      <c r="BA300" s="29"/>
      <c r="BB300" s="29" t="b">
        <v>0</v>
      </c>
      <c r="BC300" s="22" t="str">
        <f t="shared" si="15"/>
        <v/>
      </c>
      <c r="BD300" s="7">
        <f>IF(ISBLANK(AZ300), 0, VLOOKUP(AZ300, 'Price Sheet'!$A$2:$B1015, 2, false))</f>
        <v>0</v>
      </c>
      <c r="BE300" s="33" t="str">
        <f t="shared" si="16"/>
        <v/>
      </c>
      <c r="BF300" s="37"/>
      <c r="BG300" s="29"/>
      <c r="BH300" s="29" t="b">
        <v>0</v>
      </c>
      <c r="BI300" s="22" t="str">
        <f t="shared" si="17"/>
        <v/>
      </c>
      <c r="BJ300" s="7">
        <f>IF(ISBLANK(BF300), 0, VLOOKUP(BF300, 'Price Sheet'!$A$2:$B1015, 2, false))</f>
        <v>0</v>
      </c>
      <c r="BK300" s="33" t="str">
        <f t="shared" si="18"/>
        <v/>
      </c>
      <c r="BL300" s="37"/>
      <c r="BM300" s="29"/>
      <c r="BN300" s="29" t="b">
        <v>0</v>
      </c>
      <c r="BO300" s="22" t="str">
        <f t="shared" si="19"/>
        <v/>
      </c>
      <c r="BP300" s="7">
        <f>IF(ISBLANK(BL300), 0, VLOOKUP(BL300, 'Price Sheet'!$A$2:$B1015, 2, false))</f>
        <v>0</v>
      </c>
      <c r="BQ300" s="33" t="str">
        <f t="shared" si="20"/>
        <v/>
      </c>
    </row>
    <row r="301">
      <c r="B301" s="19"/>
      <c r="C301" s="29"/>
      <c r="D301" s="29"/>
      <c r="E301" s="7" t="str">
        <f>IF(ISBLANK(D301), "", VLOOKUP(D301,'Crafting Tables'!$A$2:$B1015, 2, false))</f>
        <v/>
      </c>
      <c r="F301" s="7" t="str">
        <f>IFERROR(IF(E301 = "None", 1, VLOOKUP(C301,General!$A$5:$L$35, SWITCH(E301, "Basic", 8, "Advanced", 10, "Modern", 12), false)),"")</f>
        <v/>
      </c>
      <c r="G301" s="29"/>
      <c r="H301" s="7">
        <f>IFERROR(VLOOKUP(C301, General!$A$5:$L$35, 6, false) * G301 / 1000, 0)</f>
        <v>0</v>
      </c>
      <c r="I301" s="29"/>
      <c r="J301" s="22" t="str">
        <f>IFERROR(I301*VLOOKUP(D301,'Crafting Tables'!$1:$1000, 4, false)*F301,"")</f>
        <v/>
      </c>
      <c r="K301" s="29" t="b">
        <v>0</v>
      </c>
      <c r="L301" s="37"/>
      <c r="M301" s="29"/>
      <c r="N301" s="21" t="str">
        <f t="shared" si="2"/>
        <v/>
      </c>
      <c r="P301" s="37"/>
      <c r="Q301" s="29"/>
      <c r="R301" s="29" t="b">
        <v>0</v>
      </c>
      <c r="S301" s="22" t="str">
        <f t="shared" si="3"/>
        <v/>
      </c>
      <c r="T301" s="7">
        <f>IF(ISBLANK(P301), 0, VLOOKUP(P301, 'Price Sheet'!$A$2:$B1015, 2, false))</f>
        <v>0</v>
      </c>
      <c r="U301" s="33" t="str">
        <f t="shared" si="4"/>
        <v/>
      </c>
      <c r="V301" s="37"/>
      <c r="W301" s="29"/>
      <c r="X301" s="29" t="b">
        <v>0</v>
      </c>
      <c r="Y301" s="22" t="str">
        <f t="shared" si="5"/>
        <v/>
      </c>
      <c r="Z301" s="7">
        <f>IF(ISBLANK(V301), 0, VLOOKUP(V301, 'Price Sheet'!$A$2:$B1015, 2, false))</f>
        <v>0</v>
      </c>
      <c r="AA301" s="33" t="str">
        <f t="shared" si="6"/>
        <v/>
      </c>
      <c r="AB301" s="37"/>
      <c r="AC301" s="29"/>
      <c r="AD301" s="29" t="b">
        <v>0</v>
      </c>
      <c r="AE301" s="22" t="str">
        <f t="shared" si="7"/>
        <v/>
      </c>
      <c r="AF301" s="7">
        <f>IF(ISBLANK(AB301), 0, VLOOKUP(AB301, 'Price Sheet'!$A$2:$B1015, 2, false))</f>
        <v>0</v>
      </c>
      <c r="AG301" s="33" t="str">
        <f t="shared" si="8"/>
        <v/>
      </c>
      <c r="AH301" s="37"/>
      <c r="AI301" s="29"/>
      <c r="AJ301" s="29" t="b">
        <v>0</v>
      </c>
      <c r="AK301" s="22" t="str">
        <f t="shared" si="9"/>
        <v/>
      </c>
      <c r="AL301" s="7">
        <f>IF(ISBLANK(AH301), 0, VLOOKUP(AH301, 'Price Sheet'!$A$2:$B1015, 2, false))</f>
        <v>0</v>
      </c>
      <c r="AM301" s="33" t="str">
        <f t="shared" si="10"/>
        <v/>
      </c>
      <c r="AN301" s="37"/>
      <c r="AO301" s="29"/>
      <c r="AP301" s="29" t="b">
        <v>0</v>
      </c>
      <c r="AQ301" s="22" t="str">
        <f t="shared" si="11"/>
        <v/>
      </c>
      <c r="AR301" s="7">
        <f>IF(ISBLANK(AN301), 0, VLOOKUP(AN301, 'Price Sheet'!$A$2:$B1015, 2, false))</f>
        <v>0</v>
      </c>
      <c r="AS301" s="33" t="str">
        <f t="shared" si="12"/>
        <v/>
      </c>
      <c r="AT301" s="37"/>
      <c r="AU301" s="29"/>
      <c r="AV301" s="29" t="b">
        <v>0</v>
      </c>
      <c r="AW301" s="22" t="str">
        <f t="shared" si="13"/>
        <v/>
      </c>
      <c r="AX301" s="7">
        <f>IF(ISBLANK(AT301), 0, VLOOKUP(AT301, 'Price Sheet'!$A$2:$B1015, 2, false))</f>
        <v>0</v>
      </c>
      <c r="AY301" s="33" t="str">
        <f t="shared" si="14"/>
        <v/>
      </c>
      <c r="AZ301" s="37"/>
      <c r="BA301" s="29"/>
      <c r="BB301" s="29" t="b">
        <v>0</v>
      </c>
      <c r="BC301" s="22" t="str">
        <f t="shared" si="15"/>
        <v/>
      </c>
      <c r="BD301" s="7">
        <f>IF(ISBLANK(AZ301), 0, VLOOKUP(AZ301, 'Price Sheet'!$A$2:$B1015, 2, false))</f>
        <v>0</v>
      </c>
      <c r="BE301" s="33" t="str">
        <f t="shared" si="16"/>
        <v/>
      </c>
      <c r="BF301" s="37"/>
      <c r="BG301" s="29"/>
      <c r="BH301" s="29" t="b">
        <v>0</v>
      </c>
      <c r="BI301" s="22" t="str">
        <f t="shared" si="17"/>
        <v/>
      </c>
      <c r="BJ301" s="7">
        <f>IF(ISBLANK(BF301), 0, VLOOKUP(BF301, 'Price Sheet'!$A$2:$B1015, 2, false))</f>
        <v>0</v>
      </c>
      <c r="BK301" s="33" t="str">
        <f t="shared" si="18"/>
        <v/>
      </c>
      <c r="BL301" s="37"/>
      <c r="BM301" s="29"/>
      <c r="BN301" s="29" t="b">
        <v>0</v>
      </c>
      <c r="BO301" s="22" t="str">
        <f t="shared" si="19"/>
        <v/>
      </c>
      <c r="BP301" s="7">
        <f>IF(ISBLANK(BL301), 0, VLOOKUP(BL301, 'Price Sheet'!$A$2:$B1015, 2, false))</f>
        <v>0</v>
      </c>
      <c r="BQ301" s="33" t="str">
        <f t="shared" si="20"/>
        <v/>
      </c>
    </row>
    <row r="302">
      <c r="B302" s="19"/>
      <c r="C302" s="29"/>
      <c r="D302" s="29"/>
      <c r="E302" s="7" t="str">
        <f>IF(ISBLANK(D302), "", VLOOKUP(D302,'Crafting Tables'!$A$2:$B1015, 2, false))</f>
        <v/>
      </c>
      <c r="F302" s="7" t="str">
        <f>IFERROR(IF(E302 = "None", 1, VLOOKUP(C302,General!$A$5:$L$35, SWITCH(E302, "Basic", 8, "Advanced", 10, "Modern", 12), false)),"")</f>
        <v/>
      </c>
      <c r="G302" s="29"/>
      <c r="H302" s="7">
        <f>IFERROR(VLOOKUP(C302, General!$A$5:$L$35, 6, false) * G302 / 1000, 0)</f>
        <v>0</v>
      </c>
      <c r="I302" s="29"/>
      <c r="J302" s="22" t="str">
        <f>IFERROR(I302*VLOOKUP(D302,'Crafting Tables'!$1:$1000, 4, false)*F302,"")</f>
        <v/>
      </c>
      <c r="K302" s="29" t="b">
        <v>0</v>
      </c>
      <c r="L302" s="37"/>
      <c r="M302" s="29"/>
      <c r="N302" s="21" t="str">
        <f t="shared" si="2"/>
        <v/>
      </c>
      <c r="P302" s="37"/>
      <c r="Q302" s="29"/>
      <c r="R302" s="29" t="b">
        <v>0</v>
      </c>
      <c r="S302" s="22" t="str">
        <f t="shared" si="3"/>
        <v/>
      </c>
      <c r="T302" s="7">
        <f>IF(ISBLANK(P302), 0, VLOOKUP(P302, 'Price Sheet'!$A$2:$B1015, 2, false))</f>
        <v>0</v>
      </c>
      <c r="U302" s="33" t="str">
        <f t="shared" si="4"/>
        <v/>
      </c>
      <c r="V302" s="37"/>
      <c r="W302" s="29"/>
      <c r="X302" s="29" t="b">
        <v>0</v>
      </c>
      <c r="Y302" s="22" t="str">
        <f t="shared" si="5"/>
        <v/>
      </c>
      <c r="Z302" s="7">
        <f>IF(ISBLANK(V302), 0, VLOOKUP(V302, 'Price Sheet'!$A$2:$B1015, 2, false))</f>
        <v>0</v>
      </c>
      <c r="AA302" s="33" t="str">
        <f t="shared" si="6"/>
        <v/>
      </c>
      <c r="AB302" s="37"/>
      <c r="AC302" s="29"/>
      <c r="AD302" s="29" t="b">
        <v>0</v>
      </c>
      <c r="AE302" s="22" t="str">
        <f t="shared" si="7"/>
        <v/>
      </c>
      <c r="AF302" s="7">
        <f>IF(ISBLANK(AB302), 0, VLOOKUP(AB302, 'Price Sheet'!$A$2:$B1015, 2, false))</f>
        <v>0</v>
      </c>
      <c r="AG302" s="33" t="str">
        <f t="shared" si="8"/>
        <v/>
      </c>
      <c r="AH302" s="37"/>
      <c r="AI302" s="29"/>
      <c r="AJ302" s="29" t="b">
        <v>0</v>
      </c>
      <c r="AK302" s="22" t="str">
        <f t="shared" si="9"/>
        <v/>
      </c>
      <c r="AL302" s="7">
        <f>IF(ISBLANK(AH302), 0, VLOOKUP(AH302, 'Price Sheet'!$A$2:$B1015, 2, false))</f>
        <v>0</v>
      </c>
      <c r="AM302" s="33" t="str">
        <f t="shared" si="10"/>
        <v/>
      </c>
      <c r="AN302" s="37"/>
      <c r="AO302" s="29"/>
      <c r="AP302" s="29" t="b">
        <v>0</v>
      </c>
      <c r="AQ302" s="22" t="str">
        <f t="shared" si="11"/>
        <v/>
      </c>
      <c r="AR302" s="7">
        <f>IF(ISBLANK(AN302), 0, VLOOKUP(AN302, 'Price Sheet'!$A$2:$B1015, 2, false))</f>
        <v>0</v>
      </c>
      <c r="AS302" s="33" t="str">
        <f t="shared" si="12"/>
        <v/>
      </c>
      <c r="AT302" s="37"/>
      <c r="AU302" s="29"/>
      <c r="AV302" s="29" t="b">
        <v>0</v>
      </c>
      <c r="AW302" s="22" t="str">
        <f t="shared" si="13"/>
        <v/>
      </c>
      <c r="AX302" s="7">
        <f>IF(ISBLANK(AT302), 0, VLOOKUP(AT302, 'Price Sheet'!$A$2:$B1015, 2, false))</f>
        <v>0</v>
      </c>
      <c r="AY302" s="33" t="str">
        <f t="shared" si="14"/>
        <v/>
      </c>
      <c r="AZ302" s="37"/>
      <c r="BA302" s="29"/>
      <c r="BB302" s="29" t="b">
        <v>0</v>
      </c>
      <c r="BC302" s="22" t="str">
        <f t="shared" si="15"/>
        <v/>
      </c>
      <c r="BD302" s="7">
        <f>IF(ISBLANK(AZ302), 0, VLOOKUP(AZ302, 'Price Sheet'!$A$2:$B1015, 2, false))</f>
        <v>0</v>
      </c>
      <c r="BE302" s="33" t="str">
        <f t="shared" si="16"/>
        <v/>
      </c>
      <c r="BF302" s="37"/>
      <c r="BG302" s="29"/>
      <c r="BH302" s="29" t="b">
        <v>0</v>
      </c>
      <c r="BI302" s="22" t="str">
        <f t="shared" si="17"/>
        <v/>
      </c>
      <c r="BJ302" s="7">
        <f>IF(ISBLANK(BF302), 0, VLOOKUP(BF302, 'Price Sheet'!$A$2:$B1015, 2, false))</f>
        <v>0</v>
      </c>
      <c r="BK302" s="33" t="str">
        <f t="shared" si="18"/>
        <v/>
      </c>
      <c r="BL302" s="37"/>
      <c r="BM302" s="29"/>
      <c r="BN302" s="29" t="b">
        <v>0</v>
      </c>
      <c r="BO302" s="22" t="str">
        <f t="shared" si="19"/>
        <v/>
      </c>
      <c r="BP302" s="7">
        <f>IF(ISBLANK(BL302), 0, VLOOKUP(BL302, 'Price Sheet'!$A$2:$B1015, 2, false))</f>
        <v>0</v>
      </c>
      <c r="BQ302" s="33" t="str">
        <f t="shared" si="20"/>
        <v/>
      </c>
    </row>
    <row r="303">
      <c r="B303" s="19"/>
      <c r="C303" s="29"/>
      <c r="D303" s="29"/>
      <c r="E303" s="7" t="str">
        <f>IF(ISBLANK(D303), "", VLOOKUP(D303,'Crafting Tables'!$A$2:$B1015, 2, false))</f>
        <v/>
      </c>
      <c r="F303" s="7" t="str">
        <f>IFERROR(IF(E303 = "None", 1, VLOOKUP(C303,General!$A$5:$L$35, SWITCH(E303, "Basic", 8, "Advanced", 10, "Modern", 12), false)),"")</f>
        <v/>
      </c>
      <c r="G303" s="29"/>
      <c r="H303" s="7">
        <f>IFERROR(VLOOKUP(C303, General!$A$5:$L$35, 6, false) * G303 / 1000, 0)</f>
        <v>0</v>
      </c>
      <c r="I303" s="29"/>
      <c r="J303" s="22" t="str">
        <f>IFERROR(I303*VLOOKUP(D303,'Crafting Tables'!$1:$1000, 4, false)*F303,"")</f>
        <v/>
      </c>
      <c r="K303" s="29" t="b">
        <v>0</v>
      </c>
      <c r="L303" s="37"/>
      <c r="M303" s="29"/>
      <c r="N303" s="21" t="str">
        <f t="shared" si="2"/>
        <v/>
      </c>
      <c r="P303" s="37"/>
      <c r="Q303" s="29"/>
      <c r="R303" s="29" t="b">
        <v>0</v>
      </c>
      <c r="S303" s="22" t="str">
        <f t="shared" si="3"/>
        <v/>
      </c>
      <c r="T303" s="7">
        <f>IF(ISBLANK(P303), 0, VLOOKUP(P303, 'Price Sheet'!$A$2:$B1015, 2, false))</f>
        <v>0</v>
      </c>
      <c r="U303" s="33" t="str">
        <f t="shared" si="4"/>
        <v/>
      </c>
      <c r="V303" s="37"/>
      <c r="W303" s="29"/>
      <c r="X303" s="29" t="b">
        <v>0</v>
      </c>
      <c r="Y303" s="22" t="str">
        <f t="shared" si="5"/>
        <v/>
      </c>
      <c r="Z303" s="7">
        <f>IF(ISBLANK(V303), 0, VLOOKUP(V303, 'Price Sheet'!$A$2:$B1015, 2, false))</f>
        <v>0</v>
      </c>
      <c r="AA303" s="33" t="str">
        <f t="shared" si="6"/>
        <v/>
      </c>
      <c r="AB303" s="37"/>
      <c r="AC303" s="29"/>
      <c r="AD303" s="29" t="b">
        <v>0</v>
      </c>
      <c r="AE303" s="22" t="str">
        <f t="shared" si="7"/>
        <v/>
      </c>
      <c r="AF303" s="7">
        <f>IF(ISBLANK(AB303), 0, VLOOKUP(AB303, 'Price Sheet'!$A$2:$B1015, 2, false))</f>
        <v>0</v>
      </c>
      <c r="AG303" s="33" t="str">
        <f t="shared" si="8"/>
        <v/>
      </c>
      <c r="AH303" s="37"/>
      <c r="AI303" s="29"/>
      <c r="AJ303" s="29" t="b">
        <v>0</v>
      </c>
      <c r="AK303" s="22" t="str">
        <f t="shared" si="9"/>
        <v/>
      </c>
      <c r="AL303" s="7">
        <f>IF(ISBLANK(AH303), 0, VLOOKUP(AH303, 'Price Sheet'!$A$2:$B1015, 2, false))</f>
        <v>0</v>
      </c>
      <c r="AM303" s="33" t="str">
        <f t="shared" si="10"/>
        <v/>
      </c>
      <c r="AN303" s="37"/>
      <c r="AO303" s="29"/>
      <c r="AP303" s="29" t="b">
        <v>0</v>
      </c>
      <c r="AQ303" s="22" t="str">
        <f t="shared" si="11"/>
        <v/>
      </c>
      <c r="AR303" s="7">
        <f>IF(ISBLANK(AN303), 0, VLOOKUP(AN303, 'Price Sheet'!$A$2:$B1015, 2, false))</f>
        <v>0</v>
      </c>
      <c r="AS303" s="33" t="str">
        <f t="shared" si="12"/>
        <v/>
      </c>
      <c r="AT303" s="37"/>
      <c r="AU303" s="29"/>
      <c r="AV303" s="29" t="b">
        <v>0</v>
      </c>
      <c r="AW303" s="22" t="str">
        <f t="shared" si="13"/>
        <v/>
      </c>
      <c r="AX303" s="7">
        <f>IF(ISBLANK(AT303), 0, VLOOKUP(AT303, 'Price Sheet'!$A$2:$B1015, 2, false))</f>
        <v>0</v>
      </c>
      <c r="AY303" s="33" t="str">
        <f t="shared" si="14"/>
        <v/>
      </c>
      <c r="AZ303" s="37"/>
      <c r="BA303" s="29"/>
      <c r="BB303" s="29" t="b">
        <v>0</v>
      </c>
      <c r="BC303" s="22" t="str">
        <f t="shared" si="15"/>
        <v/>
      </c>
      <c r="BD303" s="7">
        <f>IF(ISBLANK(AZ303), 0, VLOOKUP(AZ303, 'Price Sheet'!$A$2:$B1015, 2, false))</f>
        <v>0</v>
      </c>
      <c r="BE303" s="33" t="str">
        <f t="shared" si="16"/>
        <v/>
      </c>
      <c r="BF303" s="37"/>
      <c r="BG303" s="29"/>
      <c r="BH303" s="29" t="b">
        <v>0</v>
      </c>
      <c r="BI303" s="22" t="str">
        <f t="shared" si="17"/>
        <v/>
      </c>
      <c r="BJ303" s="7">
        <f>IF(ISBLANK(BF303), 0, VLOOKUP(BF303, 'Price Sheet'!$A$2:$B1015, 2, false))</f>
        <v>0</v>
      </c>
      <c r="BK303" s="33" t="str">
        <f t="shared" si="18"/>
        <v/>
      </c>
      <c r="BL303" s="37"/>
      <c r="BM303" s="29"/>
      <c r="BN303" s="29" t="b">
        <v>0</v>
      </c>
      <c r="BO303" s="22" t="str">
        <f t="shared" si="19"/>
        <v/>
      </c>
      <c r="BP303" s="7">
        <f>IF(ISBLANK(BL303), 0, VLOOKUP(BL303, 'Price Sheet'!$A$2:$B1015, 2, false))</f>
        <v>0</v>
      </c>
      <c r="BQ303" s="33" t="str">
        <f t="shared" si="20"/>
        <v/>
      </c>
    </row>
    <row r="304">
      <c r="B304" s="19"/>
      <c r="C304" s="29"/>
      <c r="D304" s="29"/>
      <c r="E304" s="7" t="str">
        <f>IF(ISBLANK(D304), "", VLOOKUP(D304,'Crafting Tables'!$A$2:$B1015, 2, false))</f>
        <v/>
      </c>
      <c r="F304" s="7" t="str">
        <f>IFERROR(IF(E304 = "None", 1, VLOOKUP(C304,General!$A$5:$L$35, SWITCH(E304, "Basic", 8, "Advanced", 10, "Modern", 12), false)),"")</f>
        <v/>
      </c>
      <c r="G304" s="29"/>
      <c r="H304" s="7">
        <f>IFERROR(VLOOKUP(C304, General!$A$5:$L$35, 6, false) * G304 / 1000, 0)</f>
        <v>0</v>
      </c>
      <c r="I304" s="29"/>
      <c r="J304" s="22" t="str">
        <f>IFERROR(I304*VLOOKUP(D304,'Crafting Tables'!$1:$1000, 4, false)*F304,"")</f>
        <v/>
      </c>
      <c r="K304" s="29" t="b">
        <v>0</v>
      </c>
      <c r="L304" s="37"/>
      <c r="M304" s="29"/>
      <c r="N304" s="21" t="str">
        <f t="shared" si="2"/>
        <v/>
      </c>
      <c r="P304" s="37"/>
      <c r="Q304" s="29"/>
      <c r="R304" s="29" t="b">
        <v>0</v>
      </c>
      <c r="S304" s="22" t="str">
        <f t="shared" si="3"/>
        <v/>
      </c>
      <c r="T304" s="7">
        <f>IF(ISBLANK(P304), 0, VLOOKUP(P304, 'Price Sheet'!$A$2:$B1015, 2, false))</f>
        <v>0</v>
      </c>
      <c r="U304" s="33" t="str">
        <f t="shared" si="4"/>
        <v/>
      </c>
      <c r="V304" s="37"/>
      <c r="W304" s="29"/>
      <c r="X304" s="29" t="b">
        <v>0</v>
      </c>
      <c r="Y304" s="22" t="str">
        <f t="shared" si="5"/>
        <v/>
      </c>
      <c r="Z304" s="7">
        <f>IF(ISBLANK(V304), 0, VLOOKUP(V304, 'Price Sheet'!$A$2:$B1015, 2, false))</f>
        <v>0</v>
      </c>
      <c r="AA304" s="33" t="str">
        <f t="shared" si="6"/>
        <v/>
      </c>
      <c r="AB304" s="37"/>
      <c r="AC304" s="29"/>
      <c r="AD304" s="29" t="b">
        <v>0</v>
      </c>
      <c r="AE304" s="22" t="str">
        <f t="shared" si="7"/>
        <v/>
      </c>
      <c r="AF304" s="7">
        <f>IF(ISBLANK(AB304), 0, VLOOKUP(AB304, 'Price Sheet'!$A$2:$B1015, 2, false))</f>
        <v>0</v>
      </c>
      <c r="AG304" s="33" t="str">
        <f t="shared" si="8"/>
        <v/>
      </c>
      <c r="AH304" s="37"/>
      <c r="AI304" s="29"/>
      <c r="AJ304" s="29" t="b">
        <v>0</v>
      </c>
      <c r="AK304" s="22" t="str">
        <f t="shared" si="9"/>
        <v/>
      </c>
      <c r="AL304" s="7">
        <f>IF(ISBLANK(AH304), 0, VLOOKUP(AH304, 'Price Sheet'!$A$2:$B1015, 2, false))</f>
        <v>0</v>
      </c>
      <c r="AM304" s="33" t="str">
        <f t="shared" si="10"/>
        <v/>
      </c>
      <c r="AN304" s="37"/>
      <c r="AO304" s="29"/>
      <c r="AP304" s="29" t="b">
        <v>0</v>
      </c>
      <c r="AQ304" s="22" t="str">
        <f t="shared" si="11"/>
        <v/>
      </c>
      <c r="AR304" s="7">
        <f>IF(ISBLANK(AN304), 0, VLOOKUP(AN304, 'Price Sheet'!$A$2:$B1015, 2, false))</f>
        <v>0</v>
      </c>
      <c r="AS304" s="33" t="str">
        <f t="shared" si="12"/>
        <v/>
      </c>
      <c r="AT304" s="37"/>
      <c r="AU304" s="29"/>
      <c r="AV304" s="29" t="b">
        <v>0</v>
      </c>
      <c r="AW304" s="22" t="str">
        <f t="shared" si="13"/>
        <v/>
      </c>
      <c r="AX304" s="7">
        <f>IF(ISBLANK(AT304), 0, VLOOKUP(AT304, 'Price Sheet'!$A$2:$B1015, 2, false))</f>
        <v>0</v>
      </c>
      <c r="AY304" s="33" t="str">
        <f t="shared" si="14"/>
        <v/>
      </c>
      <c r="AZ304" s="37"/>
      <c r="BA304" s="29"/>
      <c r="BB304" s="29" t="b">
        <v>0</v>
      </c>
      <c r="BC304" s="22" t="str">
        <f t="shared" si="15"/>
        <v/>
      </c>
      <c r="BD304" s="7">
        <f>IF(ISBLANK(AZ304), 0, VLOOKUP(AZ304, 'Price Sheet'!$A$2:$B1015, 2, false))</f>
        <v>0</v>
      </c>
      <c r="BE304" s="33" t="str">
        <f t="shared" si="16"/>
        <v/>
      </c>
      <c r="BF304" s="37"/>
      <c r="BG304" s="29"/>
      <c r="BH304" s="29" t="b">
        <v>0</v>
      </c>
      <c r="BI304" s="22" t="str">
        <f t="shared" si="17"/>
        <v/>
      </c>
      <c r="BJ304" s="7">
        <f>IF(ISBLANK(BF304), 0, VLOOKUP(BF304, 'Price Sheet'!$A$2:$B1015, 2, false))</f>
        <v>0</v>
      </c>
      <c r="BK304" s="33" t="str">
        <f t="shared" si="18"/>
        <v/>
      </c>
      <c r="BL304" s="37"/>
      <c r="BM304" s="29"/>
      <c r="BN304" s="29" t="b">
        <v>0</v>
      </c>
      <c r="BO304" s="22" t="str">
        <f t="shared" si="19"/>
        <v/>
      </c>
      <c r="BP304" s="7">
        <f>IF(ISBLANK(BL304), 0, VLOOKUP(BL304, 'Price Sheet'!$A$2:$B1015, 2, false))</f>
        <v>0</v>
      </c>
      <c r="BQ304" s="33" t="str">
        <f t="shared" si="20"/>
        <v/>
      </c>
    </row>
    <row r="305">
      <c r="B305" s="19"/>
      <c r="C305" s="29"/>
      <c r="D305" s="29"/>
      <c r="E305" s="7" t="str">
        <f>IF(ISBLANK(D305), "", VLOOKUP(D305,'Crafting Tables'!$A$2:$B1015, 2, false))</f>
        <v/>
      </c>
      <c r="F305" s="7" t="str">
        <f>IFERROR(IF(E305 = "None", 1, VLOOKUP(C305,General!$A$5:$L$35, SWITCH(E305, "Basic", 8, "Advanced", 10, "Modern", 12), false)),"")</f>
        <v/>
      </c>
      <c r="G305" s="29"/>
      <c r="H305" s="7">
        <f>IFERROR(VLOOKUP(C305, General!$A$5:$L$35, 6, false) * G305 / 1000, 0)</f>
        <v>0</v>
      </c>
      <c r="I305" s="29"/>
      <c r="J305" s="22" t="str">
        <f>IFERROR(I305*VLOOKUP(D305,'Crafting Tables'!$1:$1000, 4, false)*F305,"")</f>
        <v/>
      </c>
      <c r="K305" s="29" t="b">
        <v>0</v>
      </c>
      <c r="L305" s="37"/>
      <c r="M305" s="29"/>
      <c r="N305" s="21" t="str">
        <f t="shared" si="2"/>
        <v/>
      </c>
      <c r="P305" s="37"/>
      <c r="Q305" s="29"/>
      <c r="R305" s="29" t="b">
        <v>0</v>
      </c>
      <c r="S305" s="22" t="str">
        <f t="shared" si="3"/>
        <v/>
      </c>
      <c r="T305" s="7">
        <f>IF(ISBLANK(P305), 0, VLOOKUP(P305, 'Price Sheet'!$A$2:$B1015, 2, false))</f>
        <v>0</v>
      </c>
      <c r="U305" s="33" t="str">
        <f t="shared" si="4"/>
        <v/>
      </c>
      <c r="V305" s="37"/>
      <c r="W305" s="29"/>
      <c r="X305" s="29" t="b">
        <v>0</v>
      </c>
      <c r="Y305" s="22" t="str">
        <f t="shared" si="5"/>
        <v/>
      </c>
      <c r="Z305" s="7">
        <f>IF(ISBLANK(V305), 0, VLOOKUP(V305, 'Price Sheet'!$A$2:$B1015, 2, false))</f>
        <v>0</v>
      </c>
      <c r="AA305" s="33" t="str">
        <f t="shared" si="6"/>
        <v/>
      </c>
      <c r="AB305" s="37"/>
      <c r="AC305" s="29"/>
      <c r="AD305" s="29" t="b">
        <v>0</v>
      </c>
      <c r="AE305" s="22" t="str">
        <f t="shared" si="7"/>
        <v/>
      </c>
      <c r="AF305" s="7">
        <f>IF(ISBLANK(AB305), 0, VLOOKUP(AB305, 'Price Sheet'!$A$2:$B1015, 2, false))</f>
        <v>0</v>
      </c>
      <c r="AG305" s="33" t="str">
        <f t="shared" si="8"/>
        <v/>
      </c>
      <c r="AH305" s="37"/>
      <c r="AI305" s="29"/>
      <c r="AJ305" s="29" t="b">
        <v>0</v>
      </c>
      <c r="AK305" s="22" t="str">
        <f t="shared" si="9"/>
        <v/>
      </c>
      <c r="AL305" s="7">
        <f>IF(ISBLANK(AH305), 0, VLOOKUP(AH305, 'Price Sheet'!$A$2:$B1015, 2, false))</f>
        <v>0</v>
      </c>
      <c r="AM305" s="33" t="str">
        <f t="shared" si="10"/>
        <v/>
      </c>
      <c r="AN305" s="37"/>
      <c r="AO305" s="29"/>
      <c r="AP305" s="29" t="b">
        <v>0</v>
      </c>
      <c r="AQ305" s="22" t="str">
        <f t="shared" si="11"/>
        <v/>
      </c>
      <c r="AR305" s="7">
        <f>IF(ISBLANK(AN305), 0, VLOOKUP(AN305, 'Price Sheet'!$A$2:$B1015, 2, false))</f>
        <v>0</v>
      </c>
      <c r="AS305" s="33" t="str">
        <f t="shared" si="12"/>
        <v/>
      </c>
      <c r="AT305" s="37"/>
      <c r="AU305" s="29"/>
      <c r="AV305" s="29" t="b">
        <v>0</v>
      </c>
      <c r="AW305" s="22" t="str">
        <f t="shared" si="13"/>
        <v/>
      </c>
      <c r="AX305" s="7">
        <f>IF(ISBLANK(AT305), 0, VLOOKUP(AT305, 'Price Sheet'!$A$2:$B1015, 2, false))</f>
        <v>0</v>
      </c>
      <c r="AY305" s="33" t="str">
        <f t="shared" si="14"/>
        <v/>
      </c>
      <c r="AZ305" s="37"/>
      <c r="BA305" s="29"/>
      <c r="BB305" s="29" t="b">
        <v>0</v>
      </c>
      <c r="BC305" s="22" t="str">
        <f t="shared" si="15"/>
        <v/>
      </c>
      <c r="BD305" s="7">
        <f>IF(ISBLANK(AZ305), 0, VLOOKUP(AZ305, 'Price Sheet'!$A$2:$B1015, 2, false))</f>
        <v>0</v>
      </c>
      <c r="BE305" s="33" t="str">
        <f t="shared" si="16"/>
        <v/>
      </c>
      <c r="BF305" s="37"/>
      <c r="BG305" s="29"/>
      <c r="BH305" s="29" t="b">
        <v>0</v>
      </c>
      <c r="BI305" s="22" t="str">
        <f t="shared" si="17"/>
        <v/>
      </c>
      <c r="BJ305" s="7">
        <f>IF(ISBLANK(BF305), 0, VLOOKUP(BF305, 'Price Sheet'!$A$2:$B1015, 2, false))</f>
        <v>0</v>
      </c>
      <c r="BK305" s="33" t="str">
        <f t="shared" si="18"/>
        <v/>
      </c>
      <c r="BL305" s="37"/>
      <c r="BM305" s="29"/>
      <c r="BN305" s="29" t="b">
        <v>0</v>
      </c>
      <c r="BO305" s="22" t="str">
        <f t="shared" si="19"/>
        <v/>
      </c>
      <c r="BP305" s="7">
        <f>IF(ISBLANK(BL305), 0, VLOOKUP(BL305, 'Price Sheet'!$A$2:$B1015, 2, false))</f>
        <v>0</v>
      </c>
      <c r="BQ305" s="33" t="str">
        <f t="shared" si="20"/>
        <v/>
      </c>
    </row>
    <row r="306">
      <c r="B306" s="19"/>
      <c r="C306" s="29"/>
      <c r="D306" s="29"/>
      <c r="E306" s="7" t="str">
        <f>IF(ISBLANK(D306), "", VLOOKUP(D306,'Crafting Tables'!$A$2:$B1015, 2, false))</f>
        <v/>
      </c>
      <c r="F306" s="7" t="str">
        <f>IFERROR(IF(E306 = "None", 1, VLOOKUP(C306,General!$A$5:$L$35, SWITCH(E306, "Basic", 8, "Advanced", 10, "Modern", 12), false)),"")</f>
        <v/>
      </c>
      <c r="G306" s="29"/>
      <c r="H306" s="7">
        <f>IFERROR(VLOOKUP(C306, General!$A$5:$L$35, 6, false) * G306 / 1000, 0)</f>
        <v>0</v>
      </c>
      <c r="I306" s="29"/>
      <c r="J306" s="22" t="str">
        <f>IFERROR(I306*VLOOKUP(D306,'Crafting Tables'!$1:$1000, 4, false)*F306,"")</f>
        <v/>
      </c>
      <c r="K306" s="29" t="b">
        <v>0</v>
      </c>
      <c r="L306" s="37"/>
      <c r="M306" s="29"/>
      <c r="N306" s="21" t="str">
        <f t="shared" si="2"/>
        <v/>
      </c>
      <c r="P306" s="37"/>
      <c r="Q306" s="29"/>
      <c r="R306" s="29" t="b">
        <v>0</v>
      </c>
      <c r="S306" s="22" t="str">
        <f t="shared" si="3"/>
        <v/>
      </c>
      <c r="T306" s="7">
        <f>IF(ISBLANK(P306), 0, VLOOKUP(P306, 'Price Sheet'!$A$2:$B1015, 2, false))</f>
        <v>0</v>
      </c>
      <c r="U306" s="33" t="str">
        <f t="shared" si="4"/>
        <v/>
      </c>
      <c r="V306" s="37"/>
      <c r="W306" s="29"/>
      <c r="X306" s="29" t="b">
        <v>0</v>
      </c>
      <c r="Y306" s="22" t="str">
        <f t="shared" si="5"/>
        <v/>
      </c>
      <c r="Z306" s="7">
        <f>IF(ISBLANK(V306), 0, VLOOKUP(V306, 'Price Sheet'!$A$2:$B1015, 2, false))</f>
        <v>0</v>
      </c>
      <c r="AA306" s="33" t="str">
        <f t="shared" si="6"/>
        <v/>
      </c>
      <c r="AB306" s="37"/>
      <c r="AC306" s="29"/>
      <c r="AD306" s="29" t="b">
        <v>0</v>
      </c>
      <c r="AE306" s="22" t="str">
        <f t="shared" si="7"/>
        <v/>
      </c>
      <c r="AF306" s="7">
        <f>IF(ISBLANK(AB306), 0, VLOOKUP(AB306, 'Price Sheet'!$A$2:$B1015, 2, false))</f>
        <v>0</v>
      </c>
      <c r="AG306" s="33" t="str">
        <f t="shared" si="8"/>
        <v/>
      </c>
      <c r="AH306" s="37"/>
      <c r="AI306" s="29"/>
      <c r="AJ306" s="29" t="b">
        <v>0</v>
      </c>
      <c r="AK306" s="22" t="str">
        <f t="shared" si="9"/>
        <v/>
      </c>
      <c r="AL306" s="7">
        <f>IF(ISBLANK(AH306), 0, VLOOKUP(AH306, 'Price Sheet'!$A$2:$B1015, 2, false))</f>
        <v>0</v>
      </c>
      <c r="AM306" s="33" t="str">
        <f t="shared" si="10"/>
        <v/>
      </c>
      <c r="AN306" s="37"/>
      <c r="AO306" s="29"/>
      <c r="AP306" s="29" t="b">
        <v>0</v>
      </c>
      <c r="AQ306" s="22" t="str">
        <f t="shared" si="11"/>
        <v/>
      </c>
      <c r="AR306" s="7">
        <f>IF(ISBLANK(AN306), 0, VLOOKUP(AN306, 'Price Sheet'!$A$2:$B1015, 2, false))</f>
        <v>0</v>
      </c>
      <c r="AS306" s="33" t="str">
        <f t="shared" si="12"/>
        <v/>
      </c>
      <c r="AT306" s="37"/>
      <c r="AU306" s="29"/>
      <c r="AV306" s="29" t="b">
        <v>0</v>
      </c>
      <c r="AW306" s="22" t="str">
        <f t="shared" si="13"/>
        <v/>
      </c>
      <c r="AX306" s="7">
        <f>IF(ISBLANK(AT306), 0, VLOOKUP(AT306, 'Price Sheet'!$A$2:$B1015, 2, false))</f>
        <v>0</v>
      </c>
      <c r="AY306" s="33" t="str">
        <f t="shared" si="14"/>
        <v/>
      </c>
      <c r="AZ306" s="37"/>
      <c r="BA306" s="29"/>
      <c r="BB306" s="29" t="b">
        <v>0</v>
      </c>
      <c r="BC306" s="22" t="str">
        <f t="shared" si="15"/>
        <v/>
      </c>
      <c r="BD306" s="7">
        <f>IF(ISBLANK(AZ306), 0, VLOOKUP(AZ306, 'Price Sheet'!$A$2:$B1015, 2, false))</f>
        <v>0</v>
      </c>
      <c r="BE306" s="33" t="str">
        <f t="shared" si="16"/>
        <v/>
      </c>
      <c r="BF306" s="37"/>
      <c r="BG306" s="29"/>
      <c r="BH306" s="29" t="b">
        <v>0</v>
      </c>
      <c r="BI306" s="22" t="str">
        <f t="shared" si="17"/>
        <v/>
      </c>
      <c r="BJ306" s="7">
        <f>IF(ISBLANK(BF306), 0, VLOOKUP(BF306, 'Price Sheet'!$A$2:$B1015, 2, false))</f>
        <v>0</v>
      </c>
      <c r="BK306" s="33" t="str">
        <f t="shared" si="18"/>
        <v/>
      </c>
      <c r="BL306" s="37"/>
      <c r="BM306" s="29"/>
      <c r="BN306" s="29" t="b">
        <v>0</v>
      </c>
      <c r="BO306" s="22" t="str">
        <f t="shared" si="19"/>
        <v/>
      </c>
      <c r="BP306" s="7">
        <f>IF(ISBLANK(BL306), 0, VLOOKUP(BL306, 'Price Sheet'!$A$2:$B1015, 2, false))</f>
        <v>0</v>
      </c>
      <c r="BQ306" s="33" t="str">
        <f t="shared" si="20"/>
        <v/>
      </c>
    </row>
    <row r="307">
      <c r="B307" s="19"/>
      <c r="C307" s="29"/>
      <c r="D307" s="29"/>
      <c r="E307" s="7" t="str">
        <f>IF(ISBLANK(D307), "", VLOOKUP(D307,'Crafting Tables'!$A$2:$B1015, 2, false))</f>
        <v/>
      </c>
      <c r="F307" s="7" t="str">
        <f>IFERROR(IF(E307 = "None", 1, VLOOKUP(C307,General!$A$5:$L$35, SWITCH(E307, "Basic", 8, "Advanced", 10, "Modern", 12), false)),"")</f>
        <v/>
      </c>
      <c r="G307" s="29"/>
      <c r="H307" s="7">
        <f>IFERROR(VLOOKUP(C307, General!$A$5:$L$35, 6, false) * G307 / 1000, 0)</f>
        <v>0</v>
      </c>
      <c r="I307" s="29"/>
      <c r="J307" s="22" t="str">
        <f>IFERROR(I307*VLOOKUP(D307,'Crafting Tables'!$1:$1000, 4, false)*F307,"")</f>
        <v/>
      </c>
      <c r="K307" s="29" t="b">
        <v>0</v>
      </c>
      <c r="L307" s="37"/>
      <c r="M307" s="29"/>
      <c r="N307" s="21" t="str">
        <f t="shared" si="2"/>
        <v/>
      </c>
      <c r="P307" s="37"/>
      <c r="Q307" s="29"/>
      <c r="R307" s="29" t="b">
        <v>0</v>
      </c>
      <c r="S307" s="22" t="str">
        <f t="shared" si="3"/>
        <v/>
      </c>
      <c r="T307" s="7">
        <f>IF(ISBLANK(P307), 0, VLOOKUP(P307, 'Price Sheet'!$A$2:$B1015, 2, false))</f>
        <v>0</v>
      </c>
      <c r="U307" s="33" t="str">
        <f t="shared" si="4"/>
        <v/>
      </c>
      <c r="V307" s="37"/>
      <c r="W307" s="29"/>
      <c r="X307" s="29" t="b">
        <v>0</v>
      </c>
      <c r="Y307" s="22" t="str">
        <f t="shared" si="5"/>
        <v/>
      </c>
      <c r="Z307" s="7">
        <f>IF(ISBLANK(V307), 0, VLOOKUP(V307, 'Price Sheet'!$A$2:$B1015, 2, false))</f>
        <v>0</v>
      </c>
      <c r="AA307" s="33" t="str">
        <f t="shared" si="6"/>
        <v/>
      </c>
      <c r="AB307" s="37"/>
      <c r="AC307" s="29"/>
      <c r="AD307" s="29" t="b">
        <v>0</v>
      </c>
      <c r="AE307" s="22" t="str">
        <f t="shared" si="7"/>
        <v/>
      </c>
      <c r="AF307" s="7">
        <f>IF(ISBLANK(AB307), 0, VLOOKUP(AB307, 'Price Sheet'!$A$2:$B1015, 2, false))</f>
        <v>0</v>
      </c>
      <c r="AG307" s="33" t="str">
        <f t="shared" si="8"/>
        <v/>
      </c>
      <c r="AH307" s="37"/>
      <c r="AI307" s="29"/>
      <c r="AJ307" s="29" t="b">
        <v>0</v>
      </c>
      <c r="AK307" s="22" t="str">
        <f t="shared" si="9"/>
        <v/>
      </c>
      <c r="AL307" s="7">
        <f>IF(ISBLANK(AH307), 0, VLOOKUP(AH307, 'Price Sheet'!$A$2:$B1015, 2, false))</f>
        <v>0</v>
      </c>
      <c r="AM307" s="33" t="str">
        <f t="shared" si="10"/>
        <v/>
      </c>
      <c r="AN307" s="37"/>
      <c r="AO307" s="29"/>
      <c r="AP307" s="29" t="b">
        <v>0</v>
      </c>
      <c r="AQ307" s="22" t="str">
        <f t="shared" si="11"/>
        <v/>
      </c>
      <c r="AR307" s="7">
        <f>IF(ISBLANK(AN307), 0, VLOOKUP(AN307, 'Price Sheet'!$A$2:$B1015, 2, false))</f>
        <v>0</v>
      </c>
      <c r="AS307" s="33" t="str">
        <f t="shared" si="12"/>
        <v/>
      </c>
      <c r="AT307" s="37"/>
      <c r="AU307" s="29"/>
      <c r="AV307" s="29" t="b">
        <v>0</v>
      </c>
      <c r="AW307" s="22" t="str">
        <f t="shared" si="13"/>
        <v/>
      </c>
      <c r="AX307" s="7">
        <f>IF(ISBLANK(AT307), 0, VLOOKUP(AT307, 'Price Sheet'!$A$2:$B1015, 2, false))</f>
        <v>0</v>
      </c>
      <c r="AY307" s="33" t="str">
        <f t="shared" si="14"/>
        <v/>
      </c>
      <c r="AZ307" s="37"/>
      <c r="BA307" s="29"/>
      <c r="BB307" s="29" t="b">
        <v>0</v>
      </c>
      <c r="BC307" s="22" t="str">
        <f t="shared" si="15"/>
        <v/>
      </c>
      <c r="BD307" s="7">
        <f>IF(ISBLANK(AZ307), 0, VLOOKUP(AZ307, 'Price Sheet'!$A$2:$B1015, 2, false))</f>
        <v>0</v>
      </c>
      <c r="BE307" s="33" t="str">
        <f t="shared" si="16"/>
        <v/>
      </c>
      <c r="BF307" s="37"/>
      <c r="BG307" s="29"/>
      <c r="BH307" s="29" t="b">
        <v>0</v>
      </c>
      <c r="BI307" s="22" t="str">
        <f t="shared" si="17"/>
        <v/>
      </c>
      <c r="BJ307" s="7">
        <f>IF(ISBLANK(BF307), 0, VLOOKUP(BF307, 'Price Sheet'!$A$2:$B1015, 2, false))</f>
        <v>0</v>
      </c>
      <c r="BK307" s="33" t="str">
        <f t="shared" si="18"/>
        <v/>
      </c>
      <c r="BL307" s="37"/>
      <c r="BM307" s="29"/>
      <c r="BN307" s="29" t="b">
        <v>0</v>
      </c>
      <c r="BO307" s="22" t="str">
        <f t="shared" si="19"/>
        <v/>
      </c>
      <c r="BP307" s="7">
        <f>IF(ISBLANK(BL307), 0, VLOOKUP(BL307, 'Price Sheet'!$A$2:$B1015, 2, false))</f>
        <v>0</v>
      </c>
      <c r="BQ307" s="33" t="str">
        <f t="shared" si="20"/>
        <v/>
      </c>
    </row>
    <row r="308">
      <c r="B308" s="19"/>
      <c r="C308" s="29"/>
      <c r="D308" s="29"/>
      <c r="E308" s="7" t="str">
        <f>IF(ISBLANK(D308), "", VLOOKUP(D308,'Crafting Tables'!$A$2:$B1015, 2, false))</f>
        <v/>
      </c>
      <c r="F308" s="7" t="str">
        <f>IFERROR(IF(E308 = "None", 1, VLOOKUP(C308,General!$A$5:$L$35, SWITCH(E308, "Basic", 8, "Advanced", 10, "Modern", 12), false)),"")</f>
        <v/>
      </c>
      <c r="G308" s="29"/>
      <c r="H308" s="7">
        <f>IFERROR(VLOOKUP(C308, General!$A$5:$L$35, 6, false) * G308 / 1000, 0)</f>
        <v>0</v>
      </c>
      <c r="I308" s="29"/>
      <c r="J308" s="22" t="str">
        <f>IFERROR(I308*VLOOKUP(D308,'Crafting Tables'!$1:$1000, 4, false)*F308,"")</f>
        <v/>
      </c>
      <c r="K308" s="29" t="b">
        <v>0</v>
      </c>
      <c r="L308" s="37"/>
      <c r="M308" s="29"/>
      <c r="N308" s="21" t="str">
        <f t="shared" si="2"/>
        <v/>
      </c>
      <c r="P308" s="37"/>
      <c r="Q308" s="29"/>
      <c r="R308" s="29" t="b">
        <v>0</v>
      </c>
      <c r="S308" s="22" t="str">
        <f t="shared" si="3"/>
        <v/>
      </c>
      <c r="T308" s="7">
        <f>IF(ISBLANK(P308), 0, VLOOKUP(P308, 'Price Sheet'!$A$2:$B1015, 2, false))</f>
        <v>0</v>
      </c>
      <c r="U308" s="33" t="str">
        <f t="shared" si="4"/>
        <v/>
      </c>
      <c r="V308" s="37"/>
      <c r="W308" s="29"/>
      <c r="X308" s="29" t="b">
        <v>0</v>
      </c>
      <c r="Y308" s="22" t="str">
        <f t="shared" si="5"/>
        <v/>
      </c>
      <c r="Z308" s="7">
        <f>IF(ISBLANK(V308), 0, VLOOKUP(V308, 'Price Sheet'!$A$2:$B1015, 2, false))</f>
        <v>0</v>
      </c>
      <c r="AA308" s="33" t="str">
        <f t="shared" si="6"/>
        <v/>
      </c>
      <c r="AB308" s="37"/>
      <c r="AC308" s="29"/>
      <c r="AD308" s="29" t="b">
        <v>0</v>
      </c>
      <c r="AE308" s="22" t="str">
        <f t="shared" si="7"/>
        <v/>
      </c>
      <c r="AF308" s="7">
        <f>IF(ISBLANK(AB308), 0, VLOOKUP(AB308, 'Price Sheet'!$A$2:$B1015, 2, false))</f>
        <v>0</v>
      </c>
      <c r="AG308" s="33" t="str">
        <f t="shared" si="8"/>
        <v/>
      </c>
      <c r="AH308" s="37"/>
      <c r="AI308" s="29"/>
      <c r="AJ308" s="29" t="b">
        <v>0</v>
      </c>
      <c r="AK308" s="22" t="str">
        <f t="shared" si="9"/>
        <v/>
      </c>
      <c r="AL308" s="7">
        <f>IF(ISBLANK(AH308), 0, VLOOKUP(AH308, 'Price Sheet'!$A$2:$B1015, 2, false))</f>
        <v>0</v>
      </c>
      <c r="AM308" s="33" t="str">
        <f t="shared" si="10"/>
        <v/>
      </c>
      <c r="AN308" s="37"/>
      <c r="AO308" s="29"/>
      <c r="AP308" s="29" t="b">
        <v>0</v>
      </c>
      <c r="AQ308" s="22" t="str">
        <f t="shared" si="11"/>
        <v/>
      </c>
      <c r="AR308" s="7">
        <f>IF(ISBLANK(AN308), 0, VLOOKUP(AN308, 'Price Sheet'!$A$2:$B1015, 2, false))</f>
        <v>0</v>
      </c>
      <c r="AS308" s="33" t="str">
        <f t="shared" si="12"/>
        <v/>
      </c>
      <c r="AT308" s="37"/>
      <c r="AU308" s="29"/>
      <c r="AV308" s="29" t="b">
        <v>0</v>
      </c>
      <c r="AW308" s="22" t="str">
        <f t="shared" si="13"/>
        <v/>
      </c>
      <c r="AX308" s="7">
        <f>IF(ISBLANK(AT308), 0, VLOOKUP(AT308, 'Price Sheet'!$A$2:$B1015, 2, false))</f>
        <v>0</v>
      </c>
      <c r="AY308" s="33" t="str">
        <f t="shared" si="14"/>
        <v/>
      </c>
      <c r="AZ308" s="37"/>
      <c r="BA308" s="29"/>
      <c r="BB308" s="29" t="b">
        <v>0</v>
      </c>
      <c r="BC308" s="22" t="str">
        <f t="shared" si="15"/>
        <v/>
      </c>
      <c r="BD308" s="7">
        <f>IF(ISBLANK(AZ308), 0, VLOOKUP(AZ308, 'Price Sheet'!$A$2:$B1015, 2, false))</f>
        <v>0</v>
      </c>
      <c r="BE308" s="33" t="str">
        <f t="shared" si="16"/>
        <v/>
      </c>
      <c r="BF308" s="37"/>
      <c r="BG308" s="29"/>
      <c r="BH308" s="29" t="b">
        <v>0</v>
      </c>
      <c r="BI308" s="22" t="str">
        <f t="shared" si="17"/>
        <v/>
      </c>
      <c r="BJ308" s="7">
        <f>IF(ISBLANK(BF308), 0, VLOOKUP(BF308, 'Price Sheet'!$A$2:$B1015, 2, false))</f>
        <v>0</v>
      </c>
      <c r="BK308" s="33" t="str">
        <f t="shared" si="18"/>
        <v/>
      </c>
      <c r="BL308" s="37"/>
      <c r="BM308" s="29"/>
      <c r="BN308" s="29" t="b">
        <v>0</v>
      </c>
      <c r="BO308" s="22" t="str">
        <f t="shared" si="19"/>
        <v/>
      </c>
      <c r="BP308" s="7">
        <f>IF(ISBLANK(BL308), 0, VLOOKUP(BL308, 'Price Sheet'!$A$2:$B1015, 2, false))</f>
        <v>0</v>
      </c>
      <c r="BQ308" s="33" t="str">
        <f t="shared" si="20"/>
        <v/>
      </c>
    </row>
    <row r="309">
      <c r="B309" s="19"/>
      <c r="C309" s="29"/>
      <c r="D309" s="29"/>
      <c r="E309" s="7" t="str">
        <f>IF(ISBLANK(D309), "", VLOOKUP(D309,'Crafting Tables'!$A$2:$B1015, 2, false))</f>
        <v/>
      </c>
      <c r="F309" s="7" t="str">
        <f>IFERROR(IF(E309 = "None", 1, VLOOKUP(C309,General!$A$5:$L$35, SWITCH(E309, "Basic", 8, "Advanced", 10, "Modern", 12), false)),"")</f>
        <v/>
      </c>
      <c r="G309" s="29"/>
      <c r="H309" s="7">
        <f>IFERROR(VLOOKUP(C309, General!$A$5:$L$35, 6, false) * G309 / 1000, 0)</f>
        <v>0</v>
      </c>
      <c r="I309" s="29"/>
      <c r="J309" s="22" t="str">
        <f>IFERROR(I309*VLOOKUP(D309,'Crafting Tables'!$1:$1000, 4, false)*F309,"")</f>
        <v/>
      </c>
      <c r="K309" s="29" t="b">
        <v>0</v>
      </c>
      <c r="L309" s="37"/>
      <c r="M309" s="29"/>
      <c r="N309" s="21" t="str">
        <f t="shared" si="2"/>
        <v/>
      </c>
      <c r="P309" s="37"/>
      <c r="Q309" s="29"/>
      <c r="R309" s="29" t="b">
        <v>0</v>
      </c>
      <c r="S309" s="22" t="str">
        <f t="shared" si="3"/>
        <v/>
      </c>
      <c r="T309" s="7">
        <f>IF(ISBLANK(P309), 0, VLOOKUP(P309, 'Price Sheet'!$A$2:$B1015, 2, false))</f>
        <v>0</v>
      </c>
      <c r="U309" s="33" t="str">
        <f t="shared" si="4"/>
        <v/>
      </c>
      <c r="V309" s="37"/>
      <c r="W309" s="29"/>
      <c r="X309" s="29" t="b">
        <v>0</v>
      </c>
      <c r="Y309" s="22" t="str">
        <f t="shared" si="5"/>
        <v/>
      </c>
      <c r="Z309" s="7">
        <f>IF(ISBLANK(V309), 0, VLOOKUP(V309, 'Price Sheet'!$A$2:$B1015, 2, false))</f>
        <v>0</v>
      </c>
      <c r="AA309" s="33" t="str">
        <f t="shared" si="6"/>
        <v/>
      </c>
      <c r="AB309" s="37"/>
      <c r="AC309" s="29"/>
      <c r="AD309" s="29" t="b">
        <v>0</v>
      </c>
      <c r="AE309" s="22" t="str">
        <f t="shared" si="7"/>
        <v/>
      </c>
      <c r="AF309" s="7">
        <f>IF(ISBLANK(AB309), 0, VLOOKUP(AB309, 'Price Sheet'!$A$2:$B1015, 2, false))</f>
        <v>0</v>
      </c>
      <c r="AG309" s="33" t="str">
        <f t="shared" si="8"/>
        <v/>
      </c>
      <c r="AH309" s="37"/>
      <c r="AI309" s="29"/>
      <c r="AJ309" s="29" t="b">
        <v>0</v>
      </c>
      <c r="AK309" s="22" t="str">
        <f t="shared" si="9"/>
        <v/>
      </c>
      <c r="AL309" s="7">
        <f>IF(ISBLANK(AH309), 0, VLOOKUP(AH309, 'Price Sheet'!$A$2:$B1015, 2, false))</f>
        <v>0</v>
      </c>
      <c r="AM309" s="33" t="str">
        <f t="shared" si="10"/>
        <v/>
      </c>
      <c r="AN309" s="37"/>
      <c r="AO309" s="29"/>
      <c r="AP309" s="29" t="b">
        <v>0</v>
      </c>
      <c r="AQ309" s="22" t="str">
        <f t="shared" si="11"/>
        <v/>
      </c>
      <c r="AR309" s="7">
        <f>IF(ISBLANK(AN309), 0, VLOOKUP(AN309, 'Price Sheet'!$A$2:$B1015, 2, false))</f>
        <v>0</v>
      </c>
      <c r="AS309" s="33" t="str">
        <f t="shared" si="12"/>
        <v/>
      </c>
      <c r="AT309" s="37"/>
      <c r="AU309" s="29"/>
      <c r="AV309" s="29" t="b">
        <v>0</v>
      </c>
      <c r="AW309" s="22" t="str">
        <f t="shared" si="13"/>
        <v/>
      </c>
      <c r="AX309" s="7">
        <f>IF(ISBLANK(AT309), 0, VLOOKUP(AT309, 'Price Sheet'!$A$2:$B1015, 2, false))</f>
        <v>0</v>
      </c>
      <c r="AY309" s="33" t="str">
        <f t="shared" si="14"/>
        <v/>
      </c>
      <c r="AZ309" s="37"/>
      <c r="BA309" s="29"/>
      <c r="BB309" s="29" t="b">
        <v>0</v>
      </c>
      <c r="BC309" s="22" t="str">
        <f t="shared" si="15"/>
        <v/>
      </c>
      <c r="BD309" s="7">
        <f>IF(ISBLANK(AZ309), 0, VLOOKUP(AZ309, 'Price Sheet'!$A$2:$B1015, 2, false))</f>
        <v>0</v>
      </c>
      <c r="BE309" s="33" t="str">
        <f t="shared" si="16"/>
        <v/>
      </c>
      <c r="BF309" s="37"/>
      <c r="BG309" s="29"/>
      <c r="BH309" s="29" t="b">
        <v>0</v>
      </c>
      <c r="BI309" s="22" t="str">
        <f t="shared" si="17"/>
        <v/>
      </c>
      <c r="BJ309" s="7">
        <f>IF(ISBLANK(BF309), 0, VLOOKUP(BF309, 'Price Sheet'!$A$2:$B1015, 2, false))</f>
        <v>0</v>
      </c>
      <c r="BK309" s="33" t="str">
        <f t="shared" si="18"/>
        <v/>
      </c>
      <c r="BL309" s="37"/>
      <c r="BM309" s="29"/>
      <c r="BN309" s="29" t="b">
        <v>0</v>
      </c>
      <c r="BO309" s="22" t="str">
        <f t="shared" si="19"/>
        <v/>
      </c>
      <c r="BP309" s="7">
        <f>IF(ISBLANK(BL309), 0, VLOOKUP(BL309, 'Price Sheet'!$A$2:$B1015, 2, false))</f>
        <v>0</v>
      </c>
      <c r="BQ309" s="33" t="str">
        <f t="shared" si="20"/>
        <v/>
      </c>
    </row>
    <row r="310">
      <c r="B310" s="19"/>
      <c r="C310" s="29"/>
      <c r="D310" s="29"/>
      <c r="E310" s="7" t="str">
        <f>IF(ISBLANK(D310), "", VLOOKUP(D310,'Crafting Tables'!$A$2:$B1015, 2, false))</f>
        <v/>
      </c>
      <c r="F310" s="7" t="str">
        <f>IFERROR(IF(E310 = "None", 1, VLOOKUP(C310,General!$A$5:$L$35, SWITCH(E310, "Basic", 8, "Advanced", 10, "Modern", 12), false)),"")</f>
        <v/>
      </c>
      <c r="G310" s="29"/>
      <c r="H310" s="7">
        <f>IFERROR(VLOOKUP(C310, General!$A$5:$L$35, 6, false) * G310 / 1000, 0)</f>
        <v>0</v>
      </c>
      <c r="I310" s="29"/>
      <c r="J310" s="22" t="str">
        <f>IFERROR(I310*VLOOKUP(D310,'Crafting Tables'!$1:$1000, 4, false)*F310,"")</f>
        <v/>
      </c>
      <c r="K310" s="29" t="b">
        <v>0</v>
      </c>
      <c r="L310" s="37"/>
      <c r="M310" s="29"/>
      <c r="N310" s="21" t="str">
        <f t="shared" si="2"/>
        <v/>
      </c>
      <c r="P310" s="37"/>
      <c r="Q310" s="29"/>
      <c r="R310" s="29" t="b">
        <v>0</v>
      </c>
      <c r="S310" s="22" t="str">
        <f t="shared" si="3"/>
        <v/>
      </c>
      <c r="T310" s="7">
        <f>IF(ISBLANK(P310), 0, VLOOKUP(P310, 'Price Sheet'!$A$2:$B1015, 2, false))</f>
        <v>0</v>
      </c>
      <c r="U310" s="33" t="str">
        <f t="shared" si="4"/>
        <v/>
      </c>
      <c r="V310" s="37"/>
      <c r="W310" s="29"/>
      <c r="X310" s="29" t="b">
        <v>0</v>
      </c>
      <c r="Y310" s="22" t="str">
        <f t="shared" si="5"/>
        <v/>
      </c>
      <c r="Z310" s="7">
        <f>IF(ISBLANK(V310), 0, VLOOKUP(V310, 'Price Sheet'!$A$2:$B1015, 2, false))</f>
        <v>0</v>
      </c>
      <c r="AA310" s="33" t="str">
        <f t="shared" si="6"/>
        <v/>
      </c>
      <c r="AB310" s="37"/>
      <c r="AC310" s="29"/>
      <c r="AD310" s="29" t="b">
        <v>0</v>
      </c>
      <c r="AE310" s="22" t="str">
        <f t="shared" si="7"/>
        <v/>
      </c>
      <c r="AF310" s="7">
        <f>IF(ISBLANK(AB310), 0, VLOOKUP(AB310, 'Price Sheet'!$A$2:$B1015, 2, false))</f>
        <v>0</v>
      </c>
      <c r="AG310" s="33" t="str">
        <f t="shared" si="8"/>
        <v/>
      </c>
      <c r="AH310" s="37"/>
      <c r="AI310" s="29"/>
      <c r="AJ310" s="29" t="b">
        <v>0</v>
      </c>
      <c r="AK310" s="22" t="str">
        <f t="shared" si="9"/>
        <v/>
      </c>
      <c r="AL310" s="7">
        <f>IF(ISBLANK(AH310), 0, VLOOKUP(AH310, 'Price Sheet'!$A$2:$B1015, 2, false))</f>
        <v>0</v>
      </c>
      <c r="AM310" s="33" t="str">
        <f t="shared" si="10"/>
        <v/>
      </c>
      <c r="AN310" s="37"/>
      <c r="AO310" s="29"/>
      <c r="AP310" s="29" t="b">
        <v>0</v>
      </c>
      <c r="AQ310" s="22" t="str">
        <f t="shared" si="11"/>
        <v/>
      </c>
      <c r="AR310" s="7">
        <f>IF(ISBLANK(AN310), 0, VLOOKUP(AN310, 'Price Sheet'!$A$2:$B1015, 2, false))</f>
        <v>0</v>
      </c>
      <c r="AS310" s="33" t="str">
        <f t="shared" si="12"/>
        <v/>
      </c>
      <c r="AT310" s="37"/>
      <c r="AU310" s="29"/>
      <c r="AV310" s="29" t="b">
        <v>0</v>
      </c>
      <c r="AW310" s="22" t="str">
        <f t="shared" si="13"/>
        <v/>
      </c>
      <c r="AX310" s="7">
        <f>IF(ISBLANK(AT310), 0, VLOOKUP(AT310, 'Price Sheet'!$A$2:$B1015, 2, false))</f>
        <v>0</v>
      </c>
      <c r="AY310" s="33" t="str">
        <f t="shared" si="14"/>
        <v/>
      </c>
      <c r="AZ310" s="37"/>
      <c r="BA310" s="29"/>
      <c r="BB310" s="29" t="b">
        <v>0</v>
      </c>
      <c r="BC310" s="22" t="str">
        <f t="shared" si="15"/>
        <v/>
      </c>
      <c r="BD310" s="7">
        <f>IF(ISBLANK(AZ310), 0, VLOOKUP(AZ310, 'Price Sheet'!$A$2:$B1015, 2, false))</f>
        <v>0</v>
      </c>
      <c r="BE310" s="33" t="str">
        <f t="shared" si="16"/>
        <v/>
      </c>
      <c r="BF310" s="37"/>
      <c r="BG310" s="29"/>
      <c r="BH310" s="29" t="b">
        <v>0</v>
      </c>
      <c r="BI310" s="22" t="str">
        <f t="shared" si="17"/>
        <v/>
      </c>
      <c r="BJ310" s="7">
        <f>IF(ISBLANK(BF310), 0, VLOOKUP(BF310, 'Price Sheet'!$A$2:$B1015, 2, false))</f>
        <v>0</v>
      </c>
      <c r="BK310" s="33" t="str">
        <f t="shared" si="18"/>
        <v/>
      </c>
      <c r="BL310" s="37"/>
      <c r="BM310" s="29"/>
      <c r="BN310" s="29" t="b">
        <v>0</v>
      </c>
      <c r="BO310" s="22" t="str">
        <f t="shared" si="19"/>
        <v/>
      </c>
      <c r="BP310" s="7">
        <f>IF(ISBLANK(BL310), 0, VLOOKUP(BL310, 'Price Sheet'!$A$2:$B1015, 2, false))</f>
        <v>0</v>
      </c>
      <c r="BQ310" s="33" t="str">
        <f t="shared" si="20"/>
        <v/>
      </c>
    </row>
    <row r="311">
      <c r="B311" s="19"/>
      <c r="C311" s="29"/>
      <c r="D311" s="29"/>
      <c r="E311" s="7" t="str">
        <f>IF(ISBLANK(D311), "", VLOOKUP(D311,'Crafting Tables'!$A$2:$B1015, 2, false))</f>
        <v/>
      </c>
      <c r="F311" s="7" t="str">
        <f>IFERROR(IF(E311 = "None", 1, VLOOKUP(C311,General!$A$5:$L$35, SWITCH(E311, "Basic", 8, "Advanced", 10, "Modern", 12), false)),"")</f>
        <v/>
      </c>
      <c r="G311" s="29"/>
      <c r="H311" s="7">
        <f>IFERROR(VLOOKUP(C311, General!$A$5:$L$35, 6, false) * G311 / 1000, 0)</f>
        <v>0</v>
      </c>
      <c r="I311" s="29"/>
      <c r="J311" s="22" t="str">
        <f>IFERROR(I311*VLOOKUP(D311,'Crafting Tables'!$1:$1000, 4, false)*F311,"")</f>
        <v/>
      </c>
      <c r="K311" s="29" t="b">
        <v>0</v>
      </c>
      <c r="L311" s="37"/>
      <c r="M311" s="29"/>
      <c r="N311" s="21" t="str">
        <f t="shared" si="2"/>
        <v/>
      </c>
      <c r="P311" s="37"/>
      <c r="Q311" s="29"/>
      <c r="R311" s="29" t="b">
        <v>0</v>
      </c>
      <c r="S311" s="22" t="str">
        <f t="shared" si="3"/>
        <v/>
      </c>
      <c r="T311" s="7">
        <f>IF(ISBLANK(P311), 0, VLOOKUP(P311, 'Price Sheet'!$A$2:$B1015, 2, false))</f>
        <v>0</v>
      </c>
      <c r="U311" s="33" t="str">
        <f t="shared" si="4"/>
        <v/>
      </c>
      <c r="V311" s="37"/>
      <c r="W311" s="29"/>
      <c r="X311" s="29" t="b">
        <v>0</v>
      </c>
      <c r="Y311" s="22" t="str">
        <f t="shared" si="5"/>
        <v/>
      </c>
      <c r="Z311" s="7">
        <f>IF(ISBLANK(V311), 0, VLOOKUP(V311, 'Price Sheet'!$A$2:$B1015, 2, false))</f>
        <v>0</v>
      </c>
      <c r="AA311" s="33" t="str">
        <f t="shared" si="6"/>
        <v/>
      </c>
      <c r="AB311" s="37"/>
      <c r="AC311" s="29"/>
      <c r="AD311" s="29" t="b">
        <v>0</v>
      </c>
      <c r="AE311" s="22" t="str">
        <f t="shared" si="7"/>
        <v/>
      </c>
      <c r="AF311" s="7">
        <f>IF(ISBLANK(AB311), 0, VLOOKUP(AB311, 'Price Sheet'!$A$2:$B1015, 2, false))</f>
        <v>0</v>
      </c>
      <c r="AG311" s="33" t="str">
        <f t="shared" si="8"/>
        <v/>
      </c>
      <c r="AH311" s="37"/>
      <c r="AI311" s="29"/>
      <c r="AJ311" s="29" t="b">
        <v>0</v>
      </c>
      <c r="AK311" s="22" t="str">
        <f t="shared" si="9"/>
        <v/>
      </c>
      <c r="AL311" s="7">
        <f>IF(ISBLANK(AH311), 0, VLOOKUP(AH311, 'Price Sheet'!$A$2:$B1015, 2, false))</f>
        <v>0</v>
      </c>
      <c r="AM311" s="33" t="str">
        <f t="shared" si="10"/>
        <v/>
      </c>
      <c r="AN311" s="37"/>
      <c r="AO311" s="29"/>
      <c r="AP311" s="29" t="b">
        <v>0</v>
      </c>
      <c r="AQ311" s="22" t="str">
        <f t="shared" si="11"/>
        <v/>
      </c>
      <c r="AR311" s="7">
        <f>IF(ISBLANK(AN311), 0, VLOOKUP(AN311, 'Price Sheet'!$A$2:$B1015, 2, false))</f>
        <v>0</v>
      </c>
      <c r="AS311" s="33" t="str">
        <f t="shared" si="12"/>
        <v/>
      </c>
      <c r="AT311" s="37"/>
      <c r="AU311" s="29"/>
      <c r="AV311" s="29" t="b">
        <v>0</v>
      </c>
      <c r="AW311" s="22" t="str">
        <f t="shared" si="13"/>
        <v/>
      </c>
      <c r="AX311" s="7">
        <f>IF(ISBLANK(AT311), 0, VLOOKUP(AT311, 'Price Sheet'!$A$2:$B1015, 2, false))</f>
        <v>0</v>
      </c>
      <c r="AY311" s="33" t="str">
        <f t="shared" si="14"/>
        <v/>
      </c>
      <c r="AZ311" s="37"/>
      <c r="BA311" s="29"/>
      <c r="BB311" s="29" t="b">
        <v>0</v>
      </c>
      <c r="BC311" s="22" t="str">
        <f t="shared" si="15"/>
        <v/>
      </c>
      <c r="BD311" s="7">
        <f>IF(ISBLANK(AZ311), 0, VLOOKUP(AZ311, 'Price Sheet'!$A$2:$B1015, 2, false))</f>
        <v>0</v>
      </c>
      <c r="BE311" s="33" t="str">
        <f t="shared" si="16"/>
        <v/>
      </c>
      <c r="BF311" s="37"/>
      <c r="BG311" s="29"/>
      <c r="BH311" s="29" t="b">
        <v>0</v>
      </c>
      <c r="BI311" s="22" t="str">
        <f t="shared" si="17"/>
        <v/>
      </c>
      <c r="BJ311" s="7">
        <f>IF(ISBLANK(BF311), 0, VLOOKUP(BF311, 'Price Sheet'!$A$2:$B1015, 2, false))</f>
        <v>0</v>
      </c>
      <c r="BK311" s="33" t="str">
        <f t="shared" si="18"/>
        <v/>
      </c>
      <c r="BL311" s="37"/>
      <c r="BM311" s="29"/>
      <c r="BN311" s="29" t="b">
        <v>0</v>
      </c>
      <c r="BO311" s="22" t="str">
        <f t="shared" si="19"/>
        <v/>
      </c>
      <c r="BP311" s="7">
        <f>IF(ISBLANK(BL311), 0, VLOOKUP(BL311, 'Price Sheet'!$A$2:$B1015, 2, false))</f>
        <v>0</v>
      </c>
      <c r="BQ311" s="33" t="str">
        <f t="shared" si="20"/>
        <v/>
      </c>
    </row>
    <row r="312">
      <c r="B312" s="19"/>
      <c r="C312" s="29"/>
      <c r="D312" s="29"/>
      <c r="E312" s="7" t="str">
        <f>IF(ISBLANK(D312), "", VLOOKUP(D312,'Crafting Tables'!$A$2:$B1015, 2, false))</f>
        <v/>
      </c>
      <c r="F312" s="7" t="str">
        <f>IFERROR(IF(E312 = "None", 1, VLOOKUP(C312,General!$A$5:$L$35, SWITCH(E312, "Basic", 8, "Advanced", 10, "Modern", 12), false)),"")</f>
        <v/>
      </c>
      <c r="G312" s="29"/>
      <c r="H312" s="7">
        <f>IFERROR(VLOOKUP(C312, General!$A$5:$L$35, 6, false) * G312 / 1000, 0)</f>
        <v>0</v>
      </c>
      <c r="I312" s="29"/>
      <c r="J312" s="22" t="str">
        <f>IFERROR(I312*VLOOKUP(D312,'Crafting Tables'!$1:$1000, 4, false)*F312,"")</f>
        <v/>
      </c>
      <c r="K312" s="29" t="b">
        <v>0</v>
      </c>
      <c r="L312" s="37"/>
      <c r="M312" s="29"/>
      <c r="N312" s="21" t="str">
        <f t="shared" si="2"/>
        <v/>
      </c>
      <c r="P312" s="37"/>
      <c r="Q312" s="29"/>
      <c r="R312" s="29" t="b">
        <v>0</v>
      </c>
      <c r="S312" s="22" t="str">
        <f t="shared" si="3"/>
        <v/>
      </c>
      <c r="T312" s="7">
        <f>IF(ISBLANK(P312), 0, VLOOKUP(P312, 'Price Sheet'!$A$2:$B1015, 2, false))</f>
        <v>0</v>
      </c>
      <c r="U312" s="33" t="str">
        <f t="shared" si="4"/>
        <v/>
      </c>
      <c r="V312" s="37"/>
      <c r="W312" s="29"/>
      <c r="X312" s="29" t="b">
        <v>0</v>
      </c>
      <c r="Y312" s="22" t="str">
        <f t="shared" si="5"/>
        <v/>
      </c>
      <c r="Z312" s="7">
        <f>IF(ISBLANK(V312), 0, VLOOKUP(V312, 'Price Sheet'!$A$2:$B1015, 2, false))</f>
        <v>0</v>
      </c>
      <c r="AA312" s="33" t="str">
        <f t="shared" si="6"/>
        <v/>
      </c>
      <c r="AB312" s="37"/>
      <c r="AC312" s="29"/>
      <c r="AD312" s="29" t="b">
        <v>0</v>
      </c>
      <c r="AE312" s="22" t="str">
        <f t="shared" si="7"/>
        <v/>
      </c>
      <c r="AF312" s="7">
        <f>IF(ISBLANK(AB312), 0, VLOOKUP(AB312, 'Price Sheet'!$A$2:$B1015, 2, false))</f>
        <v>0</v>
      </c>
      <c r="AG312" s="33" t="str">
        <f t="shared" si="8"/>
        <v/>
      </c>
      <c r="AH312" s="37"/>
      <c r="AI312" s="29"/>
      <c r="AJ312" s="29" t="b">
        <v>0</v>
      </c>
      <c r="AK312" s="22" t="str">
        <f t="shared" si="9"/>
        <v/>
      </c>
      <c r="AL312" s="7">
        <f>IF(ISBLANK(AH312), 0, VLOOKUP(AH312, 'Price Sheet'!$A$2:$B1015, 2, false))</f>
        <v>0</v>
      </c>
      <c r="AM312" s="33" t="str">
        <f t="shared" si="10"/>
        <v/>
      </c>
      <c r="AN312" s="37"/>
      <c r="AO312" s="29"/>
      <c r="AP312" s="29" t="b">
        <v>0</v>
      </c>
      <c r="AQ312" s="22" t="str">
        <f t="shared" si="11"/>
        <v/>
      </c>
      <c r="AR312" s="7">
        <f>IF(ISBLANK(AN312), 0, VLOOKUP(AN312, 'Price Sheet'!$A$2:$B1015, 2, false))</f>
        <v>0</v>
      </c>
      <c r="AS312" s="33" t="str">
        <f t="shared" si="12"/>
        <v/>
      </c>
      <c r="AT312" s="37"/>
      <c r="AU312" s="29"/>
      <c r="AV312" s="29" t="b">
        <v>0</v>
      </c>
      <c r="AW312" s="22" t="str">
        <f t="shared" si="13"/>
        <v/>
      </c>
      <c r="AX312" s="7">
        <f>IF(ISBLANK(AT312), 0, VLOOKUP(AT312, 'Price Sheet'!$A$2:$B1015, 2, false))</f>
        <v>0</v>
      </c>
      <c r="AY312" s="33" t="str">
        <f t="shared" si="14"/>
        <v/>
      </c>
      <c r="AZ312" s="37"/>
      <c r="BA312" s="29"/>
      <c r="BB312" s="29" t="b">
        <v>0</v>
      </c>
      <c r="BC312" s="22" t="str">
        <f t="shared" si="15"/>
        <v/>
      </c>
      <c r="BD312" s="7">
        <f>IF(ISBLANK(AZ312), 0, VLOOKUP(AZ312, 'Price Sheet'!$A$2:$B1015, 2, false))</f>
        <v>0</v>
      </c>
      <c r="BE312" s="33" t="str">
        <f t="shared" si="16"/>
        <v/>
      </c>
      <c r="BF312" s="37"/>
      <c r="BG312" s="29"/>
      <c r="BH312" s="29" t="b">
        <v>0</v>
      </c>
      <c r="BI312" s="22" t="str">
        <f t="shared" si="17"/>
        <v/>
      </c>
      <c r="BJ312" s="7">
        <f>IF(ISBLANK(BF312), 0, VLOOKUP(BF312, 'Price Sheet'!$A$2:$B1015, 2, false))</f>
        <v>0</v>
      </c>
      <c r="BK312" s="33" t="str">
        <f t="shared" si="18"/>
        <v/>
      </c>
      <c r="BL312" s="37"/>
      <c r="BM312" s="29"/>
      <c r="BN312" s="29" t="b">
        <v>0</v>
      </c>
      <c r="BO312" s="22" t="str">
        <f t="shared" si="19"/>
        <v/>
      </c>
      <c r="BP312" s="7">
        <f>IF(ISBLANK(BL312), 0, VLOOKUP(BL312, 'Price Sheet'!$A$2:$B1015, 2, false))</f>
        <v>0</v>
      </c>
      <c r="BQ312" s="33" t="str">
        <f t="shared" si="20"/>
        <v/>
      </c>
    </row>
    <row r="313">
      <c r="B313" s="19"/>
      <c r="C313" s="29"/>
      <c r="D313" s="29"/>
      <c r="E313" s="7" t="str">
        <f>IF(ISBLANK(D313), "", VLOOKUP(D313,'Crafting Tables'!$A$2:$B1015, 2, false))</f>
        <v/>
      </c>
      <c r="F313" s="7" t="str">
        <f>IFERROR(IF(E313 = "None", 1, VLOOKUP(C313,General!$A$5:$L$35, SWITCH(E313, "Basic", 8, "Advanced", 10, "Modern", 12), false)),"")</f>
        <v/>
      </c>
      <c r="G313" s="29"/>
      <c r="H313" s="7">
        <f>IFERROR(VLOOKUP(C313, General!$A$5:$L$35, 6, false) * G313 / 1000, 0)</f>
        <v>0</v>
      </c>
      <c r="I313" s="29"/>
      <c r="J313" s="22" t="str">
        <f>IFERROR(I313*VLOOKUP(D313,'Crafting Tables'!$1:$1000, 4, false)*F313,"")</f>
        <v/>
      </c>
      <c r="K313" s="29" t="b">
        <v>0</v>
      </c>
      <c r="L313" s="37"/>
      <c r="M313" s="29"/>
      <c r="N313" s="21" t="str">
        <f t="shared" si="2"/>
        <v/>
      </c>
      <c r="P313" s="37"/>
      <c r="Q313" s="29"/>
      <c r="R313" s="29" t="b">
        <v>0</v>
      </c>
      <c r="S313" s="22" t="str">
        <f t="shared" si="3"/>
        <v/>
      </c>
      <c r="T313" s="7">
        <f>IF(ISBLANK(P313), 0, VLOOKUP(P313, 'Price Sheet'!$A$2:$B1015, 2, false))</f>
        <v>0</v>
      </c>
      <c r="U313" s="33" t="str">
        <f t="shared" si="4"/>
        <v/>
      </c>
      <c r="V313" s="37"/>
      <c r="W313" s="29"/>
      <c r="X313" s="29" t="b">
        <v>0</v>
      </c>
      <c r="Y313" s="22" t="str">
        <f t="shared" si="5"/>
        <v/>
      </c>
      <c r="Z313" s="7">
        <f>IF(ISBLANK(V313), 0, VLOOKUP(V313, 'Price Sheet'!$A$2:$B1015, 2, false))</f>
        <v>0</v>
      </c>
      <c r="AA313" s="33" t="str">
        <f t="shared" si="6"/>
        <v/>
      </c>
      <c r="AB313" s="37"/>
      <c r="AC313" s="29"/>
      <c r="AD313" s="29" t="b">
        <v>0</v>
      </c>
      <c r="AE313" s="22" t="str">
        <f t="shared" si="7"/>
        <v/>
      </c>
      <c r="AF313" s="7">
        <f>IF(ISBLANK(AB313), 0, VLOOKUP(AB313, 'Price Sheet'!$A$2:$B1015, 2, false))</f>
        <v>0</v>
      </c>
      <c r="AG313" s="33" t="str">
        <f t="shared" si="8"/>
        <v/>
      </c>
      <c r="AH313" s="37"/>
      <c r="AI313" s="29"/>
      <c r="AJ313" s="29" t="b">
        <v>0</v>
      </c>
      <c r="AK313" s="22" t="str">
        <f t="shared" si="9"/>
        <v/>
      </c>
      <c r="AL313" s="7">
        <f>IF(ISBLANK(AH313), 0, VLOOKUP(AH313, 'Price Sheet'!$A$2:$B1015, 2, false))</f>
        <v>0</v>
      </c>
      <c r="AM313" s="33" t="str">
        <f t="shared" si="10"/>
        <v/>
      </c>
      <c r="AN313" s="37"/>
      <c r="AO313" s="29"/>
      <c r="AP313" s="29" t="b">
        <v>0</v>
      </c>
      <c r="AQ313" s="22" t="str">
        <f t="shared" si="11"/>
        <v/>
      </c>
      <c r="AR313" s="7">
        <f>IF(ISBLANK(AN313), 0, VLOOKUP(AN313, 'Price Sheet'!$A$2:$B1015, 2, false))</f>
        <v>0</v>
      </c>
      <c r="AS313" s="33" t="str">
        <f t="shared" si="12"/>
        <v/>
      </c>
      <c r="AT313" s="37"/>
      <c r="AU313" s="29"/>
      <c r="AV313" s="29" t="b">
        <v>0</v>
      </c>
      <c r="AW313" s="22" t="str">
        <f t="shared" si="13"/>
        <v/>
      </c>
      <c r="AX313" s="7">
        <f>IF(ISBLANK(AT313), 0, VLOOKUP(AT313, 'Price Sheet'!$A$2:$B1015, 2, false))</f>
        <v>0</v>
      </c>
      <c r="AY313" s="33" t="str">
        <f t="shared" si="14"/>
        <v/>
      </c>
      <c r="AZ313" s="37"/>
      <c r="BA313" s="29"/>
      <c r="BB313" s="29" t="b">
        <v>0</v>
      </c>
      <c r="BC313" s="22" t="str">
        <f t="shared" si="15"/>
        <v/>
      </c>
      <c r="BD313" s="7">
        <f>IF(ISBLANK(AZ313), 0, VLOOKUP(AZ313, 'Price Sheet'!$A$2:$B1015, 2, false))</f>
        <v>0</v>
      </c>
      <c r="BE313" s="33" t="str">
        <f t="shared" si="16"/>
        <v/>
      </c>
      <c r="BF313" s="37"/>
      <c r="BG313" s="29"/>
      <c r="BH313" s="29" t="b">
        <v>0</v>
      </c>
      <c r="BI313" s="22" t="str">
        <f t="shared" si="17"/>
        <v/>
      </c>
      <c r="BJ313" s="7">
        <f>IF(ISBLANK(BF313), 0, VLOOKUP(BF313, 'Price Sheet'!$A$2:$B1015, 2, false))</f>
        <v>0</v>
      </c>
      <c r="BK313" s="33" t="str">
        <f t="shared" si="18"/>
        <v/>
      </c>
      <c r="BL313" s="37"/>
      <c r="BM313" s="29"/>
      <c r="BN313" s="29" t="b">
        <v>0</v>
      </c>
      <c r="BO313" s="22" t="str">
        <f t="shared" si="19"/>
        <v/>
      </c>
      <c r="BP313" s="7">
        <f>IF(ISBLANK(BL313), 0, VLOOKUP(BL313, 'Price Sheet'!$A$2:$B1015, 2, false))</f>
        <v>0</v>
      </c>
      <c r="BQ313" s="33" t="str">
        <f t="shared" si="20"/>
        <v/>
      </c>
    </row>
    <row r="314">
      <c r="B314" s="19"/>
      <c r="C314" s="29"/>
      <c r="D314" s="29"/>
      <c r="E314" s="7" t="str">
        <f>IF(ISBLANK(D314), "", VLOOKUP(D314,'Crafting Tables'!$A$2:$B1015, 2, false))</f>
        <v/>
      </c>
      <c r="F314" s="7" t="str">
        <f>IFERROR(IF(E314 = "None", 1, VLOOKUP(C314,General!$A$5:$L$35, SWITCH(E314, "Basic", 8, "Advanced", 10, "Modern", 12), false)),"")</f>
        <v/>
      </c>
      <c r="G314" s="29"/>
      <c r="H314" s="7">
        <f>IFERROR(VLOOKUP(C314, General!$A$5:$L$35, 6, false) * G314 / 1000, 0)</f>
        <v>0</v>
      </c>
      <c r="I314" s="29"/>
      <c r="J314" s="22" t="str">
        <f>IFERROR(I314*VLOOKUP(D314,'Crafting Tables'!$1:$1000, 4, false)*F314,"")</f>
        <v/>
      </c>
      <c r="K314" s="29" t="b">
        <v>0</v>
      </c>
      <c r="L314" s="37"/>
      <c r="M314" s="29"/>
      <c r="N314" s="21" t="str">
        <f t="shared" si="2"/>
        <v/>
      </c>
      <c r="P314" s="37"/>
      <c r="Q314" s="29"/>
      <c r="R314" s="29" t="b">
        <v>0</v>
      </c>
      <c r="S314" s="22" t="str">
        <f t="shared" si="3"/>
        <v/>
      </c>
      <c r="T314" s="7">
        <f>IF(ISBLANK(P314), 0, VLOOKUP(P314, 'Price Sheet'!$A$2:$B1015, 2, false))</f>
        <v>0</v>
      </c>
      <c r="U314" s="33" t="str">
        <f t="shared" si="4"/>
        <v/>
      </c>
      <c r="V314" s="37"/>
      <c r="W314" s="29"/>
      <c r="X314" s="29" t="b">
        <v>0</v>
      </c>
      <c r="Y314" s="22" t="str">
        <f t="shared" si="5"/>
        <v/>
      </c>
      <c r="Z314" s="7">
        <f>IF(ISBLANK(V314), 0, VLOOKUP(V314, 'Price Sheet'!$A$2:$B1015, 2, false))</f>
        <v>0</v>
      </c>
      <c r="AA314" s="33" t="str">
        <f t="shared" si="6"/>
        <v/>
      </c>
      <c r="AB314" s="37"/>
      <c r="AC314" s="29"/>
      <c r="AD314" s="29" t="b">
        <v>0</v>
      </c>
      <c r="AE314" s="22" t="str">
        <f t="shared" si="7"/>
        <v/>
      </c>
      <c r="AF314" s="7">
        <f>IF(ISBLANK(AB314), 0, VLOOKUP(AB314, 'Price Sheet'!$A$2:$B1015, 2, false))</f>
        <v>0</v>
      </c>
      <c r="AG314" s="33" t="str">
        <f t="shared" si="8"/>
        <v/>
      </c>
      <c r="AH314" s="37"/>
      <c r="AI314" s="29"/>
      <c r="AJ314" s="29" t="b">
        <v>0</v>
      </c>
      <c r="AK314" s="22" t="str">
        <f t="shared" si="9"/>
        <v/>
      </c>
      <c r="AL314" s="7">
        <f>IF(ISBLANK(AH314), 0, VLOOKUP(AH314, 'Price Sheet'!$A$2:$B1015, 2, false))</f>
        <v>0</v>
      </c>
      <c r="AM314" s="33" t="str">
        <f t="shared" si="10"/>
        <v/>
      </c>
      <c r="AN314" s="37"/>
      <c r="AO314" s="29"/>
      <c r="AP314" s="29" t="b">
        <v>0</v>
      </c>
      <c r="AQ314" s="22" t="str">
        <f t="shared" si="11"/>
        <v/>
      </c>
      <c r="AR314" s="7">
        <f>IF(ISBLANK(AN314), 0, VLOOKUP(AN314, 'Price Sheet'!$A$2:$B1015, 2, false))</f>
        <v>0</v>
      </c>
      <c r="AS314" s="33" t="str">
        <f t="shared" si="12"/>
        <v/>
      </c>
      <c r="AT314" s="37"/>
      <c r="AU314" s="29"/>
      <c r="AV314" s="29" t="b">
        <v>0</v>
      </c>
      <c r="AW314" s="22" t="str">
        <f t="shared" si="13"/>
        <v/>
      </c>
      <c r="AX314" s="7">
        <f>IF(ISBLANK(AT314), 0, VLOOKUP(AT314, 'Price Sheet'!$A$2:$B1015, 2, false))</f>
        <v>0</v>
      </c>
      <c r="AY314" s="33" t="str">
        <f t="shared" si="14"/>
        <v/>
      </c>
      <c r="AZ314" s="37"/>
      <c r="BA314" s="29"/>
      <c r="BB314" s="29" t="b">
        <v>0</v>
      </c>
      <c r="BC314" s="22" t="str">
        <f t="shared" si="15"/>
        <v/>
      </c>
      <c r="BD314" s="7">
        <f>IF(ISBLANK(AZ314), 0, VLOOKUP(AZ314, 'Price Sheet'!$A$2:$B1015, 2, false))</f>
        <v>0</v>
      </c>
      <c r="BE314" s="33" t="str">
        <f t="shared" si="16"/>
        <v/>
      </c>
      <c r="BF314" s="37"/>
      <c r="BG314" s="29"/>
      <c r="BH314" s="29" t="b">
        <v>0</v>
      </c>
      <c r="BI314" s="22" t="str">
        <f t="shared" si="17"/>
        <v/>
      </c>
      <c r="BJ314" s="7">
        <f>IF(ISBLANK(BF314), 0, VLOOKUP(BF314, 'Price Sheet'!$A$2:$B1015, 2, false))</f>
        <v>0</v>
      </c>
      <c r="BK314" s="33" t="str">
        <f t="shared" si="18"/>
        <v/>
      </c>
      <c r="BL314" s="37"/>
      <c r="BM314" s="29"/>
      <c r="BN314" s="29" t="b">
        <v>0</v>
      </c>
      <c r="BO314" s="22" t="str">
        <f t="shared" si="19"/>
        <v/>
      </c>
      <c r="BP314" s="7">
        <f>IF(ISBLANK(BL314), 0, VLOOKUP(BL314, 'Price Sheet'!$A$2:$B1015, 2, false))</f>
        <v>0</v>
      </c>
      <c r="BQ314" s="33" t="str">
        <f t="shared" si="20"/>
        <v/>
      </c>
    </row>
    <row r="315">
      <c r="B315" s="19"/>
      <c r="C315" s="29"/>
      <c r="D315" s="29"/>
      <c r="E315" s="7" t="str">
        <f>IF(ISBLANK(D315), "", VLOOKUP(D315,'Crafting Tables'!$A$2:$B1015, 2, false))</f>
        <v/>
      </c>
      <c r="F315" s="7" t="str">
        <f>IFERROR(IF(E315 = "None", 1, VLOOKUP(C315,General!$A$5:$L$35, SWITCH(E315, "Basic", 8, "Advanced", 10, "Modern", 12), false)),"")</f>
        <v/>
      </c>
      <c r="G315" s="29"/>
      <c r="H315" s="7">
        <f>IFERROR(VLOOKUP(C315, General!$A$5:$L$35, 6, false) * G315 / 1000, 0)</f>
        <v>0</v>
      </c>
      <c r="I315" s="29"/>
      <c r="J315" s="22" t="str">
        <f>IFERROR(I315*VLOOKUP(D315,'Crafting Tables'!$1:$1000, 4, false)*F315,"")</f>
        <v/>
      </c>
      <c r="K315" s="29" t="b">
        <v>0</v>
      </c>
      <c r="L315" s="37"/>
      <c r="M315" s="29"/>
      <c r="N315" s="21" t="str">
        <f t="shared" si="2"/>
        <v/>
      </c>
      <c r="P315" s="37"/>
      <c r="Q315" s="29"/>
      <c r="R315" s="29" t="b">
        <v>0</v>
      </c>
      <c r="S315" s="22" t="str">
        <f t="shared" si="3"/>
        <v/>
      </c>
      <c r="T315" s="7">
        <f>IF(ISBLANK(P315), 0, VLOOKUP(P315, 'Price Sheet'!$A$2:$B1015, 2, false))</f>
        <v>0</v>
      </c>
      <c r="U315" s="33" t="str">
        <f t="shared" si="4"/>
        <v/>
      </c>
      <c r="V315" s="37"/>
      <c r="W315" s="29"/>
      <c r="X315" s="29" t="b">
        <v>0</v>
      </c>
      <c r="Y315" s="22" t="str">
        <f t="shared" si="5"/>
        <v/>
      </c>
      <c r="Z315" s="7">
        <f>IF(ISBLANK(V315), 0, VLOOKUP(V315, 'Price Sheet'!$A$2:$B1015, 2, false))</f>
        <v>0</v>
      </c>
      <c r="AA315" s="33" t="str">
        <f t="shared" si="6"/>
        <v/>
      </c>
      <c r="AB315" s="37"/>
      <c r="AC315" s="29"/>
      <c r="AD315" s="29" t="b">
        <v>0</v>
      </c>
      <c r="AE315" s="22" t="str">
        <f t="shared" si="7"/>
        <v/>
      </c>
      <c r="AF315" s="7">
        <f>IF(ISBLANK(AB315), 0, VLOOKUP(AB315, 'Price Sheet'!$A$2:$B1015, 2, false))</f>
        <v>0</v>
      </c>
      <c r="AG315" s="33" t="str">
        <f t="shared" si="8"/>
        <v/>
      </c>
      <c r="AH315" s="37"/>
      <c r="AI315" s="29"/>
      <c r="AJ315" s="29" t="b">
        <v>0</v>
      </c>
      <c r="AK315" s="22" t="str">
        <f t="shared" si="9"/>
        <v/>
      </c>
      <c r="AL315" s="7">
        <f>IF(ISBLANK(AH315), 0, VLOOKUP(AH315, 'Price Sheet'!$A$2:$B1015, 2, false))</f>
        <v>0</v>
      </c>
      <c r="AM315" s="33" t="str">
        <f t="shared" si="10"/>
        <v/>
      </c>
      <c r="AN315" s="37"/>
      <c r="AO315" s="29"/>
      <c r="AP315" s="29" t="b">
        <v>0</v>
      </c>
      <c r="AQ315" s="22" t="str">
        <f t="shared" si="11"/>
        <v/>
      </c>
      <c r="AR315" s="7">
        <f>IF(ISBLANK(AN315), 0, VLOOKUP(AN315, 'Price Sheet'!$A$2:$B1015, 2, false))</f>
        <v>0</v>
      </c>
      <c r="AS315" s="33" t="str">
        <f t="shared" si="12"/>
        <v/>
      </c>
      <c r="AT315" s="37"/>
      <c r="AU315" s="29"/>
      <c r="AV315" s="29" t="b">
        <v>0</v>
      </c>
      <c r="AW315" s="22" t="str">
        <f t="shared" si="13"/>
        <v/>
      </c>
      <c r="AX315" s="7">
        <f>IF(ISBLANK(AT315), 0, VLOOKUP(AT315, 'Price Sheet'!$A$2:$B1015, 2, false))</f>
        <v>0</v>
      </c>
      <c r="AY315" s="33" t="str">
        <f t="shared" si="14"/>
        <v/>
      </c>
      <c r="AZ315" s="37"/>
      <c r="BA315" s="29"/>
      <c r="BB315" s="29" t="b">
        <v>0</v>
      </c>
      <c r="BC315" s="22" t="str">
        <f t="shared" si="15"/>
        <v/>
      </c>
      <c r="BD315" s="7">
        <f>IF(ISBLANK(AZ315), 0, VLOOKUP(AZ315, 'Price Sheet'!$A$2:$B1015, 2, false))</f>
        <v>0</v>
      </c>
      <c r="BE315" s="33" t="str">
        <f t="shared" si="16"/>
        <v/>
      </c>
      <c r="BF315" s="37"/>
      <c r="BG315" s="29"/>
      <c r="BH315" s="29" t="b">
        <v>0</v>
      </c>
      <c r="BI315" s="22" t="str">
        <f t="shared" si="17"/>
        <v/>
      </c>
      <c r="BJ315" s="7">
        <f>IF(ISBLANK(BF315), 0, VLOOKUP(BF315, 'Price Sheet'!$A$2:$B1015, 2, false))</f>
        <v>0</v>
      </c>
      <c r="BK315" s="33" t="str">
        <f t="shared" si="18"/>
        <v/>
      </c>
      <c r="BL315" s="37"/>
      <c r="BM315" s="29"/>
      <c r="BN315" s="29" t="b">
        <v>0</v>
      </c>
      <c r="BO315" s="22" t="str">
        <f t="shared" si="19"/>
        <v/>
      </c>
      <c r="BP315" s="7">
        <f>IF(ISBLANK(BL315), 0, VLOOKUP(BL315, 'Price Sheet'!$A$2:$B1015, 2, false))</f>
        <v>0</v>
      </c>
      <c r="BQ315" s="33" t="str">
        <f t="shared" si="20"/>
        <v/>
      </c>
    </row>
    <row r="316">
      <c r="B316" s="19"/>
      <c r="C316" s="29"/>
      <c r="D316" s="29"/>
      <c r="E316" s="7" t="str">
        <f>IF(ISBLANK(D316), "", VLOOKUP(D316,'Crafting Tables'!$A$2:$B1015, 2, false))</f>
        <v/>
      </c>
      <c r="F316" s="7" t="str">
        <f>IFERROR(IF(E316 = "None", 1, VLOOKUP(C316,General!$A$5:$L$35, SWITCH(E316, "Basic", 8, "Advanced", 10, "Modern", 12), false)),"")</f>
        <v/>
      </c>
      <c r="G316" s="29"/>
      <c r="H316" s="7">
        <f>IFERROR(VLOOKUP(C316, General!$A$5:$L$35, 6, false) * G316 / 1000, 0)</f>
        <v>0</v>
      </c>
      <c r="I316" s="29"/>
      <c r="J316" s="22" t="str">
        <f>IFERROR(I316*VLOOKUP(D316,'Crafting Tables'!$1:$1000, 4, false)*F316,"")</f>
        <v/>
      </c>
      <c r="K316" s="29" t="b">
        <v>0</v>
      </c>
      <c r="L316" s="37"/>
      <c r="M316" s="29"/>
      <c r="N316" s="21" t="str">
        <f t="shared" si="2"/>
        <v/>
      </c>
      <c r="P316" s="37"/>
      <c r="Q316" s="29"/>
      <c r="R316" s="29" t="b">
        <v>0</v>
      </c>
      <c r="S316" s="22" t="str">
        <f t="shared" si="3"/>
        <v/>
      </c>
      <c r="T316" s="7">
        <f>IF(ISBLANK(P316), 0, VLOOKUP(P316, 'Price Sheet'!$A$2:$B1015, 2, false))</f>
        <v>0</v>
      </c>
      <c r="U316" s="33" t="str">
        <f t="shared" si="4"/>
        <v/>
      </c>
      <c r="V316" s="37"/>
      <c r="W316" s="29"/>
      <c r="X316" s="29" t="b">
        <v>0</v>
      </c>
      <c r="Y316" s="22" t="str">
        <f t="shared" si="5"/>
        <v/>
      </c>
      <c r="Z316" s="7">
        <f>IF(ISBLANK(V316), 0, VLOOKUP(V316, 'Price Sheet'!$A$2:$B1015, 2, false))</f>
        <v>0</v>
      </c>
      <c r="AA316" s="33" t="str">
        <f t="shared" si="6"/>
        <v/>
      </c>
      <c r="AB316" s="37"/>
      <c r="AC316" s="29"/>
      <c r="AD316" s="29" t="b">
        <v>0</v>
      </c>
      <c r="AE316" s="22" t="str">
        <f t="shared" si="7"/>
        <v/>
      </c>
      <c r="AF316" s="7">
        <f>IF(ISBLANK(AB316), 0, VLOOKUP(AB316, 'Price Sheet'!$A$2:$B1015, 2, false))</f>
        <v>0</v>
      </c>
      <c r="AG316" s="33" t="str">
        <f t="shared" si="8"/>
        <v/>
      </c>
      <c r="AH316" s="37"/>
      <c r="AI316" s="29"/>
      <c r="AJ316" s="29" t="b">
        <v>0</v>
      </c>
      <c r="AK316" s="22" t="str">
        <f t="shared" si="9"/>
        <v/>
      </c>
      <c r="AL316" s="7">
        <f>IF(ISBLANK(AH316), 0, VLOOKUP(AH316, 'Price Sheet'!$A$2:$B1015, 2, false))</f>
        <v>0</v>
      </c>
      <c r="AM316" s="33" t="str">
        <f t="shared" si="10"/>
        <v/>
      </c>
      <c r="AN316" s="37"/>
      <c r="AO316" s="29"/>
      <c r="AP316" s="29" t="b">
        <v>0</v>
      </c>
      <c r="AQ316" s="22" t="str">
        <f t="shared" si="11"/>
        <v/>
      </c>
      <c r="AR316" s="7">
        <f>IF(ISBLANK(AN316), 0, VLOOKUP(AN316, 'Price Sheet'!$A$2:$B1015, 2, false))</f>
        <v>0</v>
      </c>
      <c r="AS316" s="33" t="str">
        <f t="shared" si="12"/>
        <v/>
      </c>
      <c r="AT316" s="37"/>
      <c r="AU316" s="29"/>
      <c r="AV316" s="29" t="b">
        <v>0</v>
      </c>
      <c r="AW316" s="22" t="str">
        <f t="shared" si="13"/>
        <v/>
      </c>
      <c r="AX316" s="7">
        <f>IF(ISBLANK(AT316), 0, VLOOKUP(AT316, 'Price Sheet'!$A$2:$B1015, 2, false))</f>
        <v>0</v>
      </c>
      <c r="AY316" s="33" t="str">
        <f t="shared" si="14"/>
        <v/>
      </c>
      <c r="AZ316" s="37"/>
      <c r="BA316" s="29"/>
      <c r="BB316" s="29" t="b">
        <v>0</v>
      </c>
      <c r="BC316" s="22" t="str">
        <f t="shared" si="15"/>
        <v/>
      </c>
      <c r="BD316" s="7">
        <f>IF(ISBLANK(AZ316), 0, VLOOKUP(AZ316, 'Price Sheet'!$A$2:$B1015, 2, false))</f>
        <v>0</v>
      </c>
      <c r="BE316" s="33" t="str">
        <f t="shared" si="16"/>
        <v/>
      </c>
      <c r="BF316" s="37"/>
      <c r="BG316" s="29"/>
      <c r="BH316" s="29" t="b">
        <v>0</v>
      </c>
      <c r="BI316" s="22" t="str">
        <f t="shared" si="17"/>
        <v/>
      </c>
      <c r="BJ316" s="7">
        <f>IF(ISBLANK(BF316), 0, VLOOKUP(BF316, 'Price Sheet'!$A$2:$B1015, 2, false))</f>
        <v>0</v>
      </c>
      <c r="BK316" s="33" t="str">
        <f t="shared" si="18"/>
        <v/>
      </c>
      <c r="BL316" s="37"/>
      <c r="BM316" s="29"/>
      <c r="BN316" s="29" t="b">
        <v>0</v>
      </c>
      <c r="BO316" s="22" t="str">
        <f t="shared" si="19"/>
        <v/>
      </c>
      <c r="BP316" s="7">
        <f>IF(ISBLANK(BL316), 0, VLOOKUP(BL316, 'Price Sheet'!$A$2:$B1015, 2, false))</f>
        <v>0</v>
      </c>
      <c r="BQ316" s="33" t="str">
        <f t="shared" si="20"/>
        <v/>
      </c>
    </row>
    <row r="317">
      <c r="B317" s="19"/>
      <c r="C317" s="29"/>
      <c r="D317" s="29"/>
      <c r="E317" s="7" t="str">
        <f>IF(ISBLANK(D317), "", VLOOKUP(D317,'Crafting Tables'!$A$2:$B1015, 2, false))</f>
        <v/>
      </c>
      <c r="F317" s="7" t="str">
        <f>IFERROR(IF(E317 = "None", 1, VLOOKUP(C317,General!$A$5:$L$35, SWITCH(E317, "Basic", 8, "Advanced", 10, "Modern", 12), false)),"")</f>
        <v/>
      </c>
      <c r="G317" s="29"/>
      <c r="H317" s="7">
        <f>IFERROR(VLOOKUP(C317, General!$A$5:$L$35, 6, false) * G317 / 1000, 0)</f>
        <v>0</v>
      </c>
      <c r="I317" s="29"/>
      <c r="J317" s="22" t="str">
        <f>IFERROR(I317*VLOOKUP(D317,'Crafting Tables'!$1:$1000, 4, false)*F317,"")</f>
        <v/>
      </c>
      <c r="K317" s="29" t="b">
        <v>0</v>
      </c>
      <c r="L317" s="37"/>
      <c r="M317" s="29"/>
      <c r="N317" s="21" t="str">
        <f t="shared" si="2"/>
        <v/>
      </c>
      <c r="P317" s="37"/>
      <c r="Q317" s="29"/>
      <c r="R317" s="29" t="b">
        <v>0</v>
      </c>
      <c r="S317" s="22" t="str">
        <f t="shared" si="3"/>
        <v/>
      </c>
      <c r="T317" s="7">
        <f>IF(ISBLANK(P317), 0, VLOOKUP(P317, 'Price Sheet'!$A$2:$B1015, 2, false))</f>
        <v>0</v>
      </c>
      <c r="U317" s="33" t="str">
        <f t="shared" si="4"/>
        <v/>
      </c>
      <c r="V317" s="37"/>
      <c r="W317" s="29"/>
      <c r="X317" s="29" t="b">
        <v>0</v>
      </c>
      <c r="Y317" s="22" t="str">
        <f t="shared" si="5"/>
        <v/>
      </c>
      <c r="Z317" s="7">
        <f>IF(ISBLANK(V317), 0, VLOOKUP(V317, 'Price Sheet'!$A$2:$B1015, 2, false))</f>
        <v>0</v>
      </c>
      <c r="AA317" s="33" t="str">
        <f t="shared" si="6"/>
        <v/>
      </c>
      <c r="AB317" s="37"/>
      <c r="AC317" s="29"/>
      <c r="AD317" s="29" t="b">
        <v>0</v>
      </c>
      <c r="AE317" s="22" t="str">
        <f t="shared" si="7"/>
        <v/>
      </c>
      <c r="AF317" s="7">
        <f>IF(ISBLANK(AB317), 0, VLOOKUP(AB317, 'Price Sheet'!$A$2:$B1015, 2, false))</f>
        <v>0</v>
      </c>
      <c r="AG317" s="33" t="str">
        <f t="shared" si="8"/>
        <v/>
      </c>
      <c r="AH317" s="37"/>
      <c r="AI317" s="29"/>
      <c r="AJ317" s="29" t="b">
        <v>0</v>
      </c>
      <c r="AK317" s="22" t="str">
        <f t="shared" si="9"/>
        <v/>
      </c>
      <c r="AL317" s="7">
        <f>IF(ISBLANK(AH317), 0, VLOOKUP(AH317, 'Price Sheet'!$A$2:$B1015, 2, false))</f>
        <v>0</v>
      </c>
      <c r="AM317" s="33" t="str">
        <f t="shared" si="10"/>
        <v/>
      </c>
      <c r="AN317" s="37"/>
      <c r="AO317" s="29"/>
      <c r="AP317" s="29" t="b">
        <v>0</v>
      </c>
      <c r="AQ317" s="22" t="str">
        <f t="shared" si="11"/>
        <v/>
      </c>
      <c r="AR317" s="7">
        <f>IF(ISBLANK(AN317), 0, VLOOKUP(AN317, 'Price Sheet'!$A$2:$B1015, 2, false))</f>
        <v>0</v>
      </c>
      <c r="AS317" s="33" t="str">
        <f t="shared" si="12"/>
        <v/>
      </c>
      <c r="AT317" s="37"/>
      <c r="AU317" s="29"/>
      <c r="AV317" s="29" t="b">
        <v>0</v>
      </c>
      <c r="AW317" s="22" t="str">
        <f t="shared" si="13"/>
        <v/>
      </c>
      <c r="AX317" s="7">
        <f>IF(ISBLANK(AT317), 0, VLOOKUP(AT317, 'Price Sheet'!$A$2:$B1015, 2, false))</f>
        <v>0</v>
      </c>
      <c r="AY317" s="33" t="str">
        <f t="shared" si="14"/>
        <v/>
      </c>
      <c r="AZ317" s="37"/>
      <c r="BA317" s="29"/>
      <c r="BB317" s="29" t="b">
        <v>0</v>
      </c>
      <c r="BC317" s="22" t="str">
        <f t="shared" si="15"/>
        <v/>
      </c>
      <c r="BD317" s="7">
        <f>IF(ISBLANK(AZ317), 0, VLOOKUP(AZ317, 'Price Sheet'!$A$2:$B1015, 2, false))</f>
        <v>0</v>
      </c>
      <c r="BE317" s="33" t="str">
        <f t="shared" si="16"/>
        <v/>
      </c>
      <c r="BF317" s="37"/>
      <c r="BG317" s="29"/>
      <c r="BH317" s="29" t="b">
        <v>0</v>
      </c>
      <c r="BI317" s="22" t="str">
        <f t="shared" si="17"/>
        <v/>
      </c>
      <c r="BJ317" s="7">
        <f>IF(ISBLANK(BF317), 0, VLOOKUP(BF317, 'Price Sheet'!$A$2:$B1015, 2, false))</f>
        <v>0</v>
      </c>
      <c r="BK317" s="33" t="str">
        <f t="shared" si="18"/>
        <v/>
      </c>
      <c r="BL317" s="37"/>
      <c r="BM317" s="29"/>
      <c r="BN317" s="29" t="b">
        <v>0</v>
      </c>
      <c r="BO317" s="22" t="str">
        <f t="shared" si="19"/>
        <v/>
      </c>
      <c r="BP317" s="7">
        <f>IF(ISBLANK(BL317), 0, VLOOKUP(BL317, 'Price Sheet'!$A$2:$B1015, 2, false))</f>
        <v>0</v>
      </c>
      <c r="BQ317" s="33" t="str">
        <f t="shared" si="20"/>
        <v/>
      </c>
    </row>
    <row r="318">
      <c r="B318" s="19"/>
      <c r="C318" s="29"/>
      <c r="D318" s="29"/>
      <c r="E318" s="7" t="str">
        <f>IF(ISBLANK(D318), "", VLOOKUP(D318,'Crafting Tables'!$A$2:$B1015, 2, false))</f>
        <v/>
      </c>
      <c r="F318" s="7" t="str">
        <f>IFERROR(IF(E318 = "None", 1, VLOOKUP(C318,General!$A$5:$L$35, SWITCH(E318, "Basic", 8, "Advanced", 10, "Modern", 12), false)),"")</f>
        <v/>
      </c>
      <c r="G318" s="29"/>
      <c r="H318" s="7">
        <f>IFERROR(VLOOKUP(C318, General!$A$5:$L$35, 6, false) * G318 / 1000, 0)</f>
        <v>0</v>
      </c>
      <c r="I318" s="29"/>
      <c r="J318" s="22" t="str">
        <f>IFERROR(I318*VLOOKUP(D318,'Crafting Tables'!$1:$1000, 4, false)*F318,"")</f>
        <v/>
      </c>
      <c r="K318" s="29" t="b">
        <v>0</v>
      </c>
      <c r="L318" s="37"/>
      <c r="M318" s="29"/>
      <c r="N318" s="21" t="str">
        <f t="shared" si="2"/>
        <v/>
      </c>
      <c r="P318" s="37"/>
      <c r="Q318" s="29"/>
      <c r="R318" s="29" t="b">
        <v>0</v>
      </c>
      <c r="S318" s="22" t="str">
        <f t="shared" si="3"/>
        <v/>
      </c>
      <c r="T318" s="7">
        <f>IF(ISBLANK(P318), 0, VLOOKUP(P318, 'Price Sheet'!$A$2:$B1015, 2, false))</f>
        <v>0</v>
      </c>
      <c r="U318" s="33" t="str">
        <f t="shared" si="4"/>
        <v/>
      </c>
      <c r="V318" s="37"/>
      <c r="W318" s="29"/>
      <c r="X318" s="29" t="b">
        <v>0</v>
      </c>
      <c r="Y318" s="22" t="str">
        <f t="shared" si="5"/>
        <v/>
      </c>
      <c r="Z318" s="7">
        <f>IF(ISBLANK(V318), 0, VLOOKUP(V318, 'Price Sheet'!$A$2:$B1015, 2, false))</f>
        <v>0</v>
      </c>
      <c r="AA318" s="33" t="str">
        <f t="shared" si="6"/>
        <v/>
      </c>
      <c r="AB318" s="37"/>
      <c r="AC318" s="29"/>
      <c r="AD318" s="29" t="b">
        <v>0</v>
      </c>
      <c r="AE318" s="22" t="str">
        <f t="shared" si="7"/>
        <v/>
      </c>
      <c r="AF318" s="7">
        <f>IF(ISBLANK(AB318), 0, VLOOKUP(AB318, 'Price Sheet'!$A$2:$B1015, 2, false))</f>
        <v>0</v>
      </c>
      <c r="AG318" s="33" t="str">
        <f t="shared" si="8"/>
        <v/>
      </c>
      <c r="AH318" s="37"/>
      <c r="AI318" s="29"/>
      <c r="AJ318" s="29" t="b">
        <v>0</v>
      </c>
      <c r="AK318" s="22" t="str">
        <f t="shared" si="9"/>
        <v/>
      </c>
      <c r="AL318" s="7">
        <f>IF(ISBLANK(AH318), 0, VLOOKUP(AH318, 'Price Sheet'!$A$2:$B1015, 2, false))</f>
        <v>0</v>
      </c>
      <c r="AM318" s="33" t="str">
        <f t="shared" si="10"/>
        <v/>
      </c>
      <c r="AN318" s="37"/>
      <c r="AO318" s="29"/>
      <c r="AP318" s="29" t="b">
        <v>0</v>
      </c>
      <c r="AQ318" s="22" t="str">
        <f t="shared" si="11"/>
        <v/>
      </c>
      <c r="AR318" s="7">
        <f>IF(ISBLANK(AN318), 0, VLOOKUP(AN318, 'Price Sheet'!$A$2:$B1015, 2, false))</f>
        <v>0</v>
      </c>
      <c r="AS318" s="33" t="str">
        <f t="shared" si="12"/>
        <v/>
      </c>
      <c r="AT318" s="37"/>
      <c r="AU318" s="29"/>
      <c r="AV318" s="29" t="b">
        <v>0</v>
      </c>
      <c r="AW318" s="22" t="str">
        <f t="shared" si="13"/>
        <v/>
      </c>
      <c r="AX318" s="7">
        <f>IF(ISBLANK(AT318), 0, VLOOKUP(AT318, 'Price Sheet'!$A$2:$B1015, 2, false))</f>
        <v>0</v>
      </c>
      <c r="AY318" s="33" t="str">
        <f t="shared" si="14"/>
        <v/>
      </c>
      <c r="AZ318" s="37"/>
      <c r="BA318" s="29"/>
      <c r="BB318" s="29" t="b">
        <v>0</v>
      </c>
      <c r="BC318" s="22" t="str">
        <f t="shared" si="15"/>
        <v/>
      </c>
      <c r="BD318" s="7">
        <f>IF(ISBLANK(AZ318), 0, VLOOKUP(AZ318, 'Price Sheet'!$A$2:$B1015, 2, false))</f>
        <v>0</v>
      </c>
      <c r="BE318" s="33" t="str">
        <f t="shared" si="16"/>
        <v/>
      </c>
      <c r="BF318" s="37"/>
      <c r="BG318" s="29"/>
      <c r="BH318" s="29" t="b">
        <v>0</v>
      </c>
      <c r="BI318" s="22" t="str">
        <f t="shared" si="17"/>
        <v/>
      </c>
      <c r="BJ318" s="7">
        <f>IF(ISBLANK(BF318), 0, VLOOKUP(BF318, 'Price Sheet'!$A$2:$B1015, 2, false))</f>
        <v>0</v>
      </c>
      <c r="BK318" s="33" t="str">
        <f t="shared" si="18"/>
        <v/>
      </c>
      <c r="BL318" s="37"/>
      <c r="BM318" s="29"/>
      <c r="BN318" s="29" t="b">
        <v>0</v>
      </c>
      <c r="BO318" s="22" t="str">
        <f t="shared" si="19"/>
        <v/>
      </c>
      <c r="BP318" s="7">
        <f>IF(ISBLANK(BL318), 0, VLOOKUP(BL318, 'Price Sheet'!$A$2:$B1015, 2, false))</f>
        <v>0</v>
      </c>
      <c r="BQ318" s="33" t="str">
        <f t="shared" si="20"/>
        <v/>
      </c>
    </row>
    <row r="319">
      <c r="B319" s="19"/>
      <c r="C319" s="29"/>
      <c r="D319" s="29"/>
      <c r="E319" s="7" t="str">
        <f>IF(ISBLANK(D319), "", VLOOKUP(D319,'Crafting Tables'!$A$2:$B1015, 2, false))</f>
        <v/>
      </c>
      <c r="F319" s="7" t="str">
        <f>IFERROR(IF(E319 = "None", 1, VLOOKUP(C319,General!$A$5:$L$35, SWITCH(E319, "Basic", 8, "Advanced", 10, "Modern", 12), false)),"")</f>
        <v/>
      </c>
      <c r="G319" s="29"/>
      <c r="H319" s="7">
        <f>IFERROR(VLOOKUP(C319, General!$A$5:$L$35, 6, false) * G319 / 1000, 0)</f>
        <v>0</v>
      </c>
      <c r="I319" s="29"/>
      <c r="J319" s="22" t="str">
        <f>IFERROR(I319*VLOOKUP(D319,'Crafting Tables'!$1:$1000, 4, false)*F319,"")</f>
        <v/>
      </c>
      <c r="K319" s="29" t="b">
        <v>0</v>
      </c>
      <c r="L319" s="37"/>
      <c r="M319" s="29"/>
      <c r="N319" s="21" t="str">
        <f t="shared" si="2"/>
        <v/>
      </c>
      <c r="P319" s="37"/>
      <c r="Q319" s="29"/>
      <c r="R319" s="29" t="b">
        <v>0</v>
      </c>
      <c r="S319" s="22" t="str">
        <f t="shared" si="3"/>
        <v/>
      </c>
      <c r="T319" s="7">
        <f>IF(ISBLANK(P319), 0, VLOOKUP(P319, 'Price Sheet'!$A$2:$B1015, 2, false))</f>
        <v>0</v>
      </c>
      <c r="U319" s="33" t="str">
        <f t="shared" si="4"/>
        <v/>
      </c>
      <c r="V319" s="37"/>
      <c r="W319" s="29"/>
      <c r="X319" s="29" t="b">
        <v>0</v>
      </c>
      <c r="Y319" s="22" t="str">
        <f t="shared" si="5"/>
        <v/>
      </c>
      <c r="Z319" s="7">
        <f>IF(ISBLANK(V319), 0, VLOOKUP(V319, 'Price Sheet'!$A$2:$B1015, 2, false))</f>
        <v>0</v>
      </c>
      <c r="AA319" s="33" t="str">
        <f t="shared" si="6"/>
        <v/>
      </c>
      <c r="AB319" s="37"/>
      <c r="AC319" s="29"/>
      <c r="AD319" s="29" t="b">
        <v>0</v>
      </c>
      <c r="AE319" s="22" t="str">
        <f t="shared" si="7"/>
        <v/>
      </c>
      <c r="AF319" s="7">
        <f>IF(ISBLANK(AB319), 0, VLOOKUP(AB319, 'Price Sheet'!$A$2:$B1015, 2, false))</f>
        <v>0</v>
      </c>
      <c r="AG319" s="33" t="str">
        <f t="shared" si="8"/>
        <v/>
      </c>
      <c r="AH319" s="37"/>
      <c r="AI319" s="29"/>
      <c r="AJ319" s="29" t="b">
        <v>0</v>
      </c>
      <c r="AK319" s="22" t="str">
        <f t="shared" si="9"/>
        <v/>
      </c>
      <c r="AL319" s="7">
        <f>IF(ISBLANK(AH319), 0, VLOOKUP(AH319, 'Price Sheet'!$A$2:$B1015, 2, false))</f>
        <v>0</v>
      </c>
      <c r="AM319" s="33" t="str">
        <f t="shared" si="10"/>
        <v/>
      </c>
      <c r="AN319" s="37"/>
      <c r="AO319" s="29"/>
      <c r="AP319" s="29" t="b">
        <v>0</v>
      </c>
      <c r="AQ319" s="22" t="str">
        <f t="shared" si="11"/>
        <v/>
      </c>
      <c r="AR319" s="7">
        <f>IF(ISBLANK(AN319), 0, VLOOKUP(AN319, 'Price Sheet'!$A$2:$B1015, 2, false))</f>
        <v>0</v>
      </c>
      <c r="AS319" s="33" t="str">
        <f t="shared" si="12"/>
        <v/>
      </c>
      <c r="AT319" s="37"/>
      <c r="AU319" s="29"/>
      <c r="AV319" s="29" t="b">
        <v>0</v>
      </c>
      <c r="AW319" s="22" t="str">
        <f t="shared" si="13"/>
        <v/>
      </c>
      <c r="AX319" s="7">
        <f>IF(ISBLANK(AT319), 0, VLOOKUP(AT319, 'Price Sheet'!$A$2:$B1015, 2, false))</f>
        <v>0</v>
      </c>
      <c r="AY319" s="33" t="str">
        <f t="shared" si="14"/>
        <v/>
      </c>
      <c r="AZ319" s="37"/>
      <c r="BA319" s="29"/>
      <c r="BB319" s="29" t="b">
        <v>0</v>
      </c>
      <c r="BC319" s="22" t="str">
        <f t="shared" si="15"/>
        <v/>
      </c>
      <c r="BD319" s="7">
        <f>IF(ISBLANK(AZ319), 0, VLOOKUP(AZ319, 'Price Sheet'!$A$2:$B1015, 2, false))</f>
        <v>0</v>
      </c>
      <c r="BE319" s="33" t="str">
        <f t="shared" si="16"/>
        <v/>
      </c>
      <c r="BF319" s="37"/>
      <c r="BG319" s="29"/>
      <c r="BH319" s="29" t="b">
        <v>0</v>
      </c>
      <c r="BI319" s="22" t="str">
        <f t="shared" si="17"/>
        <v/>
      </c>
      <c r="BJ319" s="7">
        <f>IF(ISBLANK(BF319), 0, VLOOKUP(BF319, 'Price Sheet'!$A$2:$B1015, 2, false))</f>
        <v>0</v>
      </c>
      <c r="BK319" s="33" t="str">
        <f t="shared" si="18"/>
        <v/>
      </c>
      <c r="BL319" s="37"/>
      <c r="BM319" s="29"/>
      <c r="BN319" s="29" t="b">
        <v>0</v>
      </c>
      <c r="BO319" s="22" t="str">
        <f t="shared" si="19"/>
        <v/>
      </c>
      <c r="BP319" s="7">
        <f>IF(ISBLANK(BL319), 0, VLOOKUP(BL319, 'Price Sheet'!$A$2:$B1015, 2, false))</f>
        <v>0</v>
      </c>
      <c r="BQ319" s="33" t="str">
        <f t="shared" si="20"/>
        <v/>
      </c>
    </row>
    <row r="320">
      <c r="B320" s="19"/>
      <c r="C320" s="29"/>
      <c r="D320" s="29"/>
      <c r="E320" s="7" t="str">
        <f>IF(ISBLANK(D320), "", VLOOKUP(D320,'Crafting Tables'!$A$2:$B1015, 2, false))</f>
        <v/>
      </c>
      <c r="F320" s="7" t="str">
        <f>IFERROR(IF(E320 = "None", 1, VLOOKUP(C320,General!$A$5:$L$35, SWITCH(E320, "Basic", 8, "Advanced", 10, "Modern", 12), false)),"")</f>
        <v/>
      </c>
      <c r="G320" s="29"/>
      <c r="H320" s="7">
        <f>IFERROR(VLOOKUP(C320, General!$A$5:$L$35, 6, false) * G320 / 1000, 0)</f>
        <v>0</v>
      </c>
      <c r="I320" s="29"/>
      <c r="J320" s="22" t="str">
        <f>IFERROR(I320*VLOOKUP(D320,'Crafting Tables'!$1:$1000, 4, false)*F320,"")</f>
        <v/>
      </c>
      <c r="K320" s="29" t="b">
        <v>0</v>
      </c>
      <c r="L320" s="37"/>
      <c r="M320" s="29"/>
      <c r="N320" s="21" t="str">
        <f t="shared" si="2"/>
        <v/>
      </c>
      <c r="P320" s="37"/>
      <c r="Q320" s="29"/>
      <c r="R320" s="29" t="b">
        <v>0</v>
      </c>
      <c r="S320" s="22" t="str">
        <f t="shared" si="3"/>
        <v/>
      </c>
      <c r="T320" s="7">
        <f>IF(ISBLANK(P320), 0, VLOOKUP(P320, 'Price Sheet'!$A$2:$B1015, 2, false))</f>
        <v>0</v>
      </c>
      <c r="U320" s="33" t="str">
        <f t="shared" si="4"/>
        <v/>
      </c>
      <c r="V320" s="37"/>
      <c r="W320" s="29"/>
      <c r="X320" s="29" t="b">
        <v>0</v>
      </c>
      <c r="Y320" s="22" t="str">
        <f t="shared" si="5"/>
        <v/>
      </c>
      <c r="Z320" s="7">
        <f>IF(ISBLANK(V320), 0, VLOOKUP(V320, 'Price Sheet'!$A$2:$B1015, 2, false))</f>
        <v>0</v>
      </c>
      <c r="AA320" s="33" t="str">
        <f t="shared" si="6"/>
        <v/>
      </c>
      <c r="AB320" s="37"/>
      <c r="AC320" s="29"/>
      <c r="AD320" s="29" t="b">
        <v>0</v>
      </c>
      <c r="AE320" s="22" t="str">
        <f t="shared" si="7"/>
        <v/>
      </c>
      <c r="AF320" s="7">
        <f>IF(ISBLANK(AB320), 0, VLOOKUP(AB320, 'Price Sheet'!$A$2:$B1015, 2, false))</f>
        <v>0</v>
      </c>
      <c r="AG320" s="33" t="str">
        <f t="shared" si="8"/>
        <v/>
      </c>
      <c r="AH320" s="37"/>
      <c r="AI320" s="29"/>
      <c r="AJ320" s="29" t="b">
        <v>0</v>
      </c>
      <c r="AK320" s="22" t="str">
        <f t="shared" si="9"/>
        <v/>
      </c>
      <c r="AL320" s="7">
        <f>IF(ISBLANK(AH320), 0, VLOOKUP(AH320, 'Price Sheet'!$A$2:$B1015, 2, false))</f>
        <v>0</v>
      </c>
      <c r="AM320" s="33" t="str">
        <f t="shared" si="10"/>
        <v/>
      </c>
      <c r="AN320" s="37"/>
      <c r="AO320" s="29"/>
      <c r="AP320" s="29" t="b">
        <v>0</v>
      </c>
      <c r="AQ320" s="22" t="str">
        <f t="shared" si="11"/>
        <v/>
      </c>
      <c r="AR320" s="7">
        <f>IF(ISBLANK(AN320), 0, VLOOKUP(AN320, 'Price Sheet'!$A$2:$B1015, 2, false))</f>
        <v>0</v>
      </c>
      <c r="AS320" s="33" t="str">
        <f t="shared" si="12"/>
        <v/>
      </c>
      <c r="AT320" s="37"/>
      <c r="AU320" s="29"/>
      <c r="AV320" s="29" t="b">
        <v>0</v>
      </c>
      <c r="AW320" s="22" t="str">
        <f t="shared" si="13"/>
        <v/>
      </c>
      <c r="AX320" s="7">
        <f>IF(ISBLANK(AT320), 0, VLOOKUP(AT320, 'Price Sheet'!$A$2:$B1015, 2, false))</f>
        <v>0</v>
      </c>
      <c r="AY320" s="33" t="str">
        <f t="shared" si="14"/>
        <v/>
      </c>
      <c r="AZ320" s="37"/>
      <c r="BA320" s="29"/>
      <c r="BB320" s="29" t="b">
        <v>0</v>
      </c>
      <c r="BC320" s="22" t="str">
        <f t="shared" si="15"/>
        <v/>
      </c>
      <c r="BD320" s="7">
        <f>IF(ISBLANK(AZ320), 0, VLOOKUP(AZ320, 'Price Sheet'!$A$2:$B1015, 2, false))</f>
        <v>0</v>
      </c>
      <c r="BE320" s="33" t="str">
        <f t="shared" si="16"/>
        <v/>
      </c>
      <c r="BF320" s="37"/>
      <c r="BG320" s="29"/>
      <c r="BH320" s="29" t="b">
        <v>0</v>
      </c>
      <c r="BI320" s="22" t="str">
        <f t="shared" si="17"/>
        <v/>
      </c>
      <c r="BJ320" s="7">
        <f>IF(ISBLANK(BF320), 0, VLOOKUP(BF320, 'Price Sheet'!$A$2:$B1015, 2, false))</f>
        <v>0</v>
      </c>
      <c r="BK320" s="33" t="str">
        <f t="shared" si="18"/>
        <v/>
      </c>
      <c r="BL320" s="37"/>
      <c r="BM320" s="29"/>
      <c r="BN320" s="29" t="b">
        <v>0</v>
      </c>
      <c r="BO320" s="22" t="str">
        <f t="shared" si="19"/>
        <v/>
      </c>
      <c r="BP320" s="7">
        <f>IF(ISBLANK(BL320), 0, VLOOKUP(BL320, 'Price Sheet'!$A$2:$B1015, 2, false))</f>
        <v>0</v>
      </c>
      <c r="BQ320" s="33" t="str">
        <f t="shared" si="20"/>
        <v/>
      </c>
    </row>
    <row r="321">
      <c r="B321" s="19"/>
      <c r="C321" s="29"/>
      <c r="D321" s="29"/>
      <c r="E321" s="7" t="str">
        <f>IF(ISBLANK(D321), "", VLOOKUP(D321,'Crafting Tables'!$A$2:$B1015, 2, false))</f>
        <v/>
      </c>
      <c r="F321" s="7" t="str">
        <f>IFERROR(IF(E321 = "None", 1, VLOOKUP(C321,General!$A$5:$L$35, SWITCH(E321, "Basic", 8, "Advanced", 10, "Modern", 12), false)),"")</f>
        <v/>
      </c>
      <c r="G321" s="29"/>
      <c r="H321" s="7">
        <f>IFERROR(VLOOKUP(C321, General!$A$5:$L$35, 6, false) * G321 / 1000, 0)</f>
        <v>0</v>
      </c>
      <c r="I321" s="29"/>
      <c r="J321" s="22" t="str">
        <f>IFERROR(I321*VLOOKUP(D321,'Crafting Tables'!$1:$1000, 4, false)*F321,"")</f>
        <v/>
      </c>
      <c r="K321" s="29" t="b">
        <v>0</v>
      </c>
      <c r="L321" s="37"/>
      <c r="M321" s="29"/>
      <c r="N321" s="21" t="str">
        <f t="shared" si="2"/>
        <v/>
      </c>
      <c r="P321" s="37"/>
      <c r="Q321" s="29"/>
      <c r="R321" s="29" t="b">
        <v>0</v>
      </c>
      <c r="S321" s="22" t="str">
        <f t="shared" si="3"/>
        <v/>
      </c>
      <c r="T321" s="7">
        <f>IF(ISBLANK(P321), 0, VLOOKUP(P321, 'Price Sheet'!$A$2:$B1015, 2, false))</f>
        <v>0</v>
      </c>
      <c r="U321" s="33" t="str">
        <f t="shared" si="4"/>
        <v/>
      </c>
      <c r="V321" s="37"/>
      <c r="W321" s="29"/>
      <c r="X321" s="29" t="b">
        <v>0</v>
      </c>
      <c r="Y321" s="22" t="str">
        <f t="shared" si="5"/>
        <v/>
      </c>
      <c r="Z321" s="7">
        <f>IF(ISBLANK(V321), 0, VLOOKUP(V321, 'Price Sheet'!$A$2:$B1015, 2, false))</f>
        <v>0</v>
      </c>
      <c r="AA321" s="33" t="str">
        <f t="shared" si="6"/>
        <v/>
      </c>
      <c r="AB321" s="37"/>
      <c r="AC321" s="29"/>
      <c r="AD321" s="29" t="b">
        <v>0</v>
      </c>
      <c r="AE321" s="22" t="str">
        <f t="shared" si="7"/>
        <v/>
      </c>
      <c r="AF321" s="7">
        <f>IF(ISBLANK(AB321), 0, VLOOKUP(AB321, 'Price Sheet'!$A$2:$B1015, 2, false))</f>
        <v>0</v>
      </c>
      <c r="AG321" s="33" t="str">
        <f t="shared" si="8"/>
        <v/>
      </c>
      <c r="AH321" s="37"/>
      <c r="AI321" s="29"/>
      <c r="AJ321" s="29" t="b">
        <v>0</v>
      </c>
      <c r="AK321" s="22" t="str">
        <f t="shared" si="9"/>
        <v/>
      </c>
      <c r="AL321" s="7">
        <f>IF(ISBLANK(AH321), 0, VLOOKUP(AH321, 'Price Sheet'!$A$2:$B1015, 2, false))</f>
        <v>0</v>
      </c>
      <c r="AM321" s="33" t="str">
        <f t="shared" si="10"/>
        <v/>
      </c>
      <c r="AN321" s="37"/>
      <c r="AO321" s="29"/>
      <c r="AP321" s="29" t="b">
        <v>0</v>
      </c>
      <c r="AQ321" s="22" t="str">
        <f t="shared" si="11"/>
        <v/>
      </c>
      <c r="AR321" s="7">
        <f>IF(ISBLANK(AN321), 0, VLOOKUP(AN321, 'Price Sheet'!$A$2:$B1015, 2, false))</f>
        <v>0</v>
      </c>
      <c r="AS321" s="33" t="str">
        <f t="shared" si="12"/>
        <v/>
      </c>
      <c r="AT321" s="37"/>
      <c r="AU321" s="29"/>
      <c r="AV321" s="29" t="b">
        <v>0</v>
      </c>
      <c r="AW321" s="22" t="str">
        <f t="shared" si="13"/>
        <v/>
      </c>
      <c r="AX321" s="7">
        <f>IF(ISBLANK(AT321), 0, VLOOKUP(AT321, 'Price Sheet'!$A$2:$B1015, 2, false))</f>
        <v>0</v>
      </c>
      <c r="AY321" s="33" t="str">
        <f t="shared" si="14"/>
        <v/>
      </c>
      <c r="AZ321" s="37"/>
      <c r="BA321" s="29"/>
      <c r="BB321" s="29" t="b">
        <v>0</v>
      </c>
      <c r="BC321" s="22" t="str">
        <f t="shared" si="15"/>
        <v/>
      </c>
      <c r="BD321" s="7">
        <f>IF(ISBLANK(AZ321), 0, VLOOKUP(AZ321, 'Price Sheet'!$A$2:$B1015, 2, false))</f>
        <v>0</v>
      </c>
      <c r="BE321" s="33" t="str">
        <f t="shared" si="16"/>
        <v/>
      </c>
      <c r="BF321" s="37"/>
      <c r="BG321" s="29"/>
      <c r="BH321" s="29" t="b">
        <v>0</v>
      </c>
      <c r="BI321" s="22" t="str">
        <f t="shared" si="17"/>
        <v/>
      </c>
      <c r="BJ321" s="7">
        <f>IF(ISBLANK(BF321), 0, VLOOKUP(BF321, 'Price Sheet'!$A$2:$B1015, 2, false))</f>
        <v>0</v>
      </c>
      <c r="BK321" s="33" t="str">
        <f t="shared" si="18"/>
        <v/>
      </c>
      <c r="BL321" s="37"/>
      <c r="BM321" s="29"/>
      <c r="BN321" s="29" t="b">
        <v>0</v>
      </c>
      <c r="BO321" s="22" t="str">
        <f t="shared" si="19"/>
        <v/>
      </c>
      <c r="BP321" s="7">
        <f>IF(ISBLANK(BL321), 0, VLOOKUP(BL321, 'Price Sheet'!$A$2:$B1015, 2, false))</f>
        <v>0</v>
      </c>
      <c r="BQ321" s="33" t="str">
        <f t="shared" si="20"/>
        <v/>
      </c>
    </row>
    <row r="322">
      <c r="B322" s="19"/>
      <c r="C322" s="29"/>
      <c r="D322" s="29"/>
      <c r="E322" s="7" t="str">
        <f>IF(ISBLANK(D322), "", VLOOKUP(D322,'Crafting Tables'!$A$2:$B1015, 2, false))</f>
        <v/>
      </c>
      <c r="F322" s="7" t="str">
        <f>IFERROR(IF(E322 = "None", 1, VLOOKUP(C322,General!$A$5:$L$35, SWITCH(E322, "Basic", 8, "Advanced", 10, "Modern", 12), false)),"")</f>
        <v/>
      </c>
      <c r="G322" s="29"/>
      <c r="H322" s="7">
        <f>IFERROR(VLOOKUP(C322, General!$A$5:$L$35, 6, false) * G322 / 1000, 0)</f>
        <v>0</v>
      </c>
      <c r="I322" s="29"/>
      <c r="J322" s="22" t="str">
        <f>IFERROR(I322*VLOOKUP(D322,'Crafting Tables'!$1:$1000, 4, false)*F322,"")</f>
        <v/>
      </c>
      <c r="K322" s="29" t="b">
        <v>0</v>
      </c>
      <c r="L322" s="37"/>
      <c r="M322" s="29"/>
      <c r="N322" s="21" t="str">
        <f t="shared" si="2"/>
        <v/>
      </c>
      <c r="P322" s="37"/>
      <c r="Q322" s="29"/>
      <c r="R322" s="29" t="b">
        <v>0</v>
      </c>
      <c r="S322" s="22" t="str">
        <f t="shared" si="3"/>
        <v/>
      </c>
      <c r="T322" s="7">
        <f>IF(ISBLANK(P322), 0, VLOOKUP(P322, 'Price Sheet'!$A$2:$B1015, 2, false))</f>
        <v>0</v>
      </c>
      <c r="U322" s="33" t="str">
        <f t="shared" si="4"/>
        <v/>
      </c>
      <c r="V322" s="37"/>
      <c r="W322" s="29"/>
      <c r="X322" s="29" t="b">
        <v>0</v>
      </c>
      <c r="Y322" s="22" t="str">
        <f t="shared" si="5"/>
        <v/>
      </c>
      <c r="Z322" s="7">
        <f>IF(ISBLANK(V322), 0, VLOOKUP(V322, 'Price Sheet'!$A$2:$B1015, 2, false))</f>
        <v>0</v>
      </c>
      <c r="AA322" s="33" t="str">
        <f t="shared" si="6"/>
        <v/>
      </c>
      <c r="AB322" s="37"/>
      <c r="AC322" s="29"/>
      <c r="AD322" s="29" t="b">
        <v>0</v>
      </c>
      <c r="AE322" s="22" t="str">
        <f t="shared" si="7"/>
        <v/>
      </c>
      <c r="AF322" s="7">
        <f>IF(ISBLANK(AB322), 0, VLOOKUP(AB322, 'Price Sheet'!$A$2:$B1015, 2, false))</f>
        <v>0</v>
      </c>
      <c r="AG322" s="33" t="str">
        <f t="shared" si="8"/>
        <v/>
      </c>
      <c r="AH322" s="37"/>
      <c r="AI322" s="29"/>
      <c r="AJ322" s="29" t="b">
        <v>0</v>
      </c>
      <c r="AK322" s="22" t="str">
        <f t="shared" si="9"/>
        <v/>
      </c>
      <c r="AL322" s="7">
        <f>IF(ISBLANK(AH322), 0, VLOOKUP(AH322, 'Price Sheet'!$A$2:$B1015, 2, false))</f>
        <v>0</v>
      </c>
      <c r="AM322" s="33" t="str">
        <f t="shared" si="10"/>
        <v/>
      </c>
      <c r="AN322" s="37"/>
      <c r="AO322" s="29"/>
      <c r="AP322" s="29" t="b">
        <v>0</v>
      </c>
      <c r="AQ322" s="22" t="str">
        <f t="shared" si="11"/>
        <v/>
      </c>
      <c r="AR322" s="7">
        <f>IF(ISBLANK(AN322), 0, VLOOKUP(AN322, 'Price Sheet'!$A$2:$B1015, 2, false))</f>
        <v>0</v>
      </c>
      <c r="AS322" s="33" t="str">
        <f t="shared" si="12"/>
        <v/>
      </c>
      <c r="AT322" s="37"/>
      <c r="AU322" s="29"/>
      <c r="AV322" s="29" t="b">
        <v>0</v>
      </c>
      <c r="AW322" s="22" t="str">
        <f t="shared" si="13"/>
        <v/>
      </c>
      <c r="AX322" s="7">
        <f>IF(ISBLANK(AT322), 0, VLOOKUP(AT322, 'Price Sheet'!$A$2:$B1015, 2, false))</f>
        <v>0</v>
      </c>
      <c r="AY322" s="33" t="str">
        <f t="shared" si="14"/>
        <v/>
      </c>
      <c r="AZ322" s="37"/>
      <c r="BA322" s="29"/>
      <c r="BB322" s="29" t="b">
        <v>0</v>
      </c>
      <c r="BC322" s="22" t="str">
        <f t="shared" si="15"/>
        <v/>
      </c>
      <c r="BD322" s="7">
        <f>IF(ISBLANK(AZ322), 0, VLOOKUP(AZ322, 'Price Sheet'!$A$2:$B1015, 2, false))</f>
        <v>0</v>
      </c>
      <c r="BE322" s="33" t="str">
        <f t="shared" si="16"/>
        <v/>
      </c>
      <c r="BF322" s="37"/>
      <c r="BG322" s="29"/>
      <c r="BH322" s="29" t="b">
        <v>0</v>
      </c>
      <c r="BI322" s="22" t="str">
        <f t="shared" si="17"/>
        <v/>
      </c>
      <c r="BJ322" s="7">
        <f>IF(ISBLANK(BF322), 0, VLOOKUP(BF322, 'Price Sheet'!$A$2:$B1015, 2, false))</f>
        <v>0</v>
      </c>
      <c r="BK322" s="33" t="str">
        <f t="shared" si="18"/>
        <v/>
      </c>
      <c r="BL322" s="37"/>
      <c r="BM322" s="29"/>
      <c r="BN322" s="29" t="b">
        <v>0</v>
      </c>
      <c r="BO322" s="22" t="str">
        <f t="shared" si="19"/>
        <v/>
      </c>
      <c r="BP322" s="7">
        <f>IF(ISBLANK(BL322), 0, VLOOKUP(BL322, 'Price Sheet'!$A$2:$B1015, 2, false))</f>
        <v>0</v>
      </c>
      <c r="BQ322" s="33" t="str">
        <f t="shared" si="20"/>
        <v/>
      </c>
    </row>
    <row r="323">
      <c r="B323" s="19"/>
      <c r="C323" s="29"/>
      <c r="D323" s="29"/>
      <c r="E323" s="7" t="str">
        <f>IF(ISBLANK(D323), "", VLOOKUP(D323,'Crafting Tables'!$A$2:$B1015, 2, false))</f>
        <v/>
      </c>
      <c r="F323" s="7" t="str">
        <f>IFERROR(IF(E323 = "None", 1, VLOOKUP(C323,General!$A$5:$L$35, SWITCH(E323, "Basic", 8, "Advanced", 10, "Modern", 12), false)),"")</f>
        <v/>
      </c>
      <c r="G323" s="29"/>
      <c r="H323" s="7">
        <f>IFERROR(VLOOKUP(C323, General!$A$5:$L$35, 6, false) * G323 / 1000, 0)</f>
        <v>0</v>
      </c>
      <c r="I323" s="29"/>
      <c r="J323" s="22" t="str">
        <f>IFERROR(I323*VLOOKUP(D323,'Crafting Tables'!$1:$1000, 4, false)*F323,"")</f>
        <v/>
      </c>
      <c r="K323" s="29" t="b">
        <v>0</v>
      </c>
      <c r="L323" s="37"/>
      <c r="M323" s="29"/>
      <c r="N323" s="21" t="str">
        <f t="shared" si="2"/>
        <v/>
      </c>
      <c r="P323" s="37"/>
      <c r="Q323" s="29"/>
      <c r="R323" s="29" t="b">
        <v>0</v>
      </c>
      <c r="S323" s="22" t="str">
        <f t="shared" si="3"/>
        <v/>
      </c>
      <c r="T323" s="7">
        <f>IF(ISBLANK(P323), 0, VLOOKUP(P323, 'Price Sheet'!$A$2:$B1015, 2, false))</f>
        <v>0</v>
      </c>
      <c r="U323" s="33" t="str">
        <f t="shared" si="4"/>
        <v/>
      </c>
      <c r="V323" s="37"/>
      <c r="W323" s="29"/>
      <c r="X323" s="29" t="b">
        <v>0</v>
      </c>
      <c r="Y323" s="22" t="str">
        <f t="shared" si="5"/>
        <v/>
      </c>
      <c r="Z323" s="7">
        <f>IF(ISBLANK(V323), 0, VLOOKUP(V323, 'Price Sheet'!$A$2:$B1015, 2, false))</f>
        <v>0</v>
      </c>
      <c r="AA323" s="33" t="str">
        <f t="shared" si="6"/>
        <v/>
      </c>
      <c r="AB323" s="37"/>
      <c r="AC323" s="29"/>
      <c r="AD323" s="29" t="b">
        <v>0</v>
      </c>
      <c r="AE323" s="22" t="str">
        <f t="shared" si="7"/>
        <v/>
      </c>
      <c r="AF323" s="7">
        <f>IF(ISBLANK(AB323), 0, VLOOKUP(AB323, 'Price Sheet'!$A$2:$B1015, 2, false))</f>
        <v>0</v>
      </c>
      <c r="AG323" s="33" t="str">
        <f t="shared" si="8"/>
        <v/>
      </c>
      <c r="AH323" s="37"/>
      <c r="AI323" s="29"/>
      <c r="AJ323" s="29" t="b">
        <v>0</v>
      </c>
      <c r="AK323" s="22" t="str">
        <f t="shared" si="9"/>
        <v/>
      </c>
      <c r="AL323" s="7">
        <f>IF(ISBLANK(AH323), 0, VLOOKUP(AH323, 'Price Sheet'!$A$2:$B1015, 2, false))</f>
        <v>0</v>
      </c>
      <c r="AM323" s="33" t="str">
        <f t="shared" si="10"/>
        <v/>
      </c>
      <c r="AN323" s="37"/>
      <c r="AO323" s="29"/>
      <c r="AP323" s="29" t="b">
        <v>0</v>
      </c>
      <c r="AQ323" s="22" t="str">
        <f t="shared" si="11"/>
        <v/>
      </c>
      <c r="AR323" s="7">
        <f>IF(ISBLANK(AN323), 0, VLOOKUP(AN323, 'Price Sheet'!$A$2:$B1015, 2, false))</f>
        <v>0</v>
      </c>
      <c r="AS323" s="33" t="str">
        <f t="shared" si="12"/>
        <v/>
      </c>
      <c r="AT323" s="37"/>
      <c r="AU323" s="29"/>
      <c r="AV323" s="29" t="b">
        <v>0</v>
      </c>
      <c r="AW323" s="22" t="str">
        <f t="shared" si="13"/>
        <v/>
      </c>
      <c r="AX323" s="7">
        <f>IF(ISBLANK(AT323), 0, VLOOKUP(AT323, 'Price Sheet'!$A$2:$B1015, 2, false))</f>
        <v>0</v>
      </c>
      <c r="AY323" s="33" t="str">
        <f t="shared" si="14"/>
        <v/>
      </c>
      <c r="AZ323" s="37"/>
      <c r="BA323" s="29"/>
      <c r="BB323" s="29" t="b">
        <v>0</v>
      </c>
      <c r="BC323" s="22" t="str">
        <f t="shared" si="15"/>
        <v/>
      </c>
      <c r="BD323" s="7">
        <f>IF(ISBLANK(AZ323), 0, VLOOKUP(AZ323, 'Price Sheet'!$A$2:$B1015, 2, false))</f>
        <v>0</v>
      </c>
      <c r="BE323" s="33" t="str">
        <f t="shared" si="16"/>
        <v/>
      </c>
      <c r="BF323" s="37"/>
      <c r="BG323" s="29"/>
      <c r="BH323" s="29" t="b">
        <v>0</v>
      </c>
      <c r="BI323" s="22" t="str">
        <f t="shared" si="17"/>
        <v/>
      </c>
      <c r="BJ323" s="7">
        <f>IF(ISBLANK(BF323), 0, VLOOKUP(BF323, 'Price Sheet'!$A$2:$B1015, 2, false))</f>
        <v>0</v>
      </c>
      <c r="BK323" s="33" t="str">
        <f t="shared" si="18"/>
        <v/>
      </c>
      <c r="BL323" s="37"/>
      <c r="BM323" s="29"/>
      <c r="BN323" s="29" t="b">
        <v>0</v>
      </c>
      <c r="BO323" s="22" t="str">
        <f t="shared" si="19"/>
        <v/>
      </c>
      <c r="BP323" s="7">
        <f>IF(ISBLANK(BL323), 0, VLOOKUP(BL323, 'Price Sheet'!$A$2:$B1015, 2, false))</f>
        <v>0</v>
      </c>
      <c r="BQ323" s="33" t="str">
        <f t="shared" si="20"/>
        <v/>
      </c>
    </row>
    <row r="324">
      <c r="B324" s="19"/>
      <c r="C324" s="29"/>
      <c r="D324" s="29"/>
      <c r="E324" s="7" t="str">
        <f>IF(ISBLANK(D324), "", VLOOKUP(D324,'Crafting Tables'!$A$2:$B1015, 2, false))</f>
        <v/>
      </c>
      <c r="F324" s="7" t="str">
        <f>IFERROR(IF(E324 = "None", 1, VLOOKUP(C324,General!$A$5:$L$35, SWITCH(E324, "Basic", 8, "Advanced", 10, "Modern", 12), false)),"")</f>
        <v/>
      </c>
      <c r="G324" s="29"/>
      <c r="H324" s="7">
        <f>IFERROR(VLOOKUP(C324, General!$A$5:$L$35, 6, false) * G324 / 1000, 0)</f>
        <v>0</v>
      </c>
      <c r="I324" s="29"/>
      <c r="J324" s="22" t="str">
        <f>IFERROR(I324*VLOOKUP(D324,'Crafting Tables'!$1:$1000, 4, false)*F324,"")</f>
        <v/>
      </c>
      <c r="K324" s="29" t="b">
        <v>0</v>
      </c>
      <c r="L324" s="37"/>
      <c r="M324" s="29"/>
      <c r="N324" s="21" t="str">
        <f t="shared" si="2"/>
        <v/>
      </c>
      <c r="P324" s="37"/>
      <c r="Q324" s="29"/>
      <c r="R324" s="29" t="b">
        <v>0</v>
      </c>
      <c r="S324" s="22" t="str">
        <f t="shared" si="3"/>
        <v/>
      </c>
      <c r="T324" s="7">
        <f>IF(ISBLANK(P324), 0, VLOOKUP(P324, 'Price Sheet'!$A$2:$B1015, 2, false))</f>
        <v>0</v>
      </c>
      <c r="U324" s="33" t="str">
        <f t="shared" si="4"/>
        <v/>
      </c>
      <c r="V324" s="37"/>
      <c r="W324" s="29"/>
      <c r="X324" s="29" t="b">
        <v>0</v>
      </c>
      <c r="Y324" s="22" t="str">
        <f t="shared" si="5"/>
        <v/>
      </c>
      <c r="Z324" s="7">
        <f>IF(ISBLANK(V324), 0, VLOOKUP(V324, 'Price Sheet'!$A$2:$B1015, 2, false))</f>
        <v>0</v>
      </c>
      <c r="AA324" s="33" t="str">
        <f t="shared" si="6"/>
        <v/>
      </c>
      <c r="AB324" s="37"/>
      <c r="AC324" s="29"/>
      <c r="AD324" s="29" t="b">
        <v>0</v>
      </c>
      <c r="AE324" s="22" t="str">
        <f t="shared" si="7"/>
        <v/>
      </c>
      <c r="AF324" s="7">
        <f>IF(ISBLANK(AB324), 0, VLOOKUP(AB324, 'Price Sheet'!$A$2:$B1015, 2, false))</f>
        <v>0</v>
      </c>
      <c r="AG324" s="33" t="str">
        <f t="shared" si="8"/>
        <v/>
      </c>
      <c r="AH324" s="37"/>
      <c r="AI324" s="29"/>
      <c r="AJ324" s="29" t="b">
        <v>0</v>
      </c>
      <c r="AK324" s="22" t="str">
        <f t="shared" si="9"/>
        <v/>
      </c>
      <c r="AL324" s="7">
        <f>IF(ISBLANK(AH324), 0, VLOOKUP(AH324, 'Price Sheet'!$A$2:$B1015, 2, false))</f>
        <v>0</v>
      </c>
      <c r="AM324" s="33" t="str">
        <f t="shared" si="10"/>
        <v/>
      </c>
      <c r="AN324" s="37"/>
      <c r="AO324" s="29"/>
      <c r="AP324" s="29" t="b">
        <v>0</v>
      </c>
      <c r="AQ324" s="22" t="str">
        <f t="shared" si="11"/>
        <v/>
      </c>
      <c r="AR324" s="7">
        <f>IF(ISBLANK(AN324), 0, VLOOKUP(AN324, 'Price Sheet'!$A$2:$B1015, 2, false))</f>
        <v>0</v>
      </c>
      <c r="AS324" s="33" t="str">
        <f t="shared" si="12"/>
        <v/>
      </c>
      <c r="AT324" s="37"/>
      <c r="AU324" s="29"/>
      <c r="AV324" s="29" t="b">
        <v>0</v>
      </c>
      <c r="AW324" s="22" t="str">
        <f t="shared" si="13"/>
        <v/>
      </c>
      <c r="AX324" s="7">
        <f>IF(ISBLANK(AT324), 0, VLOOKUP(AT324, 'Price Sheet'!$A$2:$B1015, 2, false))</f>
        <v>0</v>
      </c>
      <c r="AY324" s="33" t="str">
        <f t="shared" si="14"/>
        <v/>
      </c>
      <c r="AZ324" s="37"/>
      <c r="BA324" s="29"/>
      <c r="BB324" s="29" t="b">
        <v>0</v>
      </c>
      <c r="BC324" s="22" t="str">
        <f t="shared" si="15"/>
        <v/>
      </c>
      <c r="BD324" s="7">
        <f>IF(ISBLANK(AZ324), 0, VLOOKUP(AZ324, 'Price Sheet'!$A$2:$B1015, 2, false))</f>
        <v>0</v>
      </c>
      <c r="BE324" s="33" t="str">
        <f t="shared" si="16"/>
        <v/>
      </c>
      <c r="BF324" s="37"/>
      <c r="BG324" s="29"/>
      <c r="BH324" s="29" t="b">
        <v>0</v>
      </c>
      <c r="BI324" s="22" t="str">
        <f t="shared" si="17"/>
        <v/>
      </c>
      <c r="BJ324" s="7">
        <f>IF(ISBLANK(BF324), 0, VLOOKUP(BF324, 'Price Sheet'!$A$2:$B1015, 2, false))</f>
        <v>0</v>
      </c>
      <c r="BK324" s="33" t="str">
        <f t="shared" si="18"/>
        <v/>
      </c>
      <c r="BL324" s="37"/>
      <c r="BM324" s="29"/>
      <c r="BN324" s="29" t="b">
        <v>0</v>
      </c>
      <c r="BO324" s="22" t="str">
        <f t="shared" si="19"/>
        <v/>
      </c>
      <c r="BP324" s="7">
        <f>IF(ISBLANK(BL324), 0, VLOOKUP(BL324, 'Price Sheet'!$A$2:$B1015, 2, false))</f>
        <v>0</v>
      </c>
      <c r="BQ324" s="33" t="str">
        <f t="shared" si="20"/>
        <v/>
      </c>
    </row>
    <row r="325">
      <c r="B325" s="19"/>
      <c r="C325" s="29"/>
      <c r="D325" s="29"/>
      <c r="E325" s="7" t="str">
        <f>IF(ISBLANK(D325), "", VLOOKUP(D325,'Crafting Tables'!$A$2:$B1015, 2, false))</f>
        <v/>
      </c>
      <c r="F325" s="7" t="str">
        <f>IFERROR(IF(E325 = "None", 1, VLOOKUP(C325,General!$A$5:$L$35, SWITCH(E325, "Basic", 8, "Advanced", 10, "Modern", 12), false)),"")</f>
        <v/>
      </c>
      <c r="G325" s="29"/>
      <c r="H325" s="7">
        <f>IFERROR(VLOOKUP(C325, General!$A$5:$L$35, 6, false) * G325 / 1000, 0)</f>
        <v>0</v>
      </c>
      <c r="I325" s="29"/>
      <c r="J325" s="22" t="str">
        <f>IFERROR(I325*VLOOKUP(D325,'Crafting Tables'!$1:$1000, 4, false)*F325,"")</f>
        <v/>
      </c>
      <c r="K325" s="29" t="b">
        <v>0</v>
      </c>
      <c r="L325" s="37"/>
      <c r="M325" s="29"/>
      <c r="N325" s="21" t="str">
        <f t="shared" si="2"/>
        <v/>
      </c>
      <c r="P325" s="37"/>
      <c r="Q325" s="29"/>
      <c r="R325" s="29" t="b">
        <v>0</v>
      </c>
      <c r="S325" s="22" t="str">
        <f t="shared" si="3"/>
        <v/>
      </c>
      <c r="T325" s="7">
        <f>IF(ISBLANK(P325), 0, VLOOKUP(P325, 'Price Sheet'!$A$2:$B1015, 2, false))</f>
        <v>0</v>
      </c>
      <c r="U325" s="33" t="str">
        <f t="shared" si="4"/>
        <v/>
      </c>
      <c r="V325" s="37"/>
      <c r="W325" s="29"/>
      <c r="X325" s="29" t="b">
        <v>0</v>
      </c>
      <c r="Y325" s="22" t="str">
        <f t="shared" si="5"/>
        <v/>
      </c>
      <c r="Z325" s="7">
        <f>IF(ISBLANK(V325), 0, VLOOKUP(V325, 'Price Sheet'!$A$2:$B1015, 2, false))</f>
        <v>0</v>
      </c>
      <c r="AA325" s="33" t="str">
        <f t="shared" si="6"/>
        <v/>
      </c>
      <c r="AB325" s="37"/>
      <c r="AC325" s="29"/>
      <c r="AD325" s="29" t="b">
        <v>0</v>
      </c>
      <c r="AE325" s="22" t="str">
        <f t="shared" si="7"/>
        <v/>
      </c>
      <c r="AF325" s="7">
        <f>IF(ISBLANK(AB325), 0, VLOOKUP(AB325, 'Price Sheet'!$A$2:$B1015, 2, false))</f>
        <v>0</v>
      </c>
      <c r="AG325" s="33" t="str">
        <f t="shared" si="8"/>
        <v/>
      </c>
      <c r="AH325" s="37"/>
      <c r="AI325" s="29"/>
      <c r="AJ325" s="29" t="b">
        <v>0</v>
      </c>
      <c r="AK325" s="22" t="str">
        <f t="shared" si="9"/>
        <v/>
      </c>
      <c r="AL325" s="7">
        <f>IF(ISBLANK(AH325), 0, VLOOKUP(AH325, 'Price Sheet'!$A$2:$B1015, 2, false))</f>
        <v>0</v>
      </c>
      <c r="AM325" s="33" t="str">
        <f t="shared" si="10"/>
        <v/>
      </c>
      <c r="AN325" s="37"/>
      <c r="AO325" s="29"/>
      <c r="AP325" s="29" t="b">
        <v>0</v>
      </c>
      <c r="AQ325" s="22" t="str">
        <f t="shared" si="11"/>
        <v/>
      </c>
      <c r="AR325" s="7">
        <f>IF(ISBLANK(AN325), 0, VLOOKUP(AN325, 'Price Sheet'!$A$2:$B1015, 2, false))</f>
        <v>0</v>
      </c>
      <c r="AS325" s="33" t="str">
        <f t="shared" si="12"/>
        <v/>
      </c>
      <c r="AT325" s="37"/>
      <c r="AU325" s="29"/>
      <c r="AV325" s="29" t="b">
        <v>0</v>
      </c>
      <c r="AW325" s="22" t="str">
        <f t="shared" si="13"/>
        <v/>
      </c>
      <c r="AX325" s="7">
        <f>IF(ISBLANK(AT325), 0, VLOOKUP(AT325, 'Price Sheet'!$A$2:$B1015, 2, false))</f>
        <v>0</v>
      </c>
      <c r="AY325" s="33" t="str">
        <f t="shared" si="14"/>
        <v/>
      </c>
      <c r="AZ325" s="37"/>
      <c r="BA325" s="29"/>
      <c r="BB325" s="29" t="b">
        <v>0</v>
      </c>
      <c r="BC325" s="22" t="str">
        <f t="shared" si="15"/>
        <v/>
      </c>
      <c r="BD325" s="7">
        <f>IF(ISBLANK(AZ325), 0, VLOOKUP(AZ325, 'Price Sheet'!$A$2:$B1015, 2, false))</f>
        <v>0</v>
      </c>
      <c r="BE325" s="33" t="str">
        <f t="shared" si="16"/>
        <v/>
      </c>
      <c r="BF325" s="37"/>
      <c r="BG325" s="29"/>
      <c r="BH325" s="29" t="b">
        <v>0</v>
      </c>
      <c r="BI325" s="22" t="str">
        <f t="shared" si="17"/>
        <v/>
      </c>
      <c r="BJ325" s="7">
        <f>IF(ISBLANK(BF325), 0, VLOOKUP(BF325, 'Price Sheet'!$A$2:$B1015, 2, false))</f>
        <v>0</v>
      </c>
      <c r="BK325" s="33" t="str">
        <f t="shared" si="18"/>
        <v/>
      </c>
      <c r="BL325" s="37"/>
      <c r="BM325" s="29"/>
      <c r="BN325" s="29" t="b">
        <v>0</v>
      </c>
      <c r="BO325" s="22" t="str">
        <f t="shared" si="19"/>
        <v/>
      </c>
      <c r="BP325" s="7">
        <f>IF(ISBLANK(BL325), 0, VLOOKUP(BL325, 'Price Sheet'!$A$2:$B1015, 2, false))</f>
        <v>0</v>
      </c>
      <c r="BQ325" s="33" t="str">
        <f t="shared" si="20"/>
        <v/>
      </c>
    </row>
    <row r="326">
      <c r="B326" s="19"/>
      <c r="C326" s="29"/>
      <c r="D326" s="29"/>
      <c r="E326" s="7" t="str">
        <f>IF(ISBLANK(D326), "", VLOOKUP(D326,'Crafting Tables'!$A$2:$B1015, 2, false))</f>
        <v/>
      </c>
      <c r="F326" s="7" t="str">
        <f>IFERROR(IF(E326 = "None", 1, VLOOKUP(C326,General!$A$5:$L$35, SWITCH(E326, "Basic", 8, "Advanced", 10, "Modern", 12), false)),"")</f>
        <v/>
      </c>
      <c r="G326" s="29"/>
      <c r="H326" s="7">
        <f>IFERROR(VLOOKUP(C326, General!$A$5:$L$35, 6, false) * G326 / 1000, 0)</f>
        <v>0</v>
      </c>
      <c r="I326" s="29"/>
      <c r="J326" s="22" t="str">
        <f>IFERROR(I326*VLOOKUP(D326,'Crafting Tables'!$1:$1000, 4, false)*F326,"")</f>
        <v/>
      </c>
      <c r="K326" s="29" t="b">
        <v>0</v>
      </c>
      <c r="L326" s="37"/>
      <c r="M326" s="29"/>
      <c r="N326" s="21" t="str">
        <f t="shared" si="2"/>
        <v/>
      </c>
      <c r="P326" s="37"/>
      <c r="Q326" s="29"/>
      <c r="R326" s="29" t="b">
        <v>0</v>
      </c>
      <c r="S326" s="22" t="str">
        <f t="shared" si="3"/>
        <v/>
      </c>
      <c r="T326" s="7">
        <f>IF(ISBLANK(P326), 0, VLOOKUP(P326, 'Price Sheet'!$A$2:$B1015, 2, false))</f>
        <v>0</v>
      </c>
      <c r="U326" s="33" t="str">
        <f t="shared" si="4"/>
        <v/>
      </c>
      <c r="V326" s="37"/>
      <c r="W326" s="29"/>
      <c r="X326" s="29" t="b">
        <v>0</v>
      </c>
      <c r="Y326" s="22" t="str">
        <f t="shared" si="5"/>
        <v/>
      </c>
      <c r="Z326" s="7">
        <f>IF(ISBLANK(V326), 0, VLOOKUP(V326, 'Price Sheet'!$A$2:$B1015, 2, false))</f>
        <v>0</v>
      </c>
      <c r="AA326" s="33" t="str">
        <f t="shared" si="6"/>
        <v/>
      </c>
      <c r="AB326" s="37"/>
      <c r="AC326" s="29"/>
      <c r="AD326" s="29" t="b">
        <v>0</v>
      </c>
      <c r="AE326" s="22" t="str">
        <f t="shared" si="7"/>
        <v/>
      </c>
      <c r="AF326" s="7">
        <f>IF(ISBLANK(AB326), 0, VLOOKUP(AB326, 'Price Sheet'!$A$2:$B1015, 2, false))</f>
        <v>0</v>
      </c>
      <c r="AG326" s="33" t="str">
        <f t="shared" si="8"/>
        <v/>
      </c>
      <c r="AH326" s="37"/>
      <c r="AI326" s="29"/>
      <c r="AJ326" s="29" t="b">
        <v>0</v>
      </c>
      <c r="AK326" s="22" t="str">
        <f t="shared" si="9"/>
        <v/>
      </c>
      <c r="AL326" s="7">
        <f>IF(ISBLANK(AH326), 0, VLOOKUP(AH326, 'Price Sheet'!$A$2:$B1015, 2, false))</f>
        <v>0</v>
      </c>
      <c r="AM326" s="33" t="str">
        <f t="shared" si="10"/>
        <v/>
      </c>
      <c r="AN326" s="37"/>
      <c r="AO326" s="29"/>
      <c r="AP326" s="29" t="b">
        <v>0</v>
      </c>
      <c r="AQ326" s="22" t="str">
        <f t="shared" si="11"/>
        <v/>
      </c>
      <c r="AR326" s="7">
        <f>IF(ISBLANK(AN326), 0, VLOOKUP(AN326, 'Price Sheet'!$A$2:$B1015, 2, false))</f>
        <v>0</v>
      </c>
      <c r="AS326" s="33" t="str">
        <f t="shared" si="12"/>
        <v/>
      </c>
      <c r="AT326" s="37"/>
      <c r="AU326" s="29"/>
      <c r="AV326" s="29" t="b">
        <v>0</v>
      </c>
      <c r="AW326" s="22" t="str">
        <f t="shared" si="13"/>
        <v/>
      </c>
      <c r="AX326" s="7">
        <f>IF(ISBLANK(AT326), 0, VLOOKUP(AT326, 'Price Sheet'!$A$2:$B1015, 2, false))</f>
        <v>0</v>
      </c>
      <c r="AY326" s="33" t="str">
        <f t="shared" si="14"/>
        <v/>
      </c>
      <c r="AZ326" s="37"/>
      <c r="BA326" s="29"/>
      <c r="BB326" s="29" t="b">
        <v>0</v>
      </c>
      <c r="BC326" s="22" t="str">
        <f t="shared" si="15"/>
        <v/>
      </c>
      <c r="BD326" s="7">
        <f>IF(ISBLANK(AZ326), 0, VLOOKUP(AZ326, 'Price Sheet'!$A$2:$B1015, 2, false))</f>
        <v>0</v>
      </c>
      <c r="BE326" s="33" t="str">
        <f t="shared" si="16"/>
        <v/>
      </c>
      <c r="BF326" s="37"/>
      <c r="BG326" s="29"/>
      <c r="BH326" s="29" t="b">
        <v>0</v>
      </c>
      <c r="BI326" s="22" t="str">
        <f t="shared" si="17"/>
        <v/>
      </c>
      <c r="BJ326" s="7">
        <f>IF(ISBLANK(BF326), 0, VLOOKUP(BF326, 'Price Sheet'!$A$2:$B1015, 2, false))</f>
        <v>0</v>
      </c>
      <c r="BK326" s="33" t="str">
        <f t="shared" si="18"/>
        <v/>
      </c>
      <c r="BL326" s="37"/>
      <c r="BM326" s="29"/>
      <c r="BN326" s="29" t="b">
        <v>0</v>
      </c>
      <c r="BO326" s="22" t="str">
        <f t="shared" si="19"/>
        <v/>
      </c>
      <c r="BP326" s="7">
        <f>IF(ISBLANK(BL326), 0, VLOOKUP(BL326, 'Price Sheet'!$A$2:$B1015, 2, false))</f>
        <v>0</v>
      </c>
      <c r="BQ326" s="33" t="str">
        <f t="shared" si="20"/>
        <v/>
      </c>
    </row>
    <row r="327">
      <c r="B327" s="19"/>
      <c r="C327" s="29"/>
      <c r="D327" s="29"/>
      <c r="E327" s="7" t="str">
        <f>IF(ISBLANK(D327), "", VLOOKUP(D327,'Crafting Tables'!$A$2:$B1015, 2, false))</f>
        <v/>
      </c>
      <c r="F327" s="7" t="str">
        <f>IFERROR(IF(E327 = "None", 1, VLOOKUP(C327,General!$A$5:$L$35, SWITCH(E327, "Basic", 8, "Advanced", 10, "Modern", 12), false)),"")</f>
        <v/>
      </c>
      <c r="G327" s="29"/>
      <c r="H327" s="7">
        <f>IFERROR(VLOOKUP(C327, General!$A$5:$L$35, 6, false) * G327 / 1000, 0)</f>
        <v>0</v>
      </c>
      <c r="I327" s="29"/>
      <c r="J327" s="22" t="str">
        <f>IFERROR(I327*VLOOKUP(D327,'Crafting Tables'!$1:$1000, 4, false)*F327,"")</f>
        <v/>
      </c>
      <c r="K327" s="29" t="b">
        <v>0</v>
      </c>
      <c r="L327" s="37"/>
      <c r="M327" s="29"/>
      <c r="N327" s="21" t="str">
        <f t="shared" si="2"/>
        <v/>
      </c>
      <c r="P327" s="37"/>
      <c r="Q327" s="29"/>
      <c r="R327" s="29" t="b">
        <v>0</v>
      </c>
      <c r="S327" s="22" t="str">
        <f t="shared" si="3"/>
        <v/>
      </c>
      <c r="T327" s="7">
        <f>IF(ISBLANK(P327), 0, VLOOKUP(P327, 'Price Sheet'!$A$2:$B1015, 2, false))</f>
        <v>0</v>
      </c>
      <c r="U327" s="33" t="str">
        <f t="shared" si="4"/>
        <v/>
      </c>
      <c r="V327" s="37"/>
      <c r="W327" s="29"/>
      <c r="X327" s="29" t="b">
        <v>0</v>
      </c>
      <c r="Y327" s="22" t="str">
        <f t="shared" si="5"/>
        <v/>
      </c>
      <c r="Z327" s="7">
        <f>IF(ISBLANK(V327), 0, VLOOKUP(V327, 'Price Sheet'!$A$2:$B1015, 2, false))</f>
        <v>0</v>
      </c>
      <c r="AA327" s="33" t="str">
        <f t="shared" si="6"/>
        <v/>
      </c>
      <c r="AB327" s="37"/>
      <c r="AC327" s="29"/>
      <c r="AD327" s="29" t="b">
        <v>0</v>
      </c>
      <c r="AE327" s="22" t="str">
        <f t="shared" si="7"/>
        <v/>
      </c>
      <c r="AF327" s="7">
        <f>IF(ISBLANK(AB327), 0, VLOOKUP(AB327, 'Price Sheet'!$A$2:$B1015, 2, false))</f>
        <v>0</v>
      </c>
      <c r="AG327" s="33" t="str">
        <f t="shared" si="8"/>
        <v/>
      </c>
      <c r="AH327" s="37"/>
      <c r="AI327" s="29"/>
      <c r="AJ327" s="29" t="b">
        <v>0</v>
      </c>
      <c r="AK327" s="22" t="str">
        <f t="shared" si="9"/>
        <v/>
      </c>
      <c r="AL327" s="7">
        <f>IF(ISBLANK(AH327), 0, VLOOKUP(AH327, 'Price Sheet'!$A$2:$B1015, 2, false))</f>
        <v>0</v>
      </c>
      <c r="AM327" s="33" t="str">
        <f t="shared" si="10"/>
        <v/>
      </c>
      <c r="AN327" s="37"/>
      <c r="AO327" s="29"/>
      <c r="AP327" s="29" t="b">
        <v>0</v>
      </c>
      <c r="AQ327" s="22" t="str">
        <f t="shared" si="11"/>
        <v/>
      </c>
      <c r="AR327" s="7">
        <f>IF(ISBLANK(AN327), 0, VLOOKUP(AN327, 'Price Sheet'!$A$2:$B1015, 2, false))</f>
        <v>0</v>
      </c>
      <c r="AS327" s="33" t="str">
        <f t="shared" si="12"/>
        <v/>
      </c>
      <c r="AT327" s="37"/>
      <c r="AU327" s="29"/>
      <c r="AV327" s="29" t="b">
        <v>0</v>
      </c>
      <c r="AW327" s="22" t="str">
        <f t="shared" si="13"/>
        <v/>
      </c>
      <c r="AX327" s="7">
        <f>IF(ISBLANK(AT327), 0, VLOOKUP(AT327, 'Price Sheet'!$A$2:$B1015, 2, false))</f>
        <v>0</v>
      </c>
      <c r="AY327" s="33" t="str">
        <f t="shared" si="14"/>
        <v/>
      </c>
      <c r="AZ327" s="37"/>
      <c r="BA327" s="29"/>
      <c r="BB327" s="29" t="b">
        <v>0</v>
      </c>
      <c r="BC327" s="22" t="str">
        <f t="shared" si="15"/>
        <v/>
      </c>
      <c r="BD327" s="7">
        <f>IF(ISBLANK(AZ327), 0, VLOOKUP(AZ327, 'Price Sheet'!$A$2:$B1015, 2, false))</f>
        <v>0</v>
      </c>
      <c r="BE327" s="33" t="str">
        <f t="shared" si="16"/>
        <v/>
      </c>
      <c r="BF327" s="37"/>
      <c r="BG327" s="29"/>
      <c r="BH327" s="29" t="b">
        <v>0</v>
      </c>
      <c r="BI327" s="22" t="str">
        <f t="shared" si="17"/>
        <v/>
      </c>
      <c r="BJ327" s="7">
        <f>IF(ISBLANK(BF327), 0, VLOOKUP(BF327, 'Price Sheet'!$A$2:$B1015, 2, false))</f>
        <v>0</v>
      </c>
      <c r="BK327" s="33" t="str">
        <f t="shared" si="18"/>
        <v/>
      </c>
      <c r="BL327" s="37"/>
      <c r="BM327" s="29"/>
      <c r="BN327" s="29" t="b">
        <v>0</v>
      </c>
      <c r="BO327" s="22" t="str">
        <f t="shared" si="19"/>
        <v/>
      </c>
      <c r="BP327" s="7">
        <f>IF(ISBLANK(BL327), 0, VLOOKUP(BL327, 'Price Sheet'!$A$2:$B1015, 2, false))</f>
        <v>0</v>
      </c>
      <c r="BQ327" s="33" t="str">
        <f t="shared" si="20"/>
        <v/>
      </c>
    </row>
    <row r="328">
      <c r="B328" s="19"/>
      <c r="C328" s="29"/>
      <c r="D328" s="29"/>
      <c r="E328" s="7" t="str">
        <f>IF(ISBLANK(D328), "", VLOOKUP(D328,'Crafting Tables'!$A$2:$B1015, 2, false))</f>
        <v/>
      </c>
      <c r="F328" s="7" t="str">
        <f>IFERROR(IF(E328 = "None", 1, VLOOKUP(C328,General!$A$5:$L$35, SWITCH(E328, "Basic", 8, "Advanced", 10, "Modern", 12), false)),"")</f>
        <v/>
      </c>
      <c r="G328" s="29"/>
      <c r="H328" s="7">
        <f>IFERROR(VLOOKUP(C328, General!$A$5:$L$35, 6, false) * G328 / 1000, 0)</f>
        <v>0</v>
      </c>
      <c r="I328" s="29"/>
      <c r="J328" s="22" t="str">
        <f>IFERROR(I328*VLOOKUP(D328,'Crafting Tables'!$1:$1000, 4, false)*F328,"")</f>
        <v/>
      </c>
      <c r="K328" s="29" t="b">
        <v>0</v>
      </c>
      <c r="L328" s="37"/>
      <c r="M328" s="29"/>
      <c r="N328" s="21" t="str">
        <f t="shared" si="2"/>
        <v/>
      </c>
      <c r="P328" s="37"/>
      <c r="Q328" s="29"/>
      <c r="R328" s="29" t="b">
        <v>0</v>
      </c>
      <c r="S328" s="22" t="str">
        <f t="shared" si="3"/>
        <v/>
      </c>
      <c r="T328" s="7">
        <f>IF(ISBLANK(P328), 0, VLOOKUP(P328, 'Price Sheet'!$A$2:$B1015, 2, false))</f>
        <v>0</v>
      </c>
      <c r="U328" s="33" t="str">
        <f t="shared" si="4"/>
        <v/>
      </c>
      <c r="V328" s="37"/>
      <c r="W328" s="29"/>
      <c r="X328" s="29" t="b">
        <v>0</v>
      </c>
      <c r="Y328" s="22" t="str">
        <f t="shared" si="5"/>
        <v/>
      </c>
      <c r="Z328" s="7">
        <f>IF(ISBLANK(V328), 0, VLOOKUP(V328, 'Price Sheet'!$A$2:$B1015, 2, false))</f>
        <v>0</v>
      </c>
      <c r="AA328" s="33" t="str">
        <f t="shared" si="6"/>
        <v/>
      </c>
      <c r="AB328" s="37"/>
      <c r="AC328" s="29"/>
      <c r="AD328" s="29" t="b">
        <v>0</v>
      </c>
      <c r="AE328" s="22" t="str">
        <f t="shared" si="7"/>
        <v/>
      </c>
      <c r="AF328" s="7">
        <f>IF(ISBLANK(AB328), 0, VLOOKUP(AB328, 'Price Sheet'!$A$2:$B1015, 2, false))</f>
        <v>0</v>
      </c>
      <c r="AG328" s="33" t="str">
        <f t="shared" si="8"/>
        <v/>
      </c>
      <c r="AH328" s="37"/>
      <c r="AI328" s="29"/>
      <c r="AJ328" s="29" t="b">
        <v>0</v>
      </c>
      <c r="AK328" s="22" t="str">
        <f t="shared" si="9"/>
        <v/>
      </c>
      <c r="AL328" s="7">
        <f>IF(ISBLANK(AH328), 0, VLOOKUP(AH328, 'Price Sheet'!$A$2:$B1015, 2, false))</f>
        <v>0</v>
      </c>
      <c r="AM328" s="33" t="str">
        <f t="shared" si="10"/>
        <v/>
      </c>
      <c r="AN328" s="37"/>
      <c r="AO328" s="29"/>
      <c r="AP328" s="29" t="b">
        <v>0</v>
      </c>
      <c r="AQ328" s="22" t="str">
        <f t="shared" si="11"/>
        <v/>
      </c>
      <c r="AR328" s="7">
        <f>IF(ISBLANK(AN328), 0, VLOOKUP(AN328, 'Price Sheet'!$A$2:$B1015, 2, false))</f>
        <v>0</v>
      </c>
      <c r="AS328" s="33" t="str">
        <f t="shared" si="12"/>
        <v/>
      </c>
      <c r="AT328" s="37"/>
      <c r="AU328" s="29"/>
      <c r="AV328" s="29" t="b">
        <v>0</v>
      </c>
      <c r="AW328" s="22" t="str">
        <f t="shared" si="13"/>
        <v/>
      </c>
      <c r="AX328" s="7">
        <f>IF(ISBLANK(AT328), 0, VLOOKUP(AT328, 'Price Sheet'!$A$2:$B1015, 2, false))</f>
        <v>0</v>
      </c>
      <c r="AY328" s="33" t="str">
        <f t="shared" si="14"/>
        <v/>
      </c>
      <c r="AZ328" s="37"/>
      <c r="BA328" s="29"/>
      <c r="BB328" s="29" t="b">
        <v>0</v>
      </c>
      <c r="BC328" s="22" t="str">
        <f t="shared" si="15"/>
        <v/>
      </c>
      <c r="BD328" s="7">
        <f>IF(ISBLANK(AZ328), 0, VLOOKUP(AZ328, 'Price Sheet'!$A$2:$B1015, 2, false))</f>
        <v>0</v>
      </c>
      <c r="BE328" s="33" t="str">
        <f t="shared" si="16"/>
        <v/>
      </c>
      <c r="BF328" s="37"/>
      <c r="BG328" s="29"/>
      <c r="BH328" s="29" t="b">
        <v>0</v>
      </c>
      <c r="BI328" s="22" t="str">
        <f t="shared" si="17"/>
        <v/>
      </c>
      <c r="BJ328" s="7">
        <f>IF(ISBLANK(BF328), 0, VLOOKUP(BF328, 'Price Sheet'!$A$2:$B1015, 2, false))</f>
        <v>0</v>
      </c>
      <c r="BK328" s="33" t="str">
        <f t="shared" si="18"/>
        <v/>
      </c>
      <c r="BL328" s="37"/>
      <c r="BM328" s="29"/>
      <c r="BN328" s="29" t="b">
        <v>0</v>
      </c>
      <c r="BO328" s="22" t="str">
        <f t="shared" si="19"/>
        <v/>
      </c>
      <c r="BP328" s="7">
        <f>IF(ISBLANK(BL328), 0, VLOOKUP(BL328, 'Price Sheet'!$A$2:$B1015, 2, false))</f>
        <v>0</v>
      </c>
      <c r="BQ328" s="33" t="str">
        <f t="shared" si="20"/>
        <v/>
      </c>
    </row>
    <row r="329">
      <c r="B329" s="19"/>
      <c r="C329" s="29"/>
      <c r="D329" s="29"/>
      <c r="E329" s="7" t="str">
        <f>IF(ISBLANK(D329), "", VLOOKUP(D329,'Crafting Tables'!$A$2:$B1015, 2, false))</f>
        <v/>
      </c>
      <c r="F329" s="7" t="str">
        <f>IFERROR(IF(E329 = "None", 1, VLOOKUP(C329,General!$A$5:$L$35, SWITCH(E329, "Basic", 8, "Advanced", 10, "Modern", 12), false)),"")</f>
        <v/>
      </c>
      <c r="G329" s="29"/>
      <c r="H329" s="7">
        <f>IFERROR(VLOOKUP(C329, General!$A$5:$L$35, 6, false) * G329 / 1000, 0)</f>
        <v>0</v>
      </c>
      <c r="I329" s="29"/>
      <c r="J329" s="22" t="str">
        <f>IFERROR(I329*VLOOKUP(D329,'Crafting Tables'!$1:$1000, 4, false)*F329,"")</f>
        <v/>
      </c>
      <c r="K329" s="29" t="b">
        <v>0</v>
      </c>
      <c r="L329" s="37"/>
      <c r="M329" s="29"/>
      <c r="N329" s="21" t="str">
        <f t="shared" si="2"/>
        <v/>
      </c>
      <c r="P329" s="37"/>
      <c r="Q329" s="29"/>
      <c r="R329" s="29" t="b">
        <v>0</v>
      </c>
      <c r="S329" s="22" t="str">
        <f t="shared" si="3"/>
        <v/>
      </c>
      <c r="T329" s="7">
        <f>IF(ISBLANK(P329), 0, VLOOKUP(P329, 'Price Sheet'!$A$2:$B1015, 2, false))</f>
        <v>0</v>
      </c>
      <c r="U329" s="33" t="str">
        <f t="shared" si="4"/>
        <v/>
      </c>
      <c r="V329" s="37"/>
      <c r="W329" s="29"/>
      <c r="X329" s="29" t="b">
        <v>0</v>
      </c>
      <c r="Y329" s="22" t="str">
        <f t="shared" si="5"/>
        <v/>
      </c>
      <c r="Z329" s="7">
        <f>IF(ISBLANK(V329), 0, VLOOKUP(V329, 'Price Sheet'!$A$2:$B1015, 2, false))</f>
        <v>0</v>
      </c>
      <c r="AA329" s="33" t="str">
        <f t="shared" si="6"/>
        <v/>
      </c>
      <c r="AB329" s="37"/>
      <c r="AC329" s="29"/>
      <c r="AD329" s="29" t="b">
        <v>0</v>
      </c>
      <c r="AE329" s="22" t="str">
        <f t="shared" si="7"/>
        <v/>
      </c>
      <c r="AF329" s="7">
        <f>IF(ISBLANK(AB329), 0, VLOOKUP(AB329, 'Price Sheet'!$A$2:$B1015, 2, false))</f>
        <v>0</v>
      </c>
      <c r="AG329" s="33" t="str">
        <f t="shared" si="8"/>
        <v/>
      </c>
      <c r="AH329" s="37"/>
      <c r="AI329" s="29"/>
      <c r="AJ329" s="29" t="b">
        <v>0</v>
      </c>
      <c r="AK329" s="22" t="str">
        <f t="shared" si="9"/>
        <v/>
      </c>
      <c r="AL329" s="7">
        <f>IF(ISBLANK(AH329), 0, VLOOKUP(AH329, 'Price Sheet'!$A$2:$B1015, 2, false))</f>
        <v>0</v>
      </c>
      <c r="AM329" s="33" t="str">
        <f t="shared" si="10"/>
        <v/>
      </c>
      <c r="AN329" s="37"/>
      <c r="AO329" s="29"/>
      <c r="AP329" s="29" t="b">
        <v>0</v>
      </c>
      <c r="AQ329" s="22" t="str">
        <f t="shared" si="11"/>
        <v/>
      </c>
      <c r="AR329" s="7">
        <f>IF(ISBLANK(AN329), 0, VLOOKUP(AN329, 'Price Sheet'!$A$2:$B1015, 2, false))</f>
        <v>0</v>
      </c>
      <c r="AS329" s="33" t="str">
        <f t="shared" si="12"/>
        <v/>
      </c>
      <c r="AT329" s="37"/>
      <c r="AU329" s="29"/>
      <c r="AV329" s="29" t="b">
        <v>0</v>
      </c>
      <c r="AW329" s="22" t="str">
        <f t="shared" si="13"/>
        <v/>
      </c>
      <c r="AX329" s="7">
        <f>IF(ISBLANK(AT329), 0, VLOOKUP(AT329, 'Price Sheet'!$A$2:$B1015, 2, false))</f>
        <v>0</v>
      </c>
      <c r="AY329" s="33" t="str">
        <f t="shared" si="14"/>
        <v/>
      </c>
      <c r="AZ329" s="37"/>
      <c r="BA329" s="29"/>
      <c r="BB329" s="29" t="b">
        <v>0</v>
      </c>
      <c r="BC329" s="22" t="str">
        <f t="shared" si="15"/>
        <v/>
      </c>
      <c r="BD329" s="7">
        <f>IF(ISBLANK(AZ329), 0, VLOOKUP(AZ329, 'Price Sheet'!$A$2:$B1015, 2, false))</f>
        <v>0</v>
      </c>
      <c r="BE329" s="33" t="str">
        <f t="shared" si="16"/>
        <v/>
      </c>
      <c r="BF329" s="37"/>
      <c r="BG329" s="29"/>
      <c r="BH329" s="29" t="b">
        <v>0</v>
      </c>
      <c r="BI329" s="22" t="str">
        <f t="shared" si="17"/>
        <v/>
      </c>
      <c r="BJ329" s="7">
        <f>IF(ISBLANK(BF329), 0, VLOOKUP(BF329, 'Price Sheet'!$A$2:$B1015, 2, false))</f>
        <v>0</v>
      </c>
      <c r="BK329" s="33" t="str">
        <f t="shared" si="18"/>
        <v/>
      </c>
      <c r="BL329" s="37"/>
      <c r="BM329" s="29"/>
      <c r="BN329" s="29" t="b">
        <v>0</v>
      </c>
      <c r="BO329" s="22" t="str">
        <f t="shared" si="19"/>
        <v/>
      </c>
      <c r="BP329" s="7">
        <f>IF(ISBLANK(BL329), 0, VLOOKUP(BL329, 'Price Sheet'!$A$2:$B1015, 2, false))</f>
        <v>0</v>
      </c>
      <c r="BQ329" s="33" t="str">
        <f t="shared" si="20"/>
        <v/>
      </c>
    </row>
    <row r="330">
      <c r="B330" s="19"/>
      <c r="C330" s="29"/>
      <c r="D330" s="29"/>
      <c r="E330" s="7" t="str">
        <f>IF(ISBLANK(D330), "", VLOOKUP(D330,'Crafting Tables'!$A$2:$B1015, 2, false))</f>
        <v/>
      </c>
      <c r="F330" s="7" t="str">
        <f>IFERROR(IF(E330 = "None", 1, VLOOKUP(C330,General!$A$5:$L$35, SWITCH(E330, "Basic", 8, "Advanced", 10, "Modern", 12), false)),"")</f>
        <v/>
      </c>
      <c r="G330" s="29"/>
      <c r="H330" s="7">
        <f>IFERROR(VLOOKUP(C330, General!$A$5:$L$35, 6, false) * G330 / 1000, 0)</f>
        <v>0</v>
      </c>
      <c r="I330" s="29"/>
      <c r="J330" s="22" t="str">
        <f>IFERROR(I330*VLOOKUP(D330,'Crafting Tables'!$1:$1000, 4, false)*F330,"")</f>
        <v/>
      </c>
      <c r="K330" s="29" t="b">
        <v>0</v>
      </c>
      <c r="L330" s="37"/>
      <c r="M330" s="29"/>
      <c r="N330" s="21" t="str">
        <f t="shared" si="2"/>
        <v/>
      </c>
      <c r="P330" s="37"/>
      <c r="Q330" s="29"/>
      <c r="R330" s="29" t="b">
        <v>0</v>
      </c>
      <c r="S330" s="22" t="str">
        <f t="shared" si="3"/>
        <v/>
      </c>
      <c r="T330" s="7">
        <f>IF(ISBLANK(P330), 0, VLOOKUP(P330, 'Price Sheet'!$A$2:$B1015, 2, false))</f>
        <v>0</v>
      </c>
      <c r="U330" s="33" t="str">
        <f t="shared" si="4"/>
        <v/>
      </c>
      <c r="V330" s="37"/>
      <c r="W330" s="29"/>
      <c r="X330" s="29" t="b">
        <v>0</v>
      </c>
      <c r="Y330" s="22" t="str">
        <f t="shared" si="5"/>
        <v/>
      </c>
      <c r="Z330" s="7">
        <f>IF(ISBLANK(V330), 0, VLOOKUP(V330, 'Price Sheet'!$A$2:$B1015, 2, false))</f>
        <v>0</v>
      </c>
      <c r="AA330" s="33" t="str">
        <f t="shared" si="6"/>
        <v/>
      </c>
      <c r="AB330" s="37"/>
      <c r="AC330" s="29"/>
      <c r="AD330" s="29" t="b">
        <v>0</v>
      </c>
      <c r="AE330" s="22" t="str">
        <f t="shared" si="7"/>
        <v/>
      </c>
      <c r="AF330" s="7">
        <f>IF(ISBLANK(AB330), 0, VLOOKUP(AB330, 'Price Sheet'!$A$2:$B1015, 2, false))</f>
        <v>0</v>
      </c>
      <c r="AG330" s="33" t="str">
        <f t="shared" si="8"/>
        <v/>
      </c>
      <c r="AH330" s="37"/>
      <c r="AI330" s="29"/>
      <c r="AJ330" s="29" t="b">
        <v>0</v>
      </c>
      <c r="AK330" s="22" t="str">
        <f t="shared" si="9"/>
        <v/>
      </c>
      <c r="AL330" s="7">
        <f>IF(ISBLANK(AH330), 0, VLOOKUP(AH330, 'Price Sheet'!$A$2:$B1015, 2, false))</f>
        <v>0</v>
      </c>
      <c r="AM330" s="33" t="str">
        <f t="shared" si="10"/>
        <v/>
      </c>
      <c r="AN330" s="37"/>
      <c r="AO330" s="29"/>
      <c r="AP330" s="29" t="b">
        <v>0</v>
      </c>
      <c r="AQ330" s="22" t="str">
        <f t="shared" si="11"/>
        <v/>
      </c>
      <c r="AR330" s="7">
        <f>IF(ISBLANK(AN330), 0, VLOOKUP(AN330, 'Price Sheet'!$A$2:$B1015, 2, false))</f>
        <v>0</v>
      </c>
      <c r="AS330" s="33" t="str">
        <f t="shared" si="12"/>
        <v/>
      </c>
      <c r="AT330" s="37"/>
      <c r="AU330" s="29"/>
      <c r="AV330" s="29" t="b">
        <v>0</v>
      </c>
      <c r="AW330" s="22" t="str">
        <f t="shared" si="13"/>
        <v/>
      </c>
      <c r="AX330" s="7">
        <f>IF(ISBLANK(AT330), 0, VLOOKUP(AT330, 'Price Sheet'!$A$2:$B1015, 2, false))</f>
        <v>0</v>
      </c>
      <c r="AY330" s="33" t="str">
        <f t="shared" si="14"/>
        <v/>
      </c>
      <c r="AZ330" s="37"/>
      <c r="BA330" s="29"/>
      <c r="BB330" s="29" t="b">
        <v>0</v>
      </c>
      <c r="BC330" s="22" t="str">
        <f t="shared" si="15"/>
        <v/>
      </c>
      <c r="BD330" s="7">
        <f>IF(ISBLANK(AZ330), 0, VLOOKUP(AZ330, 'Price Sheet'!$A$2:$B1015, 2, false))</f>
        <v>0</v>
      </c>
      <c r="BE330" s="33" t="str">
        <f t="shared" si="16"/>
        <v/>
      </c>
      <c r="BF330" s="37"/>
      <c r="BG330" s="29"/>
      <c r="BH330" s="29" t="b">
        <v>0</v>
      </c>
      <c r="BI330" s="22" t="str">
        <f t="shared" si="17"/>
        <v/>
      </c>
      <c r="BJ330" s="7">
        <f>IF(ISBLANK(BF330), 0, VLOOKUP(BF330, 'Price Sheet'!$A$2:$B1015, 2, false))</f>
        <v>0</v>
      </c>
      <c r="BK330" s="33" t="str">
        <f t="shared" si="18"/>
        <v/>
      </c>
      <c r="BL330" s="37"/>
      <c r="BM330" s="29"/>
      <c r="BN330" s="29" t="b">
        <v>0</v>
      </c>
      <c r="BO330" s="22" t="str">
        <f t="shared" si="19"/>
        <v/>
      </c>
      <c r="BP330" s="7">
        <f>IF(ISBLANK(BL330), 0, VLOOKUP(BL330, 'Price Sheet'!$A$2:$B1015, 2, false))</f>
        <v>0</v>
      </c>
      <c r="BQ330" s="33" t="str">
        <f t="shared" si="20"/>
        <v/>
      </c>
    </row>
    <row r="331">
      <c r="B331" s="19"/>
      <c r="C331" s="29"/>
      <c r="D331" s="29"/>
      <c r="E331" s="7" t="str">
        <f>IF(ISBLANK(D331), "", VLOOKUP(D331,'Crafting Tables'!$A$2:$B1015, 2, false))</f>
        <v/>
      </c>
      <c r="F331" s="7" t="str">
        <f>IFERROR(IF(E331 = "None", 1, VLOOKUP(C331,General!$A$5:$L$35, SWITCH(E331, "Basic", 8, "Advanced", 10, "Modern", 12), false)),"")</f>
        <v/>
      </c>
      <c r="G331" s="29"/>
      <c r="H331" s="7">
        <f>IFERROR(VLOOKUP(C331, General!$A$5:$L$35, 6, false) * G331 / 1000, 0)</f>
        <v>0</v>
      </c>
      <c r="I331" s="29"/>
      <c r="J331" s="22" t="str">
        <f>IFERROR(I331*VLOOKUP(D331,'Crafting Tables'!$1:$1000, 4, false)*F331,"")</f>
        <v/>
      </c>
      <c r="K331" s="29" t="b">
        <v>0</v>
      </c>
      <c r="L331" s="37"/>
      <c r="M331" s="29"/>
      <c r="N331" s="21" t="str">
        <f t="shared" si="2"/>
        <v/>
      </c>
      <c r="P331" s="37"/>
      <c r="Q331" s="29"/>
      <c r="R331" s="29" t="b">
        <v>0</v>
      </c>
      <c r="S331" s="22" t="str">
        <f t="shared" si="3"/>
        <v/>
      </c>
      <c r="T331" s="7">
        <f>IF(ISBLANK(P331), 0, VLOOKUP(P331, 'Price Sheet'!$A$2:$B1015, 2, false))</f>
        <v>0</v>
      </c>
      <c r="U331" s="33" t="str">
        <f t="shared" si="4"/>
        <v/>
      </c>
      <c r="V331" s="37"/>
      <c r="W331" s="29"/>
      <c r="X331" s="29" t="b">
        <v>0</v>
      </c>
      <c r="Y331" s="22" t="str">
        <f t="shared" si="5"/>
        <v/>
      </c>
      <c r="Z331" s="7">
        <f>IF(ISBLANK(V331), 0, VLOOKUP(V331, 'Price Sheet'!$A$2:$B1015, 2, false))</f>
        <v>0</v>
      </c>
      <c r="AA331" s="33" t="str">
        <f t="shared" si="6"/>
        <v/>
      </c>
      <c r="AB331" s="37"/>
      <c r="AC331" s="29"/>
      <c r="AD331" s="29" t="b">
        <v>0</v>
      </c>
      <c r="AE331" s="22" t="str">
        <f t="shared" si="7"/>
        <v/>
      </c>
      <c r="AF331" s="7">
        <f>IF(ISBLANK(AB331), 0, VLOOKUP(AB331, 'Price Sheet'!$A$2:$B1015, 2, false))</f>
        <v>0</v>
      </c>
      <c r="AG331" s="33" t="str">
        <f t="shared" si="8"/>
        <v/>
      </c>
      <c r="AH331" s="37"/>
      <c r="AI331" s="29"/>
      <c r="AJ331" s="29" t="b">
        <v>0</v>
      </c>
      <c r="AK331" s="22" t="str">
        <f t="shared" si="9"/>
        <v/>
      </c>
      <c r="AL331" s="7">
        <f>IF(ISBLANK(AH331), 0, VLOOKUP(AH331, 'Price Sheet'!$A$2:$B1015, 2, false))</f>
        <v>0</v>
      </c>
      <c r="AM331" s="33" t="str">
        <f t="shared" si="10"/>
        <v/>
      </c>
      <c r="AN331" s="37"/>
      <c r="AO331" s="29"/>
      <c r="AP331" s="29" t="b">
        <v>0</v>
      </c>
      <c r="AQ331" s="22" t="str">
        <f t="shared" si="11"/>
        <v/>
      </c>
      <c r="AR331" s="7">
        <f>IF(ISBLANK(AN331), 0, VLOOKUP(AN331, 'Price Sheet'!$A$2:$B1015, 2, false))</f>
        <v>0</v>
      </c>
      <c r="AS331" s="33" t="str">
        <f t="shared" si="12"/>
        <v/>
      </c>
      <c r="AT331" s="37"/>
      <c r="AU331" s="29"/>
      <c r="AV331" s="29" t="b">
        <v>0</v>
      </c>
      <c r="AW331" s="22" t="str">
        <f t="shared" si="13"/>
        <v/>
      </c>
      <c r="AX331" s="7">
        <f>IF(ISBLANK(AT331), 0, VLOOKUP(AT331, 'Price Sheet'!$A$2:$B1015, 2, false))</f>
        <v>0</v>
      </c>
      <c r="AY331" s="33" t="str">
        <f t="shared" si="14"/>
        <v/>
      </c>
      <c r="AZ331" s="37"/>
      <c r="BA331" s="29"/>
      <c r="BB331" s="29" t="b">
        <v>0</v>
      </c>
      <c r="BC331" s="22" t="str">
        <f t="shared" si="15"/>
        <v/>
      </c>
      <c r="BD331" s="7">
        <f>IF(ISBLANK(AZ331), 0, VLOOKUP(AZ331, 'Price Sheet'!$A$2:$B1015, 2, false))</f>
        <v>0</v>
      </c>
      <c r="BE331" s="33" t="str">
        <f t="shared" si="16"/>
        <v/>
      </c>
      <c r="BF331" s="37"/>
      <c r="BG331" s="29"/>
      <c r="BH331" s="29" t="b">
        <v>0</v>
      </c>
      <c r="BI331" s="22" t="str">
        <f t="shared" si="17"/>
        <v/>
      </c>
      <c r="BJ331" s="7">
        <f>IF(ISBLANK(BF331), 0, VLOOKUP(BF331, 'Price Sheet'!$A$2:$B1015, 2, false))</f>
        <v>0</v>
      </c>
      <c r="BK331" s="33" t="str">
        <f t="shared" si="18"/>
        <v/>
      </c>
      <c r="BL331" s="37"/>
      <c r="BM331" s="29"/>
      <c r="BN331" s="29" t="b">
        <v>0</v>
      </c>
      <c r="BO331" s="22" t="str">
        <f t="shared" si="19"/>
        <v/>
      </c>
      <c r="BP331" s="7">
        <f>IF(ISBLANK(BL331), 0, VLOOKUP(BL331, 'Price Sheet'!$A$2:$B1015, 2, false))</f>
        <v>0</v>
      </c>
      <c r="BQ331" s="33" t="str">
        <f t="shared" si="20"/>
        <v/>
      </c>
    </row>
    <row r="332">
      <c r="B332" s="19"/>
      <c r="C332" s="29"/>
      <c r="D332" s="29"/>
      <c r="E332" s="7" t="str">
        <f>IF(ISBLANK(D332), "", VLOOKUP(D332,'Crafting Tables'!$A$2:$B1015, 2, false))</f>
        <v/>
      </c>
      <c r="F332" s="7" t="str">
        <f>IFERROR(IF(E332 = "None", 1, VLOOKUP(C332,General!$A$5:$L$35, SWITCH(E332, "Basic", 8, "Advanced", 10, "Modern", 12), false)),"")</f>
        <v/>
      </c>
      <c r="G332" s="29"/>
      <c r="H332" s="7">
        <f>IFERROR(VLOOKUP(C332, General!$A$5:$L$35, 6, false) * G332 / 1000, 0)</f>
        <v>0</v>
      </c>
      <c r="I332" s="29"/>
      <c r="J332" s="22" t="str">
        <f>IFERROR(I332*VLOOKUP(D332,'Crafting Tables'!$1:$1000, 4, false)*F332,"")</f>
        <v/>
      </c>
      <c r="K332" s="29" t="b">
        <v>0</v>
      </c>
      <c r="L332" s="37"/>
      <c r="M332" s="29"/>
      <c r="N332" s="21" t="str">
        <f t="shared" si="2"/>
        <v/>
      </c>
      <c r="P332" s="37"/>
      <c r="Q332" s="29"/>
      <c r="R332" s="29" t="b">
        <v>0</v>
      </c>
      <c r="S332" s="22" t="str">
        <f t="shared" si="3"/>
        <v/>
      </c>
      <c r="T332" s="7">
        <f>IF(ISBLANK(P332), 0, VLOOKUP(P332, 'Price Sheet'!$A$2:$B1015, 2, false))</f>
        <v>0</v>
      </c>
      <c r="U332" s="33" t="str">
        <f t="shared" si="4"/>
        <v/>
      </c>
      <c r="V332" s="37"/>
      <c r="W332" s="29"/>
      <c r="X332" s="29" t="b">
        <v>0</v>
      </c>
      <c r="Y332" s="22" t="str">
        <f t="shared" si="5"/>
        <v/>
      </c>
      <c r="Z332" s="7">
        <f>IF(ISBLANK(V332), 0, VLOOKUP(V332, 'Price Sheet'!$A$2:$B1015, 2, false))</f>
        <v>0</v>
      </c>
      <c r="AA332" s="33" t="str">
        <f t="shared" si="6"/>
        <v/>
      </c>
      <c r="AB332" s="37"/>
      <c r="AC332" s="29"/>
      <c r="AD332" s="29" t="b">
        <v>0</v>
      </c>
      <c r="AE332" s="22" t="str">
        <f t="shared" si="7"/>
        <v/>
      </c>
      <c r="AF332" s="7">
        <f>IF(ISBLANK(AB332), 0, VLOOKUP(AB332, 'Price Sheet'!$A$2:$B1015, 2, false))</f>
        <v>0</v>
      </c>
      <c r="AG332" s="33" t="str">
        <f t="shared" si="8"/>
        <v/>
      </c>
      <c r="AH332" s="37"/>
      <c r="AI332" s="29"/>
      <c r="AJ332" s="29" t="b">
        <v>0</v>
      </c>
      <c r="AK332" s="22" t="str">
        <f t="shared" si="9"/>
        <v/>
      </c>
      <c r="AL332" s="7">
        <f>IF(ISBLANK(AH332), 0, VLOOKUP(AH332, 'Price Sheet'!$A$2:$B1015, 2, false))</f>
        <v>0</v>
      </c>
      <c r="AM332" s="33" t="str">
        <f t="shared" si="10"/>
        <v/>
      </c>
      <c r="AN332" s="37"/>
      <c r="AO332" s="29"/>
      <c r="AP332" s="29" t="b">
        <v>0</v>
      </c>
      <c r="AQ332" s="22" t="str">
        <f t="shared" si="11"/>
        <v/>
      </c>
      <c r="AR332" s="7">
        <f>IF(ISBLANK(AN332), 0, VLOOKUP(AN332, 'Price Sheet'!$A$2:$B1015, 2, false))</f>
        <v>0</v>
      </c>
      <c r="AS332" s="33" t="str">
        <f t="shared" si="12"/>
        <v/>
      </c>
      <c r="AT332" s="37"/>
      <c r="AU332" s="29"/>
      <c r="AV332" s="29" t="b">
        <v>0</v>
      </c>
      <c r="AW332" s="22" t="str">
        <f t="shared" si="13"/>
        <v/>
      </c>
      <c r="AX332" s="7">
        <f>IF(ISBLANK(AT332), 0, VLOOKUP(AT332, 'Price Sheet'!$A$2:$B1015, 2, false))</f>
        <v>0</v>
      </c>
      <c r="AY332" s="33" t="str">
        <f t="shared" si="14"/>
        <v/>
      </c>
      <c r="AZ332" s="37"/>
      <c r="BA332" s="29"/>
      <c r="BB332" s="29" t="b">
        <v>0</v>
      </c>
      <c r="BC332" s="22" t="str">
        <f t="shared" si="15"/>
        <v/>
      </c>
      <c r="BD332" s="7">
        <f>IF(ISBLANK(AZ332), 0, VLOOKUP(AZ332, 'Price Sheet'!$A$2:$B1015, 2, false))</f>
        <v>0</v>
      </c>
      <c r="BE332" s="33" t="str">
        <f t="shared" si="16"/>
        <v/>
      </c>
      <c r="BF332" s="37"/>
      <c r="BG332" s="29"/>
      <c r="BH332" s="29" t="b">
        <v>0</v>
      </c>
      <c r="BI332" s="22" t="str">
        <f t="shared" si="17"/>
        <v/>
      </c>
      <c r="BJ332" s="7">
        <f>IF(ISBLANK(BF332), 0, VLOOKUP(BF332, 'Price Sheet'!$A$2:$B1015, 2, false))</f>
        <v>0</v>
      </c>
      <c r="BK332" s="33" t="str">
        <f t="shared" si="18"/>
        <v/>
      </c>
      <c r="BL332" s="37"/>
      <c r="BM332" s="29"/>
      <c r="BN332" s="29" t="b">
        <v>0</v>
      </c>
      <c r="BO332" s="22" t="str">
        <f t="shared" si="19"/>
        <v/>
      </c>
      <c r="BP332" s="7">
        <f>IF(ISBLANK(BL332), 0, VLOOKUP(BL332, 'Price Sheet'!$A$2:$B1015, 2, false))</f>
        <v>0</v>
      </c>
      <c r="BQ332" s="33" t="str">
        <f t="shared" si="20"/>
        <v/>
      </c>
    </row>
    <row r="333">
      <c r="B333" s="19"/>
      <c r="C333" s="29"/>
      <c r="D333" s="29"/>
      <c r="E333" s="7" t="str">
        <f>IF(ISBLANK(D333), "", VLOOKUP(D333,'Crafting Tables'!$A$2:$B1015, 2, false))</f>
        <v/>
      </c>
      <c r="F333" s="7" t="str">
        <f>IFERROR(IF(E333 = "None", 1, VLOOKUP(C333,General!$A$5:$L$35, SWITCH(E333, "Basic", 8, "Advanced", 10, "Modern", 12), false)),"")</f>
        <v/>
      </c>
      <c r="G333" s="29"/>
      <c r="H333" s="7">
        <f>IFERROR(VLOOKUP(C333, General!$A$5:$L$35, 6, false) * G333 / 1000, 0)</f>
        <v>0</v>
      </c>
      <c r="I333" s="29"/>
      <c r="J333" s="22" t="str">
        <f>IFERROR(I333*VLOOKUP(D333,'Crafting Tables'!$1:$1000, 4, false)*F333,"")</f>
        <v/>
      </c>
      <c r="K333" s="29" t="b">
        <v>0</v>
      </c>
      <c r="L333" s="37"/>
      <c r="M333" s="29"/>
      <c r="N333" s="21" t="str">
        <f t="shared" si="2"/>
        <v/>
      </c>
      <c r="P333" s="37"/>
      <c r="Q333" s="29"/>
      <c r="R333" s="29" t="b">
        <v>0</v>
      </c>
      <c r="S333" s="22" t="str">
        <f t="shared" si="3"/>
        <v/>
      </c>
      <c r="T333" s="7">
        <f>IF(ISBLANK(P333), 0, VLOOKUP(P333, 'Price Sheet'!$A$2:$B1015, 2, false))</f>
        <v>0</v>
      </c>
      <c r="U333" s="33" t="str">
        <f t="shared" si="4"/>
        <v/>
      </c>
      <c r="V333" s="37"/>
      <c r="W333" s="29"/>
      <c r="X333" s="29" t="b">
        <v>0</v>
      </c>
      <c r="Y333" s="22" t="str">
        <f t="shared" si="5"/>
        <v/>
      </c>
      <c r="Z333" s="7">
        <f>IF(ISBLANK(V333), 0, VLOOKUP(V333, 'Price Sheet'!$A$2:$B1015, 2, false))</f>
        <v>0</v>
      </c>
      <c r="AA333" s="33" t="str">
        <f t="shared" si="6"/>
        <v/>
      </c>
      <c r="AB333" s="37"/>
      <c r="AC333" s="29"/>
      <c r="AD333" s="29" t="b">
        <v>0</v>
      </c>
      <c r="AE333" s="22" t="str">
        <f t="shared" si="7"/>
        <v/>
      </c>
      <c r="AF333" s="7">
        <f>IF(ISBLANK(AB333), 0, VLOOKUP(AB333, 'Price Sheet'!$A$2:$B1015, 2, false))</f>
        <v>0</v>
      </c>
      <c r="AG333" s="33" t="str">
        <f t="shared" si="8"/>
        <v/>
      </c>
      <c r="AH333" s="37"/>
      <c r="AI333" s="29"/>
      <c r="AJ333" s="29" t="b">
        <v>0</v>
      </c>
      <c r="AK333" s="22" t="str">
        <f t="shared" si="9"/>
        <v/>
      </c>
      <c r="AL333" s="7">
        <f>IF(ISBLANK(AH333), 0, VLOOKUP(AH333, 'Price Sheet'!$A$2:$B1015, 2, false))</f>
        <v>0</v>
      </c>
      <c r="AM333" s="33" t="str">
        <f t="shared" si="10"/>
        <v/>
      </c>
      <c r="AN333" s="37"/>
      <c r="AO333" s="29"/>
      <c r="AP333" s="29" t="b">
        <v>0</v>
      </c>
      <c r="AQ333" s="22" t="str">
        <f t="shared" si="11"/>
        <v/>
      </c>
      <c r="AR333" s="7">
        <f>IF(ISBLANK(AN333), 0, VLOOKUP(AN333, 'Price Sheet'!$A$2:$B1015, 2, false))</f>
        <v>0</v>
      </c>
      <c r="AS333" s="33" t="str">
        <f t="shared" si="12"/>
        <v/>
      </c>
      <c r="AT333" s="37"/>
      <c r="AU333" s="29"/>
      <c r="AV333" s="29" t="b">
        <v>0</v>
      </c>
      <c r="AW333" s="22" t="str">
        <f t="shared" si="13"/>
        <v/>
      </c>
      <c r="AX333" s="7">
        <f>IF(ISBLANK(AT333), 0, VLOOKUP(AT333, 'Price Sheet'!$A$2:$B1015, 2, false))</f>
        <v>0</v>
      </c>
      <c r="AY333" s="33" t="str">
        <f t="shared" si="14"/>
        <v/>
      </c>
      <c r="AZ333" s="37"/>
      <c r="BA333" s="29"/>
      <c r="BB333" s="29" t="b">
        <v>0</v>
      </c>
      <c r="BC333" s="22" t="str">
        <f t="shared" si="15"/>
        <v/>
      </c>
      <c r="BD333" s="7">
        <f>IF(ISBLANK(AZ333), 0, VLOOKUP(AZ333, 'Price Sheet'!$A$2:$B1015, 2, false))</f>
        <v>0</v>
      </c>
      <c r="BE333" s="33" t="str">
        <f t="shared" si="16"/>
        <v/>
      </c>
      <c r="BF333" s="37"/>
      <c r="BG333" s="29"/>
      <c r="BH333" s="29" t="b">
        <v>0</v>
      </c>
      <c r="BI333" s="22" t="str">
        <f t="shared" si="17"/>
        <v/>
      </c>
      <c r="BJ333" s="7">
        <f>IF(ISBLANK(BF333), 0, VLOOKUP(BF333, 'Price Sheet'!$A$2:$B1015, 2, false))</f>
        <v>0</v>
      </c>
      <c r="BK333" s="33" t="str">
        <f t="shared" si="18"/>
        <v/>
      </c>
      <c r="BL333" s="37"/>
      <c r="BM333" s="29"/>
      <c r="BN333" s="29" t="b">
        <v>0</v>
      </c>
      <c r="BO333" s="22" t="str">
        <f t="shared" si="19"/>
        <v/>
      </c>
      <c r="BP333" s="7">
        <f>IF(ISBLANK(BL333), 0, VLOOKUP(BL333, 'Price Sheet'!$A$2:$B1015, 2, false))</f>
        <v>0</v>
      </c>
      <c r="BQ333" s="33" t="str">
        <f t="shared" si="20"/>
        <v/>
      </c>
    </row>
    <row r="334">
      <c r="B334" s="19"/>
      <c r="C334" s="29"/>
      <c r="D334" s="29"/>
      <c r="E334" s="7" t="str">
        <f>IF(ISBLANK(D334), "", VLOOKUP(D334,'Crafting Tables'!$A$2:$B1015, 2, false))</f>
        <v/>
      </c>
      <c r="F334" s="7" t="str">
        <f>IFERROR(IF(E334 = "None", 1, VLOOKUP(C334,General!$A$5:$L$35, SWITCH(E334, "Basic", 8, "Advanced", 10, "Modern", 12), false)),"")</f>
        <v/>
      </c>
      <c r="G334" s="29"/>
      <c r="H334" s="7">
        <f>IFERROR(VLOOKUP(C334, General!$A$5:$L$35, 6, false) * G334 / 1000, 0)</f>
        <v>0</v>
      </c>
      <c r="I334" s="29"/>
      <c r="J334" s="22" t="str">
        <f>IFERROR(I334*VLOOKUP(D334,'Crafting Tables'!$1:$1000, 4, false)*F334,"")</f>
        <v/>
      </c>
      <c r="K334" s="29" t="b">
        <v>0</v>
      </c>
      <c r="L334" s="37"/>
      <c r="M334" s="29"/>
      <c r="N334" s="21" t="str">
        <f t="shared" si="2"/>
        <v/>
      </c>
      <c r="P334" s="37"/>
      <c r="Q334" s="29"/>
      <c r="R334" s="29" t="b">
        <v>0</v>
      </c>
      <c r="S334" s="22" t="str">
        <f t="shared" si="3"/>
        <v/>
      </c>
      <c r="T334" s="7">
        <f>IF(ISBLANK(P334), 0, VLOOKUP(P334, 'Price Sheet'!$A$2:$B1015, 2, false))</f>
        <v>0</v>
      </c>
      <c r="U334" s="33" t="str">
        <f t="shared" si="4"/>
        <v/>
      </c>
      <c r="V334" s="37"/>
      <c r="W334" s="29"/>
      <c r="X334" s="29" t="b">
        <v>0</v>
      </c>
      <c r="Y334" s="22" t="str">
        <f t="shared" si="5"/>
        <v/>
      </c>
      <c r="Z334" s="7">
        <f>IF(ISBLANK(V334), 0, VLOOKUP(V334, 'Price Sheet'!$A$2:$B1015, 2, false))</f>
        <v>0</v>
      </c>
      <c r="AA334" s="33" t="str">
        <f t="shared" si="6"/>
        <v/>
      </c>
      <c r="AB334" s="37"/>
      <c r="AC334" s="29"/>
      <c r="AD334" s="29" t="b">
        <v>0</v>
      </c>
      <c r="AE334" s="22" t="str">
        <f t="shared" si="7"/>
        <v/>
      </c>
      <c r="AF334" s="7">
        <f>IF(ISBLANK(AB334), 0, VLOOKUP(AB334, 'Price Sheet'!$A$2:$B1015, 2, false))</f>
        <v>0</v>
      </c>
      <c r="AG334" s="33" t="str">
        <f t="shared" si="8"/>
        <v/>
      </c>
      <c r="AH334" s="37"/>
      <c r="AI334" s="29"/>
      <c r="AJ334" s="29" t="b">
        <v>0</v>
      </c>
      <c r="AK334" s="22" t="str">
        <f t="shared" si="9"/>
        <v/>
      </c>
      <c r="AL334" s="7">
        <f>IF(ISBLANK(AH334), 0, VLOOKUP(AH334, 'Price Sheet'!$A$2:$B1015, 2, false))</f>
        <v>0</v>
      </c>
      <c r="AM334" s="33" t="str">
        <f t="shared" si="10"/>
        <v/>
      </c>
      <c r="AN334" s="37"/>
      <c r="AO334" s="29"/>
      <c r="AP334" s="29" t="b">
        <v>0</v>
      </c>
      <c r="AQ334" s="22" t="str">
        <f t="shared" si="11"/>
        <v/>
      </c>
      <c r="AR334" s="7">
        <f>IF(ISBLANK(AN334), 0, VLOOKUP(AN334, 'Price Sheet'!$A$2:$B1015, 2, false))</f>
        <v>0</v>
      </c>
      <c r="AS334" s="33" t="str">
        <f t="shared" si="12"/>
        <v/>
      </c>
      <c r="AT334" s="37"/>
      <c r="AU334" s="29"/>
      <c r="AV334" s="29" t="b">
        <v>0</v>
      </c>
      <c r="AW334" s="22" t="str">
        <f t="shared" si="13"/>
        <v/>
      </c>
      <c r="AX334" s="7">
        <f>IF(ISBLANK(AT334), 0, VLOOKUP(AT334, 'Price Sheet'!$A$2:$B1015, 2, false))</f>
        <v>0</v>
      </c>
      <c r="AY334" s="33" t="str">
        <f t="shared" si="14"/>
        <v/>
      </c>
      <c r="AZ334" s="37"/>
      <c r="BA334" s="29"/>
      <c r="BB334" s="29" t="b">
        <v>0</v>
      </c>
      <c r="BC334" s="22" t="str">
        <f t="shared" si="15"/>
        <v/>
      </c>
      <c r="BD334" s="7">
        <f>IF(ISBLANK(AZ334), 0, VLOOKUP(AZ334, 'Price Sheet'!$A$2:$B1015, 2, false))</f>
        <v>0</v>
      </c>
      <c r="BE334" s="33" t="str">
        <f t="shared" si="16"/>
        <v/>
      </c>
      <c r="BF334" s="37"/>
      <c r="BG334" s="29"/>
      <c r="BH334" s="29" t="b">
        <v>0</v>
      </c>
      <c r="BI334" s="22" t="str">
        <f t="shared" si="17"/>
        <v/>
      </c>
      <c r="BJ334" s="7">
        <f>IF(ISBLANK(BF334), 0, VLOOKUP(BF334, 'Price Sheet'!$A$2:$B1015, 2, false))</f>
        <v>0</v>
      </c>
      <c r="BK334" s="33" t="str">
        <f t="shared" si="18"/>
        <v/>
      </c>
      <c r="BL334" s="37"/>
      <c r="BM334" s="29"/>
      <c r="BN334" s="29" t="b">
        <v>0</v>
      </c>
      <c r="BO334" s="22" t="str">
        <f t="shared" si="19"/>
        <v/>
      </c>
      <c r="BP334" s="7">
        <f>IF(ISBLANK(BL334), 0, VLOOKUP(BL334, 'Price Sheet'!$A$2:$B1015, 2, false))</f>
        <v>0</v>
      </c>
      <c r="BQ334" s="33" t="str">
        <f t="shared" si="20"/>
        <v/>
      </c>
    </row>
    <row r="335">
      <c r="B335" s="19"/>
      <c r="C335" s="29"/>
      <c r="D335" s="29"/>
      <c r="E335" s="7" t="str">
        <f>IF(ISBLANK(D335), "", VLOOKUP(D335,'Crafting Tables'!$A$2:$B1015, 2, false))</f>
        <v/>
      </c>
      <c r="F335" s="7" t="str">
        <f>IFERROR(IF(E335 = "None", 1, VLOOKUP(C335,General!$A$5:$L$35, SWITCH(E335, "Basic", 8, "Advanced", 10, "Modern", 12), false)),"")</f>
        <v/>
      </c>
      <c r="G335" s="29"/>
      <c r="H335" s="7">
        <f>IFERROR(VLOOKUP(C335, General!$A$5:$L$35, 6, false) * G335 / 1000, 0)</f>
        <v>0</v>
      </c>
      <c r="I335" s="29"/>
      <c r="J335" s="22" t="str">
        <f>IFERROR(I335*VLOOKUP(D335,'Crafting Tables'!$1:$1000, 4, false)*F335,"")</f>
        <v/>
      </c>
      <c r="K335" s="29" t="b">
        <v>0</v>
      </c>
      <c r="L335" s="37"/>
      <c r="M335" s="29"/>
      <c r="N335" s="21" t="str">
        <f t="shared" si="2"/>
        <v/>
      </c>
      <c r="P335" s="37"/>
      <c r="Q335" s="29"/>
      <c r="R335" s="29" t="b">
        <v>0</v>
      </c>
      <c r="S335" s="22" t="str">
        <f t="shared" si="3"/>
        <v/>
      </c>
      <c r="T335" s="7">
        <f>IF(ISBLANK(P335), 0, VLOOKUP(P335, 'Price Sheet'!$A$2:$B1015, 2, false))</f>
        <v>0</v>
      </c>
      <c r="U335" s="33" t="str">
        <f t="shared" si="4"/>
        <v/>
      </c>
      <c r="V335" s="37"/>
      <c r="W335" s="29"/>
      <c r="X335" s="29" t="b">
        <v>0</v>
      </c>
      <c r="Y335" s="22" t="str">
        <f t="shared" si="5"/>
        <v/>
      </c>
      <c r="Z335" s="7">
        <f>IF(ISBLANK(V335), 0, VLOOKUP(V335, 'Price Sheet'!$A$2:$B1015, 2, false))</f>
        <v>0</v>
      </c>
      <c r="AA335" s="33" t="str">
        <f t="shared" si="6"/>
        <v/>
      </c>
      <c r="AB335" s="37"/>
      <c r="AC335" s="29"/>
      <c r="AD335" s="29" t="b">
        <v>0</v>
      </c>
      <c r="AE335" s="22" t="str">
        <f t="shared" si="7"/>
        <v/>
      </c>
      <c r="AF335" s="7">
        <f>IF(ISBLANK(AB335), 0, VLOOKUP(AB335, 'Price Sheet'!$A$2:$B1015, 2, false))</f>
        <v>0</v>
      </c>
      <c r="AG335" s="33" t="str">
        <f t="shared" si="8"/>
        <v/>
      </c>
      <c r="AH335" s="37"/>
      <c r="AI335" s="29"/>
      <c r="AJ335" s="29" t="b">
        <v>0</v>
      </c>
      <c r="AK335" s="22" t="str">
        <f t="shared" si="9"/>
        <v/>
      </c>
      <c r="AL335" s="7">
        <f>IF(ISBLANK(AH335), 0, VLOOKUP(AH335, 'Price Sheet'!$A$2:$B1015, 2, false))</f>
        <v>0</v>
      </c>
      <c r="AM335" s="33" t="str">
        <f t="shared" si="10"/>
        <v/>
      </c>
      <c r="AN335" s="37"/>
      <c r="AO335" s="29"/>
      <c r="AP335" s="29" t="b">
        <v>0</v>
      </c>
      <c r="AQ335" s="22" t="str">
        <f t="shared" si="11"/>
        <v/>
      </c>
      <c r="AR335" s="7">
        <f>IF(ISBLANK(AN335), 0, VLOOKUP(AN335, 'Price Sheet'!$A$2:$B1015, 2, false))</f>
        <v>0</v>
      </c>
      <c r="AS335" s="33" t="str">
        <f t="shared" si="12"/>
        <v/>
      </c>
      <c r="AT335" s="37"/>
      <c r="AU335" s="29"/>
      <c r="AV335" s="29" t="b">
        <v>0</v>
      </c>
      <c r="AW335" s="22" t="str">
        <f t="shared" si="13"/>
        <v/>
      </c>
      <c r="AX335" s="7">
        <f>IF(ISBLANK(AT335), 0, VLOOKUP(AT335, 'Price Sheet'!$A$2:$B1015, 2, false))</f>
        <v>0</v>
      </c>
      <c r="AY335" s="33" t="str">
        <f t="shared" si="14"/>
        <v/>
      </c>
      <c r="AZ335" s="37"/>
      <c r="BA335" s="29"/>
      <c r="BB335" s="29" t="b">
        <v>0</v>
      </c>
      <c r="BC335" s="22" t="str">
        <f t="shared" si="15"/>
        <v/>
      </c>
      <c r="BD335" s="7">
        <f>IF(ISBLANK(AZ335), 0, VLOOKUP(AZ335, 'Price Sheet'!$A$2:$B1015, 2, false))</f>
        <v>0</v>
      </c>
      <c r="BE335" s="33" t="str">
        <f t="shared" si="16"/>
        <v/>
      </c>
      <c r="BF335" s="37"/>
      <c r="BG335" s="29"/>
      <c r="BH335" s="29" t="b">
        <v>0</v>
      </c>
      <c r="BI335" s="22" t="str">
        <f t="shared" si="17"/>
        <v/>
      </c>
      <c r="BJ335" s="7">
        <f>IF(ISBLANK(BF335), 0, VLOOKUP(BF335, 'Price Sheet'!$A$2:$B1015, 2, false))</f>
        <v>0</v>
      </c>
      <c r="BK335" s="33" t="str">
        <f t="shared" si="18"/>
        <v/>
      </c>
      <c r="BL335" s="37"/>
      <c r="BM335" s="29"/>
      <c r="BN335" s="29" t="b">
        <v>0</v>
      </c>
      <c r="BO335" s="22" t="str">
        <f t="shared" si="19"/>
        <v/>
      </c>
      <c r="BP335" s="7">
        <f>IF(ISBLANK(BL335), 0, VLOOKUP(BL335, 'Price Sheet'!$A$2:$B1015, 2, false))</f>
        <v>0</v>
      </c>
      <c r="BQ335" s="33" t="str">
        <f t="shared" si="20"/>
        <v/>
      </c>
    </row>
    <row r="336">
      <c r="B336" s="19"/>
      <c r="C336" s="29"/>
      <c r="D336" s="29"/>
      <c r="E336" s="7" t="str">
        <f>IF(ISBLANK(D336), "", VLOOKUP(D336,'Crafting Tables'!$A$2:$B1015, 2, false))</f>
        <v/>
      </c>
      <c r="F336" s="7" t="str">
        <f>IFERROR(IF(E336 = "None", 1, VLOOKUP(C336,General!$A$5:$L$35, SWITCH(E336, "Basic", 8, "Advanced", 10, "Modern", 12), false)),"")</f>
        <v/>
      </c>
      <c r="G336" s="29"/>
      <c r="H336" s="7">
        <f>IFERROR(VLOOKUP(C336, General!$A$5:$L$35, 6, false) * G336 / 1000, 0)</f>
        <v>0</v>
      </c>
      <c r="I336" s="29"/>
      <c r="J336" s="22" t="str">
        <f>IFERROR(I336*VLOOKUP(D336,'Crafting Tables'!$1:$1000, 4, false)*F336,"")</f>
        <v/>
      </c>
      <c r="K336" s="29" t="b">
        <v>0</v>
      </c>
      <c r="L336" s="37"/>
      <c r="M336" s="29"/>
      <c r="N336" s="21" t="str">
        <f t="shared" si="2"/>
        <v/>
      </c>
      <c r="P336" s="37"/>
      <c r="Q336" s="29"/>
      <c r="R336" s="29" t="b">
        <v>0</v>
      </c>
      <c r="S336" s="22" t="str">
        <f t="shared" si="3"/>
        <v/>
      </c>
      <c r="T336" s="7">
        <f>IF(ISBLANK(P336), 0, VLOOKUP(P336, 'Price Sheet'!$A$2:$B1015, 2, false))</f>
        <v>0</v>
      </c>
      <c r="U336" s="33" t="str">
        <f t="shared" si="4"/>
        <v/>
      </c>
      <c r="V336" s="37"/>
      <c r="W336" s="29"/>
      <c r="X336" s="29" t="b">
        <v>0</v>
      </c>
      <c r="Y336" s="22" t="str">
        <f t="shared" si="5"/>
        <v/>
      </c>
      <c r="Z336" s="7">
        <f>IF(ISBLANK(V336), 0, VLOOKUP(V336, 'Price Sheet'!$A$2:$B1015, 2, false))</f>
        <v>0</v>
      </c>
      <c r="AA336" s="33" t="str">
        <f t="shared" si="6"/>
        <v/>
      </c>
      <c r="AB336" s="37"/>
      <c r="AC336" s="29"/>
      <c r="AD336" s="29" t="b">
        <v>0</v>
      </c>
      <c r="AE336" s="22" t="str">
        <f t="shared" si="7"/>
        <v/>
      </c>
      <c r="AF336" s="7">
        <f>IF(ISBLANK(AB336), 0, VLOOKUP(AB336, 'Price Sheet'!$A$2:$B1015, 2, false))</f>
        <v>0</v>
      </c>
      <c r="AG336" s="33" t="str">
        <f t="shared" si="8"/>
        <v/>
      </c>
      <c r="AH336" s="37"/>
      <c r="AI336" s="29"/>
      <c r="AJ336" s="29" t="b">
        <v>0</v>
      </c>
      <c r="AK336" s="22" t="str">
        <f t="shared" si="9"/>
        <v/>
      </c>
      <c r="AL336" s="7">
        <f>IF(ISBLANK(AH336), 0, VLOOKUP(AH336, 'Price Sheet'!$A$2:$B1015, 2, false))</f>
        <v>0</v>
      </c>
      <c r="AM336" s="33" t="str">
        <f t="shared" si="10"/>
        <v/>
      </c>
      <c r="AN336" s="37"/>
      <c r="AO336" s="29"/>
      <c r="AP336" s="29" t="b">
        <v>0</v>
      </c>
      <c r="AQ336" s="22" t="str">
        <f t="shared" si="11"/>
        <v/>
      </c>
      <c r="AR336" s="7">
        <f>IF(ISBLANK(AN336), 0, VLOOKUP(AN336, 'Price Sheet'!$A$2:$B1015, 2, false))</f>
        <v>0</v>
      </c>
      <c r="AS336" s="33" t="str">
        <f t="shared" si="12"/>
        <v/>
      </c>
      <c r="AT336" s="37"/>
      <c r="AU336" s="29"/>
      <c r="AV336" s="29" t="b">
        <v>0</v>
      </c>
      <c r="AW336" s="22" t="str">
        <f t="shared" si="13"/>
        <v/>
      </c>
      <c r="AX336" s="7">
        <f>IF(ISBLANK(AT336), 0, VLOOKUP(AT336, 'Price Sheet'!$A$2:$B1015, 2, false))</f>
        <v>0</v>
      </c>
      <c r="AY336" s="33" t="str">
        <f t="shared" si="14"/>
        <v/>
      </c>
      <c r="AZ336" s="37"/>
      <c r="BA336" s="29"/>
      <c r="BB336" s="29" t="b">
        <v>0</v>
      </c>
      <c r="BC336" s="22" t="str">
        <f t="shared" si="15"/>
        <v/>
      </c>
      <c r="BD336" s="7">
        <f>IF(ISBLANK(AZ336), 0, VLOOKUP(AZ336, 'Price Sheet'!$A$2:$B1015, 2, false))</f>
        <v>0</v>
      </c>
      <c r="BE336" s="33" t="str">
        <f t="shared" si="16"/>
        <v/>
      </c>
      <c r="BF336" s="37"/>
      <c r="BG336" s="29"/>
      <c r="BH336" s="29" t="b">
        <v>0</v>
      </c>
      <c r="BI336" s="22" t="str">
        <f t="shared" si="17"/>
        <v/>
      </c>
      <c r="BJ336" s="7">
        <f>IF(ISBLANK(BF336), 0, VLOOKUP(BF336, 'Price Sheet'!$A$2:$B1015, 2, false))</f>
        <v>0</v>
      </c>
      <c r="BK336" s="33" t="str">
        <f t="shared" si="18"/>
        <v/>
      </c>
      <c r="BL336" s="37"/>
      <c r="BM336" s="29"/>
      <c r="BN336" s="29" t="b">
        <v>0</v>
      </c>
      <c r="BO336" s="22" t="str">
        <f t="shared" si="19"/>
        <v/>
      </c>
      <c r="BP336" s="7">
        <f>IF(ISBLANK(BL336), 0, VLOOKUP(BL336, 'Price Sheet'!$A$2:$B1015, 2, false))</f>
        <v>0</v>
      </c>
      <c r="BQ336" s="33" t="str">
        <f t="shared" si="20"/>
        <v/>
      </c>
    </row>
    <row r="337">
      <c r="B337" s="19"/>
      <c r="C337" s="29"/>
      <c r="D337" s="29"/>
      <c r="E337" s="7" t="str">
        <f>IF(ISBLANK(D337), "", VLOOKUP(D337,'Crafting Tables'!$A$2:$B1015, 2, false))</f>
        <v/>
      </c>
      <c r="F337" s="7" t="str">
        <f>IFERROR(IF(E337 = "None", 1, VLOOKUP(C337,General!$A$5:$L$35, SWITCH(E337, "Basic", 8, "Advanced", 10, "Modern", 12), false)),"")</f>
        <v/>
      </c>
      <c r="G337" s="29"/>
      <c r="H337" s="7">
        <f>IFERROR(VLOOKUP(C337, General!$A$5:$L$35, 6, false) * G337 / 1000, 0)</f>
        <v>0</v>
      </c>
      <c r="I337" s="29"/>
      <c r="J337" s="22" t="str">
        <f>IFERROR(I337*VLOOKUP(D337,'Crafting Tables'!$1:$1000, 4, false)*F337,"")</f>
        <v/>
      </c>
      <c r="K337" s="29" t="b">
        <v>0</v>
      </c>
      <c r="L337" s="37"/>
      <c r="M337" s="29"/>
      <c r="N337" s="21" t="str">
        <f t="shared" si="2"/>
        <v/>
      </c>
      <c r="P337" s="37"/>
      <c r="Q337" s="29"/>
      <c r="R337" s="29" t="b">
        <v>0</v>
      </c>
      <c r="S337" s="22" t="str">
        <f t="shared" si="3"/>
        <v/>
      </c>
      <c r="T337" s="7">
        <f>IF(ISBLANK(P337), 0, VLOOKUP(P337, 'Price Sheet'!$A$2:$B1015, 2, false))</f>
        <v>0</v>
      </c>
      <c r="U337" s="33" t="str">
        <f t="shared" si="4"/>
        <v/>
      </c>
      <c r="V337" s="37"/>
      <c r="W337" s="29"/>
      <c r="X337" s="29" t="b">
        <v>0</v>
      </c>
      <c r="Y337" s="22" t="str">
        <f t="shared" si="5"/>
        <v/>
      </c>
      <c r="Z337" s="7">
        <f>IF(ISBLANK(V337), 0, VLOOKUP(V337, 'Price Sheet'!$A$2:$B1015, 2, false))</f>
        <v>0</v>
      </c>
      <c r="AA337" s="33" t="str">
        <f t="shared" si="6"/>
        <v/>
      </c>
      <c r="AB337" s="37"/>
      <c r="AC337" s="29"/>
      <c r="AD337" s="29" t="b">
        <v>0</v>
      </c>
      <c r="AE337" s="22" t="str">
        <f t="shared" si="7"/>
        <v/>
      </c>
      <c r="AF337" s="7">
        <f>IF(ISBLANK(AB337), 0, VLOOKUP(AB337, 'Price Sheet'!$A$2:$B1015, 2, false))</f>
        <v>0</v>
      </c>
      <c r="AG337" s="33" t="str">
        <f t="shared" si="8"/>
        <v/>
      </c>
      <c r="AH337" s="37"/>
      <c r="AI337" s="29"/>
      <c r="AJ337" s="29" t="b">
        <v>0</v>
      </c>
      <c r="AK337" s="22" t="str">
        <f t="shared" si="9"/>
        <v/>
      </c>
      <c r="AL337" s="7">
        <f>IF(ISBLANK(AH337), 0, VLOOKUP(AH337, 'Price Sheet'!$A$2:$B1015, 2, false))</f>
        <v>0</v>
      </c>
      <c r="AM337" s="33" t="str">
        <f t="shared" si="10"/>
        <v/>
      </c>
      <c r="AN337" s="37"/>
      <c r="AO337" s="29"/>
      <c r="AP337" s="29" t="b">
        <v>0</v>
      </c>
      <c r="AQ337" s="22" t="str">
        <f t="shared" si="11"/>
        <v/>
      </c>
      <c r="AR337" s="7">
        <f>IF(ISBLANK(AN337), 0, VLOOKUP(AN337, 'Price Sheet'!$A$2:$B1015, 2, false))</f>
        <v>0</v>
      </c>
      <c r="AS337" s="33" t="str">
        <f t="shared" si="12"/>
        <v/>
      </c>
      <c r="AT337" s="37"/>
      <c r="AU337" s="29"/>
      <c r="AV337" s="29" t="b">
        <v>0</v>
      </c>
      <c r="AW337" s="22" t="str">
        <f t="shared" si="13"/>
        <v/>
      </c>
      <c r="AX337" s="7">
        <f>IF(ISBLANK(AT337), 0, VLOOKUP(AT337, 'Price Sheet'!$A$2:$B1015, 2, false))</f>
        <v>0</v>
      </c>
      <c r="AY337" s="33" t="str">
        <f t="shared" si="14"/>
        <v/>
      </c>
      <c r="AZ337" s="37"/>
      <c r="BA337" s="29"/>
      <c r="BB337" s="29" t="b">
        <v>0</v>
      </c>
      <c r="BC337" s="22" t="str">
        <f t="shared" si="15"/>
        <v/>
      </c>
      <c r="BD337" s="7">
        <f>IF(ISBLANK(AZ337), 0, VLOOKUP(AZ337, 'Price Sheet'!$A$2:$B1015, 2, false))</f>
        <v>0</v>
      </c>
      <c r="BE337" s="33" t="str">
        <f t="shared" si="16"/>
        <v/>
      </c>
      <c r="BF337" s="37"/>
      <c r="BG337" s="29"/>
      <c r="BH337" s="29" t="b">
        <v>0</v>
      </c>
      <c r="BI337" s="22" t="str">
        <f t="shared" si="17"/>
        <v/>
      </c>
      <c r="BJ337" s="7">
        <f>IF(ISBLANK(BF337), 0, VLOOKUP(BF337, 'Price Sheet'!$A$2:$B1015, 2, false))</f>
        <v>0</v>
      </c>
      <c r="BK337" s="33" t="str">
        <f t="shared" si="18"/>
        <v/>
      </c>
      <c r="BL337" s="37"/>
      <c r="BM337" s="29"/>
      <c r="BN337" s="29" t="b">
        <v>0</v>
      </c>
      <c r="BO337" s="22" t="str">
        <f t="shared" si="19"/>
        <v/>
      </c>
      <c r="BP337" s="7">
        <f>IF(ISBLANK(BL337), 0, VLOOKUP(BL337, 'Price Sheet'!$A$2:$B1015, 2, false))</f>
        <v>0</v>
      </c>
      <c r="BQ337" s="33" t="str">
        <f t="shared" si="20"/>
        <v/>
      </c>
    </row>
    <row r="338">
      <c r="B338" s="19"/>
      <c r="C338" s="29"/>
      <c r="D338" s="29"/>
      <c r="E338" s="7" t="str">
        <f>IF(ISBLANK(D338), "", VLOOKUP(D338,'Crafting Tables'!$A$2:$B1015, 2, false))</f>
        <v/>
      </c>
      <c r="F338" s="7" t="str">
        <f>IFERROR(IF(E338 = "None", 1, VLOOKUP(C338,General!$A$5:$L$35, SWITCH(E338, "Basic", 8, "Advanced", 10, "Modern", 12), false)),"")</f>
        <v/>
      </c>
      <c r="G338" s="29"/>
      <c r="H338" s="7">
        <f>IFERROR(VLOOKUP(C338, General!$A$5:$L$35, 6, false) * G338 / 1000, 0)</f>
        <v>0</v>
      </c>
      <c r="I338" s="29"/>
      <c r="J338" s="22" t="str">
        <f>IFERROR(I338*VLOOKUP(D338,'Crafting Tables'!$1:$1000, 4, false)*F338,"")</f>
        <v/>
      </c>
      <c r="K338" s="29" t="b">
        <v>0</v>
      </c>
      <c r="L338" s="37"/>
      <c r="M338" s="29"/>
      <c r="N338" s="21" t="str">
        <f t="shared" si="2"/>
        <v/>
      </c>
      <c r="P338" s="37"/>
      <c r="Q338" s="29"/>
      <c r="R338" s="29" t="b">
        <v>0</v>
      </c>
      <c r="S338" s="22" t="str">
        <f t="shared" si="3"/>
        <v/>
      </c>
      <c r="T338" s="7">
        <f>IF(ISBLANK(P338), 0, VLOOKUP(P338, 'Price Sheet'!$A$2:$B1015, 2, false))</f>
        <v>0</v>
      </c>
      <c r="U338" s="33" t="str">
        <f t="shared" si="4"/>
        <v/>
      </c>
      <c r="V338" s="37"/>
      <c r="W338" s="29"/>
      <c r="X338" s="29" t="b">
        <v>0</v>
      </c>
      <c r="Y338" s="22" t="str">
        <f t="shared" si="5"/>
        <v/>
      </c>
      <c r="Z338" s="7">
        <f>IF(ISBLANK(V338), 0, VLOOKUP(V338, 'Price Sheet'!$A$2:$B1015, 2, false))</f>
        <v>0</v>
      </c>
      <c r="AA338" s="33" t="str">
        <f t="shared" si="6"/>
        <v/>
      </c>
      <c r="AB338" s="37"/>
      <c r="AC338" s="29"/>
      <c r="AD338" s="29" t="b">
        <v>0</v>
      </c>
      <c r="AE338" s="22" t="str">
        <f t="shared" si="7"/>
        <v/>
      </c>
      <c r="AF338" s="7">
        <f>IF(ISBLANK(AB338), 0, VLOOKUP(AB338, 'Price Sheet'!$A$2:$B1015, 2, false))</f>
        <v>0</v>
      </c>
      <c r="AG338" s="33" t="str">
        <f t="shared" si="8"/>
        <v/>
      </c>
      <c r="AH338" s="37"/>
      <c r="AI338" s="29"/>
      <c r="AJ338" s="29" t="b">
        <v>0</v>
      </c>
      <c r="AK338" s="22" t="str">
        <f t="shared" si="9"/>
        <v/>
      </c>
      <c r="AL338" s="7">
        <f>IF(ISBLANK(AH338), 0, VLOOKUP(AH338, 'Price Sheet'!$A$2:$B1015, 2, false))</f>
        <v>0</v>
      </c>
      <c r="AM338" s="33" t="str">
        <f t="shared" si="10"/>
        <v/>
      </c>
      <c r="AN338" s="37"/>
      <c r="AO338" s="29"/>
      <c r="AP338" s="29" t="b">
        <v>0</v>
      </c>
      <c r="AQ338" s="22" t="str">
        <f t="shared" si="11"/>
        <v/>
      </c>
      <c r="AR338" s="7">
        <f>IF(ISBLANK(AN338), 0, VLOOKUP(AN338, 'Price Sheet'!$A$2:$B1015, 2, false))</f>
        <v>0</v>
      </c>
      <c r="AS338" s="33" t="str">
        <f t="shared" si="12"/>
        <v/>
      </c>
      <c r="AT338" s="37"/>
      <c r="AU338" s="29"/>
      <c r="AV338" s="29" t="b">
        <v>0</v>
      </c>
      <c r="AW338" s="22" t="str">
        <f t="shared" si="13"/>
        <v/>
      </c>
      <c r="AX338" s="7">
        <f>IF(ISBLANK(AT338), 0, VLOOKUP(AT338, 'Price Sheet'!$A$2:$B1015, 2, false))</f>
        <v>0</v>
      </c>
      <c r="AY338" s="33" t="str">
        <f t="shared" si="14"/>
        <v/>
      </c>
      <c r="AZ338" s="37"/>
      <c r="BA338" s="29"/>
      <c r="BB338" s="29" t="b">
        <v>0</v>
      </c>
      <c r="BC338" s="22" t="str">
        <f t="shared" si="15"/>
        <v/>
      </c>
      <c r="BD338" s="7">
        <f>IF(ISBLANK(AZ338), 0, VLOOKUP(AZ338, 'Price Sheet'!$A$2:$B1015, 2, false))</f>
        <v>0</v>
      </c>
      <c r="BE338" s="33" t="str">
        <f t="shared" si="16"/>
        <v/>
      </c>
      <c r="BF338" s="37"/>
      <c r="BG338" s="29"/>
      <c r="BH338" s="29" t="b">
        <v>0</v>
      </c>
      <c r="BI338" s="22" t="str">
        <f t="shared" si="17"/>
        <v/>
      </c>
      <c r="BJ338" s="7">
        <f>IF(ISBLANK(BF338), 0, VLOOKUP(BF338, 'Price Sheet'!$A$2:$B1015, 2, false))</f>
        <v>0</v>
      </c>
      <c r="BK338" s="33" t="str">
        <f t="shared" si="18"/>
        <v/>
      </c>
      <c r="BL338" s="37"/>
      <c r="BM338" s="29"/>
      <c r="BN338" s="29" t="b">
        <v>0</v>
      </c>
      <c r="BO338" s="22" t="str">
        <f t="shared" si="19"/>
        <v/>
      </c>
      <c r="BP338" s="7">
        <f>IF(ISBLANK(BL338), 0, VLOOKUP(BL338, 'Price Sheet'!$A$2:$B1015, 2, false))</f>
        <v>0</v>
      </c>
      <c r="BQ338" s="33" t="str">
        <f t="shared" si="20"/>
        <v/>
      </c>
    </row>
    <row r="339">
      <c r="B339" s="19"/>
      <c r="C339" s="29"/>
      <c r="D339" s="29"/>
      <c r="E339" s="7" t="str">
        <f>IF(ISBLANK(D339), "", VLOOKUP(D339,'Crafting Tables'!$A$2:$B1015, 2, false))</f>
        <v/>
      </c>
      <c r="F339" s="7" t="str">
        <f>IFERROR(IF(E339 = "None", 1, VLOOKUP(C339,General!$A$5:$L$35, SWITCH(E339, "Basic", 8, "Advanced", 10, "Modern", 12), false)),"")</f>
        <v/>
      </c>
      <c r="G339" s="29"/>
      <c r="H339" s="7">
        <f>IFERROR(VLOOKUP(C339, General!$A$5:$L$35, 6, false) * G339 / 1000, 0)</f>
        <v>0</v>
      </c>
      <c r="I339" s="29"/>
      <c r="J339" s="22" t="str">
        <f>IFERROR(I339*VLOOKUP(D339,'Crafting Tables'!$1:$1000, 4, false)*F339,"")</f>
        <v/>
      </c>
      <c r="K339" s="29" t="b">
        <v>0</v>
      </c>
      <c r="L339" s="37"/>
      <c r="M339" s="29"/>
      <c r="N339" s="21" t="str">
        <f t="shared" si="2"/>
        <v/>
      </c>
      <c r="P339" s="37"/>
      <c r="Q339" s="29"/>
      <c r="R339" s="29" t="b">
        <v>0</v>
      </c>
      <c r="S339" s="22" t="str">
        <f t="shared" si="3"/>
        <v/>
      </c>
      <c r="T339" s="7">
        <f>IF(ISBLANK(P339), 0, VLOOKUP(P339, 'Price Sheet'!$A$2:$B1015, 2, false))</f>
        <v>0</v>
      </c>
      <c r="U339" s="33" t="str">
        <f t="shared" si="4"/>
        <v/>
      </c>
      <c r="V339" s="37"/>
      <c r="W339" s="29"/>
      <c r="X339" s="29" t="b">
        <v>0</v>
      </c>
      <c r="Y339" s="22" t="str">
        <f t="shared" si="5"/>
        <v/>
      </c>
      <c r="Z339" s="7">
        <f>IF(ISBLANK(V339), 0, VLOOKUP(V339, 'Price Sheet'!$A$2:$B1015, 2, false))</f>
        <v>0</v>
      </c>
      <c r="AA339" s="33" t="str">
        <f t="shared" si="6"/>
        <v/>
      </c>
      <c r="AB339" s="37"/>
      <c r="AC339" s="29"/>
      <c r="AD339" s="29" t="b">
        <v>0</v>
      </c>
      <c r="AE339" s="22" t="str">
        <f t="shared" si="7"/>
        <v/>
      </c>
      <c r="AF339" s="7">
        <f>IF(ISBLANK(AB339), 0, VLOOKUP(AB339, 'Price Sheet'!$A$2:$B1015, 2, false))</f>
        <v>0</v>
      </c>
      <c r="AG339" s="33" t="str">
        <f t="shared" si="8"/>
        <v/>
      </c>
      <c r="AH339" s="37"/>
      <c r="AI339" s="29"/>
      <c r="AJ339" s="29" t="b">
        <v>0</v>
      </c>
      <c r="AK339" s="22" t="str">
        <f t="shared" si="9"/>
        <v/>
      </c>
      <c r="AL339" s="7">
        <f>IF(ISBLANK(AH339), 0, VLOOKUP(AH339, 'Price Sheet'!$A$2:$B1015, 2, false))</f>
        <v>0</v>
      </c>
      <c r="AM339" s="33" t="str">
        <f t="shared" si="10"/>
        <v/>
      </c>
      <c r="AN339" s="37"/>
      <c r="AO339" s="29"/>
      <c r="AP339" s="29" t="b">
        <v>0</v>
      </c>
      <c r="AQ339" s="22" t="str">
        <f t="shared" si="11"/>
        <v/>
      </c>
      <c r="AR339" s="7">
        <f>IF(ISBLANK(AN339), 0, VLOOKUP(AN339, 'Price Sheet'!$A$2:$B1015, 2, false))</f>
        <v>0</v>
      </c>
      <c r="AS339" s="33" t="str">
        <f t="shared" si="12"/>
        <v/>
      </c>
      <c r="AT339" s="37"/>
      <c r="AU339" s="29"/>
      <c r="AV339" s="29" t="b">
        <v>0</v>
      </c>
      <c r="AW339" s="22" t="str">
        <f t="shared" si="13"/>
        <v/>
      </c>
      <c r="AX339" s="7">
        <f>IF(ISBLANK(AT339), 0, VLOOKUP(AT339, 'Price Sheet'!$A$2:$B1015, 2, false))</f>
        <v>0</v>
      </c>
      <c r="AY339" s="33" t="str">
        <f t="shared" si="14"/>
        <v/>
      </c>
      <c r="AZ339" s="37"/>
      <c r="BA339" s="29"/>
      <c r="BB339" s="29" t="b">
        <v>0</v>
      </c>
      <c r="BC339" s="22" t="str">
        <f t="shared" si="15"/>
        <v/>
      </c>
      <c r="BD339" s="7">
        <f>IF(ISBLANK(AZ339), 0, VLOOKUP(AZ339, 'Price Sheet'!$A$2:$B1015, 2, false))</f>
        <v>0</v>
      </c>
      <c r="BE339" s="33" t="str">
        <f t="shared" si="16"/>
        <v/>
      </c>
      <c r="BF339" s="37"/>
      <c r="BG339" s="29"/>
      <c r="BH339" s="29" t="b">
        <v>0</v>
      </c>
      <c r="BI339" s="22" t="str">
        <f t="shared" si="17"/>
        <v/>
      </c>
      <c r="BJ339" s="7">
        <f>IF(ISBLANK(BF339), 0, VLOOKUP(BF339, 'Price Sheet'!$A$2:$B1015, 2, false))</f>
        <v>0</v>
      </c>
      <c r="BK339" s="33" t="str">
        <f t="shared" si="18"/>
        <v/>
      </c>
      <c r="BL339" s="37"/>
      <c r="BM339" s="29"/>
      <c r="BN339" s="29" t="b">
        <v>0</v>
      </c>
      <c r="BO339" s="22" t="str">
        <f t="shared" si="19"/>
        <v/>
      </c>
      <c r="BP339" s="7">
        <f>IF(ISBLANK(BL339), 0, VLOOKUP(BL339, 'Price Sheet'!$A$2:$B1015, 2, false))</f>
        <v>0</v>
      </c>
      <c r="BQ339" s="33" t="str">
        <f t="shared" si="20"/>
        <v/>
      </c>
    </row>
    <row r="340">
      <c r="B340" s="19"/>
      <c r="C340" s="29"/>
      <c r="D340" s="29"/>
      <c r="E340" s="7" t="str">
        <f>IF(ISBLANK(D340), "", VLOOKUP(D340,'Crafting Tables'!$A$2:$B1015, 2, false))</f>
        <v/>
      </c>
      <c r="F340" s="7" t="str">
        <f>IFERROR(IF(E340 = "None", 1, VLOOKUP(C340,General!$A$5:$L$35, SWITCH(E340, "Basic", 8, "Advanced", 10, "Modern", 12), false)),"")</f>
        <v/>
      </c>
      <c r="G340" s="29"/>
      <c r="H340" s="7">
        <f>IFERROR(VLOOKUP(C340, General!$A$5:$L$35, 6, false) * G340 / 1000, 0)</f>
        <v>0</v>
      </c>
      <c r="I340" s="29"/>
      <c r="J340" s="22" t="str">
        <f>IFERROR(I340*VLOOKUP(D340,'Crafting Tables'!$1:$1000, 4, false)*F340,"")</f>
        <v/>
      </c>
      <c r="K340" s="29" t="b">
        <v>0</v>
      </c>
      <c r="L340" s="37"/>
      <c r="M340" s="29"/>
      <c r="N340" s="21" t="str">
        <f t="shared" si="2"/>
        <v/>
      </c>
      <c r="P340" s="37"/>
      <c r="Q340" s="29"/>
      <c r="R340" s="29" t="b">
        <v>0</v>
      </c>
      <c r="S340" s="22" t="str">
        <f t="shared" si="3"/>
        <v/>
      </c>
      <c r="T340" s="7">
        <f>IF(ISBLANK(P340), 0, VLOOKUP(P340, 'Price Sheet'!$A$2:$B1015, 2, false))</f>
        <v>0</v>
      </c>
      <c r="U340" s="33" t="str">
        <f t="shared" si="4"/>
        <v/>
      </c>
      <c r="V340" s="37"/>
      <c r="W340" s="29"/>
      <c r="X340" s="29" t="b">
        <v>0</v>
      </c>
      <c r="Y340" s="22" t="str">
        <f t="shared" si="5"/>
        <v/>
      </c>
      <c r="Z340" s="7">
        <f>IF(ISBLANK(V340), 0, VLOOKUP(V340, 'Price Sheet'!$A$2:$B1015, 2, false))</f>
        <v>0</v>
      </c>
      <c r="AA340" s="33" t="str">
        <f t="shared" si="6"/>
        <v/>
      </c>
      <c r="AB340" s="37"/>
      <c r="AC340" s="29"/>
      <c r="AD340" s="29" t="b">
        <v>0</v>
      </c>
      <c r="AE340" s="22" t="str">
        <f t="shared" si="7"/>
        <v/>
      </c>
      <c r="AF340" s="7">
        <f>IF(ISBLANK(AB340), 0, VLOOKUP(AB340, 'Price Sheet'!$A$2:$B1015, 2, false))</f>
        <v>0</v>
      </c>
      <c r="AG340" s="33" t="str">
        <f t="shared" si="8"/>
        <v/>
      </c>
      <c r="AH340" s="37"/>
      <c r="AI340" s="29"/>
      <c r="AJ340" s="29" t="b">
        <v>0</v>
      </c>
      <c r="AK340" s="22" t="str">
        <f t="shared" si="9"/>
        <v/>
      </c>
      <c r="AL340" s="7">
        <f>IF(ISBLANK(AH340), 0, VLOOKUP(AH340, 'Price Sheet'!$A$2:$B1015, 2, false))</f>
        <v>0</v>
      </c>
      <c r="AM340" s="33" t="str">
        <f t="shared" si="10"/>
        <v/>
      </c>
      <c r="AN340" s="37"/>
      <c r="AO340" s="29"/>
      <c r="AP340" s="29" t="b">
        <v>0</v>
      </c>
      <c r="AQ340" s="22" t="str">
        <f t="shared" si="11"/>
        <v/>
      </c>
      <c r="AR340" s="7">
        <f>IF(ISBLANK(AN340), 0, VLOOKUP(AN340, 'Price Sheet'!$A$2:$B1015, 2, false))</f>
        <v>0</v>
      </c>
      <c r="AS340" s="33" t="str">
        <f t="shared" si="12"/>
        <v/>
      </c>
      <c r="AT340" s="37"/>
      <c r="AU340" s="29"/>
      <c r="AV340" s="29" t="b">
        <v>0</v>
      </c>
      <c r="AW340" s="22" t="str">
        <f t="shared" si="13"/>
        <v/>
      </c>
      <c r="AX340" s="7">
        <f>IF(ISBLANK(AT340), 0, VLOOKUP(AT340, 'Price Sheet'!$A$2:$B1015, 2, false))</f>
        <v>0</v>
      </c>
      <c r="AY340" s="33" t="str">
        <f t="shared" si="14"/>
        <v/>
      </c>
      <c r="AZ340" s="37"/>
      <c r="BA340" s="29"/>
      <c r="BB340" s="29" t="b">
        <v>0</v>
      </c>
      <c r="BC340" s="22" t="str">
        <f t="shared" si="15"/>
        <v/>
      </c>
      <c r="BD340" s="7">
        <f>IF(ISBLANK(AZ340), 0, VLOOKUP(AZ340, 'Price Sheet'!$A$2:$B1015, 2, false))</f>
        <v>0</v>
      </c>
      <c r="BE340" s="33" t="str">
        <f t="shared" si="16"/>
        <v/>
      </c>
      <c r="BF340" s="37"/>
      <c r="BG340" s="29"/>
      <c r="BH340" s="29" t="b">
        <v>0</v>
      </c>
      <c r="BI340" s="22" t="str">
        <f t="shared" si="17"/>
        <v/>
      </c>
      <c r="BJ340" s="7">
        <f>IF(ISBLANK(BF340), 0, VLOOKUP(BF340, 'Price Sheet'!$A$2:$B1015, 2, false))</f>
        <v>0</v>
      </c>
      <c r="BK340" s="33" t="str">
        <f t="shared" si="18"/>
        <v/>
      </c>
      <c r="BL340" s="37"/>
      <c r="BM340" s="29"/>
      <c r="BN340" s="29" t="b">
        <v>0</v>
      </c>
      <c r="BO340" s="22" t="str">
        <f t="shared" si="19"/>
        <v/>
      </c>
      <c r="BP340" s="7">
        <f>IF(ISBLANK(BL340), 0, VLOOKUP(BL340, 'Price Sheet'!$A$2:$B1015, 2, false))</f>
        <v>0</v>
      </c>
      <c r="BQ340" s="33" t="str">
        <f t="shared" si="20"/>
        <v/>
      </c>
    </row>
    <row r="341">
      <c r="B341" s="19"/>
      <c r="C341" s="29"/>
      <c r="D341" s="29"/>
      <c r="E341" s="7" t="str">
        <f>IF(ISBLANK(D341), "", VLOOKUP(D341,'Crafting Tables'!$A$2:$B1015, 2, false))</f>
        <v/>
      </c>
      <c r="F341" s="7" t="str">
        <f>IFERROR(IF(E341 = "None", 1, VLOOKUP(C341,General!$A$5:$L$35, SWITCH(E341, "Basic", 8, "Advanced", 10, "Modern", 12), false)),"")</f>
        <v/>
      </c>
      <c r="G341" s="29"/>
      <c r="H341" s="7">
        <f>IFERROR(VLOOKUP(C341, General!$A$5:$L$35, 6, false) * G341 / 1000, 0)</f>
        <v>0</v>
      </c>
      <c r="I341" s="29"/>
      <c r="J341" s="22" t="str">
        <f>IFERROR(I341*VLOOKUP(D341,'Crafting Tables'!$1:$1000, 4, false)*F341,"")</f>
        <v/>
      </c>
      <c r="K341" s="29" t="b">
        <v>0</v>
      </c>
      <c r="L341" s="37"/>
      <c r="M341" s="29"/>
      <c r="N341" s="21" t="str">
        <f t="shared" si="2"/>
        <v/>
      </c>
      <c r="P341" s="37"/>
      <c r="Q341" s="29"/>
      <c r="R341" s="29" t="b">
        <v>0</v>
      </c>
      <c r="S341" s="22" t="str">
        <f t="shared" si="3"/>
        <v/>
      </c>
      <c r="T341" s="7">
        <f>IF(ISBLANK(P341), 0, VLOOKUP(P341, 'Price Sheet'!$A$2:$B1015, 2, false))</f>
        <v>0</v>
      </c>
      <c r="U341" s="33" t="str">
        <f t="shared" si="4"/>
        <v/>
      </c>
      <c r="V341" s="37"/>
      <c r="W341" s="29"/>
      <c r="X341" s="29" t="b">
        <v>0</v>
      </c>
      <c r="Y341" s="22" t="str">
        <f t="shared" si="5"/>
        <v/>
      </c>
      <c r="Z341" s="7">
        <f>IF(ISBLANK(V341), 0, VLOOKUP(V341, 'Price Sheet'!$A$2:$B1015, 2, false))</f>
        <v>0</v>
      </c>
      <c r="AA341" s="33" t="str">
        <f t="shared" si="6"/>
        <v/>
      </c>
      <c r="AB341" s="37"/>
      <c r="AC341" s="29"/>
      <c r="AD341" s="29" t="b">
        <v>0</v>
      </c>
      <c r="AE341" s="22" t="str">
        <f t="shared" si="7"/>
        <v/>
      </c>
      <c r="AF341" s="7">
        <f>IF(ISBLANK(AB341), 0, VLOOKUP(AB341, 'Price Sheet'!$A$2:$B1015, 2, false))</f>
        <v>0</v>
      </c>
      <c r="AG341" s="33" t="str">
        <f t="shared" si="8"/>
        <v/>
      </c>
      <c r="AH341" s="37"/>
      <c r="AI341" s="29"/>
      <c r="AJ341" s="29" t="b">
        <v>0</v>
      </c>
      <c r="AK341" s="22" t="str">
        <f t="shared" si="9"/>
        <v/>
      </c>
      <c r="AL341" s="7">
        <f>IF(ISBLANK(AH341), 0, VLOOKUP(AH341, 'Price Sheet'!$A$2:$B1015, 2, false))</f>
        <v>0</v>
      </c>
      <c r="AM341" s="33" t="str">
        <f t="shared" si="10"/>
        <v/>
      </c>
      <c r="AN341" s="37"/>
      <c r="AO341" s="29"/>
      <c r="AP341" s="29" t="b">
        <v>0</v>
      </c>
      <c r="AQ341" s="22" t="str">
        <f t="shared" si="11"/>
        <v/>
      </c>
      <c r="AR341" s="7">
        <f>IF(ISBLANK(AN341), 0, VLOOKUP(AN341, 'Price Sheet'!$A$2:$B1015, 2, false))</f>
        <v>0</v>
      </c>
      <c r="AS341" s="33" t="str">
        <f t="shared" si="12"/>
        <v/>
      </c>
      <c r="AT341" s="37"/>
      <c r="AU341" s="29"/>
      <c r="AV341" s="29" t="b">
        <v>0</v>
      </c>
      <c r="AW341" s="22" t="str">
        <f t="shared" si="13"/>
        <v/>
      </c>
      <c r="AX341" s="7">
        <f>IF(ISBLANK(AT341), 0, VLOOKUP(AT341, 'Price Sheet'!$A$2:$B1015, 2, false))</f>
        <v>0</v>
      </c>
      <c r="AY341" s="33" t="str">
        <f t="shared" si="14"/>
        <v/>
      </c>
      <c r="AZ341" s="37"/>
      <c r="BA341" s="29"/>
      <c r="BB341" s="29" t="b">
        <v>0</v>
      </c>
      <c r="BC341" s="22" t="str">
        <f t="shared" si="15"/>
        <v/>
      </c>
      <c r="BD341" s="7">
        <f>IF(ISBLANK(AZ341), 0, VLOOKUP(AZ341, 'Price Sheet'!$A$2:$B1015, 2, false))</f>
        <v>0</v>
      </c>
      <c r="BE341" s="33" t="str">
        <f t="shared" si="16"/>
        <v/>
      </c>
      <c r="BF341" s="37"/>
      <c r="BG341" s="29"/>
      <c r="BH341" s="29" t="b">
        <v>0</v>
      </c>
      <c r="BI341" s="22" t="str">
        <f t="shared" si="17"/>
        <v/>
      </c>
      <c r="BJ341" s="7">
        <f>IF(ISBLANK(BF341), 0, VLOOKUP(BF341, 'Price Sheet'!$A$2:$B1015, 2, false))</f>
        <v>0</v>
      </c>
      <c r="BK341" s="33" t="str">
        <f t="shared" si="18"/>
        <v/>
      </c>
      <c r="BL341" s="37"/>
      <c r="BM341" s="29"/>
      <c r="BN341" s="29" t="b">
        <v>0</v>
      </c>
      <c r="BO341" s="22" t="str">
        <f t="shared" si="19"/>
        <v/>
      </c>
      <c r="BP341" s="7">
        <f>IF(ISBLANK(BL341), 0, VLOOKUP(BL341, 'Price Sheet'!$A$2:$B1015, 2, false))</f>
        <v>0</v>
      </c>
      <c r="BQ341" s="33" t="str">
        <f t="shared" si="20"/>
        <v/>
      </c>
    </row>
    <row r="342">
      <c r="B342" s="19"/>
      <c r="C342" s="29"/>
      <c r="D342" s="29"/>
      <c r="E342" s="7" t="str">
        <f>IF(ISBLANK(D342), "", VLOOKUP(D342,'Crafting Tables'!$A$2:$B1015, 2, false))</f>
        <v/>
      </c>
      <c r="F342" s="7" t="str">
        <f>IFERROR(IF(E342 = "None", 1, VLOOKUP(C342,General!$A$5:$L$35, SWITCH(E342, "Basic", 8, "Advanced", 10, "Modern", 12), false)),"")</f>
        <v/>
      </c>
      <c r="G342" s="29"/>
      <c r="H342" s="7">
        <f>IFERROR(VLOOKUP(C342, General!$A$5:$L$35, 6, false) * G342 / 1000, 0)</f>
        <v>0</v>
      </c>
      <c r="I342" s="29"/>
      <c r="J342" s="22" t="str">
        <f>IFERROR(I342*VLOOKUP(D342,'Crafting Tables'!$1:$1000, 4, false)*F342,"")</f>
        <v/>
      </c>
      <c r="K342" s="29" t="b">
        <v>0</v>
      </c>
      <c r="L342" s="37"/>
      <c r="M342" s="29"/>
      <c r="N342" s="21" t="str">
        <f t="shared" si="2"/>
        <v/>
      </c>
      <c r="P342" s="37"/>
      <c r="Q342" s="29"/>
      <c r="R342" s="29" t="b">
        <v>0</v>
      </c>
      <c r="S342" s="22" t="str">
        <f t="shared" si="3"/>
        <v/>
      </c>
      <c r="T342" s="7">
        <f>IF(ISBLANK(P342), 0, VLOOKUP(P342, 'Price Sheet'!$A$2:$B1015, 2, false))</f>
        <v>0</v>
      </c>
      <c r="U342" s="33" t="str">
        <f t="shared" si="4"/>
        <v/>
      </c>
      <c r="V342" s="37"/>
      <c r="W342" s="29"/>
      <c r="X342" s="29" t="b">
        <v>0</v>
      </c>
      <c r="Y342" s="22" t="str">
        <f t="shared" si="5"/>
        <v/>
      </c>
      <c r="Z342" s="7">
        <f>IF(ISBLANK(V342), 0, VLOOKUP(V342, 'Price Sheet'!$A$2:$B1015, 2, false))</f>
        <v>0</v>
      </c>
      <c r="AA342" s="33" t="str">
        <f t="shared" si="6"/>
        <v/>
      </c>
      <c r="AB342" s="37"/>
      <c r="AC342" s="29"/>
      <c r="AD342" s="29" t="b">
        <v>0</v>
      </c>
      <c r="AE342" s="22" t="str">
        <f t="shared" si="7"/>
        <v/>
      </c>
      <c r="AF342" s="7">
        <f>IF(ISBLANK(AB342), 0, VLOOKUP(AB342, 'Price Sheet'!$A$2:$B1015, 2, false))</f>
        <v>0</v>
      </c>
      <c r="AG342" s="33" t="str">
        <f t="shared" si="8"/>
        <v/>
      </c>
      <c r="AH342" s="37"/>
      <c r="AI342" s="29"/>
      <c r="AJ342" s="29" t="b">
        <v>0</v>
      </c>
      <c r="AK342" s="22" t="str">
        <f t="shared" si="9"/>
        <v/>
      </c>
      <c r="AL342" s="7">
        <f>IF(ISBLANK(AH342), 0, VLOOKUP(AH342, 'Price Sheet'!$A$2:$B1015, 2, false))</f>
        <v>0</v>
      </c>
      <c r="AM342" s="33" t="str">
        <f t="shared" si="10"/>
        <v/>
      </c>
      <c r="AN342" s="37"/>
      <c r="AO342" s="29"/>
      <c r="AP342" s="29" t="b">
        <v>0</v>
      </c>
      <c r="AQ342" s="22" t="str">
        <f t="shared" si="11"/>
        <v/>
      </c>
      <c r="AR342" s="7">
        <f>IF(ISBLANK(AN342), 0, VLOOKUP(AN342, 'Price Sheet'!$A$2:$B1015, 2, false))</f>
        <v>0</v>
      </c>
      <c r="AS342" s="33" t="str">
        <f t="shared" si="12"/>
        <v/>
      </c>
      <c r="AT342" s="37"/>
      <c r="AU342" s="29"/>
      <c r="AV342" s="29" t="b">
        <v>0</v>
      </c>
      <c r="AW342" s="22" t="str">
        <f t="shared" si="13"/>
        <v/>
      </c>
      <c r="AX342" s="7">
        <f>IF(ISBLANK(AT342), 0, VLOOKUP(AT342, 'Price Sheet'!$A$2:$B1015, 2, false))</f>
        <v>0</v>
      </c>
      <c r="AY342" s="33" t="str">
        <f t="shared" si="14"/>
        <v/>
      </c>
      <c r="AZ342" s="37"/>
      <c r="BA342" s="29"/>
      <c r="BB342" s="29" t="b">
        <v>0</v>
      </c>
      <c r="BC342" s="22" t="str">
        <f t="shared" si="15"/>
        <v/>
      </c>
      <c r="BD342" s="7">
        <f>IF(ISBLANK(AZ342), 0, VLOOKUP(AZ342, 'Price Sheet'!$A$2:$B1015, 2, false))</f>
        <v>0</v>
      </c>
      <c r="BE342" s="33" t="str">
        <f t="shared" si="16"/>
        <v/>
      </c>
      <c r="BF342" s="37"/>
      <c r="BG342" s="29"/>
      <c r="BH342" s="29" t="b">
        <v>0</v>
      </c>
      <c r="BI342" s="22" t="str">
        <f t="shared" si="17"/>
        <v/>
      </c>
      <c r="BJ342" s="7">
        <f>IF(ISBLANK(BF342), 0, VLOOKUP(BF342, 'Price Sheet'!$A$2:$B1015, 2, false))</f>
        <v>0</v>
      </c>
      <c r="BK342" s="33" t="str">
        <f t="shared" si="18"/>
        <v/>
      </c>
      <c r="BL342" s="37"/>
      <c r="BM342" s="29"/>
      <c r="BN342" s="29" t="b">
        <v>0</v>
      </c>
      <c r="BO342" s="22" t="str">
        <f t="shared" si="19"/>
        <v/>
      </c>
      <c r="BP342" s="7">
        <f>IF(ISBLANK(BL342), 0, VLOOKUP(BL342, 'Price Sheet'!$A$2:$B1015, 2, false))</f>
        <v>0</v>
      </c>
      <c r="BQ342" s="33" t="str">
        <f t="shared" si="20"/>
        <v/>
      </c>
    </row>
    <row r="343">
      <c r="B343" s="19"/>
      <c r="C343" s="29"/>
      <c r="D343" s="29"/>
      <c r="E343" s="7" t="str">
        <f>IF(ISBLANK(D343), "", VLOOKUP(D343,'Crafting Tables'!$A$2:$B1015, 2, false))</f>
        <v/>
      </c>
      <c r="F343" s="7" t="str">
        <f>IFERROR(IF(E343 = "None", 1, VLOOKUP(C343,General!$A$5:$L$35, SWITCH(E343, "Basic", 8, "Advanced", 10, "Modern", 12), false)),"")</f>
        <v/>
      </c>
      <c r="G343" s="29"/>
      <c r="H343" s="7">
        <f>IFERROR(VLOOKUP(C343, General!$A$5:$L$35, 6, false) * G343 / 1000, 0)</f>
        <v>0</v>
      </c>
      <c r="I343" s="29"/>
      <c r="J343" s="22" t="str">
        <f>IFERROR(I343*VLOOKUP(D343,'Crafting Tables'!$1:$1000, 4, false)*F343,"")</f>
        <v/>
      </c>
      <c r="K343" s="29" t="b">
        <v>0</v>
      </c>
      <c r="L343" s="37"/>
      <c r="M343" s="29"/>
      <c r="N343" s="21" t="str">
        <f t="shared" si="2"/>
        <v/>
      </c>
      <c r="P343" s="37"/>
      <c r="Q343" s="29"/>
      <c r="R343" s="29" t="b">
        <v>0</v>
      </c>
      <c r="S343" s="22" t="str">
        <f t="shared" si="3"/>
        <v/>
      </c>
      <c r="T343" s="7">
        <f>IF(ISBLANK(P343), 0, VLOOKUP(P343, 'Price Sheet'!$A$2:$B1015, 2, false))</f>
        <v>0</v>
      </c>
      <c r="U343" s="33" t="str">
        <f t="shared" si="4"/>
        <v/>
      </c>
      <c r="V343" s="37"/>
      <c r="W343" s="29"/>
      <c r="X343" s="29" t="b">
        <v>0</v>
      </c>
      <c r="Y343" s="22" t="str">
        <f t="shared" si="5"/>
        <v/>
      </c>
      <c r="Z343" s="7">
        <f>IF(ISBLANK(V343), 0, VLOOKUP(V343, 'Price Sheet'!$A$2:$B1015, 2, false))</f>
        <v>0</v>
      </c>
      <c r="AA343" s="33" t="str">
        <f t="shared" si="6"/>
        <v/>
      </c>
      <c r="AB343" s="37"/>
      <c r="AC343" s="29"/>
      <c r="AD343" s="29" t="b">
        <v>0</v>
      </c>
      <c r="AE343" s="22" t="str">
        <f t="shared" si="7"/>
        <v/>
      </c>
      <c r="AF343" s="7">
        <f>IF(ISBLANK(AB343), 0, VLOOKUP(AB343, 'Price Sheet'!$A$2:$B1015, 2, false))</f>
        <v>0</v>
      </c>
      <c r="AG343" s="33" t="str">
        <f t="shared" si="8"/>
        <v/>
      </c>
      <c r="AH343" s="37"/>
      <c r="AI343" s="29"/>
      <c r="AJ343" s="29" t="b">
        <v>0</v>
      </c>
      <c r="AK343" s="22" t="str">
        <f t="shared" si="9"/>
        <v/>
      </c>
      <c r="AL343" s="7">
        <f>IF(ISBLANK(AH343), 0, VLOOKUP(AH343, 'Price Sheet'!$A$2:$B1015, 2, false))</f>
        <v>0</v>
      </c>
      <c r="AM343" s="33" t="str">
        <f t="shared" si="10"/>
        <v/>
      </c>
      <c r="AN343" s="37"/>
      <c r="AO343" s="29"/>
      <c r="AP343" s="29" t="b">
        <v>0</v>
      </c>
      <c r="AQ343" s="22" t="str">
        <f t="shared" si="11"/>
        <v/>
      </c>
      <c r="AR343" s="7">
        <f>IF(ISBLANK(AN343), 0, VLOOKUP(AN343, 'Price Sheet'!$A$2:$B1015, 2, false))</f>
        <v>0</v>
      </c>
      <c r="AS343" s="33" t="str">
        <f t="shared" si="12"/>
        <v/>
      </c>
      <c r="AT343" s="37"/>
      <c r="AU343" s="29"/>
      <c r="AV343" s="29" t="b">
        <v>0</v>
      </c>
      <c r="AW343" s="22" t="str">
        <f t="shared" si="13"/>
        <v/>
      </c>
      <c r="AX343" s="7">
        <f>IF(ISBLANK(AT343), 0, VLOOKUP(AT343, 'Price Sheet'!$A$2:$B1015, 2, false))</f>
        <v>0</v>
      </c>
      <c r="AY343" s="33" t="str">
        <f t="shared" si="14"/>
        <v/>
      </c>
      <c r="AZ343" s="37"/>
      <c r="BA343" s="29"/>
      <c r="BB343" s="29" t="b">
        <v>0</v>
      </c>
      <c r="BC343" s="22" t="str">
        <f t="shared" si="15"/>
        <v/>
      </c>
      <c r="BD343" s="7">
        <f>IF(ISBLANK(AZ343), 0, VLOOKUP(AZ343, 'Price Sheet'!$A$2:$B1015, 2, false))</f>
        <v>0</v>
      </c>
      <c r="BE343" s="33" t="str">
        <f t="shared" si="16"/>
        <v/>
      </c>
      <c r="BF343" s="37"/>
      <c r="BG343" s="29"/>
      <c r="BH343" s="29" t="b">
        <v>0</v>
      </c>
      <c r="BI343" s="22" t="str">
        <f t="shared" si="17"/>
        <v/>
      </c>
      <c r="BJ343" s="7">
        <f>IF(ISBLANK(BF343), 0, VLOOKUP(BF343, 'Price Sheet'!$A$2:$B1015, 2, false))</f>
        <v>0</v>
      </c>
      <c r="BK343" s="33" t="str">
        <f t="shared" si="18"/>
        <v/>
      </c>
      <c r="BL343" s="37"/>
      <c r="BM343" s="29"/>
      <c r="BN343" s="29" t="b">
        <v>0</v>
      </c>
      <c r="BO343" s="22" t="str">
        <f t="shared" si="19"/>
        <v/>
      </c>
      <c r="BP343" s="7">
        <f>IF(ISBLANK(BL343), 0, VLOOKUP(BL343, 'Price Sheet'!$A$2:$B1015, 2, false))</f>
        <v>0</v>
      </c>
      <c r="BQ343" s="33" t="str">
        <f t="shared" si="20"/>
        <v/>
      </c>
    </row>
    <row r="344">
      <c r="B344" s="19"/>
      <c r="C344" s="29"/>
      <c r="D344" s="29"/>
      <c r="E344" s="7" t="str">
        <f>IF(ISBLANK(D344), "", VLOOKUP(D344,'Crafting Tables'!$A$2:$B1015, 2, false))</f>
        <v/>
      </c>
      <c r="F344" s="7" t="str">
        <f>IFERROR(IF(E344 = "None", 1, VLOOKUP(C344,General!$A$5:$L$35, SWITCH(E344, "Basic", 8, "Advanced", 10, "Modern", 12), false)),"")</f>
        <v/>
      </c>
      <c r="G344" s="29"/>
      <c r="H344" s="7">
        <f>IFERROR(VLOOKUP(C344, General!$A$5:$L$35, 6, false) * G344 / 1000, 0)</f>
        <v>0</v>
      </c>
      <c r="I344" s="29"/>
      <c r="J344" s="22" t="str">
        <f>IFERROR(I344*VLOOKUP(D344,'Crafting Tables'!$1:$1000, 4, false)*F344,"")</f>
        <v/>
      </c>
      <c r="K344" s="29" t="b">
        <v>0</v>
      </c>
      <c r="L344" s="37"/>
      <c r="M344" s="29"/>
      <c r="N344" s="21" t="str">
        <f t="shared" si="2"/>
        <v/>
      </c>
      <c r="P344" s="37"/>
      <c r="Q344" s="29"/>
      <c r="R344" s="29" t="b">
        <v>0</v>
      </c>
      <c r="S344" s="22" t="str">
        <f t="shared" si="3"/>
        <v/>
      </c>
      <c r="T344" s="7">
        <f>IF(ISBLANK(P344), 0, VLOOKUP(P344, 'Price Sheet'!$A$2:$B1015, 2, false))</f>
        <v>0</v>
      </c>
      <c r="U344" s="33" t="str">
        <f t="shared" si="4"/>
        <v/>
      </c>
      <c r="V344" s="37"/>
      <c r="W344" s="29"/>
      <c r="X344" s="29" t="b">
        <v>0</v>
      </c>
      <c r="Y344" s="22" t="str">
        <f t="shared" si="5"/>
        <v/>
      </c>
      <c r="Z344" s="7">
        <f>IF(ISBLANK(V344), 0, VLOOKUP(V344, 'Price Sheet'!$A$2:$B1015, 2, false))</f>
        <v>0</v>
      </c>
      <c r="AA344" s="33" t="str">
        <f t="shared" si="6"/>
        <v/>
      </c>
      <c r="AB344" s="37"/>
      <c r="AC344" s="29"/>
      <c r="AD344" s="29" t="b">
        <v>0</v>
      </c>
      <c r="AE344" s="22" t="str">
        <f t="shared" si="7"/>
        <v/>
      </c>
      <c r="AF344" s="7">
        <f>IF(ISBLANK(AB344), 0, VLOOKUP(AB344, 'Price Sheet'!$A$2:$B1015, 2, false))</f>
        <v>0</v>
      </c>
      <c r="AG344" s="33" t="str">
        <f t="shared" si="8"/>
        <v/>
      </c>
      <c r="AH344" s="37"/>
      <c r="AI344" s="29"/>
      <c r="AJ344" s="29" t="b">
        <v>0</v>
      </c>
      <c r="AK344" s="22" t="str">
        <f t="shared" si="9"/>
        <v/>
      </c>
      <c r="AL344" s="7">
        <f>IF(ISBLANK(AH344), 0, VLOOKUP(AH344, 'Price Sheet'!$A$2:$B1015, 2, false))</f>
        <v>0</v>
      </c>
      <c r="AM344" s="33" t="str">
        <f t="shared" si="10"/>
        <v/>
      </c>
      <c r="AN344" s="37"/>
      <c r="AO344" s="29"/>
      <c r="AP344" s="29" t="b">
        <v>0</v>
      </c>
      <c r="AQ344" s="22" t="str">
        <f t="shared" si="11"/>
        <v/>
      </c>
      <c r="AR344" s="7">
        <f>IF(ISBLANK(AN344), 0, VLOOKUP(AN344, 'Price Sheet'!$A$2:$B1015, 2, false))</f>
        <v>0</v>
      </c>
      <c r="AS344" s="33" t="str">
        <f t="shared" si="12"/>
        <v/>
      </c>
      <c r="AT344" s="37"/>
      <c r="AU344" s="29"/>
      <c r="AV344" s="29" t="b">
        <v>0</v>
      </c>
      <c r="AW344" s="22" t="str">
        <f t="shared" si="13"/>
        <v/>
      </c>
      <c r="AX344" s="7">
        <f>IF(ISBLANK(AT344), 0, VLOOKUP(AT344, 'Price Sheet'!$A$2:$B1015, 2, false))</f>
        <v>0</v>
      </c>
      <c r="AY344" s="33" t="str">
        <f t="shared" si="14"/>
        <v/>
      </c>
      <c r="AZ344" s="37"/>
      <c r="BA344" s="29"/>
      <c r="BB344" s="29" t="b">
        <v>0</v>
      </c>
      <c r="BC344" s="22" t="str">
        <f t="shared" si="15"/>
        <v/>
      </c>
      <c r="BD344" s="7">
        <f>IF(ISBLANK(AZ344), 0, VLOOKUP(AZ344, 'Price Sheet'!$A$2:$B1015, 2, false))</f>
        <v>0</v>
      </c>
      <c r="BE344" s="33" t="str">
        <f t="shared" si="16"/>
        <v/>
      </c>
      <c r="BF344" s="37"/>
      <c r="BG344" s="29"/>
      <c r="BH344" s="29" t="b">
        <v>0</v>
      </c>
      <c r="BI344" s="22" t="str">
        <f t="shared" si="17"/>
        <v/>
      </c>
      <c r="BJ344" s="7">
        <f>IF(ISBLANK(BF344), 0, VLOOKUP(BF344, 'Price Sheet'!$A$2:$B1015, 2, false))</f>
        <v>0</v>
      </c>
      <c r="BK344" s="33" t="str">
        <f t="shared" si="18"/>
        <v/>
      </c>
      <c r="BL344" s="37"/>
      <c r="BM344" s="29"/>
      <c r="BN344" s="29" t="b">
        <v>0</v>
      </c>
      <c r="BO344" s="22" t="str">
        <f t="shared" si="19"/>
        <v/>
      </c>
      <c r="BP344" s="7">
        <f>IF(ISBLANK(BL344), 0, VLOOKUP(BL344, 'Price Sheet'!$A$2:$B1015, 2, false))</f>
        <v>0</v>
      </c>
      <c r="BQ344" s="33" t="str">
        <f t="shared" si="20"/>
        <v/>
      </c>
    </row>
    <row r="345">
      <c r="B345" s="19"/>
      <c r="C345" s="29"/>
      <c r="D345" s="29"/>
      <c r="E345" s="7" t="str">
        <f>IF(ISBLANK(D345), "", VLOOKUP(D345,'Crafting Tables'!$A$2:$B1015, 2, false))</f>
        <v/>
      </c>
      <c r="F345" s="7" t="str">
        <f>IFERROR(IF(E345 = "None", 1, VLOOKUP(C345,General!$A$5:$L$35, SWITCH(E345, "Basic", 8, "Advanced", 10, "Modern", 12), false)),"")</f>
        <v/>
      </c>
      <c r="G345" s="29"/>
      <c r="H345" s="7">
        <f>IFERROR(VLOOKUP(C345, General!$A$5:$L$35, 6, false) * G345 / 1000, 0)</f>
        <v>0</v>
      </c>
      <c r="I345" s="29"/>
      <c r="J345" s="22" t="str">
        <f>IFERROR(I345*VLOOKUP(D345,'Crafting Tables'!$1:$1000, 4, false)*F345,"")</f>
        <v/>
      </c>
      <c r="K345" s="29" t="b">
        <v>0</v>
      </c>
      <c r="L345" s="37"/>
      <c r="M345" s="29"/>
      <c r="N345" s="21" t="str">
        <f t="shared" si="2"/>
        <v/>
      </c>
      <c r="P345" s="37"/>
      <c r="Q345" s="29"/>
      <c r="R345" s="29" t="b">
        <v>0</v>
      </c>
      <c r="S345" s="22" t="str">
        <f t="shared" si="3"/>
        <v/>
      </c>
      <c r="T345" s="7">
        <f>IF(ISBLANK(P345), 0, VLOOKUP(P345, 'Price Sheet'!$A$2:$B1015, 2, false))</f>
        <v>0</v>
      </c>
      <c r="U345" s="33" t="str">
        <f t="shared" si="4"/>
        <v/>
      </c>
      <c r="V345" s="37"/>
      <c r="W345" s="29"/>
      <c r="X345" s="29" t="b">
        <v>0</v>
      </c>
      <c r="Y345" s="22" t="str">
        <f t="shared" si="5"/>
        <v/>
      </c>
      <c r="Z345" s="7">
        <f>IF(ISBLANK(V345), 0, VLOOKUP(V345, 'Price Sheet'!$A$2:$B1015, 2, false))</f>
        <v>0</v>
      </c>
      <c r="AA345" s="33" t="str">
        <f t="shared" si="6"/>
        <v/>
      </c>
      <c r="AB345" s="37"/>
      <c r="AC345" s="29"/>
      <c r="AD345" s="29" t="b">
        <v>0</v>
      </c>
      <c r="AE345" s="22" t="str">
        <f t="shared" si="7"/>
        <v/>
      </c>
      <c r="AF345" s="7">
        <f>IF(ISBLANK(AB345), 0, VLOOKUP(AB345, 'Price Sheet'!$A$2:$B1015, 2, false))</f>
        <v>0</v>
      </c>
      <c r="AG345" s="33" t="str">
        <f t="shared" si="8"/>
        <v/>
      </c>
      <c r="AH345" s="37"/>
      <c r="AI345" s="29"/>
      <c r="AJ345" s="29" t="b">
        <v>0</v>
      </c>
      <c r="AK345" s="22" t="str">
        <f t="shared" si="9"/>
        <v/>
      </c>
      <c r="AL345" s="7">
        <f>IF(ISBLANK(AH345), 0, VLOOKUP(AH345, 'Price Sheet'!$A$2:$B1015, 2, false))</f>
        <v>0</v>
      </c>
      <c r="AM345" s="33" t="str">
        <f t="shared" si="10"/>
        <v/>
      </c>
      <c r="AN345" s="37"/>
      <c r="AO345" s="29"/>
      <c r="AP345" s="29" t="b">
        <v>0</v>
      </c>
      <c r="AQ345" s="22" t="str">
        <f t="shared" si="11"/>
        <v/>
      </c>
      <c r="AR345" s="7">
        <f>IF(ISBLANK(AN345), 0, VLOOKUP(AN345, 'Price Sheet'!$A$2:$B1015, 2, false))</f>
        <v>0</v>
      </c>
      <c r="AS345" s="33" t="str">
        <f t="shared" si="12"/>
        <v/>
      </c>
      <c r="AT345" s="37"/>
      <c r="AU345" s="29"/>
      <c r="AV345" s="29" t="b">
        <v>0</v>
      </c>
      <c r="AW345" s="22" t="str">
        <f t="shared" si="13"/>
        <v/>
      </c>
      <c r="AX345" s="7">
        <f>IF(ISBLANK(AT345), 0, VLOOKUP(AT345, 'Price Sheet'!$A$2:$B1015, 2, false))</f>
        <v>0</v>
      </c>
      <c r="AY345" s="33" t="str">
        <f t="shared" si="14"/>
        <v/>
      </c>
      <c r="AZ345" s="37"/>
      <c r="BA345" s="29"/>
      <c r="BB345" s="29" t="b">
        <v>0</v>
      </c>
      <c r="BC345" s="22" t="str">
        <f t="shared" si="15"/>
        <v/>
      </c>
      <c r="BD345" s="7">
        <f>IF(ISBLANK(AZ345), 0, VLOOKUP(AZ345, 'Price Sheet'!$A$2:$B1015, 2, false))</f>
        <v>0</v>
      </c>
      <c r="BE345" s="33" t="str">
        <f t="shared" si="16"/>
        <v/>
      </c>
      <c r="BF345" s="37"/>
      <c r="BG345" s="29"/>
      <c r="BH345" s="29" t="b">
        <v>0</v>
      </c>
      <c r="BI345" s="22" t="str">
        <f t="shared" si="17"/>
        <v/>
      </c>
      <c r="BJ345" s="7">
        <f>IF(ISBLANK(BF345), 0, VLOOKUP(BF345, 'Price Sheet'!$A$2:$B1015, 2, false))</f>
        <v>0</v>
      </c>
      <c r="BK345" s="33" t="str">
        <f t="shared" si="18"/>
        <v/>
      </c>
      <c r="BL345" s="37"/>
      <c r="BM345" s="29"/>
      <c r="BN345" s="29" t="b">
        <v>0</v>
      </c>
      <c r="BO345" s="22" t="str">
        <f t="shared" si="19"/>
        <v/>
      </c>
      <c r="BP345" s="7">
        <f>IF(ISBLANK(BL345), 0, VLOOKUP(BL345, 'Price Sheet'!$A$2:$B1015, 2, false))</f>
        <v>0</v>
      </c>
      <c r="BQ345" s="33" t="str">
        <f t="shared" si="20"/>
        <v/>
      </c>
    </row>
    <row r="346">
      <c r="B346" s="19"/>
      <c r="C346" s="29"/>
      <c r="D346" s="29"/>
      <c r="E346" s="7" t="str">
        <f>IF(ISBLANK(D346), "", VLOOKUP(D346,'Crafting Tables'!$A$2:$B1015, 2, false))</f>
        <v/>
      </c>
      <c r="F346" s="7" t="str">
        <f>IFERROR(IF(E346 = "None", 1, VLOOKUP(C346,General!$A$5:$L$35, SWITCH(E346, "Basic", 8, "Advanced", 10, "Modern", 12), false)),"")</f>
        <v/>
      </c>
      <c r="G346" s="29"/>
      <c r="H346" s="7">
        <f>IFERROR(VLOOKUP(C346, General!$A$5:$L$35, 6, false) * G346 / 1000, 0)</f>
        <v>0</v>
      </c>
      <c r="I346" s="29"/>
      <c r="J346" s="22" t="str">
        <f>IFERROR(I346*VLOOKUP(D346,'Crafting Tables'!$1:$1000, 4, false)*F346,"")</f>
        <v/>
      </c>
      <c r="K346" s="29" t="b">
        <v>0</v>
      </c>
      <c r="L346" s="37"/>
      <c r="M346" s="29"/>
      <c r="N346" s="21" t="str">
        <f t="shared" si="2"/>
        <v/>
      </c>
      <c r="P346" s="37"/>
      <c r="Q346" s="29"/>
      <c r="R346" s="29" t="b">
        <v>0</v>
      </c>
      <c r="S346" s="22" t="str">
        <f t="shared" si="3"/>
        <v/>
      </c>
      <c r="T346" s="7">
        <f>IF(ISBLANK(P346), 0, VLOOKUP(P346, 'Price Sheet'!$A$2:$B1015, 2, false))</f>
        <v>0</v>
      </c>
      <c r="U346" s="33" t="str">
        <f t="shared" si="4"/>
        <v/>
      </c>
      <c r="V346" s="37"/>
      <c r="W346" s="29"/>
      <c r="X346" s="29" t="b">
        <v>0</v>
      </c>
      <c r="Y346" s="22" t="str">
        <f t="shared" si="5"/>
        <v/>
      </c>
      <c r="Z346" s="7">
        <f>IF(ISBLANK(V346), 0, VLOOKUP(V346, 'Price Sheet'!$A$2:$B1015, 2, false))</f>
        <v>0</v>
      </c>
      <c r="AA346" s="33" t="str">
        <f t="shared" si="6"/>
        <v/>
      </c>
      <c r="AB346" s="37"/>
      <c r="AC346" s="29"/>
      <c r="AD346" s="29" t="b">
        <v>0</v>
      </c>
      <c r="AE346" s="22" t="str">
        <f t="shared" si="7"/>
        <v/>
      </c>
      <c r="AF346" s="7">
        <f>IF(ISBLANK(AB346), 0, VLOOKUP(AB346, 'Price Sheet'!$A$2:$B1015, 2, false))</f>
        <v>0</v>
      </c>
      <c r="AG346" s="33" t="str">
        <f t="shared" si="8"/>
        <v/>
      </c>
      <c r="AH346" s="37"/>
      <c r="AI346" s="29"/>
      <c r="AJ346" s="29" t="b">
        <v>0</v>
      </c>
      <c r="AK346" s="22" t="str">
        <f t="shared" si="9"/>
        <v/>
      </c>
      <c r="AL346" s="7">
        <f>IF(ISBLANK(AH346), 0, VLOOKUP(AH346, 'Price Sheet'!$A$2:$B1015, 2, false))</f>
        <v>0</v>
      </c>
      <c r="AM346" s="33" t="str">
        <f t="shared" si="10"/>
        <v/>
      </c>
      <c r="AN346" s="37"/>
      <c r="AO346" s="29"/>
      <c r="AP346" s="29" t="b">
        <v>0</v>
      </c>
      <c r="AQ346" s="22" t="str">
        <f t="shared" si="11"/>
        <v/>
      </c>
      <c r="AR346" s="7">
        <f>IF(ISBLANK(AN346), 0, VLOOKUP(AN346, 'Price Sheet'!$A$2:$B1015, 2, false))</f>
        <v>0</v>
      </c>
      <c r="AS346" s="33" t="str">
        <f t="shared" si="12"/>
        <v/>
      </c>
      <c r="AT346" s="37"/>
      <c r="AU346" s="29"/>
      <c r="AV346" s="29" t="b">
        <v>0</v>
      </c>
      <c r="AW346" s="22" t="str">
        <f t="shared" si="13"/>
        <v/>
      </c>
      <c r="AX346" s="7">
        <f>IF(ISBLANK(AT346), 0, VLOOKUP(AT346, 'Price Sheet'!$A$2:$B1015, 2, false))</f>
        <v>0</v>
      </c>
      <c r="AY346" s="33" t="str">
        <f t="shared" si="14"/>
        <v/>
      </c>
      <c r="AZ346" s="37"/>
      <c r="BA346" s="29"/>
      <c r="BB346" s="29" t="b">
        <v>0</v>
      </c>
      <c r="BC346" s="22" t="str">
        <f t="shared" si="15"/>
        <v/>
      </c>
      <c r="BD346" s="7">
        <f>IF(ISBLANK(AZ346), 0, VLOOKUP(AZ346, 'Price Sheet'!$A$2:$B1015, 2, false))</f>
        <v>0</v>
      </c>
      <c r="BE346" s="33" t="str">
        <f t="shared" si="16"/>
        <v/>
      </c>
      <c r="BF346" s="37"/>
      <c r="BG346" s="29"/>
      <c r="BH346" s="29" t="b">
        <v>0</v>
      </c>
      <c r="BI346" s="22" t="str">
        <f t="shared" si="17"/>
        <v/>
      </c>
      <c r="BJ346" s="7">
        <f>IF(ISBLANK(BF346), 0, VLOOKUP(BF346, 'Price Sheet'!$A$2:$B1015, 2, false))</f>
        <v>0</v>
      </c>
      <c r="BK346" s="33" t="str">
        <f t="shared" si="18"/>
        <v/>
      </c>
      <c r="BL346" s="37"/>
      <c r="BM346" s="29"/>
      <c r="BN346" s="29" t="b">
        <v>0</v>
      </c>
      <c r="BO346" s="22" t="str">
        <f t="shared" si="19"/>
        <v/>
      </c>
      <c r="BP346" s="7">
        <f>IF(ISBLANK(BL346), 0, VLOOKUP(BL346, 'Price Sheet'!$A$2:$B1015, 2, false))</f>
        <v>0</v>
      </c>
      <c r="BQ346" s="33" t="str">
        <f t="shared" si="20"/>
        <v/>
      </c>
    </row>
    <row r="347">
      <c r="B347" s="19"/>
      <c r="C347" s="29"/>
      <c r="D347" s="29"/>
      <c r="E347" s="7" t="str">
        <f>IF(ISBLANK(D347), "", VLOOKUP(D347,'Crafting Tables'!$A$2:$B1015, 2, false))</f>
        <v/>
      </c>
      <c r="F347" s="7" t="str">
        <f>IFERROR(IF(E347 = "None", 1, VLOOKUP(C347,General!$A$5:$L$35, SWITCH(E347, "Basic", 8, "Advanced", 10, "Modern", 12), false)),"")</f>
        <v/>
      </c>
      <c r="G347" s="29"/>
      <c r="H347" s="7">
        <f>IFERROR(VLOOKUP(C347, General!$A$5:$L$35, 6, false) * G347 / 1000, 0)</f>
        <v>0</v>
      </c>
      <c r="I347" s="29"/>
      <c r="J347" s="22" t="str">
        <f>IFERROR(I347*VLOOKUP(D347,'Crafting Tables'!$1:$1000, 4, false)*F347,"")</f>
        <v/>
      </c>
      <c r="K347" s="29" t="b">
        <v>0</v>
      </c>
      <c r="L347" s="37"/>
      <c r="M347" s="29"/>
      <c r="N347" s="21" t="str">
        <f t="shared" si="2"/>
        <v/>
      </c>
      <c r="P347" s="37"/>
      <c r="Q347" s="29"/>
      <c r="R347" s="29" t="b">
        <v>0</v>
      </c>
      <c r="S347" s="22" t="str">
        <f t="shared" si="3"/>
        <v/>
      </c>
      <c r="T347" s="7">
        <f>IF(ISBLANK(P347), 0, VLOOKUP(P347, 'Price Sheet'!$A$2:$B1015, 2, false))</f>
        <v>0</v>
      </c>
      <c r="U347" s="33" t="str">
        <f t="shared" si="4"/>
        <v/>
      </c>
      <c r="V347" s="37"/>
      <c r="W347" s="29"/>
      <c r="X347" s="29" t="b">
        <v>0</v>
      </c>
      <c r="Y347" s="22" t="str">
        <f t="shared" si="5"/>
        <v/>
      </c>
      <c r="Z347" s="7">
        <f>IF(ISBLANK(V347), 0, VLOOKUP(V347, 'Price Sheet'!$A$2:$B1015, 2, false))</f>
        <v>0</v>
      </c>
      <c r="AA347" s="33" t="str">
        <f t="shared" si="6"/>
        <v/>
      </c>
      <c r="AB347" s="37"/>
      <c r="AC347" s="29"/>
      <c r="AD347" s="29" t="b">
        <v>0</v>
      </c>
      <c r="AE347" s="22" t="str">
        <f t="shared" si="7"/>
        <v/>
      </c>
      <c r="AF347" s="7">
        <f>IF(ISBLANK(AB347), 0, VLOOKUP(AB347, 'Price Sheet'!$A$2:$B1015, 2, false))</f>
        <v>0</v>
      </c>
      <c r="AG347" s="33" t="str">
        <f t="shared" si="8"/>
        <v/>
      </c>
      <c r="AH347" s="37"/>
      <c r="AI347" s="29"/>
      <c r="AJ347" s="29" t="b">
        <v>0</v>
      </c>
      <c r="AK347" s="22" t="str">
        <f t="shared" si="9"/>
        <v/>
      </c>
      <c r="AL347" s="7">
        <f>IF(ISBLANK(AH347), 0, VLOOKUP(AH347, 'Price Sheet'!$A$2:$B1015, 2, false))</f>
        <v>0</v>
      </c>
      <c r="AM347" s="33" t="str">
        <f t="shared" si="10"/>
        <v/>
      </c>
      <c r="AN347" s="37"/>
      <c r="AO347" s="29"/>
      <c r="AP347" s="29" t="b">
        <v>0</v>
      </c>
      <c r="AQ347" s="22" t="str">
        <f t="shared" si="11"/>
        <v/>
      </c>
      <c r="AR347" s="7">
        <f>IF(ISBLANK(AN347), 0, VLOOKUP(AN347, 'Price Sheet'!$A$2:$B1015, 2, false))</f>
        <v>0</v>
      </c>
      <c r="AS347" s="33" t="str">
        <f t="shared" si="12"/>
        <v/>
      </c>
      <c r="AT347" s="37"/>
      <c r="AU347" s="29"/>
      <c r="AV347" s="29" t="b">
        <v>0</v>
      </c>
      <c r="AW347" s="22" t="str">
        <f t="shared" si="13"/>
        <v/>
      </c>
      <c r="AX347" s="7">
        <f>IF(ISBLANK(AT347), 0, VLOOKUP(AT347, 'Price Sheet'!$A$2:$B1015, 2, false))</f>
        <v>0</v>
      </c>
      <c r="AY347" s="33" t="str">
        <f t="shared" si="14"/>
        <v/>
      </c>
      <c r="AZ347" s="37"/>
      <c r="BA347" s="29"/>
      <c r="BB347" s="29" t="b">
        <v>0</v>
      </c>
      <c r="BC347" s="22" t="str">
        <f t="shared" si="15"/>
        <v/>
      </c>
      <c r="BD347" s="7">
        <f>IF(ISBLANK(AZ347), 0, VLOOKUP(AZ347, 'Price Sheet'!$A$2:$B1015, 2, false))</f>
        <v>0</v>
      </c>
      <c r="BE347" s="33" t="str">
        <f t="shared" si="16"/>
        <v/>
      </c>
      <c r="BF347" s="37"/>
      <c r="BG347" s="29"/>
      <c r="BH347" s="29" t="b">
        <v>0</v>
      </c>
      <c r="BI347" s="22" t="str">
        <f t="shared" si="17"/>
        <v/>
      </c>
      <c r="BJ347" s="7">
        <f>IF(ISBLANK(BF347), 0, VLOOKUP(BF347, 'Price Sheet'!$A$2:$B1015, 2, false))</f>
        <v>0</v>
      </c>
      <c r="BK347" s="33" t="str">
        <f t="shared" si="18"/>
        <v/>
      </c>
      <c r="BL347" s="37"/>
      <c r="BM347" s="29"/>
      <c r="BN347" s="29" t="b">
        <v>0</v>
      </c>
      <c r="BO347" s="22" t="str">
        <f t="shared" si="19"/>
        <v/>
      </c>
      <c r="BP347" s="7">
        <f>IF(ISBLANK(BL347), 0, VLOOKUP(BL347, 'Price Sheet'!$A$2:$B1015, 2, false))</f>
        <v>0</v>
      </c>
      <c r="BQ347" s="33" t="str">
        <f t="shared" si="20"/>
        <v/>
      </c>
    </row>
    <row r="348">
      <c r="B348" s="19"/>
      <c r="C348" s="29"/>
      <c r="D348" s="29"/>
      <c r="E348" s="7" t="str">
        <f>IF(ISBLANK(D348), "", VLOOKUP(D348,'Crafting Tables'!$A$2:$B1015, 2, false))</f>
        <v/>
      </c>
      <c r="F348" s="7" t="str">
        <f>IFERROR(IF(E348 = "None", 1, VLOOKUP(C348,General!$A$5:$L$35, SWITCH(E348, "Basic", 8, "Advanced", 10, "Modern", 12), false)),"")</f>
        <v/>
      </c>
      <c r="G348" s="29"/>
      <c r="H348" s="7">
        <f>IFERROR(VLOOKUP(C348, General!$A$5:$L$35, 6, false) * G348 / 1000, 0)</f>
        <v>0</v>
      </c>
      <c r="I348" s="29"/>
      <c r="J348" s="22" t="str">
        <f>IFERROR(I348*VLOOKUP(D348,'Crafting Tables'!$1:$1000, 4, false)*F348,"")</f>
        <v/>
      </c>
      <c r="K348" s="29" t="b">
        <v>0</v>
      </c>
      <c r="L348" s="37"/>
      <c r="M348" s="29"/>
      <c r="N348" s="21" t="str">
        <f t="shared" si="2"/>
        <v/>
      </c>
      <c r="P348" s="37"/>
      <c r="Q348" s="29"/>
      <c r="R348" s="29" t="b">
        <v>0</v>
      </c>
      <c r="S348" s="22" t="str">
        <f t="shared" si="3"/>
        <v/>
      </c>
      <c r="T348" s="7">
        <f>IF(ISBLANK(P348), 0, VLOOKUP(P348, 'Price Sheet'!$A$2:$B1015, 2, false))</f>
        <v>0</v>
      </c>
      <c r="U348" s="33" t="str">
        <f t="shared" si="4"/>
        <v/>
      </c>
      <c r="V348" s="37"/>
      <c r="W348" s="29"/>
      <c r="X348" s="29" t="b">
        <v>0</v>
      </c>
      <c r="Y348" s="22" t="str">
        <f t="shared" si="5"/>
        <v/>
      </c>
      <c r="Z348" s="7">
        <f>IF(ISBLANK(V348), 0, VLOOKUP(V348, 'Price Sheet'!$A$2:$B1015, 2, false))</f>
        <v>0</v>
      </c>
      <c r="AA348" s="33" t="str">
        <f t="shared" si="6"/>
        <v/>
      </c>
      <c r="AB348" s="37"/>
      <c r="AC348" s="29"/>
      <c r="AD348" s="29" t="b">
        <v>0</v>
      </c>
      <c r="AE348" s="22" t="str">
        <f t="shared" si="7"/>
        <v/>
      </c>
      <c r="AF348" s="7">
        <f>IF(ISBLANK(AB348), 0, VLOOKUP(AB348, 'Price Sheet'!$A$2:$B1015, 2, false))</f>
        <v>0</v>
      </c>
      <c r="AG348" s="33" t="str">
        <f t="shared" si="8"/>
        <v/>
      </c>
      <c r="AH348" s="37"/>
      <c r="AI348" s="29"/>
      <c r="AJ348" s="29" t="b">
        <v>0</v>
      </c>
      <c r="AK348" s="22" t="str">
        <f t="shared" si="9"/>
        <v/>
      </c>
      <c r="AL348" s="7">
        <f>IF(ISBLANK(AH348), 0, VLOOKUP(AH348, 'Price Sheet'!$A$2:$B1015, 2, false))</f>
        <v>0</v>
      </c>
      <c r="AM348" s="33" t="str">
        <f t="shared" si="10"/>
        <v/>
      </c>
      <c r="AN348" s="37"/>
      <c r="AO348" s="29"/>
      <c r="AP348" s="29" t="b">
        <v>0</v>
      </c>
      <c r="AQ348" s="22" t="str">
        <f t="shared" si="11"/>
        <v/>
      </c>
      <c r="AR348" s="7">
        <f>IF(ISBLANK(AN348), 0, VLOOKUP(AN348, 'Price Sheet'!$A$2:$B1015, 2, false))</f>
        <v>0</v>
      </c>
      <c r="AS348" s="33" t="str">
        <f t="shared" si="12"/>
        <v/>
      </c>
      <c r="AT348" s="37"/>
      <c r="AU348" s="29"/>
      <c r="AV348" s="29" t="b">
        <v>0</v>
      </c>
      <c r="AW348" s="22" t="str">
        <f t="shared" si="13"/>
        <v/>
      </c>
      <c r="AX348" s="7">
        <f>IF(ISBLANK(AT348), 0, VLOOKUP(AT348, 'Price Sheet'!$A$2:$B1015, 2, false))</f>
        <v>0</v>
      </c>
      <c r="AY348" s="33" t="str">
        <f t="shared" si="14"/>
        <v/>
      </c>
      <c r="AZ348" s="37"/>
      <c r="BA348" s="29"/>
      <c r="BB348" s="29" t="b">
        <v>0</v>
      </c>
      <c r="BC348" s="22" t="str">
        <f t="shared" si="15"/>
        <v/>
      </c>
      <c r="BD348" s="7">
        <f>IF(ISBLANK(AZ348), 0, VLOOKUP(AZ348, 'Price Sheet'!$A$2:$B1015, 2, false))</f>
        <v>0</v>
      </c>
      <c r="BE348" s="33" t="str">
        <f t="shared" si="16"/>
        <v/>
      </c>
      <c r="BF348" s="37"/>
      <c r="BG348" s="29"/>
      <c r="BH348" s="29" t="b">
        <v>0</v>
      </c>
      <c r="BI348" s="22" t="str">
        <f t="shared" si="17"/>
        <v/>
      </c>
      <c r="BJ348" s="7">
        <f>IF(ISBLANK(BF348), 0, VLOOKUP(BF348, 'Price Sheet'!$A$2:$B1015, 2, false))</f>
        <v>0</v>
      </c>
      <c r="BK348" s="33" t="str">
        <f t="shared" si="18"/>
        <v/>
      </c>
      <c r="BL348" s="37"/>
      <c r="BM348" s="29"/>
      <c r="BN348" s="29" t="b">
        <v>0</v>
      </c>
      <c r="BO348" s="22" t="str">
        <f t="shared" si="19"/>
        <v/>
      </c>
      <c r="BP348" s="7">
        <f>IF(ISBLANK(BL348), 0, VLOOKUP(BL348, 'Price Sheet'!$A$2:$B1015, 2, false))</f>
        <v>0</v>
      </c>
      <c r="BQ348" s="33" t="str">
        <f t="shared" si="20"/>
        <v/>
      </c>
    </row>
    <row r="349">
      <c r="B349" s="19"/>
      <c r="C349" s="29"/>
      <c r="D349" s="29"/>
      <c r="E349" s="7" t="str">
        <f>IF(ISBLANK(D349), "", VLOOKUP(D349,'Crafting Tables'!$A$2:$B1015, 2, false))</f>
        <v/>
      </c>
      <c r="F349" s="7" t="str">
        <f>IFERROR(IF(E349 = "None", 1, VLOOKUP(C349,General!$A$5:$L$35, SWITCH(E349, "Basic", 8, "Advanced", 10, "Modern", 12), false)),"")</f>
        <v/>
      </c>
      <c r="G349" s="29"/>
      <c r="H349" s="7">
        <f>IFERROR(VLOOKUP(C349, General!$A$5:$L$35, 6, false) * G349 / 1000, 0)</f>
        <v>0</v>
      </c>
      <c r="I349" s="29"/>
      <c r="J349" s="22" t="str">
        <f>IFERROR(I349*VLOOKUP(D349,'Crafting Tables'!$1:$1000, 4, false)*F349,"")</f>
        <v/>
      </c>
      <c r="K349" s="29" t="b">
        <v>0</v>
      </c>
      <c r="L349" s="37"/>
      <c r="M349" s="29"/>
      <c r="N349" s="21" t="str">
        <f t="shared" si="2"/>
        <v/>
      </c>
      <c r="P349" s="37"/>
      <c r="Q349" s="29"/>
      <c r="R349" s="29" t="b">
        <v>0</v>
      </c>
      <c r="S349" s="22" t="str">
        <f t="shared" si="3"/>
        <v/>
      </c>
      <c r="T349" s="7">
        <f>IF(ISBLANK(P349), 0, VLOOKUP(P349, 'Price Sheet'!$A$2:$B1015, 2, false))</f>
        <v>0</v>
      </c>
      <c r="U349" s="33" t="str">
        <f t="shared" si="4"/>
        <v/>
      </c>
      <c r="V349" s="37"/>
      <c r="W349" s="29"/>
      <c r="X349" s="29" t="b">
        <v>0</v>
      </c>
      <c r="Y349" s="22" t="str">
        <f t="shared" si="5"/>
        <v/>
      </c>
      <c r="Z349" s="7">
        <f>IF(ISBLANK(V349), 0, VLOOKUP(V349, 'Price Sheet'!$A$2:$B1015, 2, false))</f>
        <v>0</v>
      </c>
      <c r="AA349" s="33" t="str">
        <f t="shared" si="6"/>
        <v/>
      </c>
      <c r="AB349" s="37"/>
      <c r="AC349" s="29"/>
      <c r="AD349" s="29" t="b">
        <v>0</v>
      </c>
      <c r="AE349" s="22" t="str">
        <f t="shared" si="7"/>
        <v/>
      </c>
      <c r="AF349" s="7">
        <f>IF(ISBLANK(AB349), 0, VLOOKUP(AB349, 'Price Sheet'!$A$2:$B1015, 2, false))</f>
        <v>0</v>
      </c>
      <c r="AG349" s="33" t="str">
        <f t="shared" si="8"/>
        <v/>
      </c>
      <c r="AH349" s="37"/>
      <c r="AI349" s="29"/>
      <c r="AJ349" s="29" t="b">
        <v>0</v>
      </c>
      <c r="AK349" s="22" t="str">
        <f t="shared" si="9"/>
        <v/>
      </c>
      <c r="AL349" s="7">
        <f>IF(ISBLANK(AH349), 0, VLOOKUP(AH349, 'Price Sheet'!$A$2:$B1015, 2, false))</f>
        <v>0</v>
      </c>
      <c r="AM349" s="33" t="str">
        <f t="shared" si="10"/>
        <v/>
      </c>
      <c r="AN349" s="37"/>
      <c r="AO349" s="29"/>
      <c r="AP349" s="29" t="b">
        <v>0</v>
      </c>
      <c r="AQ349" s="22" t="str">
        <f t="shared" si="11"/>
        <v/>
      </c>
      <c r="AR349" s="7">
        <f>IF(ISBLANK(AN349), 0, VLOOKUP(AN349, 'Price Sheet'!$A$2:$B1015, 2, false))</f>
        <v>0</v>
      </c>
      <c r="AS349" s="33" t="str">
        <f t="shared" si="12"/>
        <v/>
      </c>
      <c r="AT349" s="37"/>
      <c r="AU349" s="29"/>
      <c r="AV349" s="29" t="b">
        <v>0</v>
      </c>
      <c r="AW349" s="22" t="str">
        <f t="shared" si="13"/>
        <v/>
      </c>
      <c r="AX349" s="7">
        <f>IF(ISBLANK(AT349), 0, VLOOKUP(AT349, 'Price Sheet'!$A$2:$B1015, 2, false))</f>
        <v>0</v>
      </c>
      <c r="AY349" s="33" t="str">
        <f t="shared" si="14"/>
        <v/>
      </c>
      <c r="AZ349" s="37"/>
      <c r="BA349" s="29"/>
      <c r="BB349" s="29" t="b">
        <v>0</v>
      </c>
      <c r="BC349" s="22" t="str">
        <f t="shared" si="15"/>
        <v/>
      </c>
      <c r="BD349" s="7">
        <f>IF(ISBLANK(AZ349), 0, VLOOKUP(AZ349, 'Price Sheet'!$A$2:$B1015, 2, false))</f>
        <v>0</v>
      </c>
      <c r="BE349" s="33" t="str">
        <f t="shared" si="16"/>
        <v/>
      </c>
      <c r="BF349" s="37"/>
      <c r="BG349" s="29"/>
      <c r="BH349" s="29" t="b">
        <v>0</v>
      </c>
      <c r="BI349" s="22" t="str">
        <f t="shared" si="17"/>
        <v/>
      </c>
      <c r="BJ349" s="7">
        <f>IF(ISBLANK(BF349), 0, VLOOKUP(BF349, 'Price Sheet'!$A$2:$B1015, 2, false))</f>
        <v>0</v>
      </c>
      <c r="BK349" s="33" t="str">
        <f t="shared" si="18"/>
        <v/>
      </c>
      <c r="BL349" s="37"/>
      <c r="BM349" s="29"/>
      <c r="BN349" s="29" t="b">
        <v>0</v>
      </c>
      <c r="BO349" s="22" t="str">
        <f t="shared" si="19"/>
        <v/>
      </c>
      <c r="BP349" s="7">
        <f>IF(ISBLANK(BL349), 0, VLOOKUP(BL349, 'Price Sheet'!$A$2:$B1015, 2, false))</f>
        <v>0</v>
      </c>
      <c r="BQ349" s="33" t="str">
        <f t="shared" si="20"/>
        <v/>
      </c>
    </row>
    <row r="350">
      <c r="B350" s="19"/>
      <c r="C350" s="29"/>
      <c r="D350" s="29"/>
      <c r="E350" s="7" t="str">
        <f>IF(ISBLANK(D350), "", VLOOKUP(D350,'Crafting Tables'!$A$2:$B1015, 2, false))</f>
        <v/>
      </c>
      <c r="F350" s="7" t="str">
        <f>IFERROR(IF(E350 = "None", 1, VLOOKUP(C350,General!$A$5:$L$35, SWITCH(E350, "Basic", 8, "Advanced", 10, "Modern", 12), false)),"")</f>
        <v/>
      </c>
      <c r="G350" s="29"/>
      <c r="H350" s="7">
        <f>IFERROR(VLOOKUP(C350, General!$A$5:$L$35, 6, false) * G350 / 1000, 0)</f>
        <v>0</v>
      </c>
      <c r="I350" s="29"/>
      <c r="J350" s="22" t="str">
        <f>IFERROR(I350*VLOOKUP(D350,'Crafting Tables'!$1:$1000, 4, false)*F350,"")</f>
        <v/>
      </c>
      <c r="K350" s="29" t="b">
        <v>0</v>
      </c>
      <c r="L350" s="37"/>
      <c r="M350" s="29"/>
      <c r="N350" s="21" t="str">
        <f t="shared" si="2"/>
        <v/>
      </c>
      <c r="P350" s="37"/>
      <c r="Q350" s="29"/>
      <c r="R350" s="29" t="b">
        <v>0</v>
      </c>
      <c r="S350" s="22" t="str">
        <f t="shared" si="3"/>
        <v/>
      </c>
      <c r="T350" s="7">
        <f>IF(ISBLANK(P350), 0, VLOOKUP(P350, 'Price Sheet'!$A$2:$B1015, 2, false))</f>
        <v>0</v>
      </c>
      <c r="U350" s="33" t="str">
        <f t="shared" si="4"/>
        <v/>
      </c>
      <c r="V350" s="37"/>
      <c r="W350" s="29"/>
      <c r="X350" s="29" t="b">
        <v>0</v>
      </c>
      <c r="Y350" s="22" t="str">
        <f t="shared" si="5"/>
        <v/>
      </c>
      <c r="Z350" s="7">
        <f>IF(ISBLANK(V350), 0, VLOOKUP(V350, 'Price Sheet'!$A$2:$B1015, 2, false))</f>
        <v>0</v>
      </c>
      <c r="AA350" s="33" t="str">
        <f t="shared" si="6"/>
        <v/>
      </c>
      <c r="AB350" s="37"/>
      <c r="AC350" s="29"/>
      <c r="AD350" s="29" t="b">
        <v>0</v>
      </c>
      <c r="AE350" s="22" t="str">
        <f t="shared" si="7"/>
        <v/>
      </c>
      <c r="AF350" s="7">
        <f>IF(ISBLANK(AB350), 0, VLOOKUP(AB350, 'Price Sheet'!$A$2:$B1015, 2, false))</f>
        <v>0</v>
      </c>
      <c r="AG350" s="33" t="str">
        <f t="shared" si="8"/>
        <v/>
      </c>
      <c r="AH350" s="37"/>
      <c r="AI350" s="29"/>
      <c r="AJ350" s="29" t="b">
        <v>0</v>
      </c>
      <c r="AK350" s="22" t="str">
        <f t="shared" si="9"/>
        <v/>
      </c>
      <c r="AL350" s="7">
        <f>IF(ISBLANK(AH350), 0, VLOOKUP(AH350, 'Price Sheet'!$A$2:$B1015, 2, false))</f>
        <v>0</v>
      </c>
      <c r="AM350" s="33" t="str">
        <f t="shared" si="10"/>
        <v/>
      </c>
      <c r="AN350" s="37"/>
      <c r="AO350" s="29"/>
      <c r="AP350" s="29" t="b">
        <v>0</v>
      </c>
      <c r="AQ350" s="22" t="str">
        <f t="shared" si="11"/>
        <v/>
      </c>
      <c r="AR350" s="7">
        <f>IF(ISBLANK(AN350), 0, VLOOKUP(AN350, 'Price Sheet'!$A$2:$B1015, 2, false))</f>
        <v>0</v>
      </c>
      <c r="AS350" s="33" t="str">
        <f t="shared" si="12"/>
        <v/>
      </c>
      <c r="AT350" s="37"/>
      <c r="AU350" s="29"/>
      <c r="AV350" s="29" t="b">
        <v>0</v>
      </c>
      <c r="AW350" s="22" t="str">
        <f t="shared" si="13"/>
        <v/>
      </c>
      <c r="AX350" s="7">
        <f>IF(ISBLANK(AT350), 0, VLOOKUP(AT350, 'Price Sheet'!$A$2:$B1015, 2, false))</f>
        <v>0</v>
      </c>
      <c r="AY350" s="33" t="str">
        <f t="shared" si="14"/>
        <v/>
      </c>
      <c r="AZ350" s="37"/>
      <c r="BA350" s="29"/>
      <c r="BB350" s="29" t="b">
        <v>0</v>
      </c>
      <c r="BC350" s="22" t="str">
        <f t="shared" si="15"/>
        <v/>
      </c>
      <c r="BD350" s="7">
        <f>IF(ISBLANK(AZ350), 0, VLOOKUP(AZ350, 'Price Sheet'!$A$2:$B1015, 2, false))</f>
        <v>0</v>
      </c>
      <c r="BE350" s="33" t="str">
        <f t="shared" si="16"/>
        <v/>
      </c>
      <c r="BF350" s="37"/>
      <c r="BG350" s="29"/>
      <c r="BH350" s="29" t="b">
        <v>0</v>
      </c>
      <c r="BI350" s="22" t="str">
        <f t="shared" si="17"/>
        <v/>
      </c>
      <c r="BJ350" s="7">
        <f>IF(ISBLANK(BF350), 0, VLOOKUP(BF350, 'Price Sheet'!$A$2:$B1015, 2, false))</f>
        <v>0</v>
      </c>
      <c r="BK350" s="33" t="str">
        <f t="shared" si="18"/>
        <v/>
      </c>
      <c r="BL350" s="37"/>
      <c r="BM350" s="29"/>
      <c r="BN350" s="29" t="b">
        <v>0</v>
      </c>
      <c r="BO350" s="22" t="str">
        <f t="shared" si="19"/>
        <v/>
      </c>
      <c r="BP350" s="7">
        <f>IF(ISBLANK(BL350), 0, VLOOKUP(BL350, 'Price Sheet'!$A$2:$B1015, 2, false))</f>
        <v>0</v>
      </c>
      <c r="BQ350" s="33" t="str">
        <f t="shared" si="20"/>
        <v/>
      </c>
    </row>
    <row r="351">
      <c r="B351" s="19"/>
      <c r="C351" s="29"/>
      <c r="D351" s="29"/>
      <c r="E351" s="7" t="str">
        <f>IF(ISBLANK(D351), "", VLOOKUP(D351,'Crafting Tables'!$A$2:$B1015, 2, false))</f>
        <v/>
      </c>
      <c r="F351" s="7" t="str">
        <f>IFERROR(IF(E351 = "None", 1, VLOOKUP(C351,General!$A$5:$L$35, SWITCH(E351, "Basic", 8, "Advanced", 10, "Modern", 12), false)),"")</f>
        <v/>
      </c>
      <c r="G351" s="29"/>
      <c r="H351" s="7">
        <f>IFERROR(VLOOKUP(C351, General!$A$5:$L$35, 6, false) * G351 / 1000, 0)</f>
        <v>0</v>
      </c>
      <c r="I351" s="29"/>
      <c r="J351" s="22" t="str">
        <f>IFERROR(I351*VLOOKUP(D351,'Crafting Tables'!$1:$1000, 4, false)*F351,"")</f>
        <v/>
      </c>
      <c r="K351" s="29" t="b">
        <v>0</v>
      </c>
      <c r="L351" s="37"/>
      <c r="M351" s="29"/>
      <c r="N351" s="21" t="str">
        <f t="shared" si="2"/>
        <v/>
      </c>
      <c r="P351" s="37"/>
      <c r="Q351" s="29"/>
      <c r="R351" s="29" t="b">
        <v>0</v>
      </c>
      <c r="S351" s="22" t="str">
        <f t="shared" si="3"/>
        <v/>
      </c>
      <c r="T351" s="7">
        <f>IF(ISBLANK(P351), 0, VLOOKUP(P351, 'Price Sheet'!$A$2:$B1015, 2, false))</f>
        <v>0</v>
      </c>
      <c r="U351" s="33" t="str">
        <f t="shared" si="4"/>
        <v/>
      </c>
      <c r="V351" s="37"/>
      <c r="W351" s="29"/>
      <c r="X351" s="29" t="b">
        <v>0</v>
      </c>
      <c r="Y351" s="22" t="str">
        <f t="shared" si="5"/>
        <v/>
      </c>
      <c r="Z351" s="7">
        <f>IF(ISBLANK(V351), 0, VLOOKUP(V351, 'Price Sheet'!$A$2:$B1015, 2, false))</f>
        <v>0</v>
      </c>
      <c r="AA351" s="33" t="str">
        <f t="shared" si="6"/>
        <v/>
      </c>
      <c r="AB351" s="37"/>
      <c r="AC351" s="29"/>
      <c r="AD351" s="29" t="b">
        <v>0</v>
      </c>
      <c r="AE351" s="22" t="str">
        <f t="shared" si="7"/>
        <v/>
      </c>
      <c r="AF351" s="7">
        <f>IF(ISBLANK(AB351), 0, VLOOKUP(AB351, 'Price Sheet'!$A$2:$B1015, 2, false))</f>
        <v>0</v>
      </c>
      <c r="AG351" s="33" t="str">
        <f t="shared" si="8"/>
        <v/>
      </c>
      <c r="AH351" s="37"/>
      <c r="AI351" s="29"/>
      <c r="AJ351" s="29" t="b">
        <v>0</v>
      </c>
      <c r="AK351" s="22" t="str">
        <f t="shared" si="9"/>
        <v/>
      </c>
      <c r="AL351" s="7">
        <f>IF(ISBLANK(AH351), 0, VLOOKUP(AH351, 'Price Sheet'!$A$2:$B1015, 2, false))</f>
        <v>0</v>
      </c>
      <c r="AM351" s="33" t="str">
        <f t="shared" si="10"/>
        <v/>
      </c>
      <c r="AN351" s="37"/>
      <c r="AO351" s="29"/>
      <c r="AP351" s="29" t="b">
        <v>0</v>
      </c>
      <c r="AQ351" s="22" t="str">
        <f t="shared" si="11"/>
        <v/>
      </c>
      <c r="AR351" s="7">
        <f>IF(ISBLANK(AN351), 0, VLOOKUP(AN351, 'Price Sheet'!$A$2:$B1015, 2, false))</f>
        <v>0</v>
      </c>
      <c r="AS351" s="33" t="str">
        <f t="shared" si="12"/>
        <v/>
      </c>
      <c r="AT351" s="37"/>
      <c r="AU351" s="29"/>
      <c r="AV351" s="29" t="b">
        <v>0</v>
      </c>
      <c r="AW351" s="22" t="str">
        <f t="shared" si="13"/>
        <v/>
      </c>
      <c r="AX351" s="7">
        <f>IF(ISBLANK(AT351), 0, VLOOKUP(AT351, 'Price Sheet'!$A$2:$B1015, 2, false))</f>
        <v>0</v>
      </c>
      <c r="AY351" s="33" t="str">
        <f t="shared" si="14"/>
        <v/>
      </c>
      <c r="AZ351" s="37"/>
      <c r="BA351" s="29"/>
      <c r="BB351" s="29" t="b">
        <v>0</v>
      </c>
      <c r="BC351" s="22" t="str">
        <f t="shared" si="15"/>
        <v/>
      </c>
      <c r="BD351" s="7">
        <f>IF(ISBLANK(AZ351), 0, VLOOKUP(AZ351, 'Price Sheet'!$A$2:$B1015, 2, false))</f>
        <v>0</v>
      </c>
      <c r="BE351" s="33" t="str">
        <f t="shared" si="16"/>
        <v/>
      </c>
      <c r="BF351" s="37"/>
      <c r="BG351" s="29"/>
      <c r="BH351" s="29" t="b">
        <v>0</v>
      </c>
      <c r="BI351" s="22" t="str">
        <f t="shared" si="17"/>
        <v/>
      </c>
      <c r="BJ351" s="7">
        <f>IF(ISBLANK(BF351), 0, VLOOKUP(BF351, 'Price Sheet'!$A$2:$B1015, 2, false))</f>
        <v>0</v>
      </c>
      <c r="BK351" s="33" t="str">
        <f t="shared" si="18"/>
        <v/>
      </c>
      <c r="BL351" s="37"/>
      <c r="BM351" s="29"/>
      <c r="BN351" s="29" t="b">
        <v>0</v>
      </c>
      <c r="BO351" s="22" t="str">
        <f t="shared" si="19"/>
        <v/>
      </c>
      <c r="BP351" s="7">
        <f>IF(ISBLANK(BL351), 0, VLOOKUP(BL351, 'Price Sheet'!$A$2:$B1015, 2, false))</f>
        <v>0</v>
      </c>
      <c r="BQ351" s="33" t="str">
        <f t="shared" si="20"/>
        <v/>
      </c>
    </row>
    <row r="352">
      <c r="B352" s="19"/>
      <c r="C352" s="29"/>
      <c r="D352" s="29"/>
      <c r="E352" s="7" t="str">
        <f>IF(ISBLANK(D352), "", VLOOKUP(D352,'Crafting Tables'!$A$2:$B1015, 2, false))</f>
        <v/>
      </c>
      <c r="F352" s="7" t="str">
        <f>IFERROR(IF(E352 = "None", 1, VLOOKUP(C352,General!$A$5:$L$35, SWITCH(E352, "Basic", 8, "Advanced", 10, "Modern", 12), false)),"")</f>
        <v/>
      </c>
      <c r="G352" s="29"/>
      <c r="H352" s="7">
        <f>IFERROR(VLOOKUP(C352, General!$A$5:$L$35, 6, false) * G352 / 1000, 0)</f>
        <v>0</v>
      </c>
      <c r="I352" s="29"/>
      <c r="J352" s="22" t="str">
        <f>IFERROR(I352*VLOOKUP(D352,'Crafting Tables'!$1:$1000, 4, false)*F352,"")</f>
        <v/>
      </c>
      <c r="K352" s="29" t="b">
        <v>0</v>
      </c>
      <c r="L352" s="37"/>
      <c r="M352" s="29"/>
      <c r="N352" s="21" t="str">
        <f t="shared" si="2"/>
        <v/>
      </c>
      <c r="P352" s="37"/>
      <c r="Q352" s="29"/>
      <c r="R352" s="29" t="b">
        <v>0</v>
      </c>
      <c r="S352" s="22" t="str">
        <f t="shared" si="3"/>
        <v/>
      </c>
      <c r="T352" s="7">
        <f>IF(ISBLANK(P352), 0, VLOOKUP(P352, 'Price Sheet'!$A$2:$B1015, 2, false))</f>
        <v>0</v>
      </c>
      <c r="U352" s="33" t="str">
        <f t="shared" si="4"/>
        <v/>
      </c>
      <c r="V352" s="37"/>
      <c r="W352" s="29"/>
      <c r="X352" s="29" t="b">
        <v>0</v>
      </c>
      <c r="Y352" s="22" t="str">
        <f t="shared" si="5"/>
        <v/>
      </c>
      <c r="Z352" s="7">
        <f>IF(ISBLANK(V352), 0, VLOOKUP(V352, 'Price Sheet'!$A$2:$B1015, 2, false))</f>
        <v>0</v>
      </c>
      <c r="AA352" s="33" t="str">
        <f t="shared" si="6"/>
        <v/>
      </c>
      <c r="AB352" s="37"/>
      <c r="AC352" s="29"/>
      <c r="AD352" s="29" t="b">
        <v>0</v>
      </c>
      <c r="AE352" s="22" t="str">
        <f t="shared" si="7"/>
        <v/>
      </c>
      <c r="AF352" s="7">
        <f>IF(ISBLANK(AB352), 0, VLOOKUP(AB352, 'Price Sheet'!$A$2:$B1015, 2, false))</f>
        <v>0</v>
      </c>
      <c r="AG352" s="33" t="str">
        <f t="shared" si="8"/>
        <v/>
      </c>
      <c r="AH352" s="37"/>
      <c r="AI352" s="29"/>
      <c r="AJ352" s="29" t="b">
        <v>0</v>
      </c>
      <c r="AK352" s="22" t="str">
        <f t="shared" si="9"/>
        <v/>
      </c>
      <c r="AL352" s="7">
        <f>IF(ISBLANK(AH352), 0, VLOOKUP(AH352, 'Price Sheet'!$A$2:$B1015, 2, false))</f>
        <v>0</v>
      </c>
      <c r="AM352" s="33" t="str">
        <f t="shared" si="10"/>
        <v/>
      </c>
      <c r="AN352" s="37"/>
      <c r="AO352" s="29"/>
      <c r="AP352" s="29" t="b">
        <v>0</v>
      </c>
      <c r="AQ352" s="22" t="str">
        <f t="shared" si="11"/>
        <v/>
      </c>
      <c r="AR352" s="7">
        <f>IF(ISBLANK(AN352), 0, VLOOKUP(AN352, 'Price Sheet'!$A$2:$B1015, 2, false))</f>
        <v>0</v>
      </c>
      <c r="AS352" s="33" t="str">
        <f t="shared" si="12"/>
        <v/>
      </c>
      <c r="AT352" s="37"/>
      <c r="AU352" s="29"/>
      <c r="AV352" s="29" t="b">
        <v>0</v>
      </c>
      <c r="AW352" s="22" t="str">
        <f t="shared" si="13"/>
        <v/>
      </c>
      <c r="AX352" s="7">
        <f>IF(ISBLANK(AT352), 0, VLOOKUP(AT352, 'Price Sheet'!$A$2:$B1015, 2, false))</f>
        <v>0</v>
      </c>
      <c r="AY352" s="33" t="str">
        <f t="shared" si="14"/>
        <v/>
      </c>
      <c r="AZ352" s="37"/>
      <c r="BA352" s="29"/>
      <c r="BB352" s="29" t="b">
        <v>0</v>
      </c>
      <c r="BC352" s="22" t="str">
        <f t="shared" si="15"/>
        <v/>
      </c>
      <c r="BD352" s="7">
        <f>IF(ISBLANK(AZ352), 0, VLOOKUP(AZ352, 'Price Sheet'!$A$2:$B1015, 2, false))</f>
        <v>0</v>
      </c>
      <c r="BE352" s="33" t="str">
        <f t="shared" si="16"/>
        <v/>
      </c>
      <c r="BF352" s="37"/>
      <c r="BG352" s="29"/>
      <c r="BH352" s="29" t="b">
        <v>0</v>
      </c>
      <c r="BI352" s="22" t="str">
        <f t="shared" si="17"/>
        <v/>
      </c>
      <c r="BJ352" s="7">
        <f>IF(ISBLANK(BF352), 0, VLOOKUP(BF352, 'Price Sheet'!$A$2:$B1015, 2, false))</f>
        <v>0</v>
      </c>
      <c r="BK352" s="33" t="str">
        <f t="shared" si="18"/>
        <v/>
      </c>
      <c r="BL352" s="37"/>
      <c r="BM352" s="29"/>
      <c r="BN352" s="29" t="b">
        <v>0</v>
      </c>
      <c r="BO352" s="22" t="str">
        <f t="shared" si="19"/>
        <v/>
      </c>
      <c r="BP352" s="7">
        <f>IF(ISBLANK(BL352), 0, VLOOKUP(BL352, 'Price Sheet'!$A$2:$B1015, 2, false))</f>
        <v>0</v>
      </c>
      <c r="BQ352" s="33" t="str">
        <f t="shared" si="20"/>
        <v/>
      </c>
    </row>
    <row r="353">
      <c r="B353" s="19"/>
      <c r="C353" s="29"/>
      <c r="D353" s="29"/>
      <c r="E353" s="7" t="str">
        <f>IF(ISBLANK(D353), "", VLOOKUP(D353,'Crafting Tables'!$A$2:$B1015, 2, false))</f>
        <v/>
      </c>
      <c r="F353" s="7" t="str">
        <f>IFERROR(IF(E353 = "None", 1, VLOOKUP(C353,General!$A$5:$L$35, SWITCH(E353, "Basic", 8, "Advanced", 10, "Modern", 12), false)),"")</f>
        <v/>
      </c>
      <c r="G353" s="29"/>
      <c r="H353" s="7">
        <f>IFERROR(VLOOKUP(C353, General!$A$5:$L$35, 6, false) * G353 / 1000, 0)</f>
        <v>0</v>
      </c>
      <c r="I353" s="29"/>
      <c r="J353" s="22" t="str">
        <f>IFERROR(I353*VLOOKUP(D353,'Crafting Tables'!$1:$1000, 4, false)*F353,"")</f>
        <v/>
      </c>
      <c r="K353" s="29" t="b">
        <v>0</v>
      </c>
      <c r="L353" s="37"/>
      <c r="M353" s="29"/>
      <c r="N353" s="21" t="str">
        <f t="shared" si="2"/>
        <v/>
      </c>
      <c r="P353" s="37"/>
      <c r="Q353" s="29"/>
      <c r="R353" s="29" t="b">
        <v>0</v>
      </c>
      <c r="S353" s="22" t="str">
        <f t="shared" si="3"/>
        <v/>
      </c>
      <c r="T353" s="7">
        <f>IF(ISBLANK(P353), 0, VLOOKUP(P353, 'Price Sheet'!$A$2:$B1015, 2, false))</f>
        <v>0</v>
      </c>
      <c r="U353" s="33" t="str">
        <f t="shared" si="4"/>
        <v/>
      </c>
      <c r="V353" s="37"/>
      <c r="W353" s="29"/>
      <c r="X353" s="29" t="b">
        <v>0</v>
      </c>
      <c r="Y353" s="22" t="str">
        <f t="shared" si="5"/>
        <v/>
      </c>
      <c r="Z353" s="7">
        <f>IF(ISBLANK(V353), 0, VLOOKUP(V353, 'Price Sheet'!$A$2:$B1015, 2, false))</f>
        <v>0</v>
      </c>
      <c r="AA353" s="33" t="str">
        <f t="shared" si="6"/>
        <v/>
      </c>
      <c r="AB353" s="37"/>
      <c r="AC353" s="29"/>
      <c r="AD353" s="29" t="b">
        <v>0</v>
      </c>
      <c r="AE353" s="22" t="str">
        <f t="shared" si="7"/>
        <v/>
      </c>
      <c r="AF353" s="7">
        <f>IF(ISBLANK(AB353), 0, VLOOKUP(AB353, 'Price Sheet'!$A$2:$B1015, 2, false))</f>
        <v>0</v>
      </c>
      <c r="AG353" s="33" t="str">
        <f t="shared" si="8"/>
        <v/>
      </c>
      <c r="AH353" s="37"/>
      <c r="AI353" s="29"/>
      <c r="AJ353" s="29" t="b">
        <v>0</v>
      </c>
      <c r="AK353" s="22" t="str">
        <f t="shared" si="9"/>
        <v/>
      </c>
      <c r="AL353" s="7">
        <f>IF(ISBLANK(AH353), 0, VLOOKUP(AH353, 'Price Sheet'!$A$2:$B1015, 2, false))</f>
        <v>0</v>
      </c>
      <c r="AM353" s="33" t="str">
        <f t="shared" si="10"/>
        <v/>
      </c>
      <c r="AN353" s="37"/>
      <c r="AO353" s="29"/>
      <c r="AP353" s="29" t="b">
        <v>0</v>
      </c>
      <c r="AQ353" s="22" t="str">
        <f t="shared" si="11"/>
        <v/>
      </c>
      <c r="AR353" s="7">
        <f>IF(ISBLANK(AN353), 0, VLOOKUP(AN353, 'Price Sheet'!$A$2:$B1015, 2, false))</f>
        <v>0</v>
      </c>
      <c r="AS353" s="33" t="str">
        <f t="shared" si="12"/>
        <v/>
      </c>
      <c r="AT353" s="37"/>
      <c r="AU353" s="29"/>
      <c r="AV353" s="29" t="b">
        <v>0</v>
      </c>
      <c r="AW353" s="22" t="str">
        <f t="shared" si="13"/>
        <v/>
      </c>
      <c r="AX353" s="7">
        <f>IF(ISBLANK(AT353), 0, VLOOKUP(AT353, 'Price Sheet'!$A$2:$B1015, 2, false))</f>
        <v>0</v>
      </c>
      <c r="AY353" s="33" t="str">
        <f t="shared" si="14"/>
        <v/>
      </c>
      <c r="AZ353" s="37"/>
      <c r="BA353" s="29"/>
      <c r="BB353" s="29" t="b">
        <v>0</v>
      </c>
      <c r="BC353" s="22" t="str">
        <f t="shared" si="15"/>
        <v/>
      </c>
      <c r="BD353" s="7">
        <f>IF(ISBLANK(AZ353), 0, VLOOKUP(AZ353, 'Price Sheet'!$A$2:$B1015, 2, false))</f>
        <v>0</v>
      </c>
      <c r="BE353" s="33" t="str">
        <f t="shared" si="16"/>
        <v/>
      </c>
      <c r="BF353" s="37"/>
      <c r="BG353" s="29"/>
      <c r="BH353" s="29" t="b">
        <v>0</v>
      </c>
      <c r="BI353" s="22" t="str">
        <f t="shared" si="17"/>
        <v/>
      </c>
      <c r="BJ353" s="7">
        <f>IF(ISBLANK(BF353), 0, VLOOKUP(BF353, 'Price Sheet'!$A$2:$B1015, 2, false))</f>
        <v>0</v>
      </c>
      <c r="BK353" s="33" t="str">
        <f t="shared" si="18"/>
        <v/>
      </c>
      <c r="BL353" s="37"/>
      <c r="BM353" s="29"/>
      <c r="BN353" s="29" t="b">
        <v>0</v>
      </c>
      <c r="BO353" s="22" t="str">
        <f t="shared" si="19"/>
        <v/>
      </c>
      <c r="BP353" s="7">
        <f>IF(ISBLANK(BL353), 0, VLOOKUP(BL353, 'Price Sheet'!$A$2:$B1015, 2, false))</f>
        <v>0</v>
      </c>
      <c r="BQ353" s="33" t="str">
        <f t="shared" si="20"/>
        <v/>
      </c>
    </row>
    <row r="354">
      <c r="B354" s="19"/>
      <c r="C354" s="29"/>
      <c r="D354" s="29"/>
      <c r="E354" s="7" t="str">
        <f>IF(ISBLANK(D354), "", VLOOKUP(D354,'Crafting Tables'!$A$2:$B1015, 2, false))</f>
        <v/>
      </c>
      <c r="F354" s="7" t="str">
        <f>IFERROR(IF(E354 = "None", 1, VLOOKUP(C354,General!$A$5:$L$35, SWITCH(E354, "Basic", 8, "Advanced", 10, "Modern", 12), false)),"")</f>
        <v/>
      </c>
      <c r="G354" s="29"/>
      <c r="H354" s="7">
        <f>IFERROR(VLOOKUP(C354, General!$A$5:$L$35, 6, false) * G354 / 1000, 0)</f>
        <v>0</v>
      </c>
      <c r="I354" s="29"/>
      <c r="J354" s="22" t="str">
        <f>IFERROR(I354*VLOOKUP(D354,'Crafting Tables'!$1:$1000, 4, false)*F354,"")</f>
        <v/>
      </c>
      <c r="K354" s="29" t="b">
        <v>0</v>
      </c>
      <c r="L354" s="37"/>
      <c r="M354" s="29"/>
      <c r="N354" s="21" t="str">
        <f t="shared" si="2"/>
        <v/>
      </c>
      <c r="P354" s="37"/>
      <c r="Q354" s="29"/>
      <c r="R354" s="29" t="b">
        <v>0</v>
      </c>
      <c r="S354" s="22" t="str">
        <f t="shared" si="3"/>
        <v/>
      </c>
      <c r="T354" s="7">
        <f>IF(ISBLANK(P354), 0, VLOOKUP(P354, 'Price Sheet'!$A$2:$B1015, 2, false))</f>
        <v>0</v>
      </c>
      <c r="U354" s="33" t="str">
        <f t="shared" si="4"/>
        <v/>
      </c>
      <c r="V354" s="37"/>
      <c r="W354" s="29"/>
      <c r="X354" s="29" t="b">
        <v>0</v>
      </c>
      <c r="Y354" s="22" t="str">
        <f t="shared" si="5"/>
        <v/>
      </c>
      <c r="Z354" s="7">
        <f>IF(ISBLANK(V354), 0, VLOOKUP(V354, 'Price Sheet'!$A$2:$B1015, 2, false))</f>
        <v>0</v>
      </c>
      <c r="AA354" s="33" t="str">
        <f t="shared" si="6"/>
        <v/>
      </c>
      <c r="AB354" s="37"/>
      <c r="AC354" s="29"/>
      <c r="AD354" s="29" t="b">
        <v>0</v>
      </c>
      <c r="AE354" s="22" t="str">
        <f t="shared" si="7"/>
        <v/>
      </c>
      <c r="AF354" s="7">
        <f>IF(ISBLANK(AB354), 0, VLOOKUP(AB354, 'Price Sheet'!$A$2:$B1015, 2, false))</f>
        <v>0</v>
      </c>
      <c r="AG354" s="33" t="str">
        <f t="shared" si="8"/>
        <v/>
      </c>
      <c r="AH354" s="37"/>
      <c r="AI354" s="29"/>
      <c r="AJ354" s="29" t="b">
        <v>0</v>
      </c>
      <c r="AK354" s="22" t="str">
        <f t="shared" si="9"/>
        <v/>
      </c>
      <c r="AL354" s="7">
        <f>IF(ISBLANK(AH354), 0, VLOOKUP(AH354, 'Price Sheet'!$A$2:$B1015, 2, false))</f>
        <v>0</v>
      </c>
      <c r="AM354" s="33" t="str">
        <f t="shared" si="10"/>
        <v/>
      </c>
      <c r="AN354" s="37"/>
      <c r="AO354" s="29"/>
      <c r="AP354" s="29" t="b">
        <v>0</v>
      </c>
      <c r="AQ354" s="22" t="str">
        <f t="shared" si="11"/>
        <v/>
      </c>
      <c r="AR354" s="7">
        <f>IF(ISBLANK(AN354), 0, VLOOKUP(AN354, 'Price Sheet'!$A$2:$B1015, 2, false))</f>
        <v>0</v>
      </c>
      <c r="AS354" s="33" t="str">
        <f t="shared" si="12"/>
        <v/>
      </c>
      <c r="AT354" s="37"/>
      <c r="AU354" s="29"/>
      <c r="AV354" s="29" t="b">
        <v>0</v>
      </c>
      <c r="AW354" s="22" t="str">
        <f t="shared" si="13"/>
        <v/>
      </c>
      <c r="AX354" s="7">
        <f>IF(ISBLANK(AT354), 0, VLOOKUP(AT354, 'Price Sheet'!$A$2:$B1015, 2, false))</f>
        <v>0</v>
      </c>
      <c r="AY354" s="33" t="str">
        <f t="shared" si="14"/>
        <v/>
      </c>
      <c r="AZ354" s="37"/>
      <c r="BA354" s="29"/>
      <c r="BB354" s="29" t="b">
        <v>0</v>
      </c>
      <c r="BC354" s="22" t="str">
        <f t="shared" si="15"/>
        <v/>
      </c>
      <c r="BD354" s="7">
        <f>IF(ISBLANK(AZ354), 0, VLOOKUP(AZ354, 'Price Sheet'!$A$2:$B1015, 2, false))</f>
        <v>0</v>
      </c>
      <c r="BE354" s="33" t="str">
        <f t="shared" si="16"/>
        <v/>
      </c>
      <c r="BF354" s="37"/>
      <c r="BG354" s="29"/>
      <c r="BH354" s="29" t="b">
        <v>0</v>
      </c>
      <c r="BI354" s="22" t="str">
        <f t="shared" si="17"/>
        <v/>
      </c>
      <c r="BJ354" s="7">
        <f>IF(ISBLANK(BF354), 0, VLOOKUP(BF354, 'Price Sheet'!$A$2:$B1015, 2, false))</f>
        <v>0</v>
      </c>
      <c r="BK354" s="33" t="str">
        <f t="shared" si="18"/>
        <v/>
      </c>
      <c r="BL354" s="37"/>
      <c r="BM354" s="29"/>
      <c r="BN354" s="29" t="b">
        <v>0</v>
      </c>
      <c r="BO354" s="22" t="str">
        <f t="shared" si="19"/>
        <v/>
      </c>
      <c r="BP354" s="7">
        <f>IF(ISBLANK(BL354), 0, VLOOKUP(BL354, 'Price Sheet'!$A$2:$B1015, 2, false))</f>
        <v>0</v>
      </c>
      <c r="BQ354" s="33" t="str">
        <f t="shared" si="20"/>
        <v/>
      </c>
    </row>
    <row r="355">
      <c r="B355" s="19"/>
      <c r="C355" s="29"/>
      <c r="D355" s="29"/>
      <c r="E355" s="7" t="str">
        <f>IF(ISBLANK(D355), "", VLOOKUP(D355,'Crafting Tables'!$A$2:$B1015, 2, false))</f>
        <v/>
      </c>
      <c r="F355" s="7" t="str">
        <f>IFERROR(IF(E355 = "None", 1, VLOOKUP(C355,General!$A$5:$L$35, SWITCH(E355, "Basic", 8, "Advanced", 10, "Modern", 12), false)),"")</f>
        <v/>
      </c>
      <c r="G355" s="29"/>
      <c r="H355" s="7">
        <f>IFERROR(VLOOKUP(C355, General!$A$5:$L$35, 6, false) * G355 / 1000, 0)</f>
        <v>0</v>
      </c>
      <c r="I355" s="29"/>
      <c r="J355" s="22" t="str">
        <f>IFERROR(I355*VLOOKUP(D355,'Crafting Tables'!$1:$1000, 4, false)*F355,"")</f>
        <v/>
      </c>
      <c r="K355" s="29" t="b">
        <v>0</v>
      </c>
      <c r="L355" s="37"/>
      <c r="M355" s="29"/>
      <c r="N355" s="21" t="str">
        <f t="shared" si="2"/>
        <v/>
      </c>
      <c r="P355" s="37"/>
      <c r="Q355" s="29"/>
      <c r="R355" s="29" t="b">
        <v>0</v>
      </c>
      <c r="S355" s="22" t="str">
        <f t="shared" si="3"/>
        <v/>
      </c>
      <c r="T355" s="7">
        <f>IF(ISBLANK(P355), 0, VLOOKUP(P355, 'Price Sheet'!$A$2:$B1015, 2, false))</f>
        <v>0</v>
      </c>
      <c r="U355" s="33" t="str">
        <f t="shared" si="4"/>
        <v/>
      </c>
      <c r="V355" s="37"/>
      <c r="W355" s="29"/>
      <c r="X355" s="29" t="b">
        <v>0</v>
      </c>
      <c r="Y355" s="22" t="str">
        <f t="shared" si="5"/>
        <v/>
      </c>
      <c r="Z355" s="7">
        <f>IF(ISBLANK(V355), 0, VLOOKUP(V355, 'Price Sheet'!$A$2:$B1015, 2, false))</f>
        <v>0</v>
      </c>
      <c r="AA355" s="33" t="str">
        <f t="shared" si="6"/>
        <v/>
      </c>
      <c r="AB355" s="37"/>
      <c r="AC355" s="29"/>
      <c r="AD355" s="29" t="b">
        <v>0</v>
      </c>
      <c r="AE355" s="22" t="str">
        <f t="shared" si="7"/>
        <v/>
      </c>
      <c r="AF355" s="7">
        <f>IF(ISBLANK(AB355), 0, VLOOKUP(AB355, 'Price Sheet'!$A$2:$B1015, 2, false))</f>
        <v>0</v>
      </c>
      <c r="AG355" s="33" t="str">
        <f t="shared" si="8"/>
        <v/>
      </c>
      <c r="AH355" s="37"/>
      <c r="AI355" s="29"/>
      <c r="AJ355" s="29" t="b">
        <v>0</v>
      </c>
      <c r="AK355" s="22" t="str">
        <f t="shared" si="9"/>
        <v/>
      </c>
      <c r="AL355" s="7">
        <f>IF(ISBLANK(AH355), 0, VLOOKUP(AH355, 'Price Sheet'!$A$2:$B1015, 2, false))</f>
        <v>0</v>
      </c>
      <c r="AM355" s="33" t="str">
        <f t="shared" si="10"/>
        <v/>
      </c>
      <c r="AN355" s="37"/>
      <c r="AO355" s="29"/>
      <c r="AP355" s="29" t="b">
        <v>0</v>
      </c>
      <c r="AQ355" s="22" t="str">
        <f t="shared" si="11"/>
        <v/>
      </c>
      <c r="AR355" s="7">
        <f>IF(ISBLANK(AN355), 0, VLOOKUP(AN355, 'Price Sheet'!$A$2:$B1015, 2, false))</f>
        <v>0</v>
      </c>
      <c r="AS355" s="33" t="str">
        <f t="shared" si="12"/>
        <v/>
      </c>
      <c r="AT355" s="37"/>
      <c r="AU355" s="29"/>
      <c r="AV355" s="29" t="b">
        <v>0</v>
      </c>
      <c r="AW355" s="22" t="str">
        <f t="shared" si="13"/>
        <v/>
      </c>
      <c r="AX355" s="7">
        <f>IF(ISBLANK(AT355), 0, VLOOKUP(AT355, 'Price Sheet'!$A$2:$B1015, 2, false))</f>
        <v>0</v>
      </c>
      <c r="AY355" s="33" t="str">
        <f t="shared" si="14"/>
        <v/>
      </c>
      <c r="AZ355" s="37"/>
      <c r="BA355" s="29"/>
      <c r="BB355" s="29" t="b">
        <v>0</v>
      </c>
      <c r="BC355" s="22" t="str">
        <f t="shared" si="15"/>
        <v/>
      </c>
      <c r="BD355" s="7">
        <f>IF(ISBLANK(AZ355), 0, VLOOKUP(AZ355, 'Price Sheet'!$A$2:$B1015, 2, false))</f>
        <v>0</v>
      </c>
      <c r="BE355" s="33" t="str">
        <f t="shared" si="16"/>
        <v/>
      </c>
      <c r="BF355" s="37"/>
      <c r="BG355" s="29"/>
      <c r="BH355" s="29" t="b">
        <v>0</v>
      </c>
      <c r="BI355" s="22" t="str">
        <f t="shared" si="17"/>
        <v/>
      </c>
      <c r="BJ355" s="7">
        <f>IF(ISBLANK(BF355), 0, VLOOKUP(BF355, 'Price Sheet'!$A$2:$B1015, 2, false))</f>
        <v>0</v>
      </c>
      <c r="BK355" s="33" t="str">
        <f t="shared" si="18"/>
        <v/>
      </c>
      <c r="BL355" s="37"/>
      <c r="BM355" s="29"/>
      <c r="BN355" s="29" t="b">
        <v>0</v>
      </c>
      <c r="BO355" s="22" t="str">
        <f t="shared" si="19"/>
        <v/>
      </c>
      <c r="BP355" s="7">
        <f>IF(ISBLANK(BL355), 0, VLOOKUP(BL355, 'Price Sheet'!$A$2:$B1015, 2, false))</f>
        <v>0</v>
      </c>
      <c r="BQ355" s="33" t="str">
        <f t="shared" si="20"/>
        <v/>
      </c>
    </row>
    <row r="356">
      <c r="B356" s="19"/>
      <c r="C356" s="29"/>
      <c r="D356" s="29"/>
      <c r="E356" s="7" t="str">
        <f>IF(ISBLANK(D356), "", VLOOKUP(D356,'Crafting Tables'!$A$2:$B1015, 2, false))</f>
        <v/>
      </c>
      <c r="F356" s="7" t="str">
        <f>IFERROR(IF(E356 = "None", 1, VLOOKUP(C356,General!$A$5:$L$35, SWITCH(E356, "Basic", 8, "Advanced", 10, "Modern", 12), false)),"")</f>
        <v/>
      </c>
      <c r="G356" s="29"/>
      <c r="H356" s="7">
        <f>IFERROR(VLOOKUP(C356, General!$A$5:$L$35, 6, false) * G356 / 1000, 0)</f>
        <v>0</v>
      </c>
      <c r="I356" s="29"/>
      <c r="J356" s="22" t="str">
        <f>IFERROR(I356*VLOOKUP(D356,'Crafting Tables'!$1:$1000, 4, false)*F356,"")</f>
        <v/>
      </c>
      <c r="K356" s="29" t="b">
        <v>0</v>
      </c>
      <c r="L356" s="37"/>
      <c r="M356" s="29"/>
      <c r="N356" s="21" t="str">
        <f t="shared" si="2"/>
        <v/>
      </c>
      <c r="P356" s="37"/>
      <c r="Q356" s="29"/>
      <c r="R356" s="29" t="b">
        <v>0</v>
      </c>
      <c r="S356" s="22" t="str">
        <f t="shared" si="3"/>
        <v/>
      </c>
      <c r="T356" s="7">
        <f>IF(ISBLANK(P356), 0, VLOOKUP(P356, 'Price Sheet'!$A$2:$B1015, 2, false))</f>
        <v>0</v>
      </c>
      <c r="U356" s="33" t="str">
        <f t="shared" si="4"/>
        <v/>
      </c>
      <c r="V356" s="37"/>
      <c r="W356" s="29"/>
      <c r="X356" s="29" t="b">
        <v>0</v>
      </c>
      <c r="Y356" s="22" t="str">
        <f t="shared" si="5"/>
        <v/>
      </c>
      <c r="Z356" s="7">
        <f>IF(ISBLANK(V356), 0, VLOOKUP(V356, 'Price Sheet'!$A$2:$B1015, 2, false))</f>
        <v>0</v>
      </c>
      <c r="AA356" s="33" t="str">
        <f t="shared" si="6"/>
        <v/>
      </c>
      <c r="AB356" s="37"/>
      <c r="AC356" s="29"/>
      <c r="AD356" s="29" t="b">
        <v>0</v>
      </c>
      <c r="AE356" s="22" t="str">
        <f t="shared" si="7"/>
        <v/>
      </c>
      <c r="AF356" s="7">
        <f>IF(ISBLANK(AB356), 0, VLOOKUP(AB356, 'Price Sheet'!$A$2:$B1015, 2, false))</f>
        <v>0</v>
      </c>
      <c r="AG356" s="33" t="str">
        <f t="shared" si="8"/>
        <v/>
      </c>
      <c r="AH356" s="37"/>
      <c r="AI356" s="29"/>
      <c r="AJ356" s="29" t="b">
        <v>0</v>
      </c>
      <c r="AK356" s="22" t="str">
        <f t="shared" si="9"/>
        <v/>
      </c>
      <c r="AL356" s="7">
        <f>IF(ISBLANK(AH356), 0, VLOOKUP(AH356, 'Price Sheet'!$A$2:$B1015, 2, false))</f>
        <v>0</v>
      </c>
      <c r="AM356" s="33" t="str">
        <f t="shared" si="10"/>
        <v/>
      </c>
      <c r="AN356" s="37"/>
      <c r="AO356" s="29"/>
      <c r="AP356" s="29" t="b">
        <v>0</v>
      </c>
      <c r="AQ356" s="22" t="str">
        <f t="shared" si="11"/>
        <v/>
      </c>
      <c r="AR356" s="7">
        <f>IF(ISBLANK(AN356), 0, VLOOKUP(AN356, 'Price Sheet'!$A$2:$B1015, 2, false))</f>
        <v>0</v>
      </c>
      <c r="AS356" s="33" t="str">
        <f t="shared" si="12"/>
        <v/>
      </c>
      <c r="AT356" s="37"/>
      <c r="AU356" s="29"/>
      <c r="AV356" s="29" t="b">
        <v>0</v>
      </c>
      <c r="AW356" s="22" t="str">
        <f t="shared" si="13"/>
        <v/>
      </c>
      <c r="AX356" s="7">
        <f>IF(ISBLANK(AT356), 0, VLOOKUP(AT356, 'Price Sheet'!$A$2:$B1015, 2, false))</f>
        <v>0</v>
      </c>
      <c r="AY356" s="33" t="str">
        <f t="shared" si="14"/>
        <v/>
      </c>
      <c r="AZ356" s="37"/>
      <c r="BA356" s="29"/>
      <c r="BB356" s="29" t="b">
        <v>0</v>
      </c>
      <c r="BC356" s="22" t="str">
        <f t="shared" si="15"/>
        <v/>
      </c>
      <c r="BD356" s="7">
        <f>IF(ISBLANK(AZ356), 0, VLOOKUP(AZ356, 'Price Sheet'!$A$2:$B1015, 2, false))</f>
        <v>0</v>
      </c>
      <c r="BE356" s="33" t="str">
        <f t="shared" si="16"/>
        <v/>
      </c>
      <c r="BF356" s="37"/>
      <c r="BG356" s="29"/>
      <c r="BH356" s="29" t="b">
        <v>0</v>
      </c>
      <c r="BI356" s="22" t="str">
        <f t="shared" si="17"/>
        <v/>
      </c>
      <c r="BJ356" s="7">
        <f>IF(ISBLANK(BF356), 0, VLOOKUP(BF356, 'Price Sheet'!$A$2:$B1015, 2, false))</f>
        <v>0</v>
      </c>
      <c r="BK356" s="33" t="str">
        <f t="shared" si="18"/>
        <v/>
      </c>
      <c r="BL356" s="37"/>
      <c r="BM356" s="29"/>
      <c r="BN356" s="29" t="b">
        <v>0</v>
      </c>
      <c r="BO356" s="22" t="str">
        <f t="shared" si="19"/>
        <v/>
      </c>
      <c r="BP356" s="7">
        <f>IF(ISBLANK(BL356), 0, VLOOKUP(BL356, 'Price Sheet'!$A$2:$B1015, 2, false))</f>
        <v>0</v>
      </c>
      <c r="BQ356" s="33" t="str">
        <f t="shared" si="20"/>
        <v/>
      </c>
    </row>
    <row r="357">
      <c r="B357" s="19"/>
      <c r="C357" s="29"/>
      <c r="D357" s="29"/>
      <c r="E357" s="7" t="str">
        <f>IF(ISBLANK(D357), "", VLOOKUP(D357,'Crafting Tables'!$A$2:$B1015, 2, false))</f>
        <v/>
      </c>
      <c r="F357" s="7" t="str">
        <f>IFERROR(IF(E357 = "None", 1, VLOOKUP(C357,General!$A$5:$L$35, SWITCH(E357, "Basic", 8, "Advanced", 10, "Modern", 12), false)),"")</f>
        <v/>
      </c>
      <c r="G357" s="29"/>
      <c r="H357" s="7">
        <f>IFERROR(VLOOKUP(C357, General!$A$5:$L$35, 6, false) * G357 / 1000, 0)</f>
        <v>0</v>
      </c>
      <c r="I357" s="29"/>
      <c r="J357" s="22" t="str">
        <f>IFERROR(I357*VLOOKUP(D357,'Crafting Tables'!$1:$1000, 4, false)*F357,"")</f>
        <v/>
      </c>
      <c r="K357" s="29" t="b">
        <v>0</v>
      </c>
      <c r="L357" s="37"/>
      <c r="M357" s="29"/>
      <c r="N357" s="21" t="str">
        <f t="shared" si="2"/>
        <v/>
      </c>
      <c r="P357" s="37"/>
      <c r="Q357" s="29"/>
      <c r="R357" s="29" t="b">
        <v>0</v>
      </c>
      <c r="S357" s="22" t="str">
        <f t="shared" si="3"/>
        <v/>
      </c>
      <c r="T357" s="7">
        <f>IF(ISBLANK(P357), 0, VLOOKUP(P357, 'Price Sheet'!$A$2:$B1015, 2, false))</f>
        <v>0</v>
      </c>
      <c r="U357" s="33" t="str">
        <f t="shared" si="4"/>
        <v/>
      </c>
      <c r="V357" s="37"/>
      <c r="W357" s="29"/>
      <c r="X357" s="29" t="b">
        <v>0</v>
      </c>
      <c r="Y357" s="22" t="str">
        <f t="shared" si="5"/>
        <v/>
      </c>
      <c r="Z357" s="7">
        <f>IF(ISBLANK(V357), 0, VLOOKUP(V357, 'Price Sheet'!$A$2:$B1015, 2, false))</f>
        <v>0</v>
      </c>
      <c r="AA357" s="33" t="str">
        <f t="shared" si="6"/>
        <v/>
      </c>
      <c r="AB357" s="37"/>
      <c r="AC357" s="29"/>
      <c r="AD357" s="29" t="b">
        <v>0</v>
      </c>
      <c r="AE357" s="22" t="str">
        <f t="shared" si="7"/>
        <v/>
      </c>
      <c r="AF357" s="7">
        <f>IF(ISBLANK(AB357), 0, VLOOKUP(AB357, 'Price Sheet'!$A$2:$B1015, 2, false))</f>
        <v>0</v>
      </c>
      <c r="AG357" s="33" t="str">
        <f t="shared" si="8"/>
        <v/>
      </c>
      <c r="AH357" s="37"/>
      <c r="AI357" s="29"/>
      <c r="AJ357" s="29" t="b">
        <v>0</v>
      </c>
      <c r="AK357" s="22" t="str">
        <f t="shared" si="9"/>
        <v/>
      </c>
      <c r="AL357" s="7">
        <f>IF(ISBLANK(AH357), 0, VLOOKUP(AH357, 'Price Sheet'!$A$2:$B1015, 2, false))</f>
        <v>0</v>
      </c>
      <c r="AM357" s="33" t="str">
        <f t="shared" si="10"/>
        <v/>
      </c>
      <c r="AN357" s="37"/>
      <c r="AO357" s="29"/>
      <c r="AP357" s="29" t="b">
        <v>0</v>
      </c>
      <c r="AQ357" s="22" t="str">
        <f t="shared" si="11"/>
        <v/>
      </c>
      <c r="AR357" s="7">
        <f>IF(ISBLANK(AN357), 0, VLOOKUP(AN357, 'Price Sheet'!$A$2:$B1015, 2, false))</f>
        <v>0</v>
      </c>
      <c r="AS357" s="33" t="str">
        <f t="shared" si="12"/>
        <v/>
      </c>
      <c r="AT357" s="37"/>
      <c r="AU357" s="29"/>
      <c r="AV357" s="29" t="b">
        <v>0</v>
      </c>
      <c r="AW357" s="22" t="str">
        <f t="shared" si="13"/>
        <v/>
      </c>
      <c r="AX357" s="7">
        <f>IF(ISBLANK(AT357), 0, VLOOKUP(AT357, 'Price Sheet'!$A$2:$B1015, 2, false))</f>
        <v>0</v>
      </c>
      <c r="AY357" s="33" t="str">
        <f t="shared" si="14"/>
        <v/>
      </c>
      <c r="AZ357" s="37"/>
      <c r="BA357" s="29"/>
      <c r="BB357" s="29" t="b">
        <v>0</v>
      </c>
      <c r="BC357" s="22" t="str">
        <f t="shared" si="15"/>
        <v/>
      </c>
      <c r="BD357" s="7">
        <f>IF(ISBLANK(AZ357), 0, VLOOKUP(AZ357, 'Price Sheet'!$A$2:$B1015, 2, false))</f>
        <v>0</v>
      </c>
      <c r="BE357" s="33" t="str">
        <f t="shared" si="16"/>
        <v/>
      </c>
      <c r="BF357" s="37"/>
      <c r="BG357" s="29"/>
      <c r="BH357" s="29" t="b">
        <v>0</v>
      </c>
      <c r="BI357" s="22" t="str">
        <f t="shared" si="17"/>
        <v/>
      </c>
      <c r="BJ357" s="7">
        <f>IF(ISBLANK(BF357), 0, VLOOKUP(BF357, 'Price Sheet'!$A$2:$B1015, 2, false))</f>
        <v>0</v>
      </c>
      <c r="BK357" s="33" t="str">
        <f t="shared" si="18"/>
        <v/>
      </c>
      <c r="BL357" s="37"/>
      <c r="BM357" s="29"/>
      <c r="BN357" s="29" t="b">
        <v>0</v>
      </c>
      <c r="BO357" s="22" t="str">
        <f t="shared" si="19"/>
        <v/>
      </c>
      <c r="BP357" s="7">
        <f>IF(ISBLANK(BL357), 0, VLOOKUP(BL357, 'Price Sheet'!$A$2:$B1015, 2, false))</f>
        <v>0</v>
      </c>
      <c r="BQ357" s="33" t="str">
        <f t="shared" si="20"/>
        <v/>
      </c>
    </row>
    <row r="358">
      <c r="B358" s="19"/>
      <c r="C358" s="29"/>
      <c r="D358" s="29"/>
      <c r="E358" s="7" t="str">
        <f>IF(ISBLANK(D358), "", VLOOKUP(D358,'Crafting Tables'!$A$2:$B1015, 2, false))</f>
        <v/>
      </c>
      <c r="F358" s="7" t="str">
        <f>IFERROR(IF(E358 = "None", 1, VLOOKUP(C358,General!$A$5:$L$35, SWITCH(E358, "Basic", 8, "Advanced", 10, "Modern", 12), false)),"")</f>
        <v/>
      </c>
      <c r="G358" s="29"/>
      <c r="H358" s="7">
        <f>IFERROR(VLOOKUP(C358, General!$A$5:$L$35, 6, false) * G358 / 1000, 0)</f>
        <v>0</v>
      </c>
      <c r="I358" s="29"/>
      <c r="J358" s="22" t="str">
        <f>IFERROR(I358*VLOOKUP(D358,'Crafting Tables'!$1:$1000, 4, false)*F358,"")</f>
        <v/>
      </c>
      <c r="K358" s="29" t="b">
        <v>0</v>
      </c>
      <c r="L358" s="37"/>
      <c r="M358" s="29"/>
      <c r="N358" s="21" t="str">
        <f t="shared" si="2"/>
        <v/>
      </c>
      <c r="P358" s="37"/>
      <c r="Q358" s="29"/>
      <c r="R358" s="29" t="b">
        <v>0</v>
      </c>
      <c r="S358" s="22" t="str">
        <f t="shared" si="3"/>
        <v/>
      </c>
      <c r="T358" s="7">
        <f>IF(ISBLANK(P358), 0, VLOOKUP(P358, 'Price Sheet'!$A$2:$B1015, 2, false))</f>
        <v>0</v>
      </c>
      <c r="U358" s="33" t="str">
        <f t="shared" si="4"/>
        <v/>
      </c>
      <c r="V358" s="37"/>
      <c r="W358" s="29"/>
      <c r="X358" s="29" t="b">
        <v>0</v>
      </c>
      <c r="Y358" s="22" t="str">
        <f t="shared" si="5"/>
        <v/>
      </c>
      <c r="Z358" s="7">
        <f>IF(ISBLANK(V358), 0, VLOOKUP(V358, 'Price Sheet'!$A$2:$B1015, 2, false))</f>
        <v>0</v>
      </c>
      <c r="AA358" s="33" t="str">
        <f t="shared" si="6"/>
        <v/>
      </c>
      <c r="AB358" s="37"/>
      <c r="AC358" s="29"/>
      <c r="AD358" s="29" t="b">
        <v>0</v>
      </c>
      <c r="AE358" s="22" t="str">
        <f t="shared" si="7"/>
        <v/>
      </c>
      <c r="AF358" s="7">
        <f>IF(ISBLANK(AB358), 0, VLOOKUP(AB358, 'Price Sheet'!$A$2:$B1015, 2, false))</f>
        <v>0</v>
      </c>
      <c r="AG358" s="33" t="str">
        <f t="shared" si="8"/>
        <v/>
      </c>
      <c r="AH358" s="37"/>
      <c r="AI358" s="29"/>
      <c r="AJ358" s="29" t="b">
        <v>0</v>
      </c>
      <c r="AK358" s="22" t="str">
        <f t="shared" si="9"/>
        <v/>
      </c>
      <c r="AL358" s="7">
        <f>IF(ISBLANK(AH358), 0, VLOOKUP(AH358, 'Price Sheet'!$A$2:$B1015, 2, false))</f>
        <v>0</v>
      </c>
      <c r="AM358" s="33" t="str">
        <f t="shared" si="10"/>
        <v/>
      </c>
      <c r="AN358" s="37"/>
      <c r="AO358" s="29"/>
      <c r="AP358" s="29" t="b">
        <v>0</v>
      </c>
      <c r="AQ358" s="22" t="str">
        <f t="shared" si="11"/>
        <v/>
      </c>
      <c r="AR358" s="7">
        <f>IF(ISBLANK(AN358), 0, VLOOKUP(AN358, 'Price Sheet'!$A$2:$B1015, 2, false))</f>
        <v>0</v>
      </c>
      <c r="AS358" s="33" t="str">
        <f t="shared" si="12"/>
        <v/>
      </c>
      <c r="AT358" s="37"/>
      <c r="AU358" s="29"/>
      <c r="AV358" s="29" t="b">
        <v>0</v>
      </c>
      <c r="AW358" s="22" t="str">
        <f t="shared" si="13"/>
        <v/>
      </c>
      <c r="AX358" s="7">
        <f>IF(ISBLANK(AT358), 0, VLOOKUP(AT358, 'Price Sheet'!$A$2:$B1015, 2, false))</f>
        <v>0</v>
      </c>
      <c r="AY358" s="33" t="str">
        <f t="shared" si="14"/>
        <v/>
      </c>
      <c r="AZ358" s="37"/>
      <c r="BA358" s="29"/>
      <c r="BB358" s="29" t="b">
        <v>0</v>
      </c>
      <c r="BC358" s="22" t="str">
        <f t="shared" si="15"/>
        <v/>
      </c>
      <c r="BD358" s="7">
        <f>IF(ISBLANK(AZ358), 0, VLOOKUP(AZ358, 'Price Sheet'!$A$2:$B1015, 2, false))</f>
        <v>0</v>
      </c>
      <c r="BE358" s="33" t="str">
        <f t="shared" si="16"/>
        <v/>
      </c>
      <c r="BF358" s="37"/>
      <c r="BG358" s="29"/>
      <c r="BH358" s="29" t="b">
        <v>0</v>
      </c>
      <c r="BI358" s="22" t="str">
        <f t="shared" si="17"/>
        <v/>
      </c>
      <c r="BJ358" s="7">
        <f>IF(ISBLANK(BF358), 0, VLOOKUP(BF358, 'Price Sheet'!$A$2:$B1015, 2, false))</f>
        <v>0</v>
      </c>
      <c r="BK358" s="33" t="str">
        <f t="shared" si="18"/>
        <v/>
      </c>
      <c r="BL358" s="37"/>
      <c r="BM358" s="29"/>
      <c r="BN358" s="29" t="b">
        <v>0</v>
      </c>
      <c r="BO358" s="22" t="str">
        <f t="shared" si="19"/>
        <v/>
      </c>
      <c r="BP358" s="7">
        <f>IF(ISBLANK(BL358), 0, VLOOKUP(BL358, 'Price Sheet'!$A$2:$B1015, 2, false))</f>
        <v>0</v>
      </c>
      <c r="BQ358" s="33" t="str">
        <f t="shared" si="20"/>
        <v/>
      </c>
    </row>
    <row r="359">
      <c r="B359" s="19"/>
      <c r="C359" s="29"/>
      <c r="D359" s="29"/>
      <c r="E359" s="7" t="str">
        <f>IF(ISBLANK(D359), "", VLOOKUP(D359,'Crafting Tables'!$A$2:$B1015, 2, false))</f>
        <v/>
      </c>
      <c r="F359" s="7" t="str">
        <f>IFERROR(IF(E359 = "None", 1, VLOOKUP(C359,General!$A$5:$L$35, SWITCH(E359, "Basic", 8, "Advanced", 10, "Modern", 12), false)),"")</f>
        <v/>
      </c>
      <c r="G359" s="29"/>
      <c r="H359" s="7">
        <f>IFERROR(VLOOKUP(C359, General!$A$5:$L$35, 6, false) * G359 / 1000, 0)</f>
        <v>0</v>
      </c>
      <c r="I359" s="29"/>
      <c r="J359" s="22" t="str">
        <f>IFERROR(I359*VLOOKUP(D359,'Crafting Tables'!$1:$1000, 4, false)*F359,"")</f>
        <v/>
      </c>
      <c r="K359" s="29" t="b">
        <v>0</v>
      </c>
      <c r="L359" s="37"/>
      <c r="M359" s="29"/>
      <c r="N359" s="21" t="str">
        <f t="shared" si="2"/>
        <v/>
      </c>
      <c r="P359" s="37"/>
      <c r="Q359" s="29"/>
      <c r="R359" s="29" t="b">
        <v>0</v>
      </c>
      <c r="S359" s="22" t="str">
        <f t="shared" si="3"/>
        <v/>
      </c>
      <c r="T359" s="7">
        <f>IF(ISBLANK(P359), 0, VLOOKUP(P359, 'Price Sheet'!$A$2:$B1015, 2, false))</f>
        <v>0</v>
      </c>
      <c r="U359" s="33" t="str">
        <f t="shared" si="4"/>
        <v/>
      </c>
      <c r="V359" s="37"/>
      <c r="W359" s="29"/>
      <c r="X359" s="29" t="b">
        <v>0</v>
      </c>
      <c r="Y359" s="22" t="str">
        <f t="shared" si="5"/>
        <v/>
      </c>
      <c r="Z359" s="7">
        <f>IF(ISBLANK(V359), 0, VLOOKUP(V359, 'Price Sheet'!$A$2:$B1015, 2, false))</f>
        <v>0</v>
      </c>
      <c r="AA359" s="33" t="str">
        <f t="shared" si="6"/>
        <v/>
      </c>
      <c r="AB359" s="37"/>
      <c r="AC359" s="29"/>
      <c r="AD359" s="29" t="b">
        <v>0</v>
      </c>
      <c r="AE359" s="22" t="str">
        <f t="shared" si="7"/>
        <v/>
      </c>
      <c r="AF359" s="7">
        <f>IF(ISBLANK(AB359), 0, VLOOKUP(AB359, 'Price Sheet'!$A$2:$B1015, 2, false))</f>
        <v>0</v>
      </c>
      <c r="AG359" s="33" t="str">
        <f t="shared" si="8"/>
        <v/>
      </c>
      <c r="AH359" s="37"/>
      <c r="AI359" s="29"/>
      <c r="AJ359" s="29" t="b">
        <v>0</v>
      </c>
      <c r="AK359" s="22" t="str">
        <f t="shared" si="9"/>
        <v/>
      </c>
      <c r="AL359" s="7">
        <f>IF(ISBLANK(AH359), 0, VLOOKUP(AH359, 'Price Sheet'!$A$2:$B1015, 2, false))</f>
        <v>0</v>
      </c>
      <c r="AM359" s="33" t="str">
        <f t="shared" si="10"/>
        <v/>
      </c>
      <c r="AN359" s="37"/>
      <c r="AO359" s="29"/>
      <c r="AP359" s="29" t="b">
        <v>0</v>
      </c>
      <c r="AQ359" s="22" t="str">
        <f t="shared" si="11"/>
        <v/>
      </c>
      <c r="AR359" s="7">
        <f>IF(ISBLANK(AN359), 0, VLOOKUP(AN359, 'Price Sheet'!$A$2:$B1015, 2, false))</f>
        <v>0</v>
      </c>
      <c r="AS359" s="33" t="str">
        <f t="shared" si="12"/>
        <v/>
      </c>
      <c r="AT359" s="37"/>
      <c r="AU359" s="29"/>
      <c r="AV359" s="29" t="b">
        <v>0</v>
      </c>
      <c r="AW359" s="22" t="str">
        <f t="shared" si="13"/>
        <v/>
      </c>
      <c r="AX359" s="7">
        <f>IF(ISBLANK(AT359), 0, VLOOKUP(AT359, 'Price Sheet'!$A$2:$B1015, 2, false))</f>
        <v>0</v>
      </c>
      <c r="AY359" s="33" t="str">
        <f t="shared" si="14"/>
        <v/>
      </c>
      <c r="AZ359" s="37"/>
      <c r="BA359" s="29"/>
      <c r="BB359" s="29" t="b">
        <v>0</v>
      </c>
      <c r="BC359" s="22" t="str">
        <f t="shared" si="15"/>
        <v/>
      </c>
      <c r="BD359" s="7">
        <f>IF(ISBLANK(AZ359), 0, VLOOKUP(AZ359, 'Price Sheet'!$A$2:$B1015, 2, false))</f>
        <v>0</v>
      </c>
      <c r="BE359" s="33" t="str">
        <f t="shared" si="16"/>
        <v/>
      </c>
      <c r="BF359" s="37"/>
      <c r="BG359" s="29"/>
      <c r="BH359" s="29" t="b">
        <v>0</v>
      </c>
      <c r="BI359" s="22" t="str">
        <f t="shared" si="17"/>
        <v/>
      </c>
      <c r="BJ359" s="7">
        <f>IF(ISBLANK(BF359), 0, VLOOKUP(BF359, 'Price Sheet'!$A$2:$B1015, 2, false))</f>
        <v>0</v>
      </c>
      <c r="BK359" s="33" t="str">
        <f t="shared" si="18"/>
        <v/>
      </c>
      <c r="BL359" s="37"/>
      <c r="BM359" s="29"/>
      <c r="BN359" s="29" t="b">
        <v>0</v>
      </c>
      <c r="BO359" s="22" t="str">
        <f t="shared" si="19"/>
        <v/>
      </c>
      <c r="BP359" s="7">
        <f>IF(ISBLANK(BL359), 0, VLOOKUP(BL359, 'Price Sheet'!$A$2:$B1015, 2, false))</f>
        <v>0</v>
      </c>
      <c r="BQ359" s="33" t="str">
        <f t="shared" si="20"/>
        <v/>
      </c>
    </row>
    <row r="360">
      <c r="B360" s="19"/>
      <c r="C360" s="29"/>
      <c r="D360" s="29"/>
      <c r="E360" s="7" t="str">
        <f>IF(ISBLANK(D360), "", VLOOKUP(D360,'Crafting Tables'!$A$2:$B1015, 2, false))</f>
        <v/>
      </c>
      <c r="F360" s="7" t="str">
        <f>IFERROR(IF(E360 = "None", 1, VLOOKUP(C360,General!$A$5:$L$35, SWITCH(E360, "Basic", 8, "Advanced", 10, "Modern", 12), false)),"")</f>
        <v/>
      </c>
      <c r="G360" s="29"/>
      <c r="H360" s="7">
        <f>IFERROR(VLOOKUP(C360, General!$A$5:$L$35, 6, false) * G360 / 1000, 0)</f>
        <v>0</v>
      </c>
      <c r="I360" s="29"/>
      <c r="J360" s="22" t="str">
        <f>IFERROR(I360*VLOOKUP(D360,'Crafting Tables'!$1:$1000, 4, false)*F360,"")</f>
        <v/>
      </c>
      <c r="K360" s="29" t="b">
        <v>0</v>
      </c>
      <c r="L360" s="37"/>
      <c r="M360" s="29"/>
      <c r="N360" s="21" t="str">
        <f t="shared" si="2"/>
        <v/>
      </c>
      <c r="P360" s="37"/>
      <c r="Q360" s="29"/>
      <c r="R360" s="29" t="b">
        <v>0</v>
      </c>
      <c r="S360" s="22" t="str">
        <f t="shared" si="3"/>
        <v/>
      </c>
      <c r="T360" s="7">
        <f>IF(ISBLANK(P360), 0, VLOOKUP(P360, 'Price Sheet'!$A$2:$B1015, 2, false))</f>
        <v>0</v>
      </c>
      <c r="U360" s="33" t="str">
        <f t="shared" si="4"/>
        <v/>
      </c>
      <c r="V360" s="37"/>
      <c r="W360" s="29"/>
      <c r="X360" s="29" t="b">
        <v>0</v>
      </c>
      <c r="Y360" s="22" t="str">
        <f t="shared" si="5"/>
        <v/>
      </c>
      <c r="Z360" s="7">
        <f>IF(ISBLANK(V360), 0, VLOOKUP(V360, 'Price Sheet'!$A$2:$B1015, 2, false))</f>
        <v>0</v>
      </c>
      <c r="AA360" s="33" t="str">
        <f t="shared" si="6"/>
        <v/>
      </c>
      <c r="AB360" s="37"/>
      <c r="AC360" s="29"/>
      <c r="AD360" s="29" t="b">
        <v>0</v>
      </c>
      <c r="AE360" s="22" t="str">
        <f t="shared" si="7"/>
        <v/>
      </c>
      <c r="AF360" s="7">
        <f>IF(ISBLANK(AB360), 0, VLOOKUP(AB360, 'Price Sheet'!$A$2:$B1015, 2, false))</f>
        <v>0</v>
      </c>
      <c r="AG360" s="33" t="str">
        <f t="shared" si="8"/>
        <v/>
      </c>
      <c r="AH360" s="37"/>
      <c r="AI360" s="29"/>
      <c r="AJ360" s="29" t="b">
        <v>0</v>
      </c>
      <c r="AK360" s="22" t="str">
        <f t="shared" si="9"/>
        <v/>
      </c>
      <c r="AL360" s="7">
        <f>IF(ISBLANK(AH360), 0, VLOOKUP(AH360, 'Price Sheet'!$A$2:$B1015, 2, false))</f>
        <v>0</v>
      </c>
      <c r="AM360" s="33" t="str">
        <f t="shared" si="10"/>
        <v/>
      </c>
      <c r="AN360" s="37"/>
      <c r="AO360" s="29"/>
      <c r="AP360" s="29" t="b">
        <v>0</v>
      </c>
      <c r="AQ360" s="22" t="str">
        <f t="shared" si="11"/>
        <v/>
      </c>
      <c r="AR360" s="7">
        <f>IF(ISBLANK(AN360), 0, VLOOKUP(AN360, 'Price Sheet'!$A$2:$B1015, 2, false))</f>
        <v>0</v>
      </c>
      <c r="AS360" s="33" t="str">
        <f t="shared" si="12"/>
        <v/>
      </c>
      <c r="AT360" s="37"/>
      <c r="AU360" s="29"/>
      <c r="AV360" s="29" t="b">
        <v>0</v>
      </c>
      <c r="AW360" s="22" t="str">
        <f t="shared" si="13"/>
        <v/>
      </c>
      <c r="AX360" s="7">
        <f>IF(ISBLANK(AT360), 0, VLOOKUP(AT360, 'Price Sheet'!$A$2:$B1015, 2, false))</f>
        <v>0</v>
      </c>
      <c r="AY360" s="33" t="str">
        <f t="shared" si="14"/>
        <v/>
      </c>
      <c r="AZ360" s="37"/>
      <c r="BA360" s="29"/>
      <c r="BB360" s="29" t="b">
        <v>0</v>
      </c>
      <c r="BC360" s="22" t="str">
        <f t="shared" si="15"/>
        <v/>
      </c>
      <c r="BD360" s="7">
        <f>IF(ISBLANK(AZ360), 0, VLOOKUP(AZ360, 'Price Sheet'!$A$2:$B1015, 2, false))</f>
        <v>0</v>
      </c>
      <c r="BE360" s="33" t="str">
        <f t="shared" si="16"/>
        <v/>
      </c>
      <c r="BF360" s="37"/>
      <c r="BG360" s="29"/>
      <c r="BH360" s="29" t="b">
        <v>0</v>
      </c>
      <c r="BI360" s="22" t="str">
        <f t="shared" si="17"/>
        <v/>
      </c>
      <c r="BJ360" s="7">
        <f>IF(ISBLANK(BF360), 0, VLOOKUP(BF360, 'Price Sheet'!$A$2:$B1015, 2, false))</f>
        <v>0</v>
      </c>
      <c r="BK360" s="33" t="str">
        <f t="shared" si="18"/>
        <v/>
      </c>
      <c r="BL360" s="37"/>
      <c r="BM360" s="29"/>
      <c r="BN360" s="29" t="b">
        <v>0</v>
      </c>
      <c r="BO360" s="22" t="str">
        <f t="shared" si="19"/>
        <v/>
      </c>
      <c r="BP360" s="7">
        <f>IF(ISBLANK(BL360), 0, VLOOKUP(BL360, 'Price Sheet'!$A$2:$B1015, 2, false))</f>
        <v>0</v>
      </c>
      <c r="BQ360" s="33" t="str">
        <f t="shared" si="20"/>
        <v/>
      </c>
    </row>
    <row r="361">
      <c r="B361" s="19"/>
      <c r="C361" s="29"/>
      <c r="D361" s="29"/>
      <c r="E361" s="7" t="str">
        <f>IF(ISBLANK(D361), "", VLOOKUP(D361,'Crafting Tables'!$A$2:$B1015, 2, false))</f>
        <v/>
      </c>
      <c r="F361" s="7" t="str">
        <f>IFERROR(IF(E361 = "None", 1, VLOOKUP(C361,General!$A$5:$L$35, SWITCH(E361, "Basic", 8, "Advanced", 10, "Modern", 12), false)),"")</f>
        <v/>
      </c>
      <c r="G361" s="29"/>
      <c r="H361" s="7">
        <f>IFERROR(VLOOKUP(C361, General!$A$5:$L$35, 6, false) * G361 / 1000, 0)</f>
        <v>0</v>
      </c>
      <c r="I361" s="29"/>
      <c r="J361" s="22" t="str">
        <f>IFERROR(I361*VLOOKUP(D361,'Crafting Tables'!$1:$1000, 4, false)*F361,"")</f>
        <v/>
      </c>
      <c r="K361" s="29" t="b">
        <v>0</v>
      </c>
      <c r="L361" s="37"/>
      <c r="M361" s="29"/>
      <c r="N361" s="21" t="str">
        <f t="shared" si="2"/>
        <v/>
      </c>
      <c r="P361" s="37"/>
      <c r="Q361" s="29"/>
      <c r="R361" s="29" t="b">
        <v>0</v>
      </c>
      <c r="S361" s="22" t="str">
        <f t="shared" si="3"/>
        <v/>
      </c>
      <c r="T361" s="7">
        <f>IF(ISBLANK(P361), 0, VLOOKUP(P361, 'Price Sheet'!$A$2:$B1015, 2, false))</f>
        <v>0</v>
      </c>
      <c r="U361" s="33" t="str">
        <f t="shared" si="4"/>
        <v/>
      </c>
      <c r="V361" s="37"/>
      <c r="W361" s="29"/>
      <c r="X361" s="29" t="b">
        <v>0</v>
      </c>
      <c r="Y361" s="22" t="str">
        <f t="shared" si="5"/>
        <v/>
      </c>
      <c r="Z361" s="7">
        <f>IF(ISBLANK(V361), 0, VLOOKUP(V361, 'Price Sheet'!$A$2:$B1015, 2, false))</f>
        <v>0</v>
      </c>
      <c r="AA361" s="33" t="str">
        <f t="shared" si="6"/>
        <v/>
      </c>
      <c r="AB361" s="37"/>
      <c r="AC361" s="29"/>
      <c r="AD361" s="29" t="b">
        <v>0</v>
      </c>
      <c r="AE361" s="22" t="str">
        <f t="shared" si="7"/>
        <v/>
      </c>
      <c r="AF361" s="7">
        <f>IF(ISBLANK(AB361), 0, VLOOKUP(AB361, 'Price Sheet'!$A$2:$B1015, 2, false))</f>
        <v>0</v>
      </c>
      <c r="AG361" s="33" t="str">
        <f t="shared" si="8"/>
        <v/>
      </c>
      <c r="AH361" s="37"/>
      <c r="AI361" s="29"/>
      <c r="AJ361" s="29" t="b">
        <v>0</v>
      </c>
      <c r="AK361" s="22" t="str">
        <f t="shared" si="9"/>
        <v/>
      </c>
      <c r="AL361" s="7">
        <f>IF(ISBLANK(AH361), 0, VLOOKUP(AH361, 'Price Sheet'!$A$2:$B1015, 2, false))</f>
        <v>0</v>
      </c>
      <c r="AM361" s="33" t="str">
        <f t="shared" si="10"/>
        <v/>
      </c>
      <c r="AN361" s="37"/>
      <c r="AO361" s="29"/>
      <c r="AP361" s="29" t="b">
        <v>0</v>
      </c>
      <c r="AQ361" s="22" t="str">
        <f t="shared" si="11"/>
        <v/>
      </c>
      <c r="AR361" s="7">
        <f>IF(ISBLANK(AN361), 0, VLOOKUP(AN361, 'Price Sheet'!$A$2:$B1015, 2, false))</f>
        <v>0</v>
      </c>
      <c r="AS361" s="33" t="str">
        <f t="shared" si="12"/>
        <v/>
      </c>
      <c r="AT361" s="37"/>
      <c r="AU361" s="29"/>
      <c r="AV361" s="29" t="b">
        <v>0</v>
      </c>
      <c r="AW361" s="22" t="str">
        <f t="shared" si="13"/>
        <v/>
      </c>
      <c r="AX361" s="7">
        <f>IF(ISBLANK(AT361), 0, VLOOKUP(AT361, 'Price Sheet'!$A$2:$B1015, 2, false))</f>
        <v>0</v>
      </c>
      <c r="AY361" s="33" t="str">
        <f t="shared" si="14"/>
        <v/>
      </c>
      <c r="AZ361" s="37"/>
      <c r="BA361" s="29"/>
      <c r="BB361" s="29" t="b">
        <v>0</v>
      </c>
      <c r="BC361" s="22" t="str">
        <f t="shared" si="15"/>
        <v/>
      </c>
      <c r="BD361" s="7">
        <f>IF(ISBLANK(AZ361), 0, VLOOKUP(AZ361, 'Price Sheet'!$A$2:$B1015, 2, false))</f>
        <v>0</v>
      </c>
      <c r="BE361" s="33" t="str">
        <f t="shared" si="16"/>
        <v/>
      </c>
      <c r="BF361" s="37"/>
      <c r="BG361" s="29"/>
      <c r="BH361" s="29" t="b">
        <v>0</v>
      </c>
      <c r="BI361" s="22" t="str">
        <f t="shared" si="17"/>
        <v/>
      </c>
      <c r="BJ361" s="7">
        <f>IF(ISBLANK(BF361), 0, VLOOKUP(BF361, 'Price Sheet'!$A$2:$B1015, 2, false))</f>
        <v>0</v>
      </c>
      <c r="BK361" s="33" t="str">
        <f t="shared" si="18"/>
        <v/>
      </c>
      <c r="BL361" s="37"/>
      <c r="BM361" s="29"/>
      <c r="BN361" s="29" t="b">
        <v>0</v>
      </c>
      <c r="BO361" s="22" t="str">
        <f t="shared" si="19"/>
        <v/>
      </c>
      <c r="BP361" s="7">
        <f>IF(ISBLANK(BL361), 0, VLOOKUP(BL361, 'Price Sheet'!$A$2:$B1015, 2, false))</f>
        <v>0</v>
      </c>
      <c r="BQ361" s="33" t="str">
        <f t="shared" si="20"/>
        <v/>
      </c>
    </row>
    <row r="362">
      <c r="B362" s="19"/>
      <c r="C362" s="29"/>
      <c r="D362" s="29"/>
      <c r="E362" s="7" t="str">
        <f>IF(ISBLANK(D362), "", VLOOKUP(D362,'Crafting Tables'!$A$2:$B1015, 2, false))</f>
        <v/>
      </c>
      <c r="F362" s="7" t="str">
        <f>IFERROR(IF(E362 = "None", 1, VLOOKUP(C362,General!$A$5:$L$35, SWITCH(E362, "Basic", 8, "Advanced", 10, "Modern", 12), false)),"")</f>
        <v/>
      </c>
      <c r="G362" s="29"/>
      <c r="H362" s="7">
        <f>IFERROR(VLOOKUP(C362, General!$A$5:$L$35, 6, false) * G362 / 1000, 0)</f>
        <v>0</v>
      </c>
      <c r="I362" s="29"/>
      <c r="J362" s="22" t="str">
        <f>IFERROR(I362*VLOOKUP(D362,'Crafting Tables'!$1:$1000, 4, false)*F362,"")</f>
        <v/>
      </c>
      <c r="K362" s="29" t="b">
        <v>0</v>
      </c>
      <c r="L362" s="37"/>
      <c r="M362" s="29"/>
      <c r="N362" s="21" t="str">
        <f t="shared" si="2"/>
        <v/>
      </c>
      <c r="P362" s="37"/>
      <c r="Q362" s="29"/>
      <c r="R362" s="29" t="b">
        <v>0</v>
      </c>
      <c r="S362" s="22" t="str">
        <f t="shared" si="3"/>
        <v/>
      </c>
      <c r="T362" s="7">
        <f>IF(ISBLANK(P362), 0, VLOOKUP(P362, 'Price Sheet'!$A$2:$B1015, 2, false))</f>
        <v>0</v>
      </c>
      <c r="U362" s="33" t="str">
        <f t="shared" si="4"/>
        <v/>
      </c>
      <c r="V362" s="37"/>
      <c r="W362" s="29"/>
      <c r="X362" s="29" t="b">
        <v>0</v>
      </c>
      <c r="Y362" s="22" t="str">
        <f t="shared" si="5"/>
        <v/>
      </c>
      <c r="Z362" s="7">
        <f>IF(ISBLANK(V362), 0, VLOOKUP(V362, 'Price Sheet'!$A$2:$B1015, 2, false))</f>
        <v>0</v>
      </c>
      <c r="AA362" s="33" t="str">
        <f t="shared" si="6"/>
        <v/>
      </c>
      <c r="AB362" s="37"/>
      <c r="AC362" s="29"/>
      <c r="AD362" s="29" t="b">
        <v>0</v>
      </c>
      <c r="AE362" s="22" t="str">
        <f t="shared" si="7"/>
        <v/>
      </c>
      <c r="AF362" s="7">
        <f>IF(ISBLANK(AB362), 0, VLOOKUP(AB362, 'Price Sheet'!$A$2:$B1015, 2, false))</f>
        <v>0</v>
      </c>
      <c r="AG362" s="33" t="str">
        <f t="shared" si="8"/>
        <v/>
      </c>
      <c r="AH362" s="37"/>
      <c r="AI362" s="29"/>
      <c r="AJ362" s="29" t="b">
        <v>0</v>
      </c>
      <c r="AK362" s="22" t="str">
        <f t="shared" si="9"/>
        <v/>
      </c>
      <c r="AL362" s="7">
        <f>IF(ISBLANK(AH362), 0, VLOOKUP(AH362, 'Price Sheet'!$A$2:$B1015, 2, false))</f>
        <v>0</v>
      </c>
      <c r="AM362" s="33" t="str">
        <f t="shared" si="10"/>
        <v/>
      </c>
      <c r="AN362" s="37"/>
      <c r="AO362" s="29"/>
      <c r="AP362" s="29" t="b">
        <v>0</v>
      </c>
      <c r="AQ362" s="22" t="str">
        <f t="shared" si="11"/>
        <v/>
      </c>
      <c r="AR362" s="7">
        <f>IF(ISBLANK(AN362), 0, VLOOKUP(AN362, 'Price Sheet'!$A$2:$B1015, 2, false))</f>
        <v>0</v>
      </c>
      <c r="AS362" s="33" t="str">
        <f t="shared" si="12"/>
        <v/>
      </c>
      <c r="AT362" s="37"/>
      <c r="AU362" s="29"/>
      <c r="AV362" s="29" t="b">
        <v>0</v>
      </c>
      <c r="AW362" s="22" t="str">
        <f t="shared" si="13"/>
        <v/>
      </c>
      <c r="AX362" s="7">
        <f>IF(ISBLANK(AT362), 0, VLOOKUP(AT362, 'Price Sheet'!$A$2:$B1015, 2, false))</f>
        <v>0</v>
      </c>
      <c r="AY362" s="33" t="str">
        <f t="shared" si="14"/>
        <v/>
      </c>
      <c r="AZ362" s="37"/>
      <c r="BA362" s="29"/>
      <c r="BB362" s="29" t="b">
        <v>0</v>
      </c>
      <c r="BC362" s="22" t="str">
        <f t="shared" si="15"/>
        <v/>
      </c>
      <c r="BD362" s="7">
        <f>IF(ISBLANK(AZ362), 0, VLOOKUP(AZ362, 'Price Sheet'!$A$2:$B1015, 2, false))</f>
        <v>0</v>
      </c>
      <c r="BE362" s="33" t="str">
        <f t="shared" si="16"/>
        <v/>
      </c>
      <c r="BF362" s="37"/>
      <c r="BG362" s="29"/>
      <c r="BH362" s="29" t="b">
        <v>0</v>
      </c>
      <c r="BI362" s="22" t="str">
        <f t="shared" si="17"/>
        <v/>
      </c>
      <c r="BJ362" s="7">
        <f>IF(ISBLANK(BF362), 0, VLOOKUP(BF362, 'Price Sheet'!$A$2:$B1015, 2, false))</f>
        <v>0</v>
      </c>
      <c r="BK362" s="33" t="str">
        <f t="shared" si="18"/>
        <v/>
      </c>
      <c r="BL362" s="37"/>
      <c r="BM362" s="29"/>
      <c r="BN362" s="29" t="b">
        <v>0</v>
      </c>
      <c r="BO362" s="22" t="str">
        <f t="shared" si="19"/>
        <v/>
      </c>
      <c r="BP362" s="7">
        <f>IF(ISBLANK(BL362), 0, VLOOKUP(BL362, 'Price Sheet'!$A$2:$B1015, 2, false))</f>
        <v>0</v>
      </c>
      <c r="BQ362" s="33" t="str">
        <f t="shared" si="20"/>
        <v/>
      </c>
    </row>
    <row r="363">
      <c r="B363" s="19"/>
      <c r="C363" s="29"/>
      <c r="D363" s="29"/>
      <c r="E363" s="7" t="str">
        <f>IF(ISBLANK(D363), "", VLOOKUP(D363,'Crafting Tables'!$A$2:$B1015, 2, false))</f>
        <v/>
      </c>
      <c r="F363" s="7" t="str">
        <f>IFERROR(IF(E363 = "None", 1, VLOOKUP(C363,General!$A$5:$L$35, SWITCH(E363, "Basic", 8, "Advanced", 10, "Modern", 12), false)),"")</f>
        <v/>
      </c>
      <c r="G363" s="29"/>
      <c r="H363" s="7">
        <f>IFERROR(VLOOKUP(C363, General!$A$5:$L$35, 6, false) * G363 / 1000, 0)</f>
        <v>0</v>
      </c>
      <c r="I363" s="29"/>
      <c r="J363" s="22" t="str">
        <f>IFERROR(I363*VLOOKUP(D363,'Crafting Tables'!$1:$1000, 4, false)*F363,"")</f>
        <v/>
      </c>
      <c r="K363" s="29" t="b">
        <v>0</v>
      </c>
      <c r="L363" s="37"/>
      <c r="M363" s="29"/>
      <c r="N363" s="21" t="str">
        <f t="shared" si="2"/>
        <v/>
      </c>
      <c r="P363" s="37"/>
      <c r="Q363" s="29"/>
      <c r="R363" s="29" t="b">
        <v>0</v>
      </c>
      <c r="S363" s="22" t="str">
        <f t="shared" si="3"/>
        <v/>
      </c>
      <c r="T363" s="7">
        <f>IF(ISBLANK(P363), 0, VLOOKUP(P363, 'Price Sheet'!$A$2:$B1015, 2, false))</f>
        <v>0</v>
      </c>
      <c r="U363" s="33" t="str">
        <f t="shared" si="4"/>
        <v/>
      </c>
      <c r="V363" s="37"/>
      <c r="W363" s="29"/>
      <c r="X363" s="29" t="b">
        <v>0</v>
      </c>
      <c r="Y363" s="22" t="str">
        <f t="shared" si="5"/>
        <v/>
      </c>
      <c r="Z363" s="7">
        <f>IF(ISBLANK(V363), 0, VLOOKUP(V363, 'Price Sheet'!$A$2:$B1015, 2, false))</f>
        <v>0</v>
      </c>
      <c r="AA363" s="33" t="str">
        <f t="shared" si="6"/>
        <v/>
      </c>
      <c r="AB363" s="37"/>
      <c r="AC363" s="29"/>
      <c r="AD363" s="29" t="b">
        <v>0</v>
      </c>
      <c r="AE363" s="22" t="str">
        <f t="shared" si="7"/>
        <v/>
      </c>
      <c r="AF363" s="7">
        <f>IF(ISBLANK(AB363), 0, VLOOKUP(AB363, 'Price Sheet'!$A$2:$B1015, 2, false))</f>
        <v>0</v>
      </c>
      <c r="AG363" s="33" t="str">
        <f t="shared" si="8"/>
        <v/>
      </c>
      <c r="AH363" s="37"/>
      <c r="AI363" s="29"/>
      <c r="AJ363" s="29" t="b">
        <v>0</v>
      </c>
      <c r="AK363" s="22" t="str">
        <f t="shared" si="9"/>
        <v/>
      </c>
      <c r="AL363" s="7">
        <f>IF(ISBLANK(AH363), 0, VLOOKUP(AH363, 'Price Sheet'!$A$2:$B1015, 2, false))</f>
        <v>0</v>
      </c>
      <c r="AM363" s="33" t="str">
        <f t="shared" si="10"/>
        <v/>
      </c>
      <c r="AN363" s="37"/>
      <c r="AO363" s="29"/>
      <c r="AP363" s="29" t="b">
        <v>0</v>
      </c>
      <c r="AQ363" s="22" t="str">
        <f t="shared" si="11"/>
        <v/>
      </c>
      <c r="AR363" s="7">
        <f>IF(ISBLANK(AN363), 0, VLOOKUP(AN363, 'Price Sheet'!$A$2:$B1015, 2, false))</f>
        <v>0</v>
      </c>
      <c r="AS363" s="33" t="str">
        <f t="shared" si="12"/>
        <v/>
      </c>
      <c r="AT363" s="37"/>
      <c r="AU363" s="29"/>
      <c r="AV363" s="29" t="b">
        <v>0</v>
      </c>
      <c r="AW363" s="22" t="str">
        <f t="shared" si="13"/>
        <v/>
      </c>
      <c r="AX363" s="7">
        <f>IF(ISBLANK(AT363), 0, VLOOKUP(AT363, 'Price Sheet'!$A$2:$B1015, 2, false))</f>
        <v>0</v>
      </c>
      <c r="AY363" s="33" t="str">
        <f t="shared" si="14"/>
        <v/>
      </c>
      <c r="AZ363" s="37"/>
      <c r="BA363" s="29"/>
      <c r="BB363" s="29" t="b">
        <v>0</v>
      </c>
      <c r="BC363" s="22" t="str">
        <f t="shared" si="15"/>
        <v/>
      </c>
      <c r="BD363" s="7">
        <f>IF(ISBLANK(AZ363), 0, VLOOKUP(AZ363, 'Price Sheet'!$A$2:$B1015, 2, false))</f>
        <v>0</v>
      </c>
      <c r="BE363" s="33" t="str">
        <f t="shared" si="16"/>
        <v/>
      </c>
      <c r="BF363" s="37"/>
      <c r="BG363" s="29"/>
      <c r="BH363" s="29" t="b">
        <v>0</v>
      </c>
      <c r="BI363" s="22" t="str">
        <f t="shared" si="17"/>
        <v/>
      </c>
      <c r="BJ363" s="7">
        <f>IF(ISBLANK(BF363), 0, VLOOKUP(BF363, 'Price Sheet'!$A$2:$B1015, 2, false))</f>
        <v>0</v>
      </c>
      <c r="BK363" s="33" t="str">
        <f t="shared" si="18"/>
        <v/>
      </c>
      <c r="BL363" s="37"/>
      <c r="BM363" s="29"/>
      <c r="BN363" s="29" t="b">
        <v>0</v>
      </c>
      <c r="BO363" s="22" t="str">
        <f t="shared" si="19"/>
        <v/>
      </c>
      <c r="BP363" s="7">
        <f>IF(ISBLANK(BL363), 0, VLOOKUP(BL363, 'Price Sheet'!$A$2:$B1015, 2, false))</f>
        <v>0</v>
      </c>
      <c r="BQ363" s="33" t="str">
        <f t="shared" si="20"/>
        <v/>
      </c>
    </row>
    <row r="364">
      <c r="B364" s="19"/>
      <c r="C364" s="29"/>
      <c r="D364" s="29"/>
      <c r="E364" s="7" t="str">
        <f>IF(ISBLANK(D364), "", VLOOKUP(D364,'Crafting Tables'!$A$2:$B1015, 2, false))</f>
        <v/>
      </c>
      <c r="F364" s="7" t="str">
        <f>IFERROR(IF(E364 = "None", 1, VLOOKUP(C364,General!$A$5:$L$35, SWITCH(E364, "Basic", 8, "Advanced", 10, "Modern", 12), false)),"")</f>
        <v/>
      </c>
      <c r="G364" s="29"/>
      <c r="H364" s="7">
        <f>IFERROR(VLOOKUP(C364, General!$A$5:$L$35, 6, false) * G364 / 1000, 0)</f>
        <v>0</v>
      </c>
      <c r="I364" s="29"/>
      <c r="J364" s="22" t="str">
        <f>IFERROR(I364*VLOOKUP(D364,'Crafting Tables'!$1:$1000, 4, false)*F364,"")</f>
        <v/>
      </c>
      <c r="K364" s="29" t="b">
        <v>0</v>
      </c>
      <c r="L364" s="37"/>
      <c r="M364" s="29"/>
      <c r="N364" s="21" t="str">
        <f t="shared" si="2"/>
        <v/>
      </c>
      <c r="P364" s="37"/>
      <c r="Q364" s="29"/>
      <c r="R364" s="29" t="b">
        <v>0</v>
      </c>
      <c r="S364" s="22" t="str">
        <f t="shared" si="3"/>
        <v/>
      </c>
      <c r="T364" s="7">
        <f>IF(ISBLANK(P364), 0, VLOOKUP(P364, 'Price Sheet'!$A$2:$B1015, 2, false))</f>
        <v>0</v>
      </c>
      <c r="U364" s="33" t="str">
        <f t="shared" si="4"/>
        <v/>
      </c>
      <c r="V364" s="37"/>
      <c r="W364" s="29"/>
      <c r="X364" s="29" t="b">
        <v>0</v>
      </c>
      <c r="Y364" s="22" t="str">
        <f t="shared" si="5"/>
        <v/>
      </c>
      <c r="Z364" s="7">
        <f>IF(ISBLANK(V364), 0, VLOOKUP(V364, 'Price Sheet'!$A$2:$B1015, 2, false))</f>
        <v>0</v>
      </c>
      <c r="AA364" s="33" t="str">
        <f t="shared" si="6"/>
        <v/>
      </c>
      <c r="AB364" s="37"/>
      <c r="AC364" s="29"/>
      <c r="AD364" s="29" t="b">
        <v>0</v>
      </c>
      <c r="AE364" s="22" t="str">
        <f t="shared" si="7"/>
        <v/>
      </c>
      <c r="AF364" s="7">
        <f>IF(ISBLANK(AB364), 0, VLOOKUP(AB364, 'Price Sheet'!$A$2:$B1015, 2, false))</f>
        <v>0</v>
      </c>
      <c r="AG364" s="33" t="str">
        <f t="shared" si="8"/>
        <v/>
      </c>
      <c r="AH364" s="37"/>
      <c r="AI364" s="29"/>
      <c r="AJ364" s="29" t="b">
        <v>0</v>
      </c>
      <c r="AK364" s="22" t="str">
        <f t="shared" si="9"/>
        <v/>
      </c>
      <c r="AL364" s="7">
        <f>IF(ISBLANK(AH364), 0, VLOOKUP(AH364, 'Price Sheet'!$A$2:$B1015, 2, false))</f>
        <v>0</v>
      </c>
      <c r="AM364" s="33" t="str">
        <f t="shared" si="10"/>
        <v/>
      </c>
      <c r="AN364" s="37"/>
      <c r="AO364" s="29"/>
      <c r="AP364" s="29" t="b">
        <v>0</v>
      </c>
      <c r="AQ364" s="22" t="str">
        <f t="shared" si="11"/>
        <v/>
      </c>
      <c r="AR364" s="7">
        <f>IF(ISBLANK(AN364), 0, VLOOKUP(AN364, 'Price Sheet'!$A$2:$B1015, 2, false))</f>
        <v>0</v>
      </c>
      <c r="AS364" s="33" t="str">
        <f t="shared" si="12"/>
        <v/>
      </c>
      <c r="AT364" s="37"/>
      <c r="AU364" s="29"/>
      <c r="AV364" s="29" t="b">
        <v>0</v>
      </c>
      <c r="AW364" s="22" t="str">
        <f t="shared" si="13"/>
        <v/>
      </c>
      <c r="AX364" s="7">
        <f>IF(ISBLANK(AT364), 0, VLOOKUP(AT364, 'Price Sheet'!$A$2:$B1015, 2, false))</f>
        <v>0</v>
      </c>
      <c r="AY364" s="33" t="str">
        <f t="shared" si="14"/>
        <v/>
      </c>
      <c r="AZ364" s="37"/>
      <c r="BA364" s="29"/>
      <c r="BB364" s="29" t="b">
        <v>0</v>
      </c>
      <c r="BC364" s="22" t="str">
        <f t="shared" si="15"/>
        <v/>
      </c>
      <c r="BD364" s="7">
        <f>IF(ISBLANK(AZ364), 0, VLOOKUP(AZ364, 'Price Sheet'!$A$2:$B1015, 2, false))</f>
        <v>0</v>
      </c>
      <c r="BE364" s="33" t="str">
        <f t="shared" si="16"/>
        <v/>
      </c>
      <c r="BF364" s="37"/>
      <c r="BG364" s="29"/>
      <c r="BH364" s="29" t="b">
        <v>0</v>
      </c>
      <c r="BI364" s="22" t="str">
        <f t="shared" si="17"/>
        <v/>
      </c>
      <c r="BJ364" s="7">
        <f>IF(ISBLANK(BF364), 0, VLOOKUP(BF364, 'Price Sheet'!$A$2:$B1015, 2, false))</f>
        <v>0</v>
      </c>
      <c r="BK364" s="33" t="str">
        <f t="shared" si="18"/>
        <v/>
      </c>
      <c r="BL364" s="37"/>
      <c r="BM364" s="29"/>
      <c r="BN364" s="29" t="b">
        <v>0</v>
      </c>
      <c r="BO364" s="22" t="str">
        <f t="shared" si="19"/>
        <v/>
      </c>
      <c r="BP364" s="7">
        <f>IF(ISBLANK(BL364), 0, VLOOKUP(BL364, 'Price Sheet'!$A$2:$B1015, 2, false))</f>
        <v>0</v>
      </c>
      <c r="BQ364" s="33" t="str">
        <f t="shared" si="20"/>
        <v/>
      </c>
    </row>
    <row r="365">
      <c r="B365" s="19"/>
      <c r="C365" s="29"/>
      <c r="D365" s="29"/>
      <c r="E365" s="7" t="str">
        <f>IF(ISBLANK(D365), "", VLOOKUP(D365,'Crafting Tables'!$A$2:$B1015, 2, false))</f>
        <v/>
      </c>
      <c r="F365" s="7" t="str">
        <f>IFERROR(IF(E365 = "None", 1, VLOOKUP(C365,General!$A$5:$L$35, SWITCH(E365, "Basic", 8, "Advanced", 10, "Modern", 12), false)),"")</f>
        <v/>
      </c>
      <c r="G365" s="29"/>
      <c r="H365" s="7">
        <f>IFERROR(VLOOKUP(C365, General!$A$5:$L$35, 6, false) * G365 / 1000, 0)</f>
        <v>0</v>
      </c>
      <c r="I365" s="29"/>
      <c r="J365" s="22" t="str">
        <f>IFERROR(I365*VLOOKUP(D365,'Crafting Tables'!$1:$1000, 4, false)*F365,"")</f>
        <v/>
      </c>
      <c r="K365" s="29" t="b">
        <v>0</v>
      </c>
      <c r="L365" s="37"/>
      <c r="M365" s="29"/>
      <c r="N365" s="21" t="str">
        <f t="shared" si="2"/>
        <v/>
      </c>
      <c r="P365" s="37"/>
      <c r="Q365" s="29"/>
      <c r="R365" s="29" t="b">
        <v>0</v>
      </c>
      <c r="S365" s="22" t="str">
        <f t="shared" si="3"/>
        <v/>
      </c>
      <c r="T365" s="7">
        <f>IF(ISBLANK(P365), 0, VLOOKUP(P365, 'Price Sheet'!$A$2:$B1015, 2, false))</f>
        <v>0</v>
      </c>
      <c r="U365" s="33" t="str">
        <f t="shared" si="4"/>
        <v/>
      </c>
      <c r="V365" s="37"/>
      <c r="W365" s="29"/>
      <c r="X365" s="29" t="b">
        <v>0</v>
      </c>
      <c r="Y365" s="22" t="str">
        <f t="shared" si="5"/>
        <v/>
      </c>
      <c r="Z365" s="7">
        <f>IF(ISBLANK(V365), 0, VLOOKUP(V365, 'Price Sheet'!$A$2:$B1015, 2, false))</f>
        <v>0</v>
      </c>
      <c r="AA365" s="33" t="str">
        <f t="shared" si="6"/>
        <v/>
      </c>
      <c r="AB365" s="37"/>
      <c r="AC365" s="29"/>
      <c r="AD365" s="29" t="b">
        <v>0</v>
      </c>
      <c r="AE365" s="22" t="str">
        <f t="shared" si="7"/>
        <v/>
      </c>
      <c r="AF365" s="7">
        <f>IF(ISBLANK(AB365), 0, VLOOKUP(AB365, 'Price Sheet'!$A$2:$B1015, 2, false))</f>
        <v>0</v>
      </c>
      <c r="AG365" s="33" t="str">
        <f t="shared" si="8"/>
        <v/>
      </c>
      <c r="AH365" s="37"/>
      <c r="AI365" s="29"/>
      <c r="AJ365" s="29" t="b">
        <v>0</v>
      </c>
      <c r="AK365" s="22" t="str">
        <f t="shared" si="9"/>
        <v/>
      </c>
      <c r="AL365" s="7">
        <f>IF(ISBLANK(AH365), 0, VLOOKUP(AH365, 'Price Sheet'!$A$2:$B1015, 2, false))</f>
        <v>0</v>
      </c>
      <c r="AM365" s="33" t="str">
        <f t="shared" si="10"/>
        <v/>
      </c>
      <c r="AN365" s="37"/>
      <c r="AO365" s="29"/>
      <c r="AP365" s="29" t="b">
        <v>0</v>
      </c>
      <c r="AQ365" s="22" t="str">
        <f t="shared" si="11"/>
        <v/>
      </c>
      <c r="AR365" s="7">
        <f>IF(ISBLANK(AN365), 0, VLOOKUP(AN365, 'Price Sheet'!$A$2:$B1015, 2, false))</f>
        <v>0</v>
      </c>
      <c r="AS365" s="33" t="str">
        <f t="shared" si="12"/>
        <v/>
      </c>
      <c r="AT365" s="37"/>
      <c r="AU365" s="29"/>
      <c r="AV365" s="29" t="b">
        <v>0</v>
      </c>
      <c r="AW365" s="22" t="str">
        <f t="shared" si="13"/>
        <v/>
      </c>
      <c r="AX365" s="7">
        <f>IF(ISBLANK(AT365), 0, VLOOKUP(AT365, 'Price Sheet'!$A$2:$B1015, 2, false))</f>
        <v>0</v>
      </c>
      <c r="AY365" s="33" t="str">
        <f t="shared" si="14"/>
        <v/>
      </c>
      <c r="AZ365" s="37"/>
      <c r="BA365" s="29"/>
      <c r="BB365" s="29" t="b">
        <v>0</v>
      </c>
      <c r="BC365" s="22" t="str">
        <f t="shared" si="15"/>
        <v/>
      </c>
      <c r="BD365" s="7">
        <f>IF(ISBLANK(AZ365), 0, VLOOKUP(AZ365, 'Price Sheet'!$A$2:$B1015, 2, false))</f>
        <v>0</v>
      </c>
      <c r="BE365" s="33" t="str">
        <f t="shared" si="16"/>
        <v/>
      </c>
      <c r="BF365" s="37"/>
      <c r="BG365" s="29"/>
      <c r="BH365" s="29" t="b">
        <v>0</v>
      </c>
      <c r="BI365" s="22" t="str">
        <f t="shared" si="17"/>
        <v/>
      </c>
      <c r="BJ365" s="7">
        <f>IF(ISBLANK(BF365), 0, VLOOKUP(BF365, 'Price Sheet'!$A$2:$B1015, 2, false))</f>
        <v>0</v>
      </c>
      <c r="BK365" s="33" t="str">
        <f t="shared" si="18"/>
        <v/>
      </c>
      <c r="BL365" s="37"/>
      <c r="BM365" s="29"/>
      <c r="BN365" s="29" t="b">
        <v>0</v>
      </c>
      <c r="BO365" s="22" t="str">
        <f t="shared" si="19"/>
        <v/>
      </c>
      <c r="BP365" s="7">
        <f>IF(ISBLANK(BL365), 0, VLOOKUP(BL365, 'Price Sheet'!$A$2:$B1015, 2, false))</f>
        <v>0</v>
      </c>
      <c r="BQ365" s="33" t="str">
        <f t="shared" si="20"/>
        <v/>
      </c>
    </row>
    <row r="366">
      <c r="B366" s="19"/>
      <c r="C366" s="29"/>
      <c r="D366" s="29"/>
      <c r="E366" s="7" t="str">
        <f>IF(ISBLANK(D366), "", VLOOKUP(D366,'Crafting Tables'!$A$2:$B1015, 2, false))</f>
        <v/>
      </c>
      <c r="F366" s="7" t="str">
        <f>IFERROR(IF(E366 = "None", 1, VLOOKUP(C366,General!$A$5:$L$35, SWITCH(E366, "Basic", 8, "Advanced", 10, "Modern", 12), false)),"")</f>
        <v/>
      </c>
      <c r="G366" s="29"/>
      <c r="H366" s="7">
        <f>IFERROR(VLOOKUP(C366, General!$A$5:$L$35, 6, false) * G366 / 1000, 0)</f>
        <v>0</v>
      </c>
      <c r="I366" s="29"/>
      <c r="J366" s="22" t="str">
        <f>IFERROR(I366*VLOOKUP(D366,'Crafting Tables'!$1:$1000, 4, false)*F366,"")</f>
        <v/>
      </c>
      <c r="K366" s="29" t="b">
        <v>0</v>
      </c>
      <c r="L366" s="37"/>
      <c r="M366" s="29"/>
      <c r="N366" s="21" t="str">
        <f t="shared" si="2"/>
        <v/>
      </c>
      <c r="P366" s="37"/>
      <c r="Q366" s="29"/>
      <c r="R366" s="29" t="b">
        <v>0</v>
      </c>
      <c r="S366" s="22" t="str">
        <f t="shared" si="3"/>
        <v/>
      </c>
      <c r="T366" s="7">
        <f>IF(ISBLANK(P366), 0, VLOOKUP(P366, 'Price Sheet'!$A$2:$B1015, 2, false))</f>
        <v>0</v>
      </c>
      <c r="U366" s="33" t="str">
        <f t="shared" si="4"/>
        <v/>
      </c>
      <c r="V366" s="37"/>
      <c r="W366" s="29"/>
      <c r="X366" s="29" t="b">
        <v>0</v>
      </c>
      <c r="Y366" s="22" t="str">
        <f t="shared" si="5"/>
        <v/>
      </c>
      <c r="Z366" s="7">
        <f>IF(ISBLANK(V366), 0, VLOOKUP(V366, 'Price Sheet'!$A$2:$B1015, 2, false))</f>
        <v>0</v>
      </c>
      <c r="AA366" s="33" t="str">
        <f t="shared" si="6"/>
        <v/>
      </c>
      <c r="AB366" s="37"/>
      <c r="AC366" s="29"/>
      <c r="AD366" s="29" t="b">
        <v>0</v>
      </c>
      <c r="AE366" s="22" t="str">
        <f t="shared" si="7"/>
        <v/>
      </c>
      <c r="AF366" s="7">
        <f>IF(ISBLANK(AB366), 0, VLOOKUP(AB366, 'Price Sheet'!$A$2:$B1015, 2, false))</f>
        <v>0</v>
      </c>
      <c r="AG366" s="33" t="str">
        <f t="shared" si="8"/>
        <v/>
      </c>
      <c r="AH366" s="37"/>
      <c r="AI366" s="29"/>
      <c r="AJ366" s="29" t="b">
        <v>0</v>
      </c>
      <c r="AK366" s="22" t="str">
        <f t="shared" si="9"/>
        <v/>
      </c>
      <c r="AL366" s="7">
        <f>IF(ISBLANK(AH366), 0, VLOOKUP(AH366, 'Price Sheet'!$A$2:$B1015, 2, false))</f>
        <v>0</v>
      </c>
      <c r="AM366" s="33" t="str">
        <f t="shared" si="10"/>
        <v/>
      </c>
      <c r="AN366" s="37"/>
      <c r="AO366" s="29"/>
      <c r="AP366" s="29" t="b">
        <v>0</v>
      </c>
      <c r="AQ366" s="22" t="str">
        <f t="shared" si="11"/>
        <v/>
      </c>
      <c r="AR366" s="7">
        <f>IF(ISBLANK(AN366), 0, VLOOKUP(AN366, 'Price Sheet'!$A$2:$B1015, 2, false))</f>
        <v>0</v>
      </c>
      <c r="AS366" s="33" t="str">
        <f t="shared" si="12"/>
        <v/>
      </c>
      <c r="AT366" s="37"/>
      <c r="AU366" s="29"/>
      <c r="AV366" s="29" t="b">
        <v>0</v>
      </c>
      <c r="AW366" s="22" t="str">
        <f t="shared" si="13"/>
        <v/>
      </c>
      <c r="AX366" s="7">
        <f>IF(ISBLANK(AT366), 0, VLOOKUP(AT366, 'Price Sheet'!$A$2:$B1015, 2, false))</f>
        <v>0</v>
      </c>
      <c r="AY366" s="33" t="str">
        <f t="shared" si="14"/>
        <v/>
      </c>
      <c r="AZ366" s="37"/>
      <c r="BA366" s="29"/>
      <c r="BB366" s="29" t="b">
        <v>0</v>
      </c>
      <c r="BC366" s="22" t="str">
        <f t="shared" si="15"/>
        <v/>
      </c>
      <c r="BD366" s="7">
        <f>IF(ISBLANK(AZ366), 0, VLOOKUP(AZ366, 'Price Sheet'!$A$2:$B1015, 2, false))</f>
        <v>0</v>
      </c>
      <c r="BE366" s="33" t="str">
        <f t="shared" si="16"/>
        <v/>
      </c>
      <c r="BF366" s="37"/>
      <c r="BG366" s="29"/>
      <c r="BH366" s="29" t="b">
        <v>0</v>
      </c>
      <c r="BI366" s="22" t="str">
        <f t="shared" si="17"/>
        <v/>
      </c>
      <c r="BJ366" s="7">
        <f>IF(ISBLANK(BF366), 0, VLOOKUP(BF366, 'Price Sheet'!$A$2:$B1015, 2, false))</f>
        <v>0</v>
      </c>
      <c r="BK366" s="33" t="str">
        <f t="shared" si="18"/>
        <v/>
      </c>
      <c r="BL366" s="37"/>
      <c r="BM366" s="29"/>
      <c r="BN366" s="29" t="b">
        <v>0</v>
      </c>
      <c r="BO366" s="22" t="str">
        <f t="shared" si="19"/>
        <v/>
      </c>
      <c r="BP366" s="7">
        <f>IF(ISBLANK(BL366), 0, VLOOKUP(BL366, 'Price Sheet'!$A$2:$B1015, 2, false))</f>
        <v>0</v>
      </c>
      <c r="BQ366" s="33" t="str">
        <f t="shared" si="20"/>
        <v/>
      </c>
    </row>
    <row r="367">
      <c r="B367" s="19"/>
      <c r="C367" s="29"/>
      <c r="D367" s="29"/>
      <c r="E367" s="7" t="str">
        <f>IF(ISBLANK(D367), "", VLOOKUP(D367,'Crafting Tables'!$A$2:$B1015, 2, false))</f>
        <v/>
      </c>
      <c r="F367" s="7" t="str">
        <f>IFERROR(IF(E367 = "None", 1, VLOOKUP(C367,General!$A$5:$L$35, SWITCH(E367, "Basic", 8, "Advanced", 10, "Modern", 12), false)),"")</f>
        <v/>
      </c>
      <c r="G367" s="29"/>
      <c r="H367" s="7">
        <f>IFERROR(VLOOKUP(C367, General!$A$5:$L$35, 6, false) * G367 / 1000, 0)</f>
        <v>0</v>
      </c>
      <c r="I367" s="29"/>
      <c r="J367" s="22" t="str">
        <f>IFERROR(I367*VLOOKUP(D367,'Crafting Tables'!$1:$1000, 4, false)*F367,"")</f>
        <v/>
      </c>
      <c r="K367" s="29" t="b">
        <v>0</v>
      </c>
      <c r="L367" s="37"/>
      <c r="M367" s="29"/>
      <c r="N367" s="21" t="str">
        <f t="shared" si="2"/>
        <v/>
      </c>
      <c r="P367" s="37"/>
      <c r="Q367" s="29"/>
      <c r="R367" s="29" t="b">
        <v>0</v>
      </c>
      <c r="S367" s="22" t="str">
        <f t="shared" si="3"/>
        <v/>
      </c>
      <c r="T367" s="7">
        <f>IF(ISBLANK(P367), 0, VLOOKUP(P367, 'Price Sheet'!$A$2:$B1015, 2, false))</f>
        <v>0</v>
      </c>
      <c r="U367" s="33" t="str">
        <f t="shared" si="4"/>
        <v/>
      </c>
      <c r="V367" s="37"/>
      <c r="W367" s="29"/>
      <c r="X367" s="29" t="b">
        <v>0</v>
      </c>
      <c r="Y367" s="22" t="str">
        <f t="shared" si="5"/>
        <v/>
      </c>
      <c r="Z367" s="7">
        <f>IF(ISBLANK(V367), 0, VLOOKUP(V367, 'Price Sheet'!$A$2:$B1015, 2, false))</f>
        <v>0</v>
      </c>
      <c r="AA367" s="33" t="str">
        <f t="shared" si="6"/>
        <v/>
      </c>
      <c r="AB367" s="37"/>
      <c r="AC367" s="29"/>
      <c r="AD367" s="29" t="b">
        <v>0</v>
      </c>
      <c r="AE367" s="22" t="str">
        <f t="shared" si="7"/>
        <v/>
      </c>
      <c r="AF367" s="7">
        <f>IF(ISBLANK(AB367), 0, VLOOKUP(AB367, 'Price Sheet'!$A$2:$B1015, 2, false))</f>
        <v>0</v>
      </c>
      <c r="AG367" s="33" t="str">
        <f t="shared" si="8"/>
        <v/>
      </c>
      <c r="AH367" s="37"/>
      <c r="AI367" s="29"/>
      <c r="AJ367" s="29" t="b">
        <v>0</v>
      </c>
      <c r="AK367" s="22" t="str">
        <f t="shared" si="9"/>
        <v/>
      </c>
      <c r="AL367" s="7">
        <f>IF(ISBLANK(AH367), 0, VLOOKUP(AH367, 'Price Sheet'!$A$2:$B1015, 2, false))</f>
        <v>0</v>
      </c>
      <c r="AM367" s="33" t="str">
        <f t="shared" si="10"/>
        <v/>
      </c>
      <c r="AN367" s="37"/>
      <c r="AO367" s="29"/>
      <c r="AP367" s="29" t="b">
        <v>0</v>
      </c>
      <c r="AQ367" s="22" t="str">
        <f t="shared" si="11"/>
        <v/>
      </c>
      <c r="AR367" s="7">
        <f>IF(ISBLANK(AN367), 0, VLOOKUP(AN367, 'Price Sheet'!$A$2:$B1015, 2, false))</f>
        <v>0</v>
      </c>
      <c r="AS367" s="33" t="str">
        <f t="shared" si="12"/>
        <v/>
      </c>
      <c r="AT367" s="37"/>
      <c r="AU367" s="29"/>
      <c r="AV367" s="29" t="b">
        <v>0</v>
      </c>
      <c r="AW367" s="22" t="str">
        <f t="shared" si="13"/>
        <v/>
      </c>
      <c r="AX367" s="7">
        <f>IF(ISBLANK(AT367), 0, VLOOKUP(AT367, 'Price Sheet'!$A$2:$B1015, 2, false))</f>
        <v>0</v>
      </c>
      <c r="AY367" s="33" t="str">
        <f t="shared" si="14"/>
        <v/>
      </c>
      <c r="AZ367" s="37"/>
      <c r="BA367" s="29"/>
      <c r="BB367" s="29" t="b">
        <v>0</v>
      </c>
      <c r="BC367" s="22" t="str">
        <f t="shared" si="15"/>
        <v/>
      </c>
      <c r="BD367" s="7">
        <f>IF(ISBLANK(AZ367), 0, VLOOKUP(AZ367, 'Price Sheet'!$A$2:$B1015, 2, false))</f>
        <v>0</v>
      </c>
      <c r="BE367" s="33" t="str">
        <f t="shared" si="16"/>
        <v/>
      </c>
      <c r="BF367" s="37"/>
      <c r="BG367" s="29"/>
      <c r="BH367" s="29" t="b">
        <v>0</v>
      </c>
      <c r="BI367" s="22" t="str">
        <f t="shared" si="17"/>
        <v/>
      </c>
      <c r="BJ367" s="7">
        <f>IF(ISBLANK(BF367), 0, VLOOKUP(BF367, 'Price Sheet'!$A$2:$B1015, 2, false))</f>
        <v>0</v>
      </c>
      <c r="BK367" s="33" t="str">
        <f t="shared" si="18"/>
        <v/>
      </c>
      <c r="BL367" s="37"/>
      <c r="BM367" s="29"/>
      <c r="BN367" s="29" t="b">
        <v>0</v>
      </c>
      <c r="BO367" s="22" t="str">
        <f t="shared" si="19"/>
        <v/>
      </c>
      <c r="BP367" s="7">
        <f>IF(ISBLANK(BL367), 0, VLOOKUP(BL367, 'Price Sheet'!$A$2:$B1015, 2, false))</f>
        <v>0</v>
      </c>
      <c r="BQ367" s="33" t="str">
        <f t="shared" si="20"/>
        <v/>
      </c>
    </row>
    <row r="368">
      <c r="B368" s="19"/>
      <c r="C368" s="29"/>
      <c r="D368" s="29"/>
      <c r="E368" s="7" t="str">
        <f>IF(ISBLANK(D368), "", VLOOKUP(D368,'Crafting Tables'!$A$2:$B1015, 2, false))</f>
        <v/>
      </c>
      <c r="F368" s="7" t="str">
        <f>IFERROR(IF(E368 = "None", 1, VLOOKUP(C368,General!$A$5:$L$35, SWITCH(E368, "Basic", 8, "Advanced", 10, "Modern", 12), false)),"")</f>
        <v/>
      </c>
      <c r="G368" s="29"/>
      <c r="H368" s="7">
        <f>IFERROR(VLOOKUP(C368, General!$A$5:$L$35, 6, false) * G368 / 1000, 0)</f>
        <v>0</v>
      </c>
      <c r="I368" s="29"/>
      <c r="J368" s="22" t="str">
        <f>IFERROR(I368*VLOOKUP(D368,'Crafting Tables'!$1:$1000, 4, false)*F368,"")</f>
        <v/>
      </c>
      <c r="K368" s="29" t="b">
        <v>0</v>
      </c>
      <c r="L368" s="37"/>
      <c r="M368" s="29"/>
      <c r="N368" s="21" t="str">
        <f t="shared" si="2"/>
        <v/>
      </c>
      <c r="P368" s="37"/>
      <c r="Q368" s="29"/>
      <c r="R368" s="29" t="b">
        <v>0</v>
      </c>
      <c r="S368" s="22" t="str">
        <f t="shared" si="3"/>
        <v/>
      </c>
      <c r="T368" s="7">
        <f>IF(ISBLANK(P368), 0, VLOOKUP(P368, 'Price Sheet'!$A$2:$B1015, 2, false))</f>
        <v>0</v>
      </c>
      <c r="U368" s="33" t="str">
        <f t="shared" si="4"/>
        <v/>
      </c>
      <c r="V368" s="37"/>
      <c r="W368" s="29"/>
      <c r="X368" s="29" t="b">
        <v>0</v>
      </c>
      <c r="Y368" s="22" t="str">
        <f t="shared" si="5"/>
        <v/>
      </c>
      <c r="Z368" s="7">
        <f>IF(ISBLANK(V368), 0, VLOOKUP(V368, 'Price Sheet'!$A$2:$B1015, 2, false))</f>
        <v>0</v>
      </c>
      <c r="AA368" s="33" t="str">
        <f t="shared" si="6"/>
        <v/>
      </c>
      <c r="AB368" s="37"/>
      <c r="AC368" s="29"/>
      <c r="AD368" s="29" t="b">
        <v>0</v>
      </c>
      <c r="AE368" s="22" t="str">
        <f t="shared" si="7"/>
        <v/>
      </c>
      <c r="AF368" s="7">
        <f>IF(ISBLANK(AB368), 0, VLOOKUP(AB368, 'Price Sheet'!$A$2:$B1015, 2, false))</f>
        <v>0</v>
      </c>
      <c r="AG368" s="33" t="str">
        <f t="shared" si="8"/>
        <v/>
      </c>
      <c r="AH368" s="37"/>
      <c r="AI368" s="29"/>
      <c r="AJ368" s="29" t="b">
        <v>0</v>
      </c>
      <c r="AK368" s="22" t="str">
        <f t="shared" si="9"/>
        <v/>
      </c>
      <c r="AL368" s="7">
        <f>IF(ISBLANK(AH368), 0, VLOOKUP(AH368, 'Price Sheet'!$A$2:$B1015, 2, false))</f>
        <v>0</v>
      </c>
      <c r="AM368" s="33" t="str">
        <f t="shared" si="10"/>
        <v/>
      </c>
      <c r="AN368" s="37"/>
      <c r="AO368" s="29"/>
      <c r="AP368" s="29" t="b">
        <v>0</v>
      </c>
      <c r="AQ368" s="22" t="str">
        <f t="shared" si="11"/>
        <v/>
      </c>
      <c r="AR368" s="7">
        <f>IF(ISBLANK(AN368), 0, VLOOKUP(AN368, 'Price Sheet'!$A$2:$B1015, 2, false))</f>
        <v>0</v>
      </c>
      <c r="AS368" s="33" t="str">
        <f t="shared" si="12"/>
        <v/>
      </c>
      <c r="AT368" s="37"/>
      <c r="AU368" s="29"/>
      <c r="AV368" s="29" t="b">
        <v>0</v>
      </c>
      <c r="AW368" s="22" t="str">
        <f t="shared" si="13"/>
        <v/>
      </c>
      <c r="AX368" s="7">
        <f>IF(ISBLANK(AT368), 0, VLOOKUP(AT368, 'Price Sheet'!$A$2:$B1015, 2, false))</f>
        <v>0</v>
      </c>
      <c r="AY368" s="33" t="str">
        <f t="shared" si="14"/>
        <v/>
      </c>
      <c r="AZ368" s="37"/>
      <c r="BA368" s="29"/>
      <c r="BB368" s="29" t="b">
        <v>0</v>
      </c>
      <c r="BC368" s="22" t="str">
        <f t="shared" si="15"/>
        <v/>
      </c>
      <c r="BD368" s="7">
        <f>IF(ISBLANK(AZ368), 0, VLOOKUP(AZ368, 'Price Sheet'!$A$2:$B1015, 2, false))</f>
        <v>0</v>
      </c>
      <c r="BE368" s="33" t="str">
        <f t="shared" si="16"/>
        <v/>
      </c>
      <c r="BF368" s="37"/>
      <c r="BG368" s="29"/>
      <c r="BH368" s="29" t="b">
        <v>0</v>
      </c>
      <c r="BI368" s="22" t="str">
        <f t="shared" si="17"/>
        <v/>
      </c>
      <c r="BJ368" s="7">
        <f>IF(ISBLANK(BF368), 0, VLOOKUP(BF368, 'Price Sheet'!$A$2:$B1015, 2, false))</f>
        <v>0</v>
      </c>
      <c r="BK368" s="33" t="str">
        <f t="shared" si="18"/>
        <v/>
      </c>
      <c r="BL368" s="37"/>
      <c r="BM368" s="29"/>
      <c r="BN368" s="29" t="b">
        <v>0</v>
      </c>
      <c r="BO368" s="22" t="str">
        <f t="shared" si="19"/>
        <v/>
      </c>
      <c r="BP368" s="7">
        <f>IF(ISBLANK(BL368), 0, VLOOKUP(BL368, 'Price Sheet'!$A$2:$B1015, 2, false))</f>
        <v>0</v>
      </c>
      <c r="BQ368" s="33" t="str">
        <f t="shared" si="20"/>
        <v/>
      </c>
    </row>
    <row r="369">
      <c r="B369" s="19"/>
      <c r="C369" s="29"/>
      <c r="D369" s="29"/>
      <c r="E369" s="7" t="str">
        <f>IF(ISBLANK(D369), "", VLOOKUP(D369,'Crafting Tables'!$A$2:$B1015, 2, false))</f>
        <v/>
      </c>
      <c r="F369" s="7" t="str">
        <f>IFERROR(IF(E369 = "None", 1, VLOOKUP(C369,General!$A$5:$L$35, SWITCH(E369, "Basic", 8, "Advanced", 10, "Modern", 12), false)),"")</f>
        <v/>
      </c>
      <c r="G369" s="29"/>
      <c r="H369" s="7">
        <f>IFERROR(VLOOKUP(C369, General!$A$5:$L$35, 6, false) * G369 / 1000, 0)</f>
        <v>0</v>
      </c>
      <c r="I369" s="29"/>
      <c r="J369" s="22" t="str">
        <f>IFERROR(I369*VLOOKUP(D369,'Crafting Tables'!$1:$1000, 4, false)*F369,"")</f>
        <v/>
      </c>
      <c r="K369" s="29" t="b">
        <v>0</v>
      </c>
      <c r="L369" s="37"/>
      <c r="M369" s="29"/>
      <c r="N369" s="21" t="str">
        <f t="shared" si="2"/>
        <v/>
      </c>
      <c r="P369" s="37"/>
      <c r="Q369" s="29"/>
      <c r="R369" s="29" t="b">
        <v>0</v>
      </c>
      <c r="S369" s="22" t="str">
        <f t="shared" si="3"/>
        <v/>
      </c>
      <c r="T369" s="7">
        <f>IF(ISBLANK(P369), 0, VLOOKUP(P369, 'Price Sheet'!$A$2:$B1015, 2, false))</f>
        <v>0</v>
      </c>
      <c r="U369" s="33" t="str">
        <f t="shared" si="4"/>
        <v/>
      </c>
      <c r="V369" s="37"/>
      <c r="W369" s="29"/>
      <c r="X369" s="29" t="b">
        <v>0</v>
      </c>
      <c r="Y369" s="22" t="str">
        <f t="shared" si="5"/>
        <v/>
      </c>
      <c r="Z369" s="7">
        <f>IF(ISBLANK(V369), 0, VLOOKUP(V369, 'Price Sheet'!$A$2:$B1015, 2, false))</f>
        <v>0</v>
      </c>
      <c r="AA369" s="33" t="str">
        <f t="shared" si="6"/>
        <v/>
      </c>
      <c r="AB369" s="37"/>
      <c r="AC369" s="29"/>
      <c r="AD369" s="29" t="b">
        <v>0</v>
      </c>
      <c r="AE369" s="22" t="str">
        <f t="shared" si="7"/>
        <v/>
      </c>
      <c r="AF369" s="7">
        <f>IF(ISBLANK(AB369), 0, VLOOKUP(AB369, 'Price Sheet'!$A$2:$B1015, 2, false))</f>
        <v>0</v>
      </c>
      <c r="AG369" s="33" t="str">
        <f t="shared" si="8"/>
        <v/>
      </c>
      <c r="AH369" s="37"/>
      <c r="AI369" s="29"/>
      <c r="AJ369" s="29" t="b">
        <v>0</v>
      </c>
      <c r="AK369" s="22" t="str">
        <f t="shared" si="9"/>
        <v/>
      </c>
      <c r="AL369" s="7">
        <f>IF(ISBLANK(AH369), 0, VLOOKUP(AH369, 'Price Sheet'!$A$2:$B1015, 2, false))</f>
        <v>0</v>
      </c>
      <c r="AM369" s="33" t="str">
        <f t="shared" si="10"/>
        <v/>
      </c>
      <c r="AN369" s="37"/>
      <c r="AO369" s="29"/>
      <c r="AP369" s="29" t="b">
        <v>0</v>
      </c>
      <c r="AQ369" s="22" t="str">
        <f t="shared" si="11"/>
        <v/>
      </c>
      <c r="AR369" s="7">
        <f>IF(ISBLANK(AN369), 0, VLOOKUP(AN369, 'Price Sheet'!$A$2:$B1015, 2, false))</f>
        <v>0</v>
      </c>
      <c r="AS369" s="33" t="str">
        <f t="shared" si="12"/>
        <v/>
      </c>
      <c r="AT369" s="37"/>
      <c r="AU369" s="29"/>
      <c r="AV369" s="29" t="b">
        <v>0</v>
      </c>
      <c r="AW369" s="22" t="str">
        <f t="shared" si="13"/>
        <v/>
      </c>
      <c r="AX369" s="7">
        <f>IF(ISBLANK(AT369), 0, VLOOKUP(AT369, 'Price Sheet'!$A$2:$B1015, 2, false))</f>
        <v>0</v>
      </c>
      <c r="AY369" s="33" t="str">
        <f t="shared" si="14"/>
        <v/>
      </c>
      <c r="AZ369" s="37"/>
      <c r="BA369" s="29"/>
      <c r="BB369" s="29" t="b">
        <v>0</v>
      </c>
      <c r="BC369" s="22" t="str">
        <f t="shared" si="15"/>
        <v/>
      </c>
      <c r="BD369" s="7">
        <f>IF(ISBLANK(AZ369), 0, VLOOKUP(AZ369, 'Price Sheet'!$A$2:$B1015, 2, false))</f>
        <v>0</v>
      </c>
      <c r="BE369" s="33" t="str">
        <f t="shared" si="16"/>
        <v/>
      </c>
      <c r="BF369" s="37"/>
      <c r="BG369" s="29"/>
      <c r="BH369" s="29" t="b">
        <v>0</v>
      </c>
      <c r="BI369" s="22" t="str">
        <f t="shared" si="17"/>
        <v/>
      </c>
      <c r="BJ369" s="7">
        <f>IF(ISBLANK(BF369), 0, VLOOKUP(BF369, 'Price Sheet'!$A$2:$B1015, 2, false))</f>
        <v>0</v>
      </c>
      <c r="BK369" s="33" t="str">
        <f t="shared" si="18"/>
        <v/>
      </c>
      <c r="BL369" s="37"/>
      <c r="BM369" s="29"/>
      <c r="BN369" s="29" t="b">
        <v>0</v>
      </c>
      <c r="BO369" s="22" t="str">
        <f t="shared" si="19"/>
        <v/>
      </c>
      <c r="BP369" s="7">
        <f>IF(ISBLANK(BL369), 0, VLOOKUP(BL369, 'Price Sheet'!$A$2:$B1015, 2, false))</f>
        <v>0</v>
      </c>
      <c r="BQ369" s="33" t="str">
        <f t="shared" si="20"/>
        <v/>
      </c>
    </row>
    <row r="370">
      <c r="B370" s="19"/>
      <c r="C370" s="29"/>
      <c r="D370" s="29"/>
      <c r="E370" s="7" t="str">
        <f>IF(ISBLANK(D370), "", VLOOKUP(D370,'Crafting Tables'!$A$2:$B1015, 2, false))</f>
        <v/>
      </c>
      <c r="F370" s="7" t="str">
        <f>IFERROR(IF(E370 = "None", 1, VLOOKUP(C370,General!$A$5:$L$35, SWITCH(E370, "Basic", 8, "Advanced", 10, "Modern", 12), false)),"")</f>
        <v/>
      </c>
      <c r="G370" s="29"/>
      <c r="H370" s="7">
        <f>IFERROR(VLOOKUP(C370, General!$A$5:$L$35, 6, false) * G370 / 1000, 0)</f>
        <v>0</v>
      </c>
      <c r="I370" s="29"/>
      <c r="J370" s="22" t="str">
        <f>IFERROR(I370*VLOOKUP(D370,'Crafting Tables'!$1:$1000, 4, false)*F370,"")</f>
        <v/>
      </c>
      <c r="K370" s="29" t="b">
        <v>0</v>
      </c>
      <c r="L370" s="37"/>
      <c r="M370" s="29"/>
      <c r="N370" s="21" t="str">
        <f t="shared" si="2"/>
        <v/>
      </c>
      <c r="P370" s="37"/>
      <c r="Q370" s="29"/>
      <c r="R370" s="29" t="b">
        <v>0</v>
      </c>
      <c r="S370" s="22" t="str">
        <f t="shared" si="3"/>
        <v/>
      </c>
      <c r="T370" s="7">
        <f>IF(ISBLANK(P370), 0, VLOOKUP(P370, 'Price Sheet'!$A$2:$B1015, 2, false))</f>
        <v>0</v>
      </c>
      <c r="U370" s="33" t="str">
        <f t="shared" si="4"/>
        <v/>
      </c>
      <c r="V370" s="37"/>
      <c r="W370" s="29"/>
      <c r="X370" s="29" t="b">
        <v>0</v>
      </c>
      <c r="Y370" s="22" t="str">
        <f t="shared" si="5"/>
        <v/>
      </c>
      <c r="Z370" s="7">
        <f>IF(ISBLANK(V370), 0, VLOOKUP(V370, 'Price Sheet'!$A$2:$B1015, 2, false))</f>
        <v>0</v>
      </c>
      <c r="AA370" s="33" t="str">
        <f t="shared" si="6"/>
        <v/>
      </c>
      <c r="AB370" s="37"/>
      <c r="AC370" s="29"/>
      <c r="AD370" s="29" t="b">
        <v>0</v>
      </c>
      <c r="AE370" s="22" t="str">
        <f t="shared" si="7"/>
        <v/>
      </c>
      <c r="AF370" s="7">
        <f>IF(ISBLANK(AB370), 0, VLOOKUP(AB370, 'Price Sheet'!$A$2:$B1015, 2, false))</f>
        <v>0</v>
      </c>
      <c r="AG370" s="33" t="str">
        <f t="shared" si="8"/>
        <v/>
      </c>
      <c r="AH370" s="37"/>
      <c r="AI370" s="29"/>
      <c r="AJ370" s="29" t="b">
        <v>0</v>
      </c>
      <c r="AK370" s="22" t="str">
        <f t="shared" si="9"/>
        <v/>
      </c>
      <c r="AL370" s="7">
        <f>IF(ISBLANK(AH370), 0, VLOOKUP(AH370, 'Price Sheet'!$A$2:$B1015, 2, false))</f>
        <v>0</v>
      </c>
      <c r="AM370" s="33" t="str">
        <f t="shared" si="10"/>
        <v/>
      </c>
      <c r="AN370" s="37"/>
      <c r="AO370" s="29"/>
      <c r="AP370" s="29" t="b">
        <v>0</v>
      </c>
      <c r="AQ370" s="22" t="str">
        <f t="shared" si="11"/>
        <v/>
      </c>
      <c r="AR370" s="7">
        <f>IF(ISBLANK(AN370), 0, VLOOKUP(AN370, 'Price Sheet'!$A$2:$B1015, 2, false))</f>
        <v>0</v>
      </c>
      <c r="AS370" s="33" t="str">
        <f t="shared" si="12"/>
        <v/>
      </c>
      <c r="AT370" s="37"/>
      <c r="AU370" s="29"/>
      <c r="AV370" s="29" t="b">
        <v>0</v>
      </c>
      <c r="AW370" s="22" t="str">
        <f t="shared" si="13"/>
        <v/>
      </c>
      <c r="AX370" s="7">
        <f>IF(ISBLANK(AT370), 0, VLOOKUP(AT370, 'Price Sheet'!$A$2:$B1015, 2, false))</f>
        <v>0</v>
      </c>
      <c r="AY370" s="33" t="str">
        <f t="shared" si="14"/>
        <v/>
      </c>
      <c r="AZ370" s="37"/>
      <c r="BA370" s="29"/>
      <c r="BB370" s="29" t="b">
        <v>0</v>
      </c>
      <c r="BC370" s="22" t="str">
        <f t="shared" si="15"/>
        <v/>
      </c>
      <c r="BD370" s="7">
        <f>IF(ISBLANK(AZ370), 0, VLOOKUP(AZ370, 'Price Sheet'!$A$2:$B1015, 2, false))</f>
        <v>0</v>
      </c>
      <c r="BE370" s="33" t="str">
        <f t="shared" si="16"/>
        <v/>
      </c>
      <c r="BF370" s="37"/>
      <c r="BG370" s="29"/>
      <c r="BH370" s="29" t="b">
        <v>0</v>
      </c>
      <c r="BI370" s="22" t="str">
        <f t="shared" si="17"/>
        <v/>
      </c>
      <c r="BJ370" s="7">
        <f>IF(ISBLANK(BF370), 0, VLOOKUP(BF370, 'Price Sheet'!$A$2:$B1015, 2, false))</f>
        <v>0</v>
      </c>
      <c r="BK370" s="33" t="str">
        <f t="shared" si="18"/>
        <v/>
      </c>
      <c r="BL370" s="37"/>
      <c r="BM370" s="29"/>
      <c r="BN370" s="29" t="b">
        <v>0</v>
      </c>
      <c r="BO370" s="22" t="str">
        <f t="shared" si="19"/>
        <v/>
      </c>
      <c r="BP370" s="7">
        <f>IF(ISBLANK(BL370), 0, VLOOKUP(BL370, 'Price Sheet'!$A$2:$B1015, 2, false))</f>
        <v>0</v>
      </c>
      <c r="BQ370" s="33" t="str">
        <f t="shared" si="20"/>
        <v/>
      </c>
    </row>
    <row r="371">
      <c r="B371" s="19"/>
      <c r="C371" s="29"/>
      <c r="D371" s="29"/>
      <c r="E371" s="7" t="str">
        <f>IF(ISBLANK(D371), "", VLOOKUP(D371,'Crafting Tables'!$A$2:$B1015, 2, false))</f>
        <v/>
      </c>
      <c r="F371" s="7" t="str">
        <f>IFERROR(IF(E371 = "None", 1, VLOOKUP(C371,General!$A$5:$L$35, SWITCH(E371, "Basic", 8, "Advanced", 10, "Modern", 12), false)),"")</f>
        <v/>
      </c>
      <c r="G371" s="29"/>
      <c r="H371" s="7">
        <f>IFERROR(VLOOKUP(C371, General!$A$5:$L$35, 6, false) * G371 / 1000, 0)</f>
        <v>0</v>
      </c>
      <c r="I371" s="29"/>
      <c r="J371" s="22" t="str">
        <f>IFERROR(I371*VLOOKUP(D371,'Crafting Tables'!$1:$1000, 4, false)*F371,"")</f>
        <v/>
      </c>
      <c r="K371" s="29" t="b">
        <v>0</v>
      </c>
      <c r="L371" s="37"/>
      <c r="M371" s="29"/>
      <c r="N371" s="21" t="str">
        <f t="shared" si="2"/>
        <v/>
      </c>
      <c r="P371" s="37"/>
      <c r="Q371" s="29"/>
      <c r="R371" s="29" t="b">
        <v>0</v>
      </c>
      <c r="S371" s="22" t="str">
        <f t="shared" si="3"/>
        <v/>
      </c>
      <c r="T371" s="7">
        <f>IF(ISBLANK(P371), 0, VLOOKUP(P371, 'Price Sheet'!$A$2:$B1015, 2, false))</f>
        <v>0</v>
      </c>
      <c r="U371" s="33" t="str">
        <f t="shared" si="4"/>
        <v/>
      </c>
      <c r="V371" s="37"/>
      <c r="W371" s="29"/>
      <c r="X371" s="29" t="b">
        <v>0</v>
      </c>
      <c r="Y371" s="22" t="str">
        <f t="shared" si="5"/>
        <v/>
      </c>
      <c r="Z371" s="7">
        <f>IF(ISBLANK(V371), 0, VLOOKUP(V371, 'Price Sheet'!$A$2:$B1015, 2, false))</f>
        <v>0</v>
      </c>
      <c r="AA371" s="33" t="str">
        <f t="shared" si="6"/>
        <v/>
      </c>
      <c r="AB371" s="37"/>
      <c r="AC371" s="29"/>
      <c r="AD371" s="29" t="b">
        <v>0</v>
      </c>
      <c r="AE371" s="22" t="str">
        <f t="shared" si="7"/>
        <v/>
      </c>
      <c r="AF371" s="7">
        <f>IF(ISBLANK(AB371), 0, VLOOKUP(AB371, 'Price Sheet'!$A$2:$B1015, 2, false))</f>
        <v>0</v>
      </c>
      <c r="AG371" s="33" t="str">
        <f t="shared" si="8"/>
        <v/>
      </c>
      <c r="AH371" s="37"/>
      <c r="AI371" s="29"/>
      <c r="AJ371" s="29" t="b">
        <v>0</v>
      </c>
      <c r="AK371" s="22" t="str">
        <f t="shared" si="9"/>
        <v/>
      </c>
      <c r="AL371" s="7">
        <f>IF(ISBLANK(AH371), 0, VLOOKUP(AH371, 'Price Sheet'!$A$2:$B1015, 2, false))</f>
        <v>0</v>
      </c>
      <c r="AM371" s="33" t="str">
        <f t="shared" si="10"/>
        <v/>
      </c>
      <c r="AN371" s="37"/>
      <c r="AO371" s="29"/>
      <c r="AP371" s="29" t="b">
        <v>0</v>
      </c>
      <c r="AQ371" s="22" t="str">
        <f t="shared" si="11"/>
        <v/>
      </c>
      <c r="AR371" s="7">
        <f>IF(ISBLANK(AN371), 0, VLOOKUP(AN371, 'Price Sheet'!$A$2:$B1015, 2, false))</f>
        <v>0</v>
      </c>
      <c r="AS371" s="33" t="str">
        <f t="shared" si="12"/>
        <v/>
      </c>
      <c r="AT371" s="37"/>
      <c r="AU371" s="29"/>
      <c r="AV371" s="29" t="b">
        <v>0</v>
      </c>
      <c r="AW371" s="22" t="str">
        <f t="shared" si="13"/>
        <v/>
      </c>
      <c r="AX371" s="7">
        <f>IF(ISBLANK(AT371), 0, VLOOKUP(AT371, 'Price Sheet'!$A$2:$B1015, 2, false))</f>
        <v>0</v>
      </c>
      <c r="AY371" s="33" t="str">
        <f t="shared" si="14"/>
        <v/>
      </c>
      <c r="AZ371" s="37"/>
      <c r="BA371" s="29"/>
      <c r="BB371" s="29" t="b">
        <v>0</v>
      </c>
      <c r="BC371" s="22" t="str">
        <f t="shared" si="15"/>
        <v/>
      </c>
      <c r="BD371" s="7">
        <f>IF(ISBLANK(AZ371), 0, VLOOKUP(AZ371, 'Price Sheet'!$A$2:$B1015, 2, false))</f>
        <v>0</v>
      </c>
      <c r="BE371" s="33" t="str">
        <f t="shared" si="16"/>
        <v/>
      </c>
      <c r="BF371" s="37"/>
      <c r="BG371" s="29"/>
      <c r="BH371" s="29" t="b">
        <v>0</v>
      </c>
      <c r="BI371" s="22" t="str">
        <f t="shared" si="17"/>
        <v/>
      </c>
      <c r="BJ371" s="7">
        <f>IF(ISBLANK(BF371), 0, VLOOKUP(BF371, 'Price Sheet'!$A$2:$B1015, 2, false))</f>
        <v>0</v>
      </c>
      <c r="BK371" s="33" t="str">
        <f t="shared" si="18"/>
        <v/>
      </c>
      <c r="BL371" s="37"/>
      <c r="BM371" s="29"/>
      <c r="BN371" s="29" t="b">
        <v>0</v>
      </c>
      <c r="BO371" s="22" t="str">
        <f t="shared" si="19"/>
        <v/>
      </c>
      <c r="BP371" s="7">
        <f>IF(ISBLANK(BL371), 0, VLOOKUP(BL371, 'Price Sheet'!$A$2:$B1015, 2, false))</f>
        <v>0</v>
      </c>
      <c r="BQ371" s="33" t="str">
        <f t="shared" si="20"/>
        <v/>
      </c>
    </row>
    <row r="372">
      <c r="B372" s="19"/>
      <c r="C372" s="29"/>
      <c r="D372" s="29"/>
      <c r="E372" s="7" t="str">
        <f>IF(ISBLANK(D372), "", VLOOKUP(D372,'Crafting Tables'!$A$2:$B1015, 2, false))</f>
        <v/>
      </c>
      <c r="F372" s="7" t="str">
        <f>IFERROR(IF(E372 = "None", 1, VLOOKUP(C372,General!$A$5:$L$35, SWITCH(E372, "Basic", 8, "Advanced", 10, "Modern", 12), false)),"")</f>
        <v/>
      </c>
      <c r="G372" s="29"/>
      <c r="H372" s="7">
        <f>IFERROR(VLOOKUP(C372, General!$A$5:$L$35, 6, false) * G372 / 1000, 0)</f>
        <v>0</v>
      </c>
      <c r="I372" s="29"/>
      <c r="J372" s="22" t="str">
        <f>IFERROR(I372*VLOOKUP(D372,'Crafting Tables'!$1:$1000, 4, false)*F372,"")</f>
        <v/>
      </c>
      <c r="K372" s="29" t="b">
        <v>0</v>
      </c>
      <c r="L372" s="37"/>
      <c r="M372" s="29"/>
      <c r="N372" s="21" t="str">
        <f t="shared" si="2"/>
        <v/>
      </c>
      <c r="P372" s="37"/>
      <c r="Q372" s="29"/>
      <c r="R372" s="29" t="b">
        <v>0</v>
      </c>
      <c r="S372" s="22" t="str">
        <f t="shared" si="3"/>
        <v/>
      </c>
      <c r="T372" s="7">
        <f>IF(ISBLANK(P372), 0, VLOOKUP(P372, 'Price Sheet'!$A$2:$B1015, 2, false))</f>
        <v>0</v>
      </c>
      <c r="U372" s="33" t="str">
        <f t="shared" si="4"/>
        <v/>
      </c>
      <c r="V372" s="37"/>
      <c r="W372" s="29"/>
      <c r="X372" s="29" t="b">
        <v>0</v>
      </c>
      <c r="Y372" s="22" t="str">
        <f t="shared" si="5"/>
        <v/>
      </c>
      <c r="Z372" s="7">
        <f>IF(ISBLANK(V372), 0, VLOOKUP(V372, 'Price Sheet'!$A$2:$B1015, 2, false))</f>
        <v>0</v>
      </c>
      <c r="AA372" s="33" t="str">
        <f t="shared" si="6"/>
        <v/>
      </c>
      <c r="AB372" s="37"/>
      <c r="AC372" s="29"/>
      <c r="AD372" s="29" t="b">
        <v>0</v>
      </c>
      <c r="AE372" s="22" t="str">
        <f t="shared" si="7"/>
        <v/>
      </c>
      <c r="AF372" s="7">
        <f>IF(ISBLANK(AB372), 0, VLOOKUP(AB372, 'Price Sheet'!$A$2:$B1015, 2, false))</f>
        <v>0</v>
      </c>
      <c r="AG372" s="33" t="str">
        <f t="shared" si="8"/>
        <v/>
      </c>
      <c r="AH372" s="37"/>
      <c r="AI372" s="29"/>
      <c r="AJ372" s="29" t="b">
        <v>0</v>
      </c>
      <c r="AK372" s="22" t="str">
        <f t="shared" si="9"/>
        <v/>
      </c>
      <c r="AL372" s="7">
        <f>IF(ISBLANK(AH372), 0, VLOOKUP(AH372, 'Price Sheet'!$A$2:$B1015, 2, false))</f>
        <v>0</v>
      </c>
      <c r="AM372" s="33" t="str">
        <f t="shared" si="10"/>
        <v/>
      </c>
      <c r="AN372" s="37"/>
      <c r="AO372" s="29"/>
      <c r="AP372" s="29" t="b">
        <v>0</v>
      </c>
      <c r="AQ372" s="22" t="str">
        <f t="shared" si="11"/>
        <v/>
      </c>
      <c r="AR372" s="7">
        <f>IF(ISBLANK(AN372), 0, VLOOKUP(AN372, 'Price Sheet'!$A$2:$B1015, 2, false))</f>
        <v>0</v>
      </c>
      <c r="AS372" s="33" t="str">
        <f t="shared" si="12"/>
        <v/>
      </c>
      <c r="AT372" s="37"/>
      <c r="AU372" s="29"/>
      <c r="AV372" s="29" t="b">
        <v>0</v>
      </c>
      <c r="AW372" s="22" t="str">
        <f t="shared" si="13"/>
        <v/>
      </c>
      <c r="AX372" s="7">
        <f>IF(ISBLANK(AT372), 0, VLOOKUP(AT372, 'Price Sheet'!$A$2:$B1015, 2, false))</f>
        <v>0</v>
      </c>
      <c r="AY372" s="33" t="str">
        <f t="shared" si="14"/>
        <v/>
      </c>
      <c r="AZ372" s="37"/>
      <c r="BA372" s="29"/>
      <c r="BB372" s="29" t="b">
        <v>0</v>
      </c>
      <c r="BC372" s="22" t="str">
        <f t="shared" si="15"/>
        <v/>
      </c>
      <c r="BD372" s="7">
        <f>IF(ISBLANK(AZ372), 0, VLOOKUP(AZ372, 'Price Sheet'!$A$2:$B1015, 2, false))</f>
        <v>0</v>
      </c>
      <c r="BE372" s="33" t="str">
        <f t="shared" si="16"/>
        <v/>
      </c>
      <c r="BF372" s="37"/>
      <c r="BG372" s="29"/>
      <c r="BH372" s="29" t="b">
        <v>0</v>
      </c>
      <c r="BI372" s="22" t="str">
        <f t="shared" si="17"/>
        <v/>
      </c>
      <c r="BJ372" s="7">
        <f>IF(ISBLANK(BF372), 0, VLOOKUP(BF372, 'Price Sheet'!$A$2:$B1015, 2, false))</f>
        <v>0</v>
      </c>
      <c r="BK372" s="33" t="str">
        <f t="shared" si="18"/>
        <v/>
      </c>
      <c r="BL372" s="37"/>
      <c r="BM372" s="29"/>
      <c r="BN372" s="29" t="b">
        <v>0</v>
      </c>
      <c r="BO372" s="22" t="str">
        <f t="shared" si="19"/>
        <v/>
      </c>
      <c r="BP372" s="7">
        <f>IF(ISBLANK(BL372), 0, VLOOKUP(BL372, 'Price Sheet'!$A$2:$B1015, 2, false))</f>
        <v>0</v>
      </c>
      <c r="BQ372" s="33" t="str">
        <f t="shared" si="20"/>
        <v/>
      </c>
    </row>
    <row r="373">
      <c r="B373" s="19"/>
      <c r="C373" s="29"/>
      <c r="D373" s="29"/>
      <c r="E373" s="7" t="str">
        <f>IF(ISBLANK(D373), "", VLOOKUP(D373,'Crafting Tables'!$A$2:$B1015, 2, false))</f>
        <v/>
      </c>
      <c r="F373" s="7" t="str">
        <f>IFERROR(IF(E373 = "None", 1, VLOOKUP(C373,General!$A$5:$L$35, SWITCH(E373, "Basic", 8, "Advanced", 10, "Modern", 12), false)),"")</f>
        <v/>
      </c>
      <c r="G373" s="29"/>
      <c r="H373" s="7">
        <f>IFERROR(VLOOKUP(C373, General!$A$5:$L$35, 6, false) * G373 / 1000, 0)</f>
        <v>0</v>
      </c>
      <c r="I373" s="29"/>
      <c r="J373" s="22" t="str">
        <f>IFERROR(I373*VLOOKUP(D373,'Crafting Tables'!$1:$1000, 4, false)*F373,"")</f>
        <v/>
      </c>
      <c r="K373" s="29" t="b">
        <v>0</v>
      </c>
      <c r="L373" s="37"/>
      <c r="M373" s="29"/>
      <c r="N373" s="21" t="str">
        <f t="shared" si="2"/>
        <v/>
      </c>
      <c r="P373" s="37"/>
      <c r="Q373" s="29"/>
      <c r="R373" s="29" t="b">
        <v>0</v>
      </c>
      <c r="S373" s="22" t="str">
        <f t="shared" si="3"/>
        <v/>
      </c>
      <c r="T373" s="7">
        <f>IF(ISBLANK(P373), 0, VLOOKUP(P373, 'Price Sheet'!$A$2:$B1015, 2, false))</f>
        <v>0</v>
      </c>
      <c r="U373" s="33" t="str">
        <f t="shared" si="4"/>
        <v/>
      </c>
      <c r="V373" s="37"/>
      <c r="W373" s="29"/>
      <c r="X373" s="29" t="b">
        <v>0</v>
      </c>
      <c r="Y373" s="22" t="str">
        <f t="shared" si="5"/>
        <v/>
      </c>
      <c r="Z373" s="7">
        <f>IF(ISBLANK(V373), 0, VLOOKUP(V373, 'Price Sheet'!$A$2:$B1015, 2, false))</f>
        <v>0</v>
      </c>
      <c r="AA373" s="33" t="str">
        <f t="shared" si="6"/>
        <v/>
      </c>
      <c r="AB373" s="37"/>
      <c r="AC373" s="29"/>
      <c r="AD373" s="29" t="b">
        <v>0</v>
      </c>
      <c r="AE373" s="22" t="str">
        <f t="shared" si="7"/>
        <v/>
      </c>
      <c r="AF373" s="7">
        <f>IF(ISBLANK(AB373), 0, VLOOKUP(AB373, 'Price Sheet'!$A$2:$B1015, 2, false))</f>
        <v>0</v>
      </c>
      <c r="AG373" s="33" t="str">
        <f t="shared" si="8"/>
        <v/>
      </c>
      <c r="AH373" s="37"/>
      <c r="AI373" s="29"/>
      <c r="AJ373" s="29" t="b">
        <v>0</v>
      </c>
      <c r="AK373" s="22" t="str">
        <f t="shared" si="9"/>
        <v/>
      </c>
      <c r="AL373" s="7">
        <f>IF(ISBLANK(AH373), 0, VLOOKUP(AH373, 'Price Sheet'!$A$2:$B1015, 2, false))</f>
        <v>0</v>
      </c>
      <c r="AM373" s="33" t="str">
        <f t="shared" si="10"/>
        <v/>
      </c>
      <c r="AN373" s="37"/>
      <c r="AO373" s="29"/>
      <c r="AP373" s="29" t="b">
        <v>0</v>
      </c>
      <c r="AQ373" s="22" t="str">
        <f t="shared" si="11"/>
        <v/>
      </c>
      <c r="AR373" s="7">
        <f>IF(ISBLANK(AN373), 0, VLOOKUP(AN373, 'Price Sheet'!$A$2:$B1015, 2, false))</f>
        <v>0</v>
      </c>
      <c r="AS373" s="33" t="str">
        <f t="shared" si="12"/>
        <v/>
      </c>
      <c r="AT373" s="37"/>
      <c r="AU373" s="29"/>
      <c r="AV373" s="29" t="b">
        <v>0</v>
      </c>
      <c r="AW373" s="22" t="str">
        <f t="shared" si="13"/>
        <v/>
      </c>
      <c r="AX373" s="7">
        <f>IF(ISBLANK(AT373), 0, VLOOKUP(AT373, 'Price Sheet'!$A$2:$B1015, 2, false))</f>
        <v>0</v>
      </c>
      <c r="AY373" s="33" t="str">
        <f t="shared" si="14"/>
        <v/>
      </c>
      <c r="AZ373" s="37"/>
      <c r="BA373" s="29"/>
      <c r="BB373" s="29" t="b">
        <v>0</v>
      </c>
      <c r="BC373" s="22" t="str">
        <f t="shared" si="15"/>
        <v/>
      </c>
      <c r="BD373" s="7">
        <f>IF(ISBLANK(AZ373), 0, VLOOKUP(AZ373, 'Price Sheet'!$A$2:$B1015, 2, false))</f>
        <v>0</v>
      </c>
      <c r="BE373" s="33" t="str">
        <f t="shared" si="16"/>
        <v/>
      </c>
      <c r="BF373" s="37"/>
      <c r="BG373" s="29"/>
      <c r="BH373" s="29" t="b">
        <v>0</v>
      </c>
      <c r="BI373" s="22" t="str">
        <f t="shared" si="17"/>
        <v/>
      </c>
      <c r="BJ373" s="7">
        <f>IF(ISBLANK(BF373), 0, VLOOKUP(BF373, 'Price Sheet'!$A$2:$B1015, 2, false))</f>
        <v>0</v>
      </c>
      <c r="BK373" s="33" t="str">
        <f t="shared" si="18"/>
        <v/>
      </c>
      <c r="BL373" s="37"/>
      <c r="BM373" s="29"/>
      <c r="BN373" s="29" t="b">
        <v>0</v>
      </c>
      <c r="BO373" s="22" t="str">
        <f t="shared" si="19"/>
        <v/>
      </c>
      <c r="BP373" s="7">
        <f>IF(ISBLANK(BL373), 0, VLOOKUP(BL373, 'Price Sheet'!$A$2:$B1015, 2, false))</f>
        <v>0</v>
      </c>
      <c r="BQ373" s="33" t="str">
        <f t="shared" si="20"/>
        <v/>
      </c>
    </row>
    <row r="374">
      <c r="B374" s="19"/>
      <c r="C374" s="29"/>
      <c r="D374" s="29"/>
      <c r="E374" s="7" t="str">
        <f>IF(ISBLANK(D374), "", VLOOKUP(D374,'Crafting Tables'!$A$2:$B1015, 2, false))</f>
        <v/>
      </c>
      <c r="F374" s="7" t="str">
        <f>IFERROR(IF(E374 = "None", 1, VLOOKUP(C374,General!$A$5:$L$35, SWITCH(E374, "Basic", 8, "Advanced", 10, "Modern", 12), false)),"")</f>
        <v/>
      </c>
      <c r="G374" s="29"/>
      <c r="H374" s="7">
        <f>IFERROR(VLOOKUP(C374, General!$A$5:$L$35, 6, false) * G374 / 1000, 0)</f>
        <v>0</v>
      </c>
      <c r="I374" s="29"/>
      <c r="J374" s="22" t="str">
        <f>IFERROR(I374*VLOOKUP(D374,'Crafting Tables'!$1:$1000, 4, false)*F374,"")</f>
        <v/>
      </c>
      <c r="K374" s="29" t="b">
        <v>0</v>
      </c>
      <c r="L374" s="37"/>
      <c r="M374" s="29"/>
      <c r="N374" s="21" t="str">
        <f t="shared" si="2"/>
        <v/>
      </c>
      <c r="P374" s="37"/>
      <c r="Q374" s="29"/>
      <c r="R374" s="29" t="b">
        <v>0</v>
      </c>
      <c r="S374" s="22" t="str">
        <f t="shared" si="3"/>
        <v/>
      </c>
      <c r="T374" s="7">
        <f>IF(ISBLANK(P374), 0, VLOOKUP(P374, 'Price Sheet'!$A$2:$B1015, 2, false))</f>
        <v>0</v>
      </c>
      <c r="U374" s="33" t="str">
        <f t="shared" si="4"/>
        <v/>
      </c>
      <c r="V374" s="37"/>
      <c r="W374" s="29"/>
      <c r="X374" s="29" t="b">
        <v>0</v>
      </c>
      <c r="Y374" s="22" t="str">
        <f t="shared" si="5"/>
        <v/>
      </c>
      <c r="Z374" s="7">
        <f>IF(ISBLANK(V374), 0, VLOOKUP(V374, 'Price Sheet'!$A$2:$B1015, 2, false))</f>
        <v>0</v>
      </c>
      <c r="AA374" s="33" t="str">
        <f t="shared" si="6"/>
        <v/>
      </c>
      <c r="AB374" s="37"/>
      <c r="AC374" s="29"/>
      <c r="AD374" s="29" t="b">
        <v>0</v>
      </c>
      <c r="AE374" s="22" t="str">
        <f t="shared" si="7"/>
        <v/>
      </c>
      <c r="AF374" s="7">
        <f>IF(ISBLANK(AB374), 0, VLOOKUP(AB374, 'Price Sheet'!$A$2:$B1015, 2, false))</f>
        <v>0</v>
      </c>
      <c r="AG374" s="33" t="str">
        <f t="shared" si="8"/>
        <v/>
      </c>
      <c r="AH374" s="37"/>
      <c r="AI374" s="29"/>
      <c r="AJ374" s="29" t="b">
        <v>0</v>
      </c>
      <c r="AK374" s="22" t="str">
        <f t="shared" si="9"/>
        <v/>
      </c>
      <c r="AL374" s="7">
        <f>IF(ISBLANK(AH374), 0, VLOOKUP(AH374, 'Price Sheet'!$A$2:$B1015, 2, false))</f>
        <v>0</v>
      </c>
      <c r="AM374" s="33" t="str">
        <f t="shared" si="10"/>
        <v/>
      </c>
      <c r="AN374" s="37"/>
      <c r="AO374" s="29"/>
      <c r="AP374" s="29" t="b">
        <v>0</v>
      </c>
      <c r="AQ374" s="22" t="str">
        <f t="shared" si="11"/>
        <v/>
      </c>
      <c r="AR374" s="7">
        <f>IF(ISBLANK(AN374), 0, VLOOKUP(AN374, 'Price Sheet'!$A$2:$B1015, 2, false))</f>
        <v>0</v>
      </c>
      <c r="AS374" s="33" t="str">
        <f t="shared" si="12"/>
        <v/>
      </c>
      <c r="AT374" s="37"/>
      <c r="AU374" s="29"/>
      <c r="AV374" s="29" t="b">
        <v>0</v>
      </c>
      <c r="AW374" s="22" t="str">
        <f t="shared" si="13"/>
        <v/>
      </c>
      <c r="AX374" s="7">
        <f>IF(ISBLANK(AT374), 0, VLOOKUP(AT374, 'Price Sheet'!$A$2:$B1015, 2, false))</f>
        <v>0</v>
      </c>
      <c r="AY374" s="33" t="str">
        <f t="shared" si="14"/>
        <v/>
      </c>
      <c r="AZ374" s="37"/>
      <c r="BA374" s="29"/>
      <c r="BB374" s="29" t="b">
        <v>0</v>
      </c>
      <c r="BC374" s="22" t="str">
        <f t="shared" si="15"/>
        <v/>
      </c>
      <c r="BD374" s="7">
        <f>IF(ISBLANK(AZ374), 0, VLOOKUP(AZ374, 'Price Sheet'!$A$2:$B1015, 2, false))</f>
        <v>0</v>
      </c>
      <c r="BE374" s="33" t="str">
        <f t="shared" si="16"/>
        <v/>
      </c>
      <c r="BF374" s="37"/>
      <c r="BG374" s="29"/>
      <c r="BH374" s="29" t="b">
        <v>0</v>
      </c>
      <c r="BI374" s="22" t="str">
        <f t="shared" si="17"/>
        <v/>
      </c>
      <c r="BJ374" s="7">
        <f>IF(ISBLANK(BF374), 0, VLOOKUP(BF374, 'Price Sheet'!$A$2:$B1015, 2, false))</f>
        <v>0</v>
      </c>
      <c r="BK374" s="33" t="str">
        <f t="shared" si="18"/>
        <v/>
      </c>
      <c r="BL374" s="37"/>
      <c r="BM374" s="29"/>
      <c r="BN374" s="29" t="b">
        <v>0</v>
      </c>
      <c r="BO374" s="22" t="str">
        <f t="shared" si="19"/>
        <v/>
      </c>
      <c r="BP374" s="7">
        <f>IF(ISBLANK(BL374), 0, VLOOKUP(BL374, 'Price Sheet'!$A$2:$B1015, 2, false))</f>
        <v>0</v>
      </c>
      <c r="BQ374" s="33" t="str">
        <f t="shared" si="20"/>
        <v/>
      </c>
    </row>
    <row r="375">
      <c r="B375" s="19"/>
      <c r="C375" s="29"/>
      <c r="D375" s="29"/>
      <c r="E375" s="7" t="str">
        <f>IF(ISBLANK(D375), "", VLOOKUP(D375,'Crafting Tables'!$A$2:$B1015, 2, false))</f>
        <v/>
      </c>
      <c r="F375" s="7" t="str">
        <f>IFERROR(IF(E375 = "None", 1, VLOOKUP(C375,General!$A$5:$L$35, SWITCH(E375, "Basic", 8, "Advanced", 10, "Modern", 12), false)),"")</f>
        <v/>
      </c>
      <c r="G375" s="29"/>
      <c r="H375" s="7">
        <f>IFERROR(VLOOKUP(C375, General!$A$5:$L$35, 6, false) * G375 / 1000, 0)</f>
        <v>0</v>
      </c>
      <c r="I375" s="29"/>
      <c r="J375" s="22" t="str">
        <f>IFERROR(I375*VLOOKUP(D375,'Crafting Tables'!$1:$1000, 4, false)*F375,"")</f>
        <v/>
      </c>
      <c r="K375" s="29" t="b">
        <v>0</v>
      </c>
      <c r="L375" s="37"/>
      <c r="M375" s="29"/>
      <c r="N375" s="21" t="str">
        <f t="shared" si="2"/>
        <v/>
      </c>
      <c r="P375" s="37"/>
      <c r="Q375" s="29"/>
      <c r="R375" s="29" t="b">
        <v>0</v>
      </c>
      <c r="S375" s="22" t="str">
        <f t="shared" si="3"/>
        <v/>
      </c>
      <c r="T375" s="7">
        <f>IF(ISBLANK(P375), 0, VLOOKUP(P375, 'Price Sheet'!$A$2:$B1015, 2, false))</f>
        <v>0</v>
      </c>
      <c r="U375" s="33" t="str">
        <f t="shared" si="4"/>
        <v/>
      </c>
      <c r="V375" s="37"/>
      <c r="W375" s="29"/>
      <c r="X375" s="29" t="b">
        <v>0</v>
      </c>
      <c r="Y375" s="22" t="str">
        <f t="shared" si="5"/>
        <v/>
      </c>
      <c r="Z375" s="7">
        <f>IF(ISBLANK(V375), 0, VLOOKUP(V375, 'Price Sheet'!$A$2:$B1015, 2, false))</f>
        <v>0</v>
      </c>
      <c r="AA375" s="33" t="str">
        <f t="shared" si="6"/>
        <v/>
      </c>
      <c r="AB375" s="37"/>
      <c r="AC375" s="29"/>
      <c r="AD375" s="29" t="b">
        <v>0</v>
      </c>
      <c r="AE375" s="22" t="str">
        <f t="shared" si="7"/>
        <v/>
      </c>
      <c r="AF375" s="7">
        <f>IF(ISBLANK(AB375), 0, VLOOKUP(AB375, 'Price Sheet'!$A$2:$B1015, 2, false))</f>
        <v>0</v>
      </c>
      <c r="AG375" s="33" t="str">
        <f t="shared" si="8"/>
        <v/>
      </c>
      <c r="AH375" s="37"/>
      <c r="AI375" s="29"/>
      <c r="AJ375" s="29" t="b">
        <v>0</v>
      </c>
      <c r="AK375" s="22" t="str">
        <f t="shared" si="9"/>
        <v/>
      </c>
      <c r="AL375" s="7">
        <f>IF(ISBLANK(AH375), 0, VLOOKUP(AH375, 'Price Sheet'!$A$2:$B1015, 2, false))</f>
        <v>0</v>
      </c>
      <c r="AM375" s="33" t="str">
        <f t="shared" si="10"/>
        <v/>
      </c>
      <c r="AN375" s="37"/>
      <c r="AO375" s="29"/>
      <c r="AP375" s="29" t="b">
        <v>0</v>
      </c>
      <c r="AQ375" s="22" t="str">
        <f t="shared" si="11"/>
        <v/>
      </c>
      <c r="AR375" s="7">
        <f>IF(ISBLANK(AN375), 0, VLOOKUP(AN375, 'Price Sheet'!$A$2:$B1015, 2, false))</f>
        <v>0</v>
      </c>
      <c r="AS375" s="33" t="str">
        <f t="shared" si="12"/>
        <v/>
      </c>
      <c r="AT375" s="37"/>
      <c r="AU375" s="29"/>
      <c r="AV375" s="29" t="b">
        <v>0</v>
      </c>
      <c r="AW375" s="22" t="str">
        <f t="shared" si="13"/>
        <v/>
      </c>
      <c r="AX375" s="7">
        <f>IF(ISBLANK(AT375), 0, VLOOKUP(AT375, 'Price Sheet'!$A$2:$B1015, 2, false))</f>
        <v>0</v>
      </c>
      <c r="AY375" s="33" t="str">
        <f t="shared" si="14"/>
        <v/>
      </c>
      <c r="AZ375" s="37"/>
      <c r="BA375" s="29"/>
      <c r="BB375" s="29" t="b">
        <v>0</v>
      </c>
      <c r="BC375" s="22" t="str">
        <f t="shared" si="15"/>
        <v/>
      </c>
      <c r="BD375" s="7">
        <f>IF(ISBLANK(AZ375), 0, VLOOKUP(AZ375, 'Price Sheet'!$A$2:$B1015, 2, false))</f>
        <v>0</v>
      </c>
      <c r="BE375" s="33" t="str">
        <f t="shared" si="16"/>
        <v/>
      </c>
      <c r="BF375" s="37"/>
      <c r="BG375" s="29"/>
      <c r="BH375" s="29" t="b">
        <v>0</v>
      </c>
      <c r="BI375" s="22" t="str">
        <f t="shared" si="17"/>
        <v/>
      </c>
      <c r="BJ375" s="7">
        <f>IF(ISBLANK(BF375), 0, VLOOKUP(BF375, 'Price Sheet'!$A$2:$B1015, 2, false))</f>
        <v>0</v>
      </c>
      <c r="BK375" s="33" t="str">
        <f t="shared" si="18"/>
        <v/>
      </c>
      <c r="BL375" s="37"/>
      <c r="BM375" s="29"/>
      <c r="BN375" s="29" t="b">
        <v>0</v>
      </c>
      <c r="BO375" s="22" t="str">
        <f t="shared" si="19"/>
        <v/>
      </c>
      <c r="BP375" s="7">
        <f>IF(ISBLANK(BL375), 0, VLOOKUP(BL375, 'Price Sheet'!$A$2:$B1015, 2, false))</f>
        <v>0</v>
      </c>
      <c r="BQ375" s="33" t="str">
        <f t="shared" si="20"/>
        <v/>
      </c>
    </row>
    <row r="376">
      <c r="B376" s="19"/>
      <c r="C376" s="29"/>
      <c r="D376" s="29"/>
      <c r="E376" s="7" t="str">
        <f>IF(ISBLANK(D376), "", VLOOKUP(D376,'Crafting Tables'!$A$2:$B1015, 2, false))</f>
        <v/>
      </c>
      <c r="F376" s="7" t="str">
        <f>IFERROR(IF(E376 = "None", 1, VLOOKUP(C376,General!$A$5:$L$35, SWITCH(E376, "Basic", 8, "Advanced", 10, "Modern", 12), false)),"")</f>
        <v/>
      </c>
      <c r="G376" s="29"/>
      <c r="H376" s="7">
        <f>IFERROR(VLOOKUP(C376, General!$A$5:$L$35, 6, false) * G376 / 1000, 0)</f>
        <v>0</v>
      </c>
      <c r="I376" s="29"/>
      <c r="J376" s="22" t="str">
        <f>IFERROR(I376*VLOOKUP(D376,'Crafting Tables'!$1:$1000, 4, false)*F376,"")</f>
        <v/>
      </c>
      <c r="K376" s="29" t="b">
        <v>0</v>
      </c>
      <c r="L376" s="37"/>
      <c r="M376" s="29"/>
      <c r="N376" s="21" t="str">
        <f t="shared" si="2"/>
        <v/>
      </c>
      <c r="P376" s="37"/>
      <c r="Q376" s="29"/>
      <c r="R376" s="29" t="b">
        <v>0</v>
      </c>
      <c r="S376" s="22" t="str">
        <f t="shared" si="3"/>
        <v/>
      </c>
      <c r="T376" s="7">
        <f>IF(ISBLANK(P376), 0, VLOOKUP(P376, 'Price Sheet'!$A$2:$B1015, 2, false))</f>
        <v>0</v>
      </c>
      <c r="U376" s="33" t="str">
        <f t="shared" si="4"/>
        <v/>
      </c>
      <c r="V376" s="37"/>
      <c r="W376" s="29"/>
      <c r="X376" s="29" t="b">
        <v>0</v>
      </c>
      <c r="Y376" s="22" t="str">
        <f t="shared" si="5"/>
        <v/>
      </c>
      <c r="Z376" s="7">
        <f>IF(ISBLANK(V376), 0, VLOOKUP(V376, 'Price Sheet'!$A$2:$B1015, 2, false))</f>
        <v>0</v>
      </c>
      <c r="AA376" s="33" t="str">
        <f t="shared" si="6"/>
        <v/>
      </c>
      <c r="AB376" s="37"/>
      <c r="AC376" s="29"/>
      <c r="AD376" s="29" t="b">
        <v>0</v>
      </c>
      <c r="AE376" s="22" t="str">
        <f t="shared" si="7"/>
        <v/>
      </c>
      <c r="AF376" s="7">
        <f>IF(ISBLANK(AB376), 0, VLOOKUP(AB376, 'Price Sheet'!$A$2:$B1015, 2, false))</f>
        <v>0</v>
      </c>
      <c r="AG376" s="33" t="str">
        <f t="shared" si="8"/>
        <v/>
      </c>
      <c r="AH376" s="37"/>
      <c r="AI376" s="29"/>
      <c r="AJ376" s="29" t="b">
        <v>0</v>
      </c>
      <c r="AK376" s="22" t="str">
        <f t="shared" si="9"/>
        <v/>
      </c>
      <c r="AL376" s="7">
        <f>IF(ISBLANK(AH376), 0, VLOOKUP(AH376, 'Price Sheet'!$A$2:$B1015, 2, false))</f>
        <v>0</v>
      </c>
      <c r="AM376" s="33" t="str">
        <f t="shared" si="10"/>
        <v/>
      </c>
      <c r="AN376" s="37"/>
      <c r="AO376" s="29"/>
      <c r="AP376" s="29" t="b">
        <v>0</v>
      </c>
      <c r="AQ376" s="22" t="str">
        <f t="shared" si="11"/>
        <v/>
      </c>
      <c r="AR376" s="7">
        <f>IF(ISBLANK(AN376), 0, VLOOKUP(AN376, 'Price Sheet'!$A$2:$B1015, 2, false))</f>
        <v>0</v>
      </c>
      <c r="AS376" s="33" t="str">
        <f t="shared" si="12"/>
        <v/>
      </c>
      <c r="AT376" s="37"/>
      <c r="AU376" s="29"/>
      <c r="AV376" s="29" t="b">
        <v>0</v>
      </c>
      <c r="AW376" s="22" t="str">
        <f t="shared" si="13"/>
        <v/>
      </c>
      <c r="AX376" s="7">
        <f>IF(ISBLANK(AT376), 0, VLOOKUP(AT376, 'Price Sheet'!$A$2:$B1015, 2, false))</f>
        <v>0</v>
      </c>
      <c r="AY376" s="33" t="str">
        <f t="shared" si="14"/>
        <v/>
      </c>
      <c r="AZ376" s="37"/>
      <c r="BA376" s="29"/>
      <c r="BB376" s="29" t="b">
        <v>0</v>
      </c>
      <c r="BC376" s="22" t="str">
        <f t="shared" si="15"/>
        <v/>
      </c>
      <c r="BD376" s="7">
        <f>IF(ISBLANK(AZ376), 0, VLOOKUP(AZ376, 'Price Sheet'!$A$2:$B1015, 2, false))</f>
        <v>0</v>
      </c>
      <c r="BE376" s="33" t="str">
        <f t="shared" si="16"/>
        <v/>
      </c>
      <c r="BF376" s="37"/>
      <c r="BG376" s="29"/>
      <c r="BH376" s="29" t="b">
        <v>0</v>
      </c>
      <c r="BI376" s="22" t="str">
        <f t="shared" si="17"/>
        <v/>
      </c>
      <c r="BJ376" s="7">
        <f>IF(ISBLANK(BF376), 0, VLOOKUP(BF376, 'Price Sheet'!$A$2:$B1015, 2, false))</f>
        <v>0</v>
      </c>
      <c r="BK376" s="33" t="str">
        <f t="shared" si="18"/>
        <v/>
      </c>
      <c r="BL376" s="37"/>
      <c r="BM376" s="29"/>
      <c r="BN376" s="29" t="b">
        <v>0</v>
      </c>
      <c r="BO376" s="22" t="str">
        <f t="shared" si="19"/>
        <v/>
      </c>
      <c r="BP376" s="7">
        <f>IF(ISBLANK(BL376), 0, VLOOKUP(BL376, 'Price Sheet'!$A$2:$B1015, 2, false))</f>
        <v>0</v>
      </c>
      <c r="BQ376" s="33" t="str">
        <f t="shared" si="20"/>
        <v/>
      </c>
    </row>
    <row r="377">
      <c r="B377" s="19"/>
      <c r="C377" s="29"/>
      <c r="D377" s="29"/>
      <c r="E377" s="7" t="str">
        <f>IF(ISBLANK(D377), "", VLOOKUP(D377,'Crafting Tables'!$A$2:$B1015, 2, false))</f>
        <v/>
      </c>
      <c r="F377" s="7" t="str">
        <f>IFERROR(IF(E377 = "None", 1, VLOOKUP(C377,General!$A$5:$L$35, SWITCH(E377, "Basic", 8, "Advanced", 10, "Modern", 12), false)),"")</f>
        <v/>
      </c>
      <c r="G377" s="29"/>
      <c r="H377" s="7">
        <f>IFERROR(VLOOKUP(C377, General!$A$5:$L$35, 6, false) * G377 / 1000, 0)</f>
        <v>0</v>
      </c>
      <c r="I377" s="29"/>
      <c r="J377" s="22" t="str">
        <f>IFERROR(I377*VLOOKUP(D377,'Crafting Tables'!$1:$1000, 4, false)*F377,"")</f>
        <v/>
      </c>
      <c r="K377" s="29" t="b">
        <v>0</v>
      </c>
      <c r="L377" s="37"/>
      <c r="M377" s="29"/>
      <c r="N377" s="21" t="str">
        <f t="shared" si="2"/>
        <v/>
      </c>
      <c r="P377" s="37"/>
      <c r="Q377" s="29"/>
      <c r="R377" s="29" t="b">
        <v>0</v>
      </c>
      <c r="S377" s="22" t="str">
        <f t="shared" si="3"/>
        <v/>
      </c>
      <c r="T377" s="7">
        <f>IF(ISBLANK(P377), 0, VLOOKUP(P377, 'Price Sheet'!$A$2:$B1015, 2, false))</f>
        <v>0</v>
      </c>
      <c r="U377" s="33" t="str">
        <f t="shared" si="4"/>
        <v/>
      </c>
      <c r="V377" s="37"/>
      <c r="W377" s="29"/>
      <c r="X377" s="29" t="b">
        <v>0</v>
      </c>
      <c r="Y377" s="22" t="str">
        <f t="shared" si="5"/>
        <v/>
      </c>
      <c r="Z377" s="7">
        <f>IF(ISBLANK(V377), 0, VLOOKUP(V377, 'Price Sheet'!$A$2:$B1015, 2, false))</f>
        <v>0</v>
      </c>
      <c r="AA377" s="33" t="str">
        <f t="shared" si="6"/>
        <v/>
      </c>
      <c r="AB377" s="37"/>
      <c r="AC377" s="29"/>
      <c r="AD377" s="29" t="b">
        <v>0</v>
      </c>
      <c r="AE377" s="22" t="str">
        <f t="shared" si="7"/>
        <v/>
      </c>
      <c r="AF377" s="7">
        <f>IF(ISBLANK(AB377), 0, VLOOKUP(AB377, 'Price Sheet'!$A$2:$B1015, 2, false))</f>
        <v>0</v>
      </c>
      <c r="AG377" s="33" t="str">
        <f t="shared" si="8"/>
        <v/>
      </c>
      <c r="AH377" s="37"/>
      <c r="AI377" s="29"/>
      <c r="AJ377" s="29" t="b">
        <v>0</v>
      </c>
      <c r="AK377" s="22" t="str">
        <f t="shared" si="9"/>
        <v/>
      </c>
      <c r="AL377" s="7">
        <f>IF(ISBLANK(AH377), 0, VLOOKUP(AH377, 'Price Sheet'!$A$2:$B1015, 2, false))</f>
        <v>0</v>
      </c>
      <c r="AM377" s="33" t="str">
        <f t="shared" si="10"/>
        <v/>
      </c>
      <c r="AN377" s="37"/>
      <c r="AO377" s="29"/>
      <c r="AP377" s="29" t="b">
        <v>0</v>
      </c>
      <c r="AQ377" s="22" t="str">
        <f t="shared" si="11"/>
        <v/>
      </c>
      <c r="AR377" s="7">
        <f>IF(ISBLANK(AN377), 0, VLOOKUP(AN377, 'Price Sheet'!$A$2:$B1015, 2, false))</f>
        <v>0</v>
      </c>
      <c r="AS377" s="33" t="str">
        <f t="shared" si="12"/>
        <v/>
      </c>
      <c r="AT377" s="37"/>
      <c r="AU377" s="29"/>
      <c r="AV377" s="29" t="b">
        <v>0</v>
      </c>
      <c r="AW377" s="22" t="str">
        <f t="shared" si="13"/>
        <v/>
      </c>
      <c r="AX377" s="7">
        <f>IF(ISBLANK(AT377), 0, VLOOKUP(AT377, 'Price Sheet'!$A$2:$B1015, 2, false))</f>
        <v>0</v>
      </c>
      <c r="AY377" s="33" t="str">
        <f t="shared" si="14"/>
        <v/>
      </c>
      <c r="AZ377" s="37"/>
      <c r="BA377" s="29"/>
      <c r="BB377" s="29" t="b">
        <v>0</v>
      </c>
      <c r="BC377" s="22" t="str">
        <f t="shared" si="15"/>
        <v/>
      </c>
      <c r="BD377" s="7">
        <f>IF(ISBLANK(AZ377), 0, VLOOKUP(AZ377, 'Price Sheet'!$A$2:$B1015, 2, false))</f>
        <v>0</v>
      </c>
      <c r="BE377" s="33" t="str">
        <f t="shared" si="16"/>
        <v/>
      </c>
      <c r="BF377" s="37"/>
      <c r="BG377" s="29"/>
      <c r="BH377" s="29" t="b">
        <v>0</v>
      </c>
      <c r="BI377" s="22" t="str">
        <f t="shared" si="17"/>
        <v/>
      </c>
      <c r="BJ377" s="7">
        <f>IF(ISBLANK(BF377), 0, VLOOKUP(BF377, 'Price Sheet'!$A$2:$B1015, 2, false))</f>
        <v>0</v>
      </c>
      <c r="BK377" s="33" t="str">
        <f t="shared" si="18"/>
        <v/>
      </c>
      <c r="BL377" s="37"/>
      <c r="BM377" s="29"/>
      <c r="BN377" s="29" t="b">
        <v>0</v>
      </c>
      <c r="BO377" s="22" t="str">
        <f t="shared" si="19"/>
        <v/>
      </c>
      <c r="BP377" s="7">
        <f>IF(ISBLANK(BL377), 0, VLOOKUP(BL377, 'Price Sheet'!$A$2:$B1015, 2, false))</f>
        <v>0</v>
      </c>
      <c r="BQ377" s="33" t="str">
        <f t="shared" si="20"/>
        <v/>
      </c>
    </row>
    <row r="378">
      <c r="B378" s="19"/>
      <c r="C378" s="29"/>
      <c r="D378" s="29"/>
      <c r="E378" s="7" t="str">
        <f>IF(ISBLANK(D378), "", VLOOKUP(D378,'Crafting Tables'!$A$2:$B1015, 2, false))</f>
        <v/>
      </c>
      <c r="F378" s="7" t="str">
        <f>IFERROR(IF(E378 = "None", 1, VLOOKUP(C378,General!$A$5:$L$35, SWITCH(E378, "Basic", 8, "Advanced", 10, "Modern", 12), false)),"")</f>
        <v/>
      </c>
      <c r="G378" s="29"/>
      <c r="H378" s="7">
        <f>IFERROR(VLOOKUP(C378, General!$A$5:$L$35, 6, false) * G378 / 1000, 0)</f>
        <v>0</v>
      </c>
      <c r="I378" s="29"/>
      <c r="J378" s="22" t="str">
        <f>IFERROR(I378*VLOOKUP(D378,'Crafting Tables'!$1:$1000, 4, false)*F378,"")</f>
        <v/>
      </c>
      <c r="K378" s="29" t="b">
        <v>0</v>
      </c>
      <c r="L378" s="37"/>
      <c r="M378" s="29"/>
      <c r="N378" s="21" t="str">
        <f t="shared" si="2"/>
        <v/>
      </c>
      <c r="P378" s="37"/>
      <c r="Q378" s="29"/>
      <c r="R378" s="29" t="b">
        <v>0</v>
      </c>
      <c r="S378" s="22" t="str">
        <f t="shared" si="3"/>
        <v/>
      </c>
      <c r="T378" s="7">
        <f>IF(ISBLANK(P378), 0, VLOOKUP(P378, 'Price Sheet'!$A$2:$B1015, 2, false))</f>
        <v>0</v>
      </c>
      <c r="U378" s="33" t="str">
        <f t="shared" si="4"/>
        <v/>
      </c>
      <c r="V378" s="37"/>
      <c r="W378" s="29"/>
      <c r="X378" s="29" t="b">
        <v>0</v>
      </c>
      <c r="Y378" s="22" t="str">
        <f t="shared" si="5"/>
        <v/>
      </c>
      <c r="Z378" s="7">
        <f>IF(ISBLANK(V378), 0, VLOOKUP(V378, 'Price Sheet'!$A$2:$B1015, 2, false))</f>
        <v>0</v>
      </c>
      <c r="AA378" s="33" t="str">
        <f t="shared" si="6"/>
        <v/>
      </c>
      <c r="AB378" s="37"/>
      <c r="AC378" s="29"/>
      <c r="AD378" s="29" t="b">
        <v>0</v>
      </c>
      <c r="AE378" s="22" t="str">
        <f t="shared" si="7"/>
        <v/>
      </c>
      <c r="AF378" s="7">
        <f>IF(ISBLANK(AB378), 0, VLOOKUP(AB378, 'Price Sheet'!$A$2:$B1015, 2, false))</f>
        <v>0</v>
      </c>
      <c r="AG378" s="33" t="str">
        <f t="shared" si="8"/>
        <v/>
      </c>
      <c r="AH378" s="37"/>
      <c r="AI378" s="29"/>
      <c r="AJ378" s="29" t="b">
        <v>0</v>
      </c>
      <c r="AK378" s="22" t="str">
        <f t="shared" si="9"/>
        <v/>
      </c>
      <c r="AL378" s="7">
        <f>IF(ISBLANK(AH378), 0, VLOOKUP(AH378, 'Price Sheet'!$A$2:$B1015, 2, false))</f>
        <v>0</v>
      </c>
      <c r="AM378" s="33" t="str">
        <f t="shared" si="10"/>
        <v/>
      </c>
      <c r="AN378" s="37"/>
      <c r="AO378" s="29"/>
      <c r="AP378" s="29" t="b">
        <v>0</v>
      </c>
      <c r="AQ378" s="22" t="str">
        <f t="shared" si="11"/>
        <v/>
      </c>
      <c r="AR378" s="7">
        <f>IF(ISBLANK(AN378), 0, VLOOKUP(AN378, 'Price Sheet'!$A$2:$B1015, 2, false))</f>
        <v>0</v>
      </c>
      <c r="AS378" s="33" t="str">
        <f t="shared" si="12"/>
        <v/>
      </c>
      <c r="AT378" s="37"/>
      <c r="AU378" s="29"/>
      <c r="AV378" s="29" t="b">
        <v>0</v>
      </c>
      <c r="AW378" s="22" t="str">
        <f t="shared" si="13"/>
        <v/>
      </c>
      <c r="AX378" s="7">
        <f>IF(ISBLANK(AT378), 0, VLOOKUP(AT378, 'Price Sheet'!$A$2:$B1015, 2, false))</f>
        <v>0</v>
      </c>
      <c r="AY378" s="33" t="str">
        <f t="shared" si="14"/>
        <v/>
      </c>
      <c r="AZ378" s="37"/>
      <c r="BA378" s="29"/>
      <c r="BB378" s="29" t="b">
        <v>0</v>
      </c>
      <c r="BC378" s="22" t="str">
        <f t="shared" si="15"/>
        <v/>
      </c>
      <c r="BD378" s="7">
        <f>IF(ISBLANK(AZ378), 0, VLOOKUP(AZ378, 'Price Sheet'!$A$2:$B1015, 2, false))</f>
        <v>0</v>
      </c>
      <c r="BE378" s="33" t="str">
        <f t="shared" si="16"/>
        <v/>
      </c>
      <c r="BF378" s="37"/>
      <c r="BG378" s="29"/>
      <c r="BH378" s="29" t="b">
        <v>0</v>
      </c>
      <c r="BI378" s="22" t="str">
        <f t="shared" si="17"/>
        <v/>
      </c>
      <c r="BJ378" s="7">
        <f>IF(ISBLANK(BF378), 0, VLOOKUP(BF378, 'Price Sheet'!$A$2:$B1015, 2, false))</f>
        <v>0</v>
      </c>
      <c r="BK378" s="33" t="str">
        <f t="shared" si="18"/>
        <v/>
      </c>
      <c r="BL378" s="37"/>
      <c r="BM378" s="29"/>
      <c r="BN378" s="29" t="b">
        <v>0</v>
      </c>
      <c r="BO378" s="22" t="str">
        <f t="shared" si="19"/>
        <v/>
      </c>
      <c r="BP378" s="7">
        <f>IF(ISBLANK(BL378), 0, VLOOKUP(BL378, 'Price Sheet'!$A$2:$B1015, 2, false))</f>
        <v>0</v>
      </c>
      <c r="BQ378" s="33" t="str">
        <f t="shared" si="20"/>
        <v/>
      </c>
    </row>
    <row r="379">
      <c r="B379" s="19"/>
      <c r="C379" s="29"/>
      <c r="D379" s="29"/>
      <c r="E379" s="7" t="str">
        <f>IF(ISBLANK(D379), "", VLOOKUP(D379,'Crafting Tables'!$A$2:$B1015, 2, false))</f>
        <v/>
      </c>
      <c r="F379" s="7" t="str">
        <f>IFERROR(IF(E379 = "None", 1, VLOOKUP(C379,General!$A$5:$L$35, SWITCH(E379, "Basic", 8, "Advanced", 10, "Modern", 12), false)),"")</f>
        <v/>
      </c>
      <c r="G379" s="29"/>
      <c r="H379" s="7">
        <f>IFERROR(VLOOKUP(C379, General!$A$5:$L$35, 6, false) * G379 / 1000, 0)</f>
        <v>0</v>
      </c>
      <c r="I379" s="29"/>
      <c r="J379" s="22" t="str">
        <f>IFERROR(I379*VLOOKUP(D379,'Crafting Tables'!$1:$1000, 4, false)*F379,"")</f>
        <v/>
      </c>
      <c r="K379" s="29" t="b">
        <v>0</v>
      </c>
      <c r="L379" s="37"/>
      <c r="M379" s="29"/>
      <c r="N379" s="21" t="str">
        <f t="shared" si="2"/>
        <v/>
      </c>
      <c r="P379" s="37"/>
      <c r="Q379" s="29"/>
      <c r="R379" s="29" t="b">
        <v>0</v>
      </c>
      <c r="S379" s="22" t="str">
        <f t="shared" si="3"/>
        <v/>
      </c>
      <c r="T379" s="7">
        <f>IF(ISBLANK(P379), 0, VLOOKUP(P379, 'Price Sheet'!$A$2:$B1015, 2, false))</f>
        <v>0</v>
      </c>
      <c r="U379" s="33" t="str">
        <f t="shared" si="4"/>
        <v/>
      </c>
      <c r="V379" s="37"/>
      <c r="W379" s="29"/>
      <c r="X379" s="29" t="b">
        <v>0</v>
      </c>
      <c r="Y379" s="22" t="str">
        <f t="shared" si="5"/>
        <v/>
      </c>
      <c r="Z379" s="7">
        <f>IF(ISBLANK(V379), 0, VLOOKUP(V379, 'Price Sheet'!$A$2:$B1015, 2, false))</f>
        <v>0</v>
      </c>
      <c r="AA379" s="33" t="str">
        <f t="shared" si="6"/>
        <v/>
      </c>
      <c r="AB379" s="37"/>
      <c r="AC379" s="29"/>
      <c r="AD379" s="29" t="b">
        <v>0</v>
      </c>
      <c r="AE379" s="22" t="str">
        <f t="shared" si="7"/>
        <v/>
      </c>
      <c r="AF379" s="7">
        <f>IF(ISBLANK(AB379), 0, VLOOKUP(AB379, 'Price Sheet'!$A$2:$B1015, 2, false))</f>
        <v>0</v>
      </c>
      <c r="AG379" s="33" t="str">
        <f t="shared" si="8"/>
        <v/>
      </c>
      <c r="AH379" s="37"/>
      <c r="AI379" s="29"/>
      <c r="AJ379" s="29" t="b">
        <v>0</v>
      </c>
      <c r="AK379" s="22" t="str">
        <f t="shared" si="9"/>
        <v/>
      </c>
      <c r="AL379" s="7">
        <f>IF(ISBLANK(AH379), 0, VLOOKUP(AH379, 'Price Sheet'!$A$2:$B1015, 2, false))</f>
        <v>0</v>
      </c>
      <c r="AM379" s="33" t="str">
        <f t="shared" si="10"/>
        <v/>
      </c>
      <c r="AN379" s="37"/>
      <c r="AO379" s="29"/>
      <c r="AP379" s="29" t="b">
        <v>0</v>
      </c>
      <c r="AQ379" s="22" t="str">
        <f t="shared" si="11"/>
        <v/>
      </c>
      <c r="AR379" s="7">
        <f>IF(ISBLANK(AN379), 0, VLOOKUP(AN379, 'Price Sheet'!$A$2:$B1015, 2, false))</f>
        <v>0</v>
      </c>
      <c r="AS379" s="33" t="str">
        <f t="shared" si="12"/>
        <v/>
      </c>
      <c r="AT379" s="37"/>
      <c r="AU379" s="29"/>
      <c r="AV379" s="29" t="b">
        <v>0</v>
      </c>
      <c r="AW379" s="22" t="str">
        <f t="shared" si="13"/>
        <v/>
      </c>
      <c r="AX379" s="7">
        <f>IF(ISBLANK(AT379), 0, VLOOKUP(AT379, 'Price Sheet'!$A$2:$B1015, 2, false))</f>
        <v>0</v>
      </c>
      <c r="AY379" s="33" t="str">
        <f t="shared" si="14"/>
        <v/>
      </c>
      <c r="AZ379" s="37"/>
      <c r="BA379" s="29"/>
      <c r="BB379" s="29" t="b">
        <v>0</v>
      </c>
      <c r="BC379" s="22" t="str">
        <f t="shared" si="15"/>
        <v/>
      </c>
      <c r="BD379" s="7">
        <f>IF(ISBLANK(AZ379), 0, VLOOKUP(AZ379, 'Price Sheet'!$A$2:$B1015, 2, false))</f>
        <v>0</v>
      </c>
      <c r="BE379" s="33" t="str">
        <f t="shared" si="16"/>
        <v/>
      </c>
      <c r="BF379" s="37"/>
      <c r="BG379" s="29"/>
      <c r="BH379" s="29" t="b">
        <v>0</v>
      </c>
      <c r="BI379" s="22" t="str">
        <f t="shared" si="17"/>
        <v/>
      </c>
      <c r="BJ379" s="7">
        <f>IF(ISBLANK(BF379), 0, VLOOKUP(BF379, 'Price Sheet'!$A$2:$B1015, 2, false))</f>
        <v>0</v>
      </c>
      <c r="BK379" s="33" t="str">
        <f t="shared" si="18"/>
        <v/>
      </c>
      <c r="BL379" s="37"/>
      <c r="BM379" s="29"/>
      <c r="BN379" s="29" t="b">
        <v>0</v>
      </c>
      <c r="BO379" s="22" t="str">
        <f t="shared" si="19"/>
        <v/>
      </c>
      <c r="BP379" s="7">
        <f>IF(ISBLANK(BL379), 0, VLOOKUP(BL379, 'Price Sheet'!$A$2:$B1015, 2, false))</f>
        <v>0</v>
      </c>
      <c r="BQ379" s="33" t="str">
        <f t="shared" si="20"/>
        <v/>
      </c>
    </row>
    <row r="380">
      <c r="B380" s="19"/>
      <c r="C380" s="29"/>
      <c r="D380" s="29"/>
      <c r="E380" s="7" t="str">
        <f>IF(ISBLANK(D380), "", VLOOKUP(D380,'Crafting Tables'!$A$2:$B1015, 2, false))</f>
        <v/>
      </c>
      <c r="F380" s="7" t="str">
        <f>IFERROR(IF(E380 = "None", 1, VLOOKUP(C380,General!$A$5:$L$35, SWITCH(E380, "Basic", 8, "Advanced", 10, "Modern", 12), false)),"")</f>
        <v/>
      </c>
      <c r="G380" s="29"/>
      <c r="H380" s="7">
        <f>IFERROR(VLOOKUP(C380, General!$A$5:$L$35, 6, false) * G380 / 1000, 0)</f>
        <v>0</v>
      </c>
      <c r="I380" s="29"/>
      <c r="J380" s="22" t="str">
        <f>IFERROR(I380*VLOOKUP(D380,'Crafting Tables'!$1:$1000, 4, false)*F380,"")</f>
        <v/>
      </c>
      <c r="K380" s="29" t="b">
        <v>0</v>
      </c>
      <c r="L380" s="37"/>
      <c r="M380" s="29"/>
      <c r="N380" s="21" t="str">
        <f t="shared" si="2"/>
        <v/>
      </c>
      <c r="P380" s="37"/>
      <c r="Q380" s="29"/>
      <c r="R380" s="29" t="b">
        <v>0</v>
      </c>
      <c r="S380" s="22" t="str">
        <f t="shared" si="3"/>
        <v/>
      </c>
      <c r="T380" s="7">
        <f>IF(ISBLANK(P380), 0, VLOOKUP(P380, 'Price Sheet'!$A$2:$B1015, 2, false))</f>
        <v>0</v>
      </c>
      <c r="U380" s="33" t="str">
        <f t="shared" si="4"/>
        <v/>
      </c>
      <c r="V380" s="37"/>
      <c r="W380" s="29"/>
      <c r="X380" s="29" t="b">
        <v>0</v>
      </c>
      <c r="Y380" s="22" t="str">
        <f t="shared" si="5"/>
        <v/>
      </c>
      <c r="Z380" s="7">
        <f>IF(ISBLANK(V380), 0, VLOOKUP(V380, 'Price Sheet'!$A$2:$B1015, 2, false))</f>
        <v>0</v>
      </c>
      <c r="AA380" s="33" t="str">
        <f t="shared" si="6"/>
        <v/>
      </c>
      <c r="AB380" s="37"/>
      <c r="AC380" s="29"/>
      <c r="AD380" s="29" t="b">
        <v>0</v>
      </c>
      <c r="AE380" s="22" t="str">
        <f t="shared" si="7"/>
        <v/>
      </c>
      <c r="AF380" s="7">
        <f>IF(ISBLANK(AB380), 0, VLOOKUP(AB380, 'Price Sheet'!$A$2:$B1015, 2, false))</f>
        <v>0</v>
      </c>
      <c r="AG380" s="33" t="str">
        <f t="shared" si="8"/>
        <v/>
      </c>
      <c r="AH380" s="37"/>
      <c r="AI380" s="29"/>
      <c r="AJ380" s="29" t="b">
        <v>0</v>
      </c>
      <c r="AK380" s="22" t="str">
        <f t="shared" si="9"/>
        <v/>
      </c>
      <c r="AL380" s="7">
        <f>IF(ISBLANK(AH380), 0, VLOOKUP(AH380, 'Price Sheet'!$A$2:$B1015, 2, false))</f>
        <v>0</v>
      </c>
      <c r="AM380" s="33" t="str">
        <f t="shared" si="10"/>
        <v/>
      </c>
      <c r="AN380" s="37"/>
      <c r="AO380" s="29"/>
      <c r="AP380" s="29" t="b">
        <v>0</v>
      </c>
      <c r="AQ380" s="22" t="str">
        <f t="shared" si="11"/>
        <v/>
      </c>
      <c r="AR380" s="7">
        <f>IF(ISBLANK(AN380), 0, VLOOKUP(AN380, 'Price Sheet'!$A$2:$B1015, 2, false))</f>
        <v>0</v>
      </c>
      <c r="AS380" s="33" t="str">
        <f t="shared" si="12"/>
        <v/>
      </c>
      <c r="AT380" s="37"/>
      <c r="AU380" s="29"/>
      <c r="AV380" s="29" t="b">
        <v>0</v>
      </c>
      <c r="AW380" s="22" t="str">
        <f t="shared" si="13"/>
        <v/>
      </c>
      <c r="AX380" s="7">
        <f>IF(ISBLANK(AT380), 0, VLOOKUP(AT380, 'Price Sheet'!$A$2:$B1015, 2, false))</f>
        <v>0</v>
      </c>
      <c r="AY380" s="33" t="str">
        <f t="shared" si="14"/>
        <v/>
      </c>
      <c r="AZ380" s="37"/>
      <c r="BA380" s="29"/>
      <c r="BB380" s="29" t="b">
        <v>0</v>
      </c>
      <c r="BC380" s="22" t="str">
        <f t="shared" si="15"/>
        <v/>
      </c>
      <c r="BD380" s="7">
        <f>IF(ISBLANK(AZ380), 0, VLOOKUP(AZ380, 'Price Sheet'!$A$2:$B1015, 2, false))</f>
        <v>0</v>
      </c>
      <c r="BE380" s="33" t="str">
        <f t="shared" si="16"/>
        <v/>
      </c>
      <c r="BF380" s="37"/>
      <c r="BG380" s="29"/>
      <c r="BH380" s="29" t="b">
        <v>0</v>
      </c>
      <c r="BI380" s="22" t="str">
        <f t="shared" si="17"/>
        <v/>
      </c>
      <c r="BJ380" s="7">
        <f>IF(ISBLANK(BF380), 0, VLOOKUP(BF380, 'Price Sheet'!$A$2:$B1015, 2, false))</f>
        <v>0</v>
      </c>
      <c r="BK380" s="33" t="str">
        <f t="shared" si="18"/>
        <v/>
      </c>
      <c r="BL380" s="37"/>
      <c r="BM380" s="29"/>
      <c r="BN380" s="29" t="b">
        <v>0</v>
      </c>
      <c r="BO380" s="22" t="str">
        <f t="shared" si="19"/>
        <v/>
      </c>
      <c r="BP380" s="7">
        <f>IF(ISBLANK(BL380), 0, VLOOKUP(BL380, 'Price Sheet'!$A$2:$B1015, 2, false))</f>
        <v>0</v>
      </c>
      <c r="BQ380" s="33" t="str">
        <f t="shared" si="20"/>
        <v/>
      </c>
    </row>
    <row r="381">
      <c r="B381" s="19"/>
      <c r="C381" s="29"/>
      <c r="D381" s="29"/>
      <c r="E381" s="7" t="str">
        <f>IF(ISBLANK(D381), "", VLOOKUP(D381,'Crafting Tables'!$A$2:$B1015, 2, false))</f>
        <v/>
      </c>
      <c r="F381" s="7" t="str">
        <f>IFERROR(IF(E381 = "None", 1, VLOOKUP(C381,General!$A$5:$L$35, SWITCH(E381, "Basic", 8, "Advanced", 10, "Modern", 12), false)),"")</f>
        <v/>
      </c>
      <c r="G381" s="29"/>
      <c r="H381" s="7">
        <f>IFERROR(VLOOKUP(C381, General!$A$5:$L$35, 6, false) * G381 / 1000, 0)</f>
        <v>0</v>
      </c>
      <c r="I381" s="29"/>
      <c r="J381" s="22" t="str">
        <f>IFERROR(I381*VLOOKUP(D381,'Crafting Tables'!$1:$1000, 4, false)*F381,"")</f>
        <v/>
      </c>
      <c r="K381" s="29" t="b">
        <v>0</v>
      </c>
      <c r="L381" s="37"/>
      <c r="M381" s="29"/>
      <c r="N381" s="21" t="str">
        <f t="shared" si="2"/>
        <v/>
      </c>
      <c r="P381" s="37"/>
      <c r="Q381" s="29"/>
      <c r="R381" s="29" t="b">
        <v>0</v>
      </c>
      <c r="S381" s="22" t="str">
        <f t="shared" si="3"/>
        <v/>
      </c>
      <c r="T381" s="7">
        <f>IF(ISBLANK(P381), 0, VLOOKUP(P381, 'Price Sheet'!$A$2:$B1015, 2, false))</f>
        <v>0</v>
      </c>
      <c r="U381" s="33" t="str">
        <f t="shared" si="4"/>
        <v/>
      </c>
      <c r="V381" s="37"/>
      <c r="W381" s="29"/>
      <c r="X381" s="29" t="b">
        <v>0</v>
      </c>
      <c r="Y381" s="22" t="str">
        <f t="shared" si="5"/>
        <v/>
      </c>
      <c r="Z381" s="7">
        <f>IF(ISBLANK(V381), 0, VLOOKUP(V381, 'Price Sheet'!$A$2:$B1015, 2, false))</f>
        <v>0</v>
      </c>
      <c r="AA381" s="33" t="str">
        <f t="shared" si="6"/>
        <v/>
      </c>
      <c r="AB381" s="37"/>
      <c r="AC381" s="29"/>
      <c r="AD381" s="29" t="b">
        <v>0</v>
      </c>
      <c r="AE381" s="22" t="str">
        <f t="shared" si="7"/>
        <v/>
      </c>
      <c r="AF381" s="7">
        <f>IF(ISBLANK(AB381), 0, VLOOKUP(AB381, 'Price Sheet'!$A$2:$B1015, 2, false))</f>
        <v>0</v>
      </c>
      <c r="AG381" s="33" t="str">
        <f t="shared" si="8"/>
        <v/>
      </c>
      <c r="AH381" s="37"/>
      <c r="AI381" s="29"/>
      <c r="AJ381" s="29" t="b">
        <v>0</v>
      </c>
      <c r="AK381" s="22" t="str">
        <f t="shared" si="9"/>
        <v/>
      </c>
      <c r="AL381" s="7">
        <f>IF(ISBLANK(AH381), 0, VLOOKUP(AH381, 'Price Sheet'!$A$2:$B1015, 2, false))</f>
        <v>0</v>
      </c>
      <c r="AM381" s="33" t="str">
        <f t="shared" si="10"/>
        <v/>
      </c>
      <c r="AN381" s="37"/>
      <c r="AO381" s="29"/>
      <c r="AP381" s="29" t="b">
        <v>0</v>
      </c>
      <c r="AQ381" s="22" t="str">
        <f t="shared" si="11"/>
        <v/>
      </c>
      <c r="AR381" s="7">
        <f>IF(ISBLANK(AN381), 0, VLOOKUP(AN381, 'Price Sheet'!$A$2:$B1015, 2, false))</f>
        <v>0</v>
      </c>
      <c r="AS381" s="33" t="str">
        <f t="shared" si="12"/>
        <v/>
      </c>
      <c r="AT381" s="37"/>
      <c r="AU381" s="29"/>
      <c r="AV381" s="29" t="b">
        <v>0</v>
      </c>
      <c r="AW381" s="22" t="str">
        <f t="shared" si="13"/>
        <v/>
      </c>
      <c r="AX381" s="7">
        <f>IF(ISBLANK(AT381), 0, VLOOKUP(AT381, 'Price Sheet'!$A$2:$B1015, 2, false))</f>
        <v>0</v>
      </c>
      <c r="AY381" s="33" t="str">
        <f t="shared" si="14"/>
        <v/>
      </c>
      <c r="AZ381" s="37"/>
      <c r="BA381" s="29"/>
      <c r="BB381" s="29" t="b">
        <v>0</v>
      </c>
      <c r="BC381" s="22" t="str">
        <f t="shared" si="15"/>
        <v/>
      </c>
      <c r="BD381" s="7">
        <f>IF(ISBLANK(AZ381), 0, VLOOKUP(AZ381, 'Price Sheet'!$A$2:$B1015, 2, false))</f>
        <v>0</v>
      </c>
      <c r="BE381" s="33" t="str">
        <f t="shared" si="16"/>
        <v/>
      </c>
      <c r="BF381" s="37"/>
      <c r="BG381" s="29"/>
      <c r="BH381" s="29" t="b">
        <v>0</v>
      </c>
      <c r="BI381" s="22" t="str">
        <f t="shared" si="17"/>
        <v/>
      </c>
      <c r="BJ381" s="7">
        <f>IF(ISBLANK(BF381), 0, VLOOKUP(BF381, 'Price Sheet'!$A$2:$B1015, 2, false))</f>
        <v>0</v>
      </c>
      <c r="BK381" s="33" t="str">
        <f t="shared" si="18"/>
        <v/>
      </c>
      <c r="BL381" s="37"/>
      <c r="BM381" s="29"/>
      <c r="BN381" s="29" t="b">
        <v>0</v>
      </c>
      <c r="BO381" s="22" t="str">
        <f t="shared" si="19"/>
        <v/>
      </c>
      <c r="BP381" s="7">
        <f>IF(ISBLANK(BL381), 0, VLOOKUP(BL381, 'Price Sheet'!$A$2:$B1015, 2, false))</f>
        <v>0</v>
      </c>
      <c r="BQ381" s="33" t="str">
        <f t="shared" si="20"/>
        <v/>
      </c>
    </row>
    <row r="382">
      <c r="B382" s="19"/>
      <c r="C382" s="29"/>
      <c r="D382" s="29"/>
      <c r="E382" s="7" t="str">
        <f>IF(ISBLANK(D382), "", VLOOKUP(D382,'Crafting Tables'!$A$2:$B1015, 2, false))</f>
        <v/>
      </c>
      <c r="F382" s="7" t="str">
        <f>IFERROR(IF(E382 = "None", 1, VLOOKUP(C382,General!$A$5:$L$35, SWITCH(E382, "Basic", 8, "Advanced", 10, "Modern", 12), false)),"")</f>
        <v/>
      </c>
      <c r="G382" s="29"/>
      <c r="H382" s="7">
        <f>IFERROR(VLOOKUP(C382, General!$A$5:$L$35, 6, false) * G382 / 1000, 0)</f>
        <v>0</v>
      </c>
      <c r="I382" s="29"/>
      <c r="J382" s="22" t="str">
        <f>IFERROR(I382*VLOOKUP(D382,'Crafting Tables'!$1:$1000, 4, false)*F382,"")</f>
        <v/>
      </c>
      <c r="K382" s="29" t="b">
        <v>0</v>
      </c>
      <c r="L382" s="37"/>
      <c r="M382" s="29"/>
      <c r="N382" s="21" t="str">
        <f t="shared" si="2"/>
        <v/>
      </c>
      <c r="P382" s="37"/>
      <c r="Q382" s="29"/>
      <c r="R382" s="29" t="b">
        <v>0</v>
      </c>
      <c r="S382" s="22" t="str">
        <f t="shared" si="3"/>
        <v/>
      </c>
      <c r="T382" s="7">
        <f>IF(ISBLANK(P382), 0, VLOOKUP(P382, 'Price Sheet'!$A$2:$B1015, 2, false))</f>
        <v>0</v>
      </c>
      <c r="U382" s="33" t="str">
        <f t="shared" si="4"/>
        <v/>
      </c>
      <c r="V382" s="37"/>
      <c r="W382" s="29"/>
      <c r="X382" s="29" t="b">
        <v>0</v>
      </c>
      <c r="Y382" s="22" t="str">
        <f t="shared" si="5"/>
        <v/>
      </c>
      <c r="Z382" s="7">
        <f>IF(ISBLANK(V382), 0, VLOOKUP(V382, 'Price Sheet'!$A$2:$B1015, 2, false))</f>
        <v>0</v>
      </c>
      <c r="AA382" s="33" t="str">
        <f t="shared" si="6"/>
        <v/>
      </c>
      <c r="AB382" s="37"/>
      <c r="AC382" s="29"/>
      <c r="AD382" s="29" t="b">
        <v>0</v>
      </c>
      <c r="AE382" s="22" t="str">
        <f t="shared" si="7"/>
        <v/>
      </c>
      <c r="AF382" s="7">
        <f>IF(ISBLANK(AB382), 0, VLOOKUP(AB382, 'Price Sheet'!$A$2:$B1015, 2, false))</f>
        <v>0</v>
      </c>
      <c r="AG382" s="33" t="str">
        <f t="shared" si="8"/>
        <v/>
      </c>
      <c r="AH382" s="37"/>
      <c r="AI382" s="29"/>
      <c r="AJ382" s="29" t="b">
        <v>0</v>
      </c>
      <c r="AK382" s="22" t="str">
        <f t="shared" si="9"/>
        <v/>
      </c>
      <c r="AL382" s="7">
        <f>IF(ISBLANK(AH382), 0, VLOOKUP(AH382, 'Price Sheet'!$A$2:$B1015, 2, false))</f>
        <v>0</v>
      </c>
      <c r="AM382" s="33" t="str">
        <f t="shared" si="10"/>
        <v/>
      </c>
      <c r="AN382" s="37"/>
      <c r="AO382" s="29"/>
      <c r="AP382" s="29" t="b">
        <v>0</v>
      </c>
      <c r="AQ382" s="22" t="str">
        <f t="shared" si="11"/>
        <v/>
      </c>
      <c r="AR382" s="7">
        <f>IF(ISBLANK(AN382), 0, VLOOKUP(AN382, 'Price Sheet'!$A$2:$B1015, 2, false))</f>
        <v>0</v>
      </c>
      <c r="AS382" s="33" t="str">
        <f t="shared" si="12"/>
        <v/>
      </c>
      <c r="AT382" s="37"/>
      <c r="AU382" s="29"/>
      <c r="AV382" s="29" t="b">
        <v>0</v>
      </c>
      <c r="AW382" s="22" t="str">
        <f t="shared" si="13"/>
        <v/>
      </c>
      <c r="AX382" s="7">
        <f>IF(ISBLANK(AT382), 0, VLOOKUP(AT382, 'Price Sheet'!$A$2:$B1015, 2, false))</f>
        <v>0</v>
      </c>
      <c r="AY382" s="33" t="str">
        <f t="shared" si="14"/>
        <v/>
      </c>
      <c r="AZ382" s="37"/>
      <c r="BA382" s="29"/>
      <c r="BB382" s="29" t="b">
        <v>0</v>
      </c>
      <c r="BC382" s="22" t="str">
        <f t="shared" si="15"/>
        <v/>
      </c>
      <c r="BD382" s="7">
        <f>IF(ISBLANK(AZ382), 0, VLOOKUP(AZ382, 'Price Sheet'!$A$2:$B1015, 2, false))</f>
        <v>0</v>
      </c>
      <c r="BE382" s="33" t="str">
        <f t="shared" si="16"/>
        <v/>
      </c>
      <c r="BF382" s="37"/>
      <c r="BG382" s="29"/>
      <c r="BH382" s="29" t="b">
        <v>0</v>
      </c>
      <c r="BI382" s="22" t="str">
        <f t="shared" si="17"/>
        <v/>
      </c>
      <c r="BJ382" s="7">
        <f>IF(ISBLANK(BF382), 0, VLOOKUP(BF382, 'Price Sheet'!$A$2:$B1015, 2, false))</f>
        <v>0</v>
      </c>
      <c r="BK382" s="33" t="str">
        <f t="shared" si="18"/>
        <v/>
      </c>
      <c r="BL382" s="37"/>
      <c r="BM382" s="29"/>
      <c r="BN382" s="29" t="b">
        <v>0</v>
      </c>
      <c r="BO382" s="22" t="str">
        <f t="shared" si="19"/>
        <v/>
      </c>
      <c r="BP382" s="7">
        <f>IF(ISBLANK(BL382), 0, VLOOKUP(BL382, 'Price Sheet'!$A$2:$B1015, 2, false))</f>
        <v>0</v>
      </c>
      <c r="BQ382" s="33" t="str">
        <f t="shared" si="20"/>
        <v/>
      </c>
    </row>
    <row r="383">
      <c r="B383" s="19"/>
      <c r="C383" s="29"/>
      <c r="D383" s="29"/>
      <c r="E383" s="7" t="str">
        <f>IF(ISBLANK(D383), "", VLOOKUP(D383,'Crafting Tables'!$A$2:$B1015, 2, false))</f>
        <v/>
      </c>
      <c r="F383" s="7" t="str">
        <f>IFERROR(IF(E383 = "None", 1, VLOOKUP(C383,General!$A$5:$L$35, SWITCH(E383, "Basic", 8, "Advanced", 10, "Modern", 12), false)),"")</f>
        <v/>
      </c>
      <c r="G383" s="29"/>
      <c r="H383" s="7">
        <f>IFERROR(VLOOKUP(C383, General!$A$5:$L$35, 6, false) * G383 / 1000, 0)</f>
        <v>0</v>
      </c>
      <c r="I383" s="29"/>
      <c r="J383" s="22" t="str">
        <f>IFERROR(I383*VLOOKUP(D383,'Crafting Tables'!$1:$1000, 4, false)*F383,"")</f>
        <v/>
      </c>
      <c r="K383" s="29" t="b">
        <v>0</v>
      </c>
      <c r="L383" s="37"/>
      <c r="M383" s="29"/>
      <c r="N383" s="21" t="str">
        <f t="shared" si="2"/>
        <v/>
      </c>
      <c r="P383" s="37"/>
      <c r="Q383" s="29"/>
      <c r="R383" s="29" t="b">
        <v>0</v>
      </c>
      <c r="S383" s="22" t="str">
        <f t="shared" si="3"/>
        <v/>
      </c>
      <c r="T383" s="7">
        <f>IF(ISBLANK(P383), 0, VLOOKUP(P383, 'Price Sheet'!$A$2:$B1015, 2, false))</f>
        <v>0</v>
      </c>
      <c r="U383" s="33" t="str">
        <f t="shared" si="4"/>
        <v/>
      </c>
      <c r="V383" s="37"/>
      <c r="W383" s="29"/>
      <c r="X383" s="29" t="b">
        <v>0</v>
      </c>
      <c r="Y383" s="22" t="str">
        <f t="shared" si="5"/>
        <v/>
      </c>
      <c r="Z383" s="7">
        <f>IF(ISBLANK(V383), 0, VLOOKUP(V383, 'Price Sheet'!$A$2:$B1015, 2, false))</f>
        <v>0</v>
      </c>
      <c r="AA383" s="33" t="str">
        <f t="shared" si="6"/>
        <v/>
      </c>
      <c r="AB383" s="37"/>
      <c r="AC383" s="29"/>
      <c r="AD383" s="29" t="b">
        <v>0</v>
      </c>
      <c r="AE383" s="22" t="str">
        <f t="shared" si="7"/>
        <v/>
      </c>
      <c r="AF383" s="7">
        <f>IF(ISBLANK(AB383), 0, VLOOKUP(AB383, 'Price Sheet'!$A$2:$B1015, 2, false))</f>
        <v>0</v>
      </c>
      <c r="AG383" s="33" t="str">
        <f t="shared" si="8"/>
        <v/>
      </c>
      <c r="AH383" s="37"/>
      <c r="AI383" s="29"/>
      <c r="AJ383" s="29" t="b">
        <v>0</v>
      </c>
      <c r="AK383" s="22" t="str">
        <f t="shared" si="9"/>
        <v/>
      </c>
      <c r="AL383" s="7">
        <f>IF(ISBLANK(AH383), 0, VLOOKUP(AH383, 'Price Sheet'!$A$2:$B1015, 2, false))</f>
        <v>0</v>
      </c>
      <c r="AM383" s="33" t="str">
        <f t="shared" si="10"/>
        <v/>
      </c>
      <c r="AN383" s="37"/>
      <c r="AO383" s="29"/>
      <c r="AP383" s="29" t="b">
        <v>0</v>
      </c>
      <c r="AQ383" s="22" t="str">
        <f t="shared" si="11"/>
        <v/>
      </c>
      <c r="AR383" s="7">
        <f>IF(ISBLANK(AN383), 0, VLOOKUP(AN383, 'Price Sheet'!$A$2:$B1015, 2, false))</f>
        <v>0</v>
      </c>
      <c r="AS383" s="33" t="str">
        <f t="shared" si="12"/>
        <v/>
      </c>
      <c r="AT383" s="37"/>
      <c r="AU383" s="29"/>
      <c r="AV383" s="29" t="b">
        <v>0</v>
      </c>
      <c r="AW383" s="22" t="str">
        <f t="shared" si="13"/>
        <v/>
      </c>
      <c r="AX383" s="7">
        <f>IF(ISBLANK(AT383), 0, VLOOKUP(AT383, 'Price Sheet'!$A$2:$B1015, 2, false))</f>
        <v>0</v>
      </c>
      <c r="AY383" s="33" t="str">
        <f t="shared" si="14"/>
        <v/>
      </c>
      <c r="AZ383" s="37"/>
      <c r="BA383" s="29"/>
      <c r="BB383" s="29" t="b">
        <v>0</v>
      </c>
      <c r="BC383" s="22" t="str">
        <f t="shared" si="15"/>
        <v/>
      </c>
      <c r="BD383" s="7">
        <f>IF(ISBLANK(AZ383), 0, VLOOKUP(AZ383, 'Price Sheet'!$A$2:$B1015, 2, false))</f>
        <v>0</v>
      </c>
      <c r="BE383" s="33" t="str">
        <f t="shared" si="16"/>
        <v/>
      </c>
      <c r="BF383" s="37"/>
      <c r="BG383" s="29"/>
      <c r="BH383" s="29" t="b">
        <v>0</v>
      </c>
      <c r="BI383" s="22" t="str">
        <f t="shared" si="17"/>
        <v/>
      </c>
      <c r="BJ383" s="7">
        <f>IF(ISBLANK(BF383), 0, VLOOKUP(BF383, 'Price Sheet'!$A$2:$B1015, 2, false))</f>
        <v>0</v>
      </c>
      <c r="BK383" s="33" t="str">
        <f t="shared" si="18"/>
        <v/>
      </c>
      <c r="BL383" s="37"/>
      <c r="BM383" s="29"/>
      <c r="BN383" s="29" t="b">
        <v>0</v>
      </c>
      <c r="BO383" s="22" t="str">
        <f t="shared" si="19"/>
        <v/>
      </c>
      <c r="BP383" s="7">
        <f>IF(ISBLANK(BL383), 0, VLOOKUP(BL383, 'Price Sheet'!$A$2:$B1015, 2, false))</f>
        <v>0</v>
      </c>
      <c r="BQ383" s="33" t="str">
        <f t="shared" si="20"/>
        <v/>
      </c>
    </row>
    <row r="384">
      <c r="B384" s="19"/>
      <c r="C384" s="29"/>
      <c r="D384" s="29"/>
      <c r="E384" s="7" t="str">
        <f>IF(ISBLANK(D384), "", VLOOKUP(D384,'Crafting Tables'!$A$2:$B1015, 2, false))</f>
        <v/>
      </c>
      <c r="F384" s="7" t="str">
        <f>IFERROR(IF(E384 = "None", 1, VLOOKUP(C384,General!$A$5:$L$35, SWITCH(E384, "Basic", 8, "Advanced", 10, "Modern", 12), false)),"")</f>
        <v/>
      </c>
      <c r="G384" s="29"/>
      <c r="H384" s="7">
        <f>IFERROR(VLOOKUP(C384, General!$A$5:$L$35, 6, false) * G384 / 1000, 0)</f>
        <v>0</v>
      </c>
      <c r="I384" s="29"/>
      <c r="J384" s="22" t="str">
        <f>IFERROR(I384*VLOOKUP(D384,'Crafting Tables'!$1:$1000, 4, false)*F384,"")</f>
        <v/>
      </c>
      <c r="K384" s="29" t="b">
        <v>0</v>
      </c>
      <c r="L384" s="37"/>
      <c r="M384" s="29"/>
      <c r="N384" s="21" t="str">
        <f t="shared" si="2"/>
        <v/>
      </c>
      <c r="P384" s="37"/>
      <c r="Q384" s="29"/>
      <c r="R384" s="29" t="b">
        <v>0</v>
      </c>
      <c r="S384" s="22" t="str">
        <f t="shared" si="3"/>
        <v/>
      </c>
      <c r="T384" s="7">
        <f>IF(ISBLANK(P384), 0, VLOOKUP(P384, 'Price Sheet'!$A$2:$B1015, 2, false))</f>
        <v>0</v>
      </c>
      <c r="U384" s="33" t="str">
        <f t="shared" si="4"/>
        <v/>
      </c>
      <c r="V384" s="37"/>
      <c r="W384" s="29"/>
      <c r="X384" s="29" t="b">
        <v>0</v>
      </c>
      <c r="Y384" s="22" t="str">
        <f t="shared" si="5"/>
        <v/>
      </c>
      <c r="Z384" s="7">
        <f>IF(ISBLANK(V384), 0, VLOOKUP(V384, 'Price Sheet'!$A$2:$B1015, 2, false))</f>
        <v>0</v>
      </c>
      <c r="AA384" s="33" t="str">
        <f t="shared" si="6"/>
        <v/>
      </c>
      <c r="AB384" s="37"/>
      <c r="AC384" s="29"/>
      <c r="AD384" s="29" t="b">
        <v>0</v>
      </c>
      <c r="AE384" s="22" t="str">
        <f t="shared" si="7"/>
        <v/>
      </c>
      <c r="AF384" s="7">
        <f>IF(ISBLANK(AB384), 0, VLOOKUP(AB384, 'Price Sheet'!$A$2:$B1015, 2, false))</f>
        <v>0</v>
      </c>
      <c r="AG384" s="33" t="str">
        <f t="shared" si="8"/>
        <v/>
      </c>
      <c r="AH384" s="37"/>
      <c r="AI384" s="29"/>
      <c r="AJ384" s="29" t="b">
        <v>0</v>
      </c>
      <c r="AK384" s="22" t="str">
        <f t="shared" si="9"/>
        <v/>
      </c>
      <c r="AL384" s="7">
        <f>IF(ISBLANK(AH384), 0, VLOOKUP(AH384, 'Price Sheet'!$A$2:$B1015, 2, false))</f>
        <v>0</v>
      </c>
      <c r="AM384" s="33" t="str">
        <f t="shared" si="10"/>
        <v/>
      </c>
      <c r="AN384" s="37"/>
      <c r="AO384" s="29"/>
      <c r="AP384" s="29" t="b">
        <v>0</v>
      </c>
      <c r="AQ384" s="22" t="str">
        <f t="shared" si="11"/>
        <v/>
      </c>
      <c r="AR384" s="7">
        <f>IF(ISBLANK(AN384), 0, VLOOKUP(AN384, 'Price Sheet'!$A$2:$B1015, 2, false))</f>
        <v>0</v>
      </c>
      <c r="AS384" s="33" t="str">
        <f t="shared" si="12"/>
        <v/>
      </c>
      <c r="AT384" s="37"/>
      <c r="AU384" s="29"/>
      <c r="AV384" s="29" t="b">
        <v>0</v>
      </c>
      <c r="AW384" s="22" t="str">
        <f t="shared" si="13"/>
        <v/>
      </c>
      <c r="AX384" s="7">
        <f>IF(ISBLANK(AT384), 0, VLOOKUP(AT384, 'Price Sheet'!$A$2:$B1015, 2, false))</f>
        <v>0</v>
      </c>
      <c r="AY384" s="33" t="str">
        <f t="shared" si="14"/>
        <v/>
      </c>
      <c r="AZ384" s="37"/>
      <c r="BA384" s="29"/>
      <c r="BB384" s="29" t="b">
        <v>0</v>
      </c>
      <c r="BC384" s="22" t="str">
        <f t="shared" si="15"/>
        <v/>
      </c>
      <c r="BD384" s="7">
        <f>IF(ISBLANK(AZ384), 0, VLOOKUP(AZ384, 'Price Sheet'!$A$2:$B1015, 2, false))</f>
        <v>0</v>
      </c>
      <c r="BE384" s="33" t="str">
        <f t="shared" si="16"/>
        <v/>
      </c>
      <c r="BF384" s="37"/>
      <c r="BG384" s="29"/>
      <c r="BH384" s="29" t="b">
        <v>0</v>
      </c>
      <c r="BI384" s="22" t="str">
        <f t="shared" si="17"/>
        <v/>
      </c>
      <c r="BJ384" s="7">
        <f>IF(ISBLANK(BF384), 0, VLOOKUP(BF384, 'Price Sheet'!$A$2:$B1015, 2, false))</f>
        <v>0</v>
      </c>
      <c r="BK384" s="33" t="str">
        <f t="shared" si="18"/>
        <v/>
      </c>
      <c r="BL384" s="37"/>
      <c r="BM384" s="29"/>
      <c r="BN384" s="29" t="b">
        <v>0</v>
      </c>
      <c r="BO384" s="22" t="str">
        <f t="shared" si="19"/>
        <v/>
      </c>
      <c r="BP384" s="7">
        <f>IF(ISBLANK(BL384), 0, VLOOKUP(BL384, 'Price Sheet'!$A$2:$B1015, 2, false))</f>
        <v>0</v>
      </c>
      <c r="BQ384" s="33" t="str">
        <f t="shared" si="20"/>
        <v/>
      </c>
    </row>
    <row r="385">
      <c r="B385" s="19"/>
      <c r="C385" s="29"/>
      <c r="D385" s="29"/>
      <c r="E385" s="7" t="str">
        <f>IF(ISBLANK(D385), "", VLOOKUP(D385,'Crafting Tables'!$A$2:$B1015, 2, false))</f>
        <v/>
      </c>
      <c r="F385" s="7" t="str">
        <f>IFERROR(IF(E385 = "None", 1, VLOOKUP(C385,General!$A$5:$L$35, SWITCH(E385, "Basic", 8, "Advanced", 10, "Modern", 12), false)),"")</f>
        <v/>
      </c>
      <c r="G385" s="29"/>
      <c r="H385" s="7">
        <f>IFERROR(VLOOKUP(C385, General!$A$5:$L$35, 6, false) * G385 / 1000, 0)</f>
        <v>0</v>
      </c>
      <c r="I385" s="29"/>
      <c r="J385" s="22" t="str">
        <f>IFERROR(I385*VLOOKUP(D385,'Crafting Tables'!$1:$1000, 4, false)*F385,"")</f>
        <v/>
      </c>
      <c r="K385" s="29" t="b">
        <v>0</v>
      </c>
      <c r="L385" s="37"/>
      <c r="M385" s="29"/>
      <c r="N385" s="21" t="str">
        <f t="shared" si="2"/>
        <v/>
      </c>
      <c r="P385" s="37"/>
      <c r="Q385" s="29"/>
      <c r="R385" s="29" t="b">
        <v>0</v>
      </c>
      <c r="S385" s="22" t="str">
        <f t="shared" si="3"/>
        <v/>
      </c>
      <c r="T385" s="7">
        <f>IF(ISBLANK(P385), 0, VLOOKUP(P385, 'Price Sheet'!$A$2:$B1015, 2, false))</f>
        <v>0</v>
      </c>
      <c r="U385" s="33" t="str">
        <f t="shared" si="4"/>
        <v/>
      </c>
      <c r="V385" s="37"/>
      <c r="W385" s="29"/>
      <c r="X385" s="29" t="b">
        <v>0</v>
      </c>
      <c r="Y385" s="22" t="str">
        <f t="shared" si="5"/>
        <v/>
      </c>
      <c r="Z385" s="7">
        <f>IF(ISBLANK(V385), 0, VLOOKUP(V385, 'Price Sheet'!$A$2:$B1015, 2, false))</f>
        <v>0</v>
      </c>
      <c r="AA385" s="33" t="str">
        <f t="shared" si="6"/>
        <v/>
      </c>
      <c r="AB385" s="37"/>
      <c r="AC385" s="29"/>
      <c r="AD385" s="29" t="b">
        <v>0</v>
      </c>
      <c r="AE385" s="22" t="str">
        <f t="shared" si="7"/>
        <v/>
      </c>
      <c r="AF385" s="7">
        <f>IF(ISBLANK(AB385), 0, VLOOKUP(AB385, 'Price Sheet'!$A$2:$B1015, 2, false))</f>
        <v>0</v>
      </c>
      <c r="AG385" s="33" t="str">
        <f t="shared" si="8"/>
        <v/>
      </c>
      <c r="AH385" s="37"/>
      <c r="AI385" s="29"/>
      <c r="AJ385" s="29" t="b">
        <v>0</v>
      </c>
      <c r="AK385" s="22" t="str">
        <f t="shared" si="9"/>
        <v/>
      </c>
      <c r="AL385" s="7">
        <f>IF(ISBLANK(AH385), 0, VLOOKUP(AH385, 'Price Sheet'!$A$2:$B1015, 2, false))</f>
        <v>0</v>
      </c>
      <c r="AM385" s="33" t="str">
        <f t="shared" si="10"/>
        <v/>
      </c>
      <c r="AN385" s="37"/>
      <c r="AO385" s="29"/>
      <c r="AP385" s="29" t="b">
        <v>0</v>
      </c>
      <c r="AQ385" s="22" t="str">
        <f t="shared" si="11"/>
        <v/>
      </c>
      <c r="AR385" s="7">
        <f>IF(ISBLANK(AN385), 0, VLOOKUP(AN385, 'Price Sheet'!$A$2:$B1015, 2, false))</f>
        <v>0</v>
      </c>
      <c r="AS385" s="33" t="str">
        <f t="shared" si="12"/>
        <v/>
      </c>
      <c r="AT385" s="37"/>
      <c r="AU385" s="29"/>
      <c r="AV385" s="29" t="b">
        <v>0</v>
      </c>
      <c r="AW385" s="22" t="str">
        <f t="shared" si="13"/>
        <v/>
      </c>
      <c r="AX385" s="7">
        <f>IF(ISBLANK(AT385), 0, VLOOKUP(AT385, 'Price Sheet'!$A$2:$B1015, 2, false))</f>
        <v>0</v>
      </c>
      <c r="AY385" s="33" t="str">
        <f t="shared" si="14"/>
        <v/>
      </c>
      <c r="AZ385" s="37"/>
      <c r="BA385" s="29"/>
      <c r="BB385" s="29" t="b">
        <v>0</v>
      </c>
      <c r="BC385" s="22" t="str">
        <f t="shared" si="15"/>
        <v/>
      </c>
      <c r="BD385" s="7">
        <f>IF(ISBLANK(AZ385), 0, VLOOKUP(AZ385, 'Price Sheet'!$A$2:$B1015, 2, false))</f>
        <v>0</v>
      </c>
      <c r="BE385" s="33" t="str">
        <f t="shared" si="16"/>
        <v/>
      </c>
      <c r="BF385" s="37"/>
      <c r="BG385" s="29"/>
      <c r="BH385" s="29" t="b">
        <v>0</v>
      </c>
      <c r="BI385" s="22" t="str">
        <f t="shared" si="17"/>
        <v/>
      </c>
      <c r="BJ385" s="7">
        <f>IF(ISBLANK(BF385), 0, VLOOKUP(BF385, 'Price Sheet'!$A$2:$B1015, 2, false))</f>
        <v>0</v>
      </c>
      <c r="BK385" s="33" t="str">
        <f t="shared" si="18"/>
        <v/>
      </c>
      <c r="BL385" s="37"/>
      <c r="BM385" s="29"/>
      <c r="BN385" s="29" t="b">
        <v>0</v>
      </c>
      <c r="BO385" s="22" t="str">
        <f t="shared" si="19"/>
        <v/>
      </c>
      <c r="BP385" s="7">
        <f>IF(ISBLANK(BL385), 0, VLOOKUP(BL385, 'Price Sheet'!$A$2:$B1015, 2, false))</f>
        <v>0</v>
      </c>
      <c r="BQ385" s="33" t="str">
        <f t="shared" si="20"/>
        <v/>
      </c>
    </row>
    <row r="386">
      <c r="B386" s="19"/>
      <c r="C386" s="29"/>
      <c r="D386" s="29"/>
      <c r="E386" s="7" t="str">
        <f>IF(ISBLANK(D386), "", VLOOKUP(D386,'Crafting Tables'!$A$2:$B1015, 2, false))</f>
        <v/>
      </c>
      <c r="F386" s="7" t="str">
        <f>IFERROR(IF(E386 = "None", 1, VLOOKUP(C386,General!$A$5:$L$35, SWITCH(E386, "Basic", 8, "Advanced", 10, "Modern", 12), false)),"")</f>
        <v/>
      </c>
      <c r="G386" s="29"/>
      <c r="H386" s="7">
        <f>IFERROR(VLOOKUP(C386, General!$A$5:$L$35, 6, false) * G386 / 1000, 0)</f>
        <v>0</v>
      </c>
      <c r="I386" s="29"/>
      <c r="J386" s="22" t="str">
        <f>IFERROR(I386*VLOOKUP(D386,'Crafting Tables'!$1:$1000, 4, false)*F386,"")</f>
        <v/>
      </c>
      <c r="K386" s="29" t="b">
        <v>0</v>
      </c>
      <c r="L386" s="37"/>
      <c r="M386" s="29"/>
      <c r="N386" s="21" t="str">
        <f t="shared" si="2"/>
        <v/>
      </c>
      <c r="P386" s="37"/>
      <c r="Q386" s="29"/>
      <c r="R386" s="29" t="b">
        <v>0</v>
      </c>
      <c r="S386" s="22" t="str">
        <f t="shared" si="3"/>
        <v/>
      </c>
      <c r="T386" s="7">
        <f>IF(ISBLANK(P386), 0, VLOOKUP(P386, 'Price Sheet'!$A$2:$B1015, 2, false))</f>
        <v>0</v>
      </c>
      <c r="U386" s="33" t="str">
        <f t="shared" si="4"/>
        <v/>
      </c>
      <c r="V386" s="37"/>
      <c r="W386" s="29"/>
      <c r="X386" s="29" t="b">
        <v>0</v>
      </c>
      <c r="Y386" s="22" t="str">
        <f t="shared" si="5"/>
        <v/>
      </c>
      <c r="Z386" s="7">
        <f>IF(ISBLANK(V386), 0, VLOOKUP(V386, 'Price Sheet'!$A$2:$B1015, 2, false))</f>
        <v>0</v>
      </c>
      <c r="AA386" s="33" t="str">
        <f t="shared" si="6"/>
        <v/>
      </c>
      <c r="AB386" s="37"/>
      <c r="AC386" s="29"/>
      <c r="AD386" s="29" t="b">
        <v>0</v>
      </c>
      <c r="AE386" s="22" t="str">
        <f t="shared" si="7"/>
        <v/>
      </c>
      <c r="AF386" s="7">
        <f>IF(ISBLANK(AB386), 0, VLOOKUP(AB386, 'Price Sheet'!$A$2:$B1015, 2, false))</f>
        <v>0</v>
      </c>
      <c r="AG386" s="33" t="str">
        <f t="shared" si="8"/>
        <v/>
      </c>
      <c r="AH386" s="37"/>
      <c r="AI386" s="29"/>
      <c r="AJ386" s="29" t="b">
        <v>0</v>
      </c>
      <c r="AK386" s="22" t="str">
        <f t="shared" si="9"/>
        <v/>
      </c>
      <c r="AL386" s="7">
        <f>IF(ISBLANK(AH386), 0, VLOOKUP(AH386, 'Price Sheet'!$A$2:$B1015, 2, false))</f>
        <v>0</v>
      </c>
      <c r="AM386" s="33" t="str">
        <f t="shared" si="10"/>
        <v/>
      </c>
      <c r="AN386" s="37"/>
      <c r="AO386" s="29"/>
      <c r="AP386" s="29" t="b">
        <v>0</v>
      </c>
      <c r="AQ386" s="22" t="str">
        <f t="shared" si="11"/>
        <v/>
      </c>
      <c r="AR386" s="7">
        <f>IF(ISBLANK(AN386), 0, VLOOKUP(AN386, 'Price Sheet'!$A$2:$B1015, 2, false))</f>
        <v>0</v>
      </c>
      <c r="AS386" s="33" t="str">
        <f t="shared" si="12"/>
        <v/>
      </c>
      <c r="AT386" s="37"/>
      <c r="AU386" s="29"/>
      <c r="AV386" s="29" t="b">
        <v>0</v>
      </c>
      <c r="AW386" s="22" t="str">
        <f t="shared" si="13"/>
        <v/>
      </c>
      <c r="AX386" s="7">
        <f>IF(ISBLANK(AT386), 0, VLOOKUP(AT386, 'Price Sheet'!$A$2:$B1015, 2, false))</f>
        <v>0</v>
      </c>
      <c r="AY386" s="33" t="str">
        <f t="shared" si="14"/>
        <v/>
      </c>
      <c r="AZ386" s="37"/>
      <c r="BA386" s="29"/>
      <c r="BB386" s="29" t="b">
        <v>0</v>
      </c>
      <c r="BC386" s="22" t="str">
        <f t="shared" si="15"/>
        <v/>
      </c>
      <c r="BD386" s="7">
        <f>IF(ISBLANK(AZ386), 0, VLOOKUP(AZ386, 'Price Sheet'!$A$2:$B1015, 2, false))</f>
        <v>0</v>
      </c>
      <c r="BE386" s="33" t="str">
        <f t="shared" si="16"/>
        <v/>
      </c>
      <c r="BF386" s="37"/>
      <c r="BG386" s="29"/>
      <c r="BH386" s="29" t="b">
        <v>0</v>
      </c>
      <c r="BI386" s="22" t="str">
        <f t="shared" si="17"/>
        <v/>
      </c>
      <c r="BJ386" s="7">
        <f>IF(ISBLANK(BF386), 0, VLOOKUP(BF386, 'Price Sheet'!$A$2:$B1015, 2, false))</f>
        <v>0</v>
      </c>
      <c r="BK386" s="33" t="str">
        <f t="shared" si="18"/>
        <v/>
      </c>
      <c r="BL386" s="37"/>
      <c r="BM386" s="29"/>
      <c r="BN386" s="29" t="b">
        <v>0</v>
      </c>
      <c r="BO386" s="22" t="str">
        <f t="shared" si="19"/>
        <v/>
      </c>
      <c r="BP386" s="7">
        <f>IF(ISBLANK(BL386), 0, VLOOKUP(BL386, 'Price Sheet'!$A$2:$B1015, 2, false))</f>
        <v>0</v>
      </c>
      <c r="BQ386" s="33" t="str">
        <f t="shared" si="20"/>
        <v/>
      </c>
    </row>
    <row r="387">
      <c r="B387" s="19"/>
      <c r="C387" s="29"/>
      <c r="D387" s="29"/>
      <c r="E387" s="7" t="str">
        <f>IF(ISBLANK(D387), "", VLOOKUP(D387,'Crafting Tables'!$A$2:$B1015, 2, false))</f>
        <v/>
      </c>
      <c r="F387" s="7" t="str">
        <f>IFERROR(IF(E387 = "None", 1, VLOOKUP(C387,General!$A$5:$L$35, SWITCH(E387, "Basic", 8, "Advanced", 10, "Modern", 12), false)),"")</f>
        <v/>
      </c>
      <c r="G387" s="29"/>
      <c r="H387" s="7">
        <f>IFERROR(VLOOKUP(C387, General!$A$5:$L$35, 6, false) * G387 / 1000, 0)</f>
        <v>0</v>
      </c>
      <c r="I387" s="29"/>
      <c r="J387" s="22" t="str">
        <f>IFERROR(I387*VLOOKUP(D387,'Crafting Tables'!$1:$1000, 4, false)*F387,"")</f>
        <v/>
      </c>
      <c r="K387" s="29" t="b">
        <v>0</v>
      </c>
      <c r="L387" s="37"/>
      <c r="M387" s="29"/>
      <c r="N387" s="21" t="str">
        <f t="shared" si="2"/>
        <v/>
      </c>
      <c r="P387" s="37"/>
      <c r="Q387" s="29"/>
      <c r="R387" s="29" t="b">
        <v>0</v>
      </c>
      <c r="S387" s="22" t="str">
        <f t="shared" si="3"/>
        <v/>
      </c>
      <c r="T387" s="7">
        <f>IF(ISBLANK(P387), 0, VLOOKUP(P387, 'Price Sheet'!$A$2:$B1015, 2, false))</f>
        <v>0</v>
      </c>
      <c r="U387" s="33" t="str">
        <f t="shared" si="4"/>
        <v/>
      </c>
      <c r="V387" s="37"/>
      <c r="W387" s="29"/>
      <c r="X387" s="29" t="b">
        <v>0</v>
      </c>
      <c r="Y387" s="22" t="str">
        <f t="shared" si="5"/>
        <v/>
      </c>
      <c r="Z387" s="7">
        <f>IF(ISBLANK(V387), 0, VLOOKUP(V387, 'Price Sheet'!$A$2:$B1015, 2, false))</f>
        <v>0</v>
      </c>
      <c r="AA387" s="33" t="str">
        <f t="shared" si="6"/>
        <v/>
      </c>
      <c r="AB387" s="37"/>
      <c r="AC387" s="29"/>
      <c r="AD387" s="29" t="b">
        <v>0</v>
      </c>
      <c r="AE387" s="22" t="str">
        <f t="shared" si="7"/>
        <v/>
      </c>
      <c r="AF387" s="7">
        <f>IF(ISBLANK(AB387), 0, VLOOKUP(AB387, 'Price Sheet'!$A$2:$B1015, 2, false))</f>
        <v>0</v>
      </c>
      <c r="AG387" s="33" t="str">
        <f t="shared" si="8"/>
        <v/>
      </c>
      <c r="AH387" s="37"/>
      <c r="AI387" s="29"/>
      <c r="AJ387" s="29" t="b">
        <v>0</v>
      </c>
      <c r="AK387" s="22" t="str">
        <f t="shared" si="9"/>
        <v/>
      </c>
      <c r="AL387" s="7">
        <f>IF(ISBLANK(AH387), 0, VLOOKUP(AH387, 'Price Sheet'!$A$2:$B1015, 2, false))</f>
        <v>0</v>
      </c>
      <c r="AM387" s="33" t="str">
        <f t="shared" si="10"/>
        <v/>
      </c>
      <c r="AN387" s="37"/>
      <c r="AO387" s="29"/>
      <c r="AP387" s="29" t="b">
        <v>0</v>
      </c>
      <c r="AQ387" s="22" t="str">
        <f t="shared" si="11"/>
        <v/>
      </c>
      <c r="AR387" s="7">
        <f>IF(ISBLANK(AN387), 0, VLOOKUP(AN387, 'Price Sheet'!$A$2:$B1015, 2, false))</f>
        <v>0</v>
      </c>
      <c r="AS387" s="33" t="str">
        <f t="shared" si="12"/>
        <v/>
      </c>
      <c r="AT387" s="37"/>
      <c r="AU387" s="29"/>
      <c r="AV387" s="29" t="b">
        <v>0</v>
      </c>
      <c r="AW387" s="22" t="str">
        <f t="shared" si="13"/>
        <v/>
      </c>
      <c r="AX387" s="7">
        <f>IF(ISBLANK(AT387), 0, VLOOKUP(AT387, 'Price Sheet'!$A$2:$B1015, 2, false))</f>
        <v>0</v>
      </c>
      <c r="AY387" s="33" t="str">
        <f t="shared" si="14"/>
        <v/>
      </c>
      <c r="AZ387" s="37"/>
      <c r="BA387" s="29"/>
      <c r="BB387" s="29" t="b">
        <v>0</v>
      </c>
      <c r="BC387" s="22" t="str">
        <f t="shared" si="15"/>
        <v/>
      </c>
      <c r="BD387" s="7">
        <f>IF(ISBLANK(AZ387), 0, VLOOKUP(AZ387, 'Price Sheet'!$A$2:$B1015, 2, false))</f>
        <v>0</v>
      </c>
      <c r="BE387" s="33" t="str">
        <f t="shared" si="16"/>
        <v/>
      </c>
      <c r="BF387" s="37"/>
      <c r="BG387" s="29"/>
      <c r="BH387" s="29" t="b">
        <v>0</v>
      </c>
      <c r="BI387" s="22" t="str">
        <f t="shared" si="17"/>
        <v/>
      </c>
      <c r="BJ387" s="7">
        <f>IF(ISBLANK(BF387), 0, VLOOKUP(BF387, 'Price Sheet'!$A$2:$B1015, 2, false))</f>
        <v>0</v>
      </c>
      <c r="BK387" s="33" t="str">
        <f t="shared" si="18"/>
        <v/>
      </c>
      <c r="BL387" s="37"/>
      <c r="BM387" s="29"/>
      <c r="BN387" s="29" t="b">
        <v>0</v>
      </c>
      <c r="BO387" s="22" t="str">
        <f t="shared" si="19"/>
        <v/>
      </c>
      <c r="BP387" s="7">
        <f>IF(ISBLANK(BL387), 0, VLOOKUP(BL387, 'Price Sheet'!$A$2:$B1015, 2, false))</f>
        <v>0</v>
      </c>
      <c r="BQ387" s="33" t="str">
        <f t="shared" si="20"/>
        <v/>
      </c>
    </row>
    <row r="388">
      <c r="B388" s="19"/>
      <c r="C388" s="29"/>
      <c r="D388" s="29"/>
      <c r="E388" s="7" t="str">
        <f>IF(ISBLANK(D388), "", VLOOKUP(D388,'Crafting Tables'!$A$2:$B1015, 2, false))</f>
        <v/>
      </c>
      <c r="F388" s="7" t="str">
        <f>IFERROR(IF(E388 = "None", 1, VLOOKUP(C388,General!$A$5:$L$35, SWITCH(E388, "Basic", 8, "Advanced", 10, "Modern", 12), false)),"")</f>
        <v/>
      </c>
      <c r="G388" s="29"/>
      <c r="H388" s="7">
        <f>IFERROR(VLOOKUP(C388, General!$A$5:$L$35, 6, false) * G388 / 1000, 0)</f>
        <v>0</v>
      </c>
      <c r="I388" s="29"/>
      <c r="J388" s="22" t="str">
        <f>IFERROR(I388*VLOOKUP(D388,'Crafting Tables'!$1:$1000, 4, false)*F388,"")</f>
        <v/>
      </c>
      <c r="K388" s="29" t="b">
        <v>0</v>
      </c>
      <c r="L388" s="37"/>
      <c r="M388" s="29"/>
      <c r="N388" s="21" t="str">
        <f t="shared" si="2"/>
        <v/>
      </c>
      <c r="P388" s="37"/>
      <c r="Q388" s="29"/>
      <c r="R388" s="29" t="b">
        <v>0</v>
      </c>
      <c r="S388" s="22" t="str">
        <f t="shared" si="3"/>
        <v/>
      </c>
      <c r="T388" s="7">
        <f>IF(ISBLANK(P388), 0, VLOOKUP(P388, 'Price Sheet'!$A$2:$B1015, 2, false))</f>
        <v>0</v>
      </c>
      <c r="U388" s="33" t="str">
        <f t="shared" si="4"/>
        <v/>
      </c>
      <c r="V388" s="37"/>
      <c r="W388" s="29"/>
      <c r="X388" s="29" t="b">
        <v>0</v>
      </c>
      <c r="Y388" s="22" t="str">
        <f t="shared" si="5"/>
        <v/>
      </c>
      <c r="Z388" s="7">
        <f>IF(ISBLANK(V388), 0, VLOOKUP(V388, 'Price Sheet'!$A$2:$B1015, 2, false))</f>
        <v>0</v>
      </c>
      <c r="AA388" s="33" t="str">
        <f t="shared" si="6"/>
        <v/>
      </c>
      <c r="AB388" s="37"/>
      <c r="AC388" s="29"/>
      <c r="AD388" s="29" t="b">
        <v>0</v>
      </c>
      <c r="AE388" s="22" t="str">
        <f t="shared" si="7"/>
        <v/>
      </c>
      <c r="AF388" s="7">
        <f>IF(ISBLANK(AB388), 0, VLOOKUP(AB388, 'Price Sheet'!$A$2:$B1015, 2, false))</f>
        <v>0</v>
      </c>
      <c r="AG388" s="33" t="str">
        <f t="shared" si="8"/>
        <v/>
      </c>
      <c r="AH388" s="37"/>
      <c r="AI388" s="29"/>
      <c r="AJ388" s="29" t="b">
        <v>0</v>
      </c>
      <c r="AK388" s="22" t="str">
        <f t="shared" si="9"/>
        <v/>
      </c>
      <c r="AL388" s="7">
        <f>IF(ISBLANK(AH388), 0, VLOOKUP(AH388, 'Price Sheet'!$A$2:$B1015, 2, false))</f>
        <v>0</v>
      </c>
      <c r="AM388" s="33" t="str">
        <f t="shared" si="10"/>
        <v/>
      </c>
      <c r="AN388" s="37"/>
      <c r="AO388" s="29"/>
      <c r="AP388" s="29" t="b">
        <v>0</v>
      </c>
      <c r="AQ388" s="22" t="str">
        <f t="shared" si="11"/>
        <v/>
      </c>
      <c r="AR388" s="7">
        <f>IF(ISBLANK(AN388), 0, VLOOKUP(AN388, 'Price Sheet'!$A$2:$B1015, 2, false))</f>
        <v>0</v>
      </c>
      <c r="AS388" s="33" t="str">
        <f t="shared" si="12"/>
        <v/>
      </c>
      <c r="AT388" s="37"/>
      <c r="AU388" s="29"/>
      <c r="AV388" s="29" t="b">
        <v>0</v>
      </c>
      <c r="AW388" s="22" t="str">
        <f t="shared" si="13"/>
        <v/>
      </c>
      <c r="AX388" s="7">
        <f>IF(ISBLANK(AT388), 0, VLOOKUP(AT388, 'Price Sheet'!$A$2:$B1015, 2, false))</f>
        <v>0</v>
      </c>
      <c r="AY388" s="33" t="str">
        <f t="shared" si="14"/>
        <v/>
      </c>
      <c r="AZ388" s="37"/>
      <c r="BA388" s="29"/>
      <c r="BB388" s="29" t="b">
        <v>0</v>
      </c>
      <c r="BC388" s="22" t="str">
        <f t="shared" si="15"/>
        <v/>
      </c>
      <c r="BD388" s="7">
        <f>IF(ISBLANK(AZ388), 0, VLOOKUP(AZ388, 'Price Sheet'!$A$2:$B1015, 2, false))</f>
        <v>0</v>
      </c>
      <c r="BE388" s="33" t="str">
        <f t="shared" si="16"/>
        <v/>
      </c>
      <c r="BF388" s="37"/>
      <c r="BG388" s="29"/>
      <c r="BH388" s="29" t="b">
        <v>0</v>
      </c>
      <c r="BI388" s="22" t="str">
        <f t="shared" si="17"/>
        <v/>
      </c>
      <c r="BJ388" s="7">
        <f>IF(ISBLANK(BF388), 0, VLOOKUP(BF388, 'Price Sheet'!$A$2:$B1015, 2, false))</f>
        <v>0</v>
      </c>
      <c r="BK388" s="33" t="str">
        <f t="shared" si="18"/>
        <v/>
      </c>
      <c r="BL388" s="37"/>
      <c r="BM388" s="29"/>
      <c r="BN388" s="29" t="b">
        <v>0</v>
      </c>
      <c r="BO388" s="22" t="str">
        <f t="shared" si="19"/>
        <v/>
      </c>
      <c r="BP388" s="7">
        <f>IF(ISBLANK(BL388), 0, VLOOKUP(BL388, 'Price Sheet'!$A$2:$B1015, 2, false))</f>
        <v>0</v>
      </c>
      <c r="BQ388" s="33" t="str">
        <f t="shared" si="20"/>
        <v/>
      </c>
    </row>
    <row r="389">
      <c r="B389" s="19"/>
      <c r="C389" s="29"/>
      <c r="D389" s="29"/>
      <c r="E389" s="7" t="str">
        <f>IF(ISBLANK(D389), "", VLOOKUP(D389,'Crafting Tables'!$A$2:$B1015, 2, false))</f>
        <v/>
      </c>
      <c r="F389" s="7" t="str">
        <f>IFERROR(IF(E389 = "None", 1, VLOOKUP(C389,General!$A$5:$L$35, SWITCH(E389, "Basic", 8, "Advanced", 10, "Modern", 12), false)),"")</f>
        <v/>
      </c>
      <c r="G389" s="29"/>
      <c r="H389" s="7">
        <f>IFERROR(VLOOKUP(C389, General!$A$5:$L$35, 6, false) * G389 / 1000, 0)</f>
        <v>0</v>
      </c>
      <c r="I389" s="29"/>
      <c r="J389" s="22" t="str">
        <f>IFERROR(I389*VLOOKUP(D389,'Crafting Tables'!$1:$1000, 4, false)*F389,"")</f>
        <v/>
      </c>
      <c r="K389" s="29" t="b">
        <v>0</v>
      </c>
      <c r="L389" s="37"/>
      <c r="M389" s="29"/>
      <c r="N389" s="21" t="str">
        <f t="shared" si="2"/>
        <v/>
      </c>
      <c r="P389" s="37"/>
      <c r="Q389" s="29"/>
      <c r="R389" s="29" t="b">
        <v>0</v>
      </c>
      <c r="S389" s="22" t="str">
        <f t="shared" si="3"/>
        <v/>
      </c>
      <c r="T389" s="7">
        <f>IF(ISBLANK(P389), 0, VLOOKUP(P389, 'Price Sheet'!$A$2:$B1015, 2, false))</f>
        <v>0</v>
      </c>
      <c r="U389" s="33" t="str">
        <f t="shared" si="4"/>
        <v/>
      </c>
      <c r="V389" s="37"/>
      <c r="W389" s="29"/>
      <c r="X389" s="29" t="b">
        <v>0</v>
      </c>
      <c r="Y389" s="22" t="str">
        <f t="shared" si="5"/>
        <v/>
      </c>
      <c r="Z389" s="7">
        <f>IF(ISBLANK(V389), 0, VLOOKUP(V389, 'Price Sheet'!$A$2:$B1015, 2, false))</f>
        <v>0</v>
      </c>
      <c r="AA389" s="33" t="str">
        <f t="shared" si="6"/>
        <v/>
      </c>
      <c r="AB389" s="37"/>
      <c r="AC389" s="29"/>
      <c r="AD389" s="29" t="b">
        <v>0</v>
      </c>
      <c r="AE389" s="22" t="str">
        <f t="shared" si="7"/>
        <v/>
      </c>
      <c r="AF389" s="7">
        <f>IF(ISBLANK(AB389), 0, VLOOKUP(AB389, 'Price Sheet'!$A$2:$B1015, 2, false))</f>
        <v>0</v>
      </c>
      <c r="AG389" s="33" t="str">
        <f t="shared" si="8"/>
        <v/>
      </c>
      <c r="AH389" s="37"/>
      <c r="AI389" s="29"/>
      <c r="AJ389" s="29" t="b">
        <v>0</v>
      </c>
      <c r="AK389" s="22" t="str">
        <f t="shared" si="9"/>
        <v/>
      </c>
      <c r="AL389" s="7">
        <f>IF(ISBLANK(AH389), 0, VLOOKUP(AH389, 'Price Sheet'!$A$2:$B1015, 2, false))</f>
        <v>0</v>
      </c>
      <c r="AM389" s="33" t="str">
        <f t="shared" si="10"/>
        <v/>
      </c>
      <c r="AN389" s="37"/>
      <c r="AO389" s="29"/>
      <c r="AP389" s="29" t="b">
        <v>0</v>
      </c>
      <c r="AQ389" s="22" t="str">
        <f t="shared" si="11"/>
        <v/>
      </c>
      <c r="AR389" s="7">
        <f>IF(ISBLANK(AN389), 0, VLOOKUP(AN389, 'Price Sheet'!$A$2:$B1015, 2, false))</f>
        <v>0</v>
      </c>
      <c r="AS389" s="33" t="str">
        <f t="shared" si="12"/>
        <v/>
      </c>
      <c r="AT389" s="37"/>
      <c r="AU389" s="29"/>
      <c r="AV389" s="29" t="b">
        <v>0</v>
      </c>
      <c r="AW389" s="22" t="str">
        <f t="shared" si="13"/>
        <v/>
      </c>
      <c r="AX389" s="7">
        <f>IF(ISBLANK(AT389), 0, VLOOKUP(AT389, 'Price Sheet'!$A$2:$B1015, 2, false))</f>
        <v>0</v>
      </c>
      <c r="AY389" s="33" t="str">
        <f t="shared" si="14"/>
        <v/>
      </c>
      <c r="AZ389" s="37"/>
      <c r="BA389" s="29"/>
      <c r="BB389" s="29" t="b">
        <v>0</v>
      </c>
      <c r="BC389" s="22" t="str">
        <f t="shared" si="15"/>
        <v/>
      </c>
      <c r="BD389" s="7">
        <f>IF(ISBLANK(AZ389), 0, VLOOKUP(AZ389, 'Price Sheet'!$A$2:$B1015, 2, false))</f>
        <v>0</v>
      </c>
      <c r="BE389" s="33" t="str">
        <f t="shared" si="16"/>
        <v/>
      </c>
      <c r="BF389" s="37"/>
      <c r="BG389" s="29"/>
      <c r="BH389" s="29" t="b">
        <v>0</v>
      </c>
      <c r="BI389" s="22" t="str">
        <f t="shared" si="17"/>
        <v/>
      </c>
      <c r="BJ389" s="7">
        <f>IF(ISBLANK(BF389), 0, VLOOKUP(BF389, 'Price Sheet'!$A$2:$B1015, 2, false))</f>
        <v>0</v>
      </c>
      <c r="BK389" s="33" t="str">
        <f t="shared" si="18"/>
        <v/>
      </c>
      <c r="BL389" s="37"/>
      <c r="BM389" s="29"/>
      <c r="BN389" s="29" t="b">
        <v>0</v>
      </c>
      <c r="BO389" s="22" t="str">
        <f t="shared" si="19"/>
        <v/>
      </c>
      <c r="BP389" s="7">
        <f>IF(ISBLANK(BL389), 0, VLOOKUP(BL389, 'Price Sheet'!$A$2:$B1015, 2, false))</f>
        <v>0</v>
      </c>
      <c r="BQ389" s="33" t="str">
        <f t="shared" si="20"/>
        <v/>
      </c>
    </row>
    <row r="390">
      <c r="B390" s="19"/>
      <c r="C390" s="29"/>
      <c r="D390" s="29"/>
      <c r="E390" s="7" t="str">
        <f>IF(ISBLANK(D390), "", VLOOKUP(D390,'Crafting Tables'!$A$2:$B1015, 2, false))</f>
        <v/>
      </c>
      <c r="F390" s="7" t="str">
        <f>IFERROR(IF(E390 = "None", 1, VLOOKUP(C390,General!$A$5:$L$35, SWITCH(E390, "Basic", 8, "Advanced", 10, "Modern", 12), false)),"")</f>
        <v/>
      </c>
      <c r="G390" s="29"/>
      <c r="H390" s="7">
        <f>IFERROR(VLOOKUP(C390, General!$A$5:$L$35, 6, false) * G390 / 1000, 0)</f>
        <v>0</v>
      </c>
      <c r="I390" s="29"/>
      <c r="J390" s="22" t="str">
        <f>IFERROR(I390*VLOOKUP(D390,'Crafting Tables'!$1:$1000, 4, false)*F390,"")</f>
        <v/>
      </c>
      <c r="K390" s="29" t="b">
        <v>0</v>
      </c>
      <c r="L390" s="37"/>
      <c r="M390" s="29"/>
      <c r="N390" s="21" t="str">
        <f t="shared" si="2"/>
        <v/>
      </c>
      <c r="P390" s="37"/>
      <c r="Q390" s="29"/>
      <c r="R390" s="29" t="b">
        <v>0</v>
      </c>
      <c r="S390" s="22" t="str">
        <f t="shared" si="3"/>
        <v/>
      </c>
      <c r="T390" s="7">
        <f>IF(ISBLANK(P390), 0, VLOOKUP(P390, 'Price Sheet'!$A$2:$B1015, 2, false))</f>
        <v>0</v>
      </c>
      <c r="U390" s="33" t="str">
        <f t="shared" si="4"/>
        <v/>
      </c>
      <c r="V390" s="37"/>
      <c r="W390" s="29"/>
      <c r="X390" s="29" t="b">
        <v>0</v>
      </c>
      <c r="Y390" s="22" t="str">
        <f t="shared" si="5"/>
        <v/>
      </c>
      <c r="Z390" s="7">
        <f>IF(ISBLANK(V390), 0, VLOOKUP(V390, 'Price Sheet'!$A$2:$B1015, 2, false))</f>
        <v>0</v>
      </c>
      <c r="AA390" s="33" t="str">
        <f t="shared" si="6"/>
        <v/>
      </c>
      <c r="AB390" s="37"/>
      <c r="AC390" s="29"/>
      <c r="AD390" s="29" t="b">
        <v>0</v>
      </c>
      <c r="AE390" s="22" t="str">
        <f t="shared" si="7"/>
        <v/>
      </c>
      <c r="AF390" s="7">
        <f>IF(ISBLANK(AB390), 0, VLOOKUP(AB390, 'Price Sheet'!$A$2:$B1015, 2, false))</f>
        <v>0</v>
      </c>
      <c r="AG390" s="33" t="str">
        <f t="shared" si="8"/>
        <v/>
      </c>
      <c r="AH390" s="37"/>
      <c r="AI390" s="29"/>
      <c r="AJ390" s="29" t="b">
        <v>0</v>
      </c>
      <c r="AK390" s="22" t="str">
        <f t="shared" si="9"/>
        <v/>
      </c>
      <c r="AL390" s="7">
        <f>IF(ISBLANK(AH390), 0, VLOOKUP(AH390, 'Price Sheet'!$A$2:$B1015, 2, false))</f>
        <v>0</v>
      </c>
      <c r="AM390" s="33" t="str">
        <f t="shared" si="10"/>
        <v/>
      </c>
      <c r="AN390" s="37"/>
      <c r="AO390" s="29"/>
      <c r="AP390" s="29" t="b">
        <v>0</v>
      </c>
      <c r="AQ390" s="22" t="str">
        <f t="shared" si="11"/>
        <v/>
      </c>
      <c r="AR390" s="7">
        <f>IF(ISBLANK(AN390), 0, VLOOKUP(AN390, 'Price Sheet'!$A$2:$B1015, 2, false))</f>
        <v>0</v>
      </c>
      <c r="AS390" s="33" t="str">
        <f t="shared" si="12"/>
        <v/>
      </c>
      <c r="AT390" s="37"/>
      <c r="AU390" s="29"/>
      <c r="AV390" s="29" t="b">
        <v>0</v>
      </c>
      <c r="AW390" s="22" t="str">
        <f t="shared" si="13"/>
        <v/>
      </c>
      <c r="AX390" s="7">
        <f>IF(ISBLANK(AT390), 0, VLOOKUP(AT390, 'Price Sheet'!$A$2:$B1015, 2, false))</f>
        <v>0</v>
      </c>
      <c r="AY390" s="33" t="str">
        <f t="shared" si="14"/>
        <v/>
      </c>
      <c r="AZ390" s="37"/>
      <c r="BA390" s="29"/>
      <c r="BB390" s="29" t="b">
        <v>0</v>
      </c>
      <c r="BC390" s="22" t="str">
        <f t="shared" si="15"/>
        <v/>
      </c>
      <c r="BD390" s="7">
        <f>IF(ISBLANK(AZ390), 0, VLOOKUP(AZ390, 'Price Sheet'!$A$2:$B1015, 2, false))</f>
        <v>0</v>
      </c>
      <c r="BE390" s="33" t="str">
        <f t="shared" si="16"/>
        <v/>
      </c>
      <c r="BF390" s="37"/>
      <c r="BG390" s="29"/>
      <c r="BH390" s="29" t="b">
        <v>0</v>
      </c>
      <c r="BI390" s="22" t="str">
        <f t="shared" si="17"/>
        <v/>
      </c>
      <c r="BJ390" s="7">
        <f>IF(ISBLANK(BF390), 0, VLOOKUP(BF390, 'Price Sheet'!$A$2:$B1015, 2, false))</f>
        <v>0</v>
      </c>
      <c r="BK390" s="33" t="str">
        <f t="shared" si="18"/>
        <v/>
      </c>
      <c r="BL390" s="37"/>
      <c r="BM390" s="29"/>
      <c r="BN390" s="29" t="b">
        <v>0</v>
      </c>
      <c r="BO390" s="22" t="str">
        <f t="shared" si="19"/>
        <v/>
      </c>
      <c r="BP390" s="7">
        <f>IF(ISBLANK(BL390), 0, VLOOKUP(BL390, 'Price Sheet'!$A$2:$B1015, 2, false))</f>
        <v>0</v>
      </c>
      <c r="BQ390" s="33" t="str">
        <f t="shared" si="20"/>
        <v/>
      </c>
    </row>
    <row r="391">
      <c r="B391" s="19"/>
      <c r="C391" s="29"/>
      <c r="D391" s="29"/>
      <c r="E391" s="7" t="str">
        <f>IF(ISBLANK(D391), "", VLOOKUP(D391,'Crafting Tables'!$A$2:$B1015, 2, false))</f>
        <v/>
      </c>
      <c r="F391" s="7" t="str">
        <f>IFERROR(IF(E391 = "None", 1, VLOOKUP(C391,General!$A$5:$L$35, SWITCH(E391, "Basic", 8, "Advanced", 10, "Modern", 12), false)),"")</f>
        <v/>
      </c>
      <c r="G391" s="29"/>
      <c r="H391" s="7">
        <f>IFERROR(VLOOKUP(C391, General!$A$5:$L$35, 6, false) * G391 / 1000, 0)</f>
        <v>0</v>
      </c>
      <c r="I391" s="29"/>
      <c r="J391" s="22" t="str">
        <f>IFERROR(I391*VLOOKUP(D391,'Crafting Tables'!$1:$1000, 4, false)*F391,"")</f>
        <v/>
      </c>
      <c r="K391" s="29" t="b">
        <v>0</v>
      </c>
      <c r="L391" s="37"/>
      <c r="M391" s="29"/>
      <c r="N391" s="21" t="str">
        <f t="shared" si="2"/>
        <v/>
      </c>
      <c r="P391" s="37"/>
      <c r="Q391" s="29"/>
      <c r="R391" s="29" t="b">
        <v>0</v>
      </c>
      <c r="S391" s="22" t="str">
        <f t="shared" si="3"/>
        <v/>
      </c>
      <c r="T391" s="7">
        <f>IF(ISBLANK(P391), 0, VLOOKUP(P391, 'Price Sheet'!$A$2:$B1015, 2, false))</f>
        <v>0</v>
      </c>
      <c r="U391" s="33" t="str">
        <f t="shared" si="4"/>
        <v/>
      </c>
      <c r="V391" s="37"/>
      <c r="W391" s="29"/>
      <c r="X391" s="29" t="b">
        <v>0</v>
      </c>
      <c r="Y391" s="22" t="str">
        <f t="shared" si="5"/>
        <v/>
      </c>
      <c r="Z391" s="7">
        <f>IF(ISBLANK(V391), 0, VLOOKUP(V391, 'Price Sheet'!$A$2:$B1015, 2, false))</f>
        <v>0</v>
      </c>
      <c r="AA391" s="33" t="str">
        <f t="shared" si="6"/>
        <v/>
      </c>
      <c r="AB391" s="37"/>
      <c r="AC391" s="29"/>
      <c r="AD391" s="29" t="b">
        <v>0</v>
      </c>
      <c r="AE391" s="22" t="str">
        <f t="shared" si="7"/>
        <v/>
      </c>
      <c r="AF391" s="7">
        <f>IF(ISBLANK(AB391), 0, VLOOKUP(AB391, 'Price Sheet'!$A$2:$B1015, 2, false))</f>
        <v>0</v>
      </c>
      <c r="AG391" s="33" t="str">
        <f t="shared" si="8"/>
        <v/>
      </c>
      <c r="AH391" s="37"/>
      <c r="AI391" s="29"/>
      <c r="AJ391" s="29" t="b">
        <v>0</v>
      </c>
      <c r="AK391" s="22" t="str">
        <f t="shared" si="9"/>
        <v/>
      </c>
      <c r="AL391" s="7">
        <f>IF(ISBLANK(AH391), 0, VLOOKUP(AH391, 'Price Sheet'!$A$2:$B1015, 2, false))</f>
        <v>0</v>
      </c>
      <c r="AM391" s="33" t="str">
        <f t="shared" si="10"/>
        <v/>
      </c>
      <c r="AN391" s="37"/>
      <c r="AO391" s="29"/>
      <c r="AP391" s="29" t="b">
        <v>0</v>
      </c>
      <c r="AQ391" s="22" t="str">
        <f t="shared" si="11"/>
        <v/>
      </c>
      <c r="AR391" s="7">
        <f>IF(ISBLANK(AN391), 0, VLOOKUP(AN391, 'Price Sheet'!$A$2:$B1015, 2, false))</f>
        <v>0</v>
      </c>
      <c r="AS391" s="33" t="str">
        <f t="shared" si="12"/>
        <v/>
      </c>
      <c r="AT391" s="37"/>
      <c r="AU391" s="29"/>
      <c r="AV391" s="29" t="b">
        <v>0</v>
      </c>
      <c r="AW391" s="22" t="str">
        <f t="shared" si="13"/>
        <v/>
      </c>
      <c r="AX391" s="7">
        <f>IF(ISBLANK(AT391), 0, VLOOKUP(AT391, 'Price Sheet'!$A$2:$B1015, 2, false))</f>
        <v>0</v>
      </c>
      <c r="AY391" s="33" t="str">
        <f t="shared" si="14"/>
        <v/>
      </c>
      <c r="AZ391" s="37"/>
      <c r="BA391" s="29"/>
      <c r="BB391" s="29" t="b">
        <v>0</v>
      </c>
      <c r="BC391" s="22" t="str">
        <f t="shared" si="15"/>
        <v/>
      </c>
      <c r="BD391" s="7">
        <f>IF(ISBLANK(AZ391), 0, VLOOKUP(AZ391, 'Price Sheet'!$A$2:$B1015, 2, false))</f>
        <v>0</v>
      </c>
      <c r="BE391" s="33" t="str">
        <f t="shared" si="16"/>
        <v/>
      </c>
      <c r="BF391" s="37"/>
      <c r="BG391" s="29"/>
      <c r="BH391" s="29" t="b">
        <v>0</v>
      </c>
      <c r="BI391" s="22" t="str">
        <f t="shared" si="17"/>
        <v/>
      </c>
      <c r="BJ391" s="7">
        <f>IF(ISBLANK(BF391), 0, VLOOKUP(BF391, 'Price Sheet'!$A$2:$B1015, 2, false))</f>
        <v>0</v>
      </c>
      <c r="BK391" s="33" t="str">
        <f t="shared" si="18"/>
        <v/>
      </c>
      <c r="BL391" s="37"/>
      <c r="BM391" s="29"/>
      <c r="BN391" s="29" t="b">
        <v>0</v>
      </c>
      <c r="BO391" s="22" t="str">
        <f t="shared" si="19"/>
        <v/>
      </c>
      <c r="BP391" s="7">
        <f>IF(ISBLANK(BL391), 0, VLOOKUP(BL391, 'Price Sheet'!$A$2:$B1015, 2, false))</f>
        <v>0</v>
      </c>
      <c r="BQ391" s="33" t="str">
        <f t="shared" si="20"/>
        <v/>
      </c>
    </row>
    <row r="392">
      <c r="B392" s="19"/>
      <c r="C392" s="29"/>
      <c r="D392" s="29"/>
      <c r="E392" s="7" t="str">
        <f>IF(ISBLANK(D392), "", VLOOKUP(D392,'Crafting Tables'!$A$2:$B1015, 2, false))</f>
        <v/>
      </c>
      <c r="F392" s="7" t="str">
        <f>IFERROR(IF(E392 = "None", 1, VLOOKUP(C392,General!$A$5:$L$35, SWITCH(E392, "Basic", 8, "Advanced", 10, "Modern", 12), false)),"")</f>
        <v/>
      </c>
      <c r="G392" s="29"/>
      <c r="H392" s="7">
        <f>IFERROR(VLOOKUP(C392, General!$A$5:$L$35, 6, false) * G392 / 1000, 0)</f>
        <v>0</v>
      </c>
      <c r="I392" s="29"/>
      <c r="J392" s="22" t="str">
        <f>IFERROR(I392*VLOOKUP(D392,'Crafting Tables'!$1:$1000, 4, false)*F392,"")</f>
        <v/>
      </c>
      <c r="K392" s="29" t="b">
        <v>0</v>
      </c>
      <c r="L392" s="37"/>
      <c r="M392" s="29"/>
      <c r="N392" s="21" t="str">
        <f t="shared" si="2"/>
        <v/>
      </c>
      <c r="P392" s="37"/>
      <c r="Q392" s="29"/>
      <c r="R392" s="29" t="b">
        <v>0</v>
      </c>
      <c r="S392" s="22" t="str">
        <f t="shared" si="3"/>
        <v/>
      </c>
      <c r="T392" s="7">
        <f>IF(ISBLANK(P392), 0, VLOOKUP(P392, 'Price Sheet'!$A$2:$B1015, 2, false))</f>
        <v>0</v>
      </c>
      <c r="U392" s="33" t="str">
        <f t="shared" si="4"/>
        <v/>
      </c>
      <c r="V392" s="37"/>
      <c r="W392" s="29"/>
      <c r="X392" s="29" t="b">
        <v>0</v>
      </c>
      <c r="Y392" s="22" t="str">
        <f t="shared" si="5"/>
        <v/>
      </c>
      <c r="Z392" s="7">
        <f>IF(ISBLANK(V392), 0, VLOOKUP(V392, 'Price Sheet'!$A$2:$B1015, 2, false))</f>
        <v>0</v>
      </c>
      <c r="AA392" s="33" t="str">
        <f t="shared" si="6"/>
        <v/>
      </c>
      <c r="AB392" s="37"/>
      <c r="AC392" s="29"/>
      <c r="AD392" s="29" t="b">
        <v>0</v>
      </c>
      <c r="AE392" s="22" t="str">
        <f t="shared" si="7"/>
        <v/>
      </c>
      <c r="AF392" s="7">
        <f>IF(ISBLANK(AB392), 0, VLOOKUP(AB392, 'Price Sheet'!$A$2:$B1015, 2, false))</f>
        <v>0</v>
      </c>
      <c r="AG392" s="33" t="str">
        <f t="shared" si="8"/>
        <v/>
      </c>
      <c r="AH392" s="37"/>
      <c r="AI392" s="29"/>
      <c r="AJ392" s="29" t="b">
        <v>0</v>
      </c>
      <c r="AK392" s="22" t="str">
        <f t="shared" si="9"/>
        <v/>
      </c>
      <c r="AL392" s="7">
        <f>IF(ISBLANK(AH392), 0, VLOOKUP(AH392, 'Price Sheet'!$A$2:$B1015, 2, false))</f>
        <v>0</v>
      </c>
      <c r="AM392" s="33" t="str">
        <f t="shared" si="10"/>
        <v/>
      </c>
      <c r="AN392" s="37"/>
      <c r="AO392" s="29"/>
      <c r="AP392" s="29" t="b">
        <v>0</v>
      </c>
      <c r="AQ392" s="22" t="str">
        <f t="shared" si="11"/>
        <v/>
      </c>
      <c r="AR392" s="7">
        <f>IF(ISBLANK(AN392), 0, VLOOKUP(AN392, 'Price Sheet'!$A$2:$B1015, 2, false))</f>
        <v>0</v>
      </c>
      <c r="AS392" s="33" t="str">
        <f t="shared" si="12"/>
        <v/>
      </c>
      <c r="AT392" s="37"/>
      <c r="AU392" s="29"/>
      <c r="AV392" s="29" t="b">
        <v>0</v>
      </c>
      <c r="AW392" s="22" t="str">
        <f t="shared" si="13"/>
        <v/>
      </c>
      <c r="AX392" s="7">
        <f>IF(ISBLANK(AT392), 0, VLOOKUP(AT392, 'Price Sheet'!$A$2:$B1015, 2, false))</f>
        <v>0</v>
      </c>
      <c r="AY392" s="33" t="str">
        <f t="shared" si="14"/>
        <v/>
      </c>
      <c r="AZ392" s="37"/>
      <c r="BA392" s="29"/>
      <c r="BB392" s="29" t="b">
        <v>0</v>
      </c>
      <c r="BC392" s="22" t="str">
        <f t="shared" si="15"/>
        <v/>
      </c>
      <c r="BD392" s="7">
        <f>IF(ISBLANK(AZ392), 0, VLOOKUP(AZ392, 'Price Sheet'!$A$2:$B1015, 2, false))</f>
        <v>0</v>
      </c>
      <c r="BE392" s="33" t="str">
        <f t="shared" si="16"/>
        <v/>
      </c>
      <c r="BF392" s="37"/>
      <c r="BG392" s="29"/>
      <c r="BH392" s="29" t="b">
        <v>0</v>
      </c>
      <c r="BI392" s="22" t="str">
        <f t="shared" si="17"/>
        <v/>
      </c>
      <c r="BJ392" s="7">
        <f>IF(ISBLANK(BF392), 0, VLOOKUP(BF392, 'Price Sheet'!$A$2:$B1015, 2, false))</f>
        <v>0</v>
      </c>
      <c r="BK392" s="33" t="str">
        <f t="shared" si="18"/>
        <v/>
      </c>
      <c r="BL392" s="37"/>
      <c r="BM392" s="29"/>
      <c r="BN392" s="29" t="b">
        <v>0</v>
      </c>
      <c r="BO392" s="22" t="str">
        <f t="shared" si="19"/>
        <v/>
      </c>
      <c r="BP392" s="7">
        <f>IF(ISBLANK(BL392), 0, VLOOKUP(BL392, 'Price Sheet'!$A$2:$B1015, 2, false))</f>
        <v>0</v>
      </c>
      <c r="BQ392" s="33" t="str">
        <f t="shared" si="20"/>
        <v/>
      </c>
    </row>
    <row r="393">
      <c r="B393" s="19"/>
      <c r="C393" s="29"/>
      <c r="D393" s="29"/>
      <c r="E393" s="7" t="str">
        <f>IF(ISBLANK(D393), "", VLOOKUP(D393,'Crafting Tables'!$A$2:$B1015, 2, false))</f>
        <v/>
      </c>
      <c r="F393" s="7" t="str">
        <f>IFERROR(IF(E393 = "None", 1, VLOOKUP(C393,General!$A$5:$L$35, SWITCH(E393, "Basic", 8, "Advanced", 10, "Modern", 12), false)),"")</f>
        <v/>
      </c>
      <c r="G393" s="29"/>
      <c r="H393" s="7">
        <f>IFERROR(VLOOKUP(C393, General!$A$5:$L$35, 6, false) * G393 / 1000, 0)</f>
        <v>0</v>
      </c>
      <c r="I393" s="29"/>
      <c r="J393" s="22" t="str">
        <f>IFERROR(I393*VLOOKUP(D393,'Crafting Tables'!$1:$1000, 4, false)*F393,"")</f>
        <v/>
      </c>
      <c r="K393" s="29" t="b">
        <v>0</v>
      </c>
      <c r="L393" s="37"/>
      <c r="M393" s="29"/>
      <c r="N393" s="21" t="str">
        <f t="shared" si="2"/>
        <v/>
      </c>
      <c r="P393" s="37"/>
      <c r="Q393" s="29"/>
      <c r="R393" s="29" t="b">
        <v>0</v>
      </c>
      <c r="S393" s="22" t="str">
        <f t="shared" si="3"/>
        <v/>
      </c>
      <c r="T393" s="7">
        <f>IF(ISBLANK(P393), 0, VLOOKUP(P393, 'Price Sheet'!$A$2:$B1015, 2, false))</f>
        <v>0</v>
      </c>
      <c r="U393" s="33" t="str">
        <f t="shared" si="4"/>
        <v/>
      </c>
      <c r="V393" s="37"/>
      <c r="W393" s="29"/>
      <c r="X393" s="29" t="b">
        <v>0</v>
      </c>
      <c r="Y393" s="22" t="str">
        <f t="shared" si="5"/>
        <v/>
      </c>
      <c r="Z393" s="7">
        <f>IF(ISBLANK(V393), 0, VLOOKUP(V393, 'Price Sheet'!$A$2:$B1015, 2, false))</f>
        <v>0</v>
      </c>
      <c r="AA393" s="33" t="str">
        <f t="shared" si="6"/>
        <v/>
      </c>
      <c r="AB393" s="37"/>
      <c r="AC393" s="29"/>
      <c r="AD393" s="29" t="b">
        <v>0</v>
      </c>
      <c r="AE393" s="22" t="str">
        <f t="shared" si="7"/>
        <v/>
      </c>
      <c r="AF393" s="7">
        <f>IF(ISBLANK(AB393), 0, VLOOKUP(AB393, 'Price Sheet'!$A$2:$B1015, 2, false))</f>
        <v>0</v>
      </c>
      <c r="AG393" s="33" t="str">
        <f t="shared" si="8"/>
        <v/>
      </c>
      <c r="AH393" s="37"/>
      <c r="AI393" s="29"/>
      <c r="AJ393" s="29" t="b">
        <v>0</v>
      </c>
      <c r="AK393" s="22" t="str">
        <f t="shared" si="9"/>
        <v/>
      </c>
      <c r="AL393" s="7">
        <f>IF(ISBLANK(AH393), 0, VLOOKUP(AH393, 'Price Sheet'!$A$2:$B1015, 2, false))</f>
        <v>0</v>
      </c>
      <c r="AM393" s="33" t="str">
        <f t="shared" si="10"/>
        <v/>
      </c>
      <c r="AN393" s="37"/>
      <c r="AO393" s="29"/>
      <c r="AP393" s="29" t="b">
        <v>0</v>
      </c>
      <c r="AQ393" s="22" t="str">
        <f t="shared" si="11"/>
        <v/>
      </c>
      <c r="AR393" s="7">
        <f>IF(ISBLANK(AN393), 0, VLOOKUP(AN393, 'Price Sheet'!$A$2:$B1015, 2, false))</f>
        <v>0</v>
      </c>
      <c r="AS393" s="33" t="str">
        <f t="shared" si="12"/>
        <v/>
      </c>
      <c r="AT393" s="37"/>
      <c r="AU393" s="29"/>
      <c r="AV393" s="29" t="b">
        <v>0</v>
      </c>
      <c r="AW393" s="22" t="str">
        <f t="shared" si="13"/>
        <v/>
      </c>
      <c r="AX393" s="7">
        <f>IF(ISBLANK(AT393), 0, VLOOKUP(AT393, 'Price Sheet'!$A$2:$B1015, 2, false))</f>
        <v>0</v>
      </c>
      <c r="AY393" s="33" t="str">
        <f t="shared" si="14"/>
        <v/>
      </c>
      <c r="AZ393" s="37"/>
      <c r="BA393" s="29"/>
      <c r="BB393" s="29" t="b">
        <v>0</v>
      </c>
      <c r="BC393" s="22" t="str">
        <f t="shared" si="15"/>
        <v/>
      </c>
      <c r="BD393" s="7">
        <f>IF(ISBLANK(AZ393), 0, VLOOKUP(AZ393, 'Price Sheet'!$A$2:$B1015, 2, false))</f>
        <v>0</v>
      </c>
      <c r="BE393" s="33" t="str">
        <f t="shared" si="16"/>
        <v/>
      </c>
      <c r="BF393" s="37"/>
      <c r="BG393" s="29"/>
      <c r="BH393" s="29" t="b">
        <v>0</v>
      </c>
      <c r="BI393" s="22" t="str">
        <f t="shared" si="17"/>
        <v/>
      </c>
      <c r="BJ393" s="7">
        <f>IF(ISBLANK(BF393), 0, VLOOKUP(BF393, 'Price Sheet'!$A$2:$B1015, 2, false))</f>
        <v>0</v>
      </c>
      <c r="BK393" s="33" t="str">
        <f t="shared" si="18"/>
        <v/>
      </c>
      <c r="BL393" s="37"/>
      <c r="BM393" s="29"/>
      <c r="BN393" s="29" t="b">
        <v>0</v>
      </c>
      <c r="BO393" s="22" t="str">
        <f t="shared" si="19"/>
        <v/>
      </c>
      <c r="BP393" s="7">
        <f>IF(ISBLANK(BL393), 0, VLOOKUP(BL393, 'Price Sheet'!$A$2:$B1015, 2, false))</f>
        <v>0</v>
      </c>
      <c r="BQ393" s="33" t="str">
        <f t="shared" si="20"/>
        <v/>
      </c>
    </row>
    <row r="394">
      <c r="B394" s="19"/>
      <c r="C394" s="29"/>
      <c r="D394" s="29"/>
      <c r="E394" s="7" t="str">
        <f>IF(ISBLANK(D394), "", VLOOKUP(D394,'Crafting Tables'!$A$2:$B1015, 2, false))</f>
        <v/>
      </c>
      <c r="F394" s="7" t="str">
        <f>IFERROR(IF(E394 = "None", 1, VLOOKUP(C394,General!$A$5:$L$35, SWITCH(E394, "Basic", 8, "Advanced", 10, "Modern", 12), false)),"")</f>
        <v/>
      </c>
      <c r="G394" s="29"/>
      <c r="H394" s="7">
        <f>IFERROR(VLOOKUP(C394, General!$A$5:$L$35, 6, false) * G394 / 1000, 0)</f>
        <v>0</v>
      </c>
      <c r="I394" s="29"/>
      <c r="J394" s="22" t="str">
        <f>IFERROR(I394*VLOOKUP(D394,'Crafting Tables'!$1:$1000, 4, false)*F394,"")</f>
        <v/>
      </c>
      <c r="K394" s="29" t="b">
        <v>0</v>
      </c>
      <c r="L394" s="37"/>
      <c r="M394" s="29"/>
      <c r="N394" s="21" t="str">
        <f t="shared" si="2"/>
        <v/>
      </c>
      <c r="P394" s="37"/>
      <c r="Q394" s="29"/>
      <c r="R394" s="29" t="b">
        <v>0</v>
      </c>
      <c r="S394" s="22" t="str">
        <f t="shared" si="3"/>
        <v/>
      </c>
      <c r="T394" s="7">
        <f>IF(ISBLANK(P394), 0, VLOOKUP(P394, 'Price Sheet'!$A$2:$B1015, 2, false))</f>
        <v>0</v>
      </c>
      <c r="U394" s="33" t="str">
        <f t="shared" si="4"/>
        <v/>
      </c>
      <c r="V394" s="37"/>
      <c r="W394" s="29"/>
      <c r="X394" s="29" t="b">
        <v>0</v>
      </c>
      <c r="Y394" s="22" t="str">
        <f t="shared" si="5"/>
        <v/>
      </c>
      <c r="Z394" s="7">
        <f>IF(ISBLANK(V394), 0, VLOOKUP(V394, 'Price Sheet'!$A$2:$B1015, 2, false))</f>
        <v>0</v>
      </c>
      <c r="AA394" s="33" t="str">
        <f t="shared" si="6"/>
        <v/>
      </c>
      <c r="AB394" s="37"/>
      <c r="AC394" s="29"/>
      <c r="AD394" s="29" t="b">
        <v>0</v>
      </c>
      <c r="AE394" s="22" t="str">
        <f t="shared" si="7"/>
        <v/>
      </c>
      <c r="AF394" s="7">
        <f>IF(ISBLANK(AB394), 0, VLOOKUP(AB394, 'Price Sheet'!$A$2:$B1015, 2, false))</f>
        <v>0</v>
      </c>
      <c r="AG394" s="33" t="str">
        <f t="shared" si="8"/>
        <v/>
      </c>
      <c r="AH394" s="37"/>
      <c r="AI394" s="29"/>
      <c r="AJ394" s="29" t="b">
        <v>0</v>
      </c>
      <c r="AK394" s="22" t="str">
        <f t="shared" si="9"/>
        <v/>
      </c>
      <c r="AL394" s="7">
        <f>IF(ISBLANK(AH394), 0, VLOOKUP(AH394, 'Price Sheet'!$A$2:$B1015, 2, false))</f>
        <v>0</v>
      </c>
      <c r="AM394" s="33" t="str">
        <f t="shared" si="10"/>
        <v/>
      </c>
      <c r="AN394" s="37"/>
      <c r="AO394" s="29"/>
      <c r="AP394" s="29" t="b">
        <v>0</v>
      </c>
      <c r="AQ394" s="22" t="str">
        <f t="shared" si="11"/>
        <v/>
      </c>
      <c r="AR394" s="7">
        <f>IF(ISBLANK(AN394), 0, VLOOKUP(AN394, 'Price Sheet'!$A$2:$B1015, 2, false))</f>
        <v>0</v>
      </c>
      <c r="AS394" s="33" t="str">
        <f t="shared" si="12"/>
        <v/>
      </c>
      <c r="AT394" s="37"/>
      <c r="AU394" s="29"/>
      <c r="AV394" s="29" t="b">
        <v>0</v>
      </c>
      <c r="AW394" s="22" t="str">
        <f t="shared" si="13"/>
        <v/>
      </c>
      <c r="AX394" s="7">
        <f>IF(ISBLANK(AT394), 0, VLOOKUP(AT394, 'Price Sheet'!$A$2:$B1015, 2, false))</f>
        <v>0</v>
      </c>
      <c r="AY394" s="33" t="str">
        <f t="shared" si="14"/>
        <v/>
      </c>
      <c r="AZ394" s="37"/>
      <c r="BA394" s="29"/>
      <c r="BB394" s="29" t="b">
        <v>0</v>
      </c>
      <c r="BC394" s="22" t="str">
        <f t="shared" si="15"/>
        <v/>
      </c>
      <c r="BD394" s="7">
        <f>IF(ISBLANK(AZ394), 0, VLOOKUP(AZ394, 'Price Sheet'!$A$2:$B1015, 2, false))</f>
        <v>0</v>
      </c>
      <c r="BE394" s="33" t="str">
        <f t="shared" si="16"/>
        <v/>
      </c>
      <c r="BF394" s="37"/>
      <c r="BG394" s="29"/>
      <c r="BH394" s="29" t="b">
        <v>0</v>
      </c>
      <c r="BI394" s="22" t="str">
        <f t="shared" si="17"/>
        <v/>
      </c>
      <c r="BJ394" s="7">
        <f>IF(ISBLANK(BF394), 0, VLOOKUP(BF394, 'Price Sheet'!$A$2:$B1015, 2, false))</f>
        <v>0</v>
      </c>
      <c r="BK394" s="33" t="str">
        <f t="shared" si="18"/>
        <v/>
      </c>
      <c r="BL394" s="37"/>
      <c r="BM394" s="29"/>
      <c r="BN394" s="29" t="b">
        <v>0</v>
      </c>
      <c r="BO394" s="22" t="str">
        <f t="shared" si="19"/>
        <v/>
      </c>
      <c r="BP394" s="7">
        <f>IF(ISBLANK(BL394), 0, VLOOKUP(BL394, 'Price Sheet'!$A$2:$B1015, 2, false))</f>
        <v>0</v>
      </c>
      <c r="BQ394" s="33" t="str">
        <f t="shared" si="20"/>
        <v/>
      </c>
    </row>
    <row r="395">
      <c r="B395" s="19"/>
      <c r="C395" s="29"/>
      <c r="D395" s="29"/>
      <c r="E395" s="7" t="str">
        <f>IF(ISBLANK(D395), "", VLOOKUP(D395,'Crafting Tables'!$A$2:$B1015, 2, false))</f>
        <v/>
      </c>
      <c r="F395" s="7" t="str">
        <f>IFERROR(IF(E395 = "None", 1, VLOOKUP(C395,General!$A$5:$L$35, SWITCH(E395, "Basic", 8, "Advanced", 10, "Modern", 12), false)),"")</f>
        <v/>
      </c>
      <c r="G395" s="29"/>
      <c r="H395" s="7">
        <f>IFERROR(VLOOKUP(C395, General!$A$5:$L$35, 6, false) * G395 / 1000, 0)</f>
        <v>0</v>
      </c>
      <c r="I395" s="29"/>
      <c r="J395" s="22" t="str">
        <f>IFERROR(I395*VLOOKUP(D395,'Crafting Tables'!$1:$1000, 4, false)*F395,"")</f>
        <v/>
      </c>
      <c r="K395" s="29" t="b">
        <v>0</v>
      </c>
      <c r="L395" s="37"/>
      <c r="M395" s="29"/>
      <c r="N395" s="21" t="str">
        <f t="shared" si="2"/>
        <v/>
      </c>
      <c r="P395" s="37"/>
      <c r="Q395" s="29"/>
      <c r="R395" s="29" t="b">
        <v>0</v>
      </c>
      <c r="S395" s="22" t="str">
        <f t="shared" si="3"/>
        <v/>
      </c>
      <c r="T395" s="7">
        <f>IF(ISBLANK(P395), 0, VLOOKUP(P395, 'Price Sheet'!$A$2:$B1015, 2, false))</f>
        <v>0</v>
      </c>
      <c r="U395" s="33" t="str">
        <f t="shared" si="4"/>
        <v/>
      </c>
      <c r="V395" s="37"/>
      <c r="W395" s="29"/>
      <c r="X395" s="29" t="b">
        <v>0</v>
      </c>
      <c r="Y395" s="22" t="str">
        <f t="shared" si="5"/>
        <v/>
      </c>
      <c r="Z395" s="7">
        <f>IF(ISBLANK(V395), 0, VLOOKUP(V395, 'Price Sheet'!$A$2:$B1015, 2, false))</f>
        <v>0</v>
      </c>
      <c r="AA395" s="33" t="str">
        <f t="shared" si="6"/>
        <v/>
      </c>
      <c r="AB395" s="37"/>
      <c r="AC395" s="29"/>
      <c r="AD395" s="29" t="b">
        <v>0</v>
      </c>
      <c r="AE395" s="22" t="str">
        <f t="shared" si="7"/>
        <v/>
      </c>
      <c r="AF395" s="7">
        <f>IF(ISBLANK(AB395), 0, VLOOKUP(AB395, 'Price Sheet'!$A$2:$B1015, 2, false))</f>
        <v>0</v>
      </c>
      <c r="AG395" s="33" t="str">
        <f t="shared" si="8"/>
        <v/>
      </c>
      <c r="AH395" s="37"/>
      <c r="AI395" s="29"/>
      <c r="AJ395" s="29" t="b">
        <v>0</v>
      </c>
      <c r="AK395" s="22" t="str">
        <f t="shared" si="9"/>
        <v/>
      </c>
      <c r="AL395" s="7">
        <f>IF(ISBLANK(AH395), 0, VLOOKUP(AH395, 'Price Sheet'!$A$2:$B1015, 2, false))</f>
        <v>0</v>
      </c>
      <c r="AM395" s="33" t="str">
        <f t="shared" si="10"/>
        <v/>
      </c>
      <c r="AN395" s="37"/>
      <c r="AO395" s="29"/>
      <c r="AP395" s="29" t="b">
        <v>0</v>
      </c>
      <c r="AQ395" s="22" t="str">
        <f t="shared" si="11"/>
        <v/>
      </c>
      <c r="AR395" s="7">
        <f>IF(ISBLANK(AN395), 0, VLOOKUP(AN395, 'Price Sheet'!$A$2:$B1015, 2, false))</f>
        <v>0</v>
      </c>
      <c r="AS395" s="33" t="str">
        <f t="shared" si="12"/>
        <v/>
      </c>
      <c r="AT395" s="37"/>
      <c r="AU395" s="29"/>
      <c r="AV395" s="29" t="b">
        <v>0</v>
      </c>
      <c r="AW395" s="22" t="str">
        <f t="shared" si="13"/>
        <v/>
      </c>
      <c r="AX395" s="7">
        <f>IF(ISBLANK(AT395), 0, VLOOKUP(AT395, 'Price Sheet'!$A$2:$B1015, 2, false))</f>
        <v>0</v>
      </c>
      <c r="AY395" s="33" t="str">
        <f t="shared" si="14"/>
        <v/>
      </c>
      <c r="AZ395" s="37"/>
      <c r="BA395" s="29"/>
      <c r="BB395" s="29" t="b">
        <v>0</v>
      </c>
      <c r="BC395" s="22" t="str">
        <f t="shared" si="15"/>
        <v/>
      </c>
      <c r="BD395" s="7">
        <f>IF(ISBLANK(AZ395), 0, VLOOKUP(AZ395, 'Price Sheet'!$A$2:$B1015, 2, false))</f>
        <v>0</v>
      </c>
      <c r="BE395" s="33" t="str">
        <f t="shared" si="16"/>
        <v/>
      </c>
      <c r="BF395" s="37"/>
      <c r="BG395" s="29"/>
      <c r="BH395" s="29" t="b">
        <v>0</v>
      </c>
      <c r="BI395" s="22" t="str">
        <f t="shared" si="17"/>
        <v/>
      </c>
      <c r="BJ395" s="7">
        <f>IF(ISBLANK(BF395), 0, VLOOKUP(BF395, 'Price Sheet'!$A$2:$B1015, 2, false))</f>
        <v>0</v>
      </c>
      <c r="BK395" s="33" t="str">
        <f t="shared" si="18"/>
        <v/>
      </c>
      <c r="BL395" s="37"/>
      <c r="BM395" s="29"/>
      <c r="BN395" s="29" t="b">
        <v>0</v>
      </c>
      <c r="BO395" s="22" t="str">
        <f t="shared" si="19"/>
        <v/>
      </c>
      <c r="BP395" s="7">
        <f>IF(ISBLANK(BL395), 0, VLOOKUP(BL395, 'Price Sheet'!$A$2:$B1015, 2, false))</f>
        <v>0</v>
      </c>
      <c r="BQ395" s="33" t="str">
        <f t="shared" si="20"/>
        <v/>
      </c>
    </row>
    <row r="396">
      <c r="B396" s="19"/>
      <c r="C396" s="29"/>
      <c r="D396" s="29"/>
      <c r="E396" s="7" t="str">
        <f>IF(ISBLANK(D396), "", VLOOKUP(D396,'Crafting Tables'!$A$2:$B1015, 2, false))</f>
        <v/>
      </c>
      <c r="F396" s="7" t="str">
        <f>IFERROR(IF(E396 = "None", 1, VLOOKUP(C396,General!$A$5:$L$35, SWITCH(E396, "Basic", 8, "Advanced", 10, "Modern", 12), false)),"")</f>
        <v/>
      </c>
      <c r="G396" s="29"/>
      <c r="H396" s="7">
        <f>IFERROR(VLOOKUP(C396, General!$A$5:$L$35, 6, false) * G396 / 1000, 0)</f>
        <v>0</v>
      </c>
      <c r="I396" s="29"/>
      <c r="J396" s="22" t="str">
        <f>IFERROR(I396*VLOOKUP(D396,'Crafting Tables'!$1:$1000, 4, false)*F396,"")</f>
        <v/>
      </c>
      <c r="K396" s="29" t="b">
        <v>0</v>
      </c>
      <c r="L396" s="37"/>
      <c r="M396" s="29"/>
      <c r="N396" s="21" t="str">
        <f t="shared" si="2"/>
        <v/>
      </c>
      <c r="P396" s="37"/>
      <c r="Q396" s="29"/>
      <c r="R396" s="29" t="b">
        <v>0</v>
      </c>
      <c r="S396" s="22" t="str">
        <f t="shared" si="3"/>
        <v/>
      </c>
      <c r="T396" s="7">
        <f>IF(ISBLANK(P396), 0, VLOOKUP(P396, 'Price Sheet'!$A$2:$B1015, 2, false))</f>
        <v>0</v>
      </c>
      <c r="U396" s="33" t="str">
        <f t="shared" si="4"/>
        <v/>
      </c>
      <c r="V396" s="37"/>
      <c r="W396" s="29"/>
      <c r="X396" s="29" t="b">
        <v>0</v>
      </c>
      <c r="Y396" s="22" t="str">
        <f t="shared" si="5"/>
        <v/>
      </c>
      <c r="Z396" s="7">
        <f>IF(ISBLANK(V396), 0, VLOOKUP(V396, 'Price Sheet'!$A$2:$B1015, 2, false))</f>
        <v>0</v>
      </c>
      <c r="AA396" s="33" t="str">
        <f t="shared" si="6"/>
        <v/>
      </c>
      <c r="AB396" s="37"/>
      <c r="AC396" s="29"/>
      <c r="AD396" s="29" t="b">
        <v>0</v>
      </c>
      <c r="AE396" s="22" t="str">
        <f t="shared" si="7"/>
        <v/>
      </c>
      <c r="AF396" s="7">
        <f>IF(ISBLANK(AB396), 0, VLOOKUP(AB396, 'Price Sheet'!$A$2:$B1015, 2, false))</f>
        <v>0</v>
      </c>
      <c r="AG396" s="33" t="str">
        <f t="shared" si="8"/>
        <v/>
      </c>
      <c r="AH396" s="37"/>
      <c r="AI396" s="29"/>
      <c r="AJ396" s="29" t="b">
        <v>0</v>
      </c>
      <c r="AK396" s="22" t="str">
        <f t="shared" si="9"/>
        <v/>
      </c>
      <c r="AL396" s="7">
        <f>IF(ISBLANK(AH396), 0, VLOOKUP(AH396, 'Price Sheet'!$A$2:$B1015, 2, false))</f>
        <v>0</v>
      </c>
      <c r="AM396" s="33" t="str">
        <f t="shared" si="10"/>
        <v/>
      </c>
      <c r="AN396" s="37"/>
      <c r="AO396" s="29"/>
      <c r="AP396" s="29" t="b">
        <v>0</v>
      </c>
      <c r="AQ396" s="22" t="str">
        <f t="shared" si="11"/>
        <v/>
      </c>
      <c r="AR396" s="7">
        <f>IF(ISBLANK(AN396), 0, VLOOKUP(AN396, 'Price Sheet'!$A$2:$B1015, 2, false))</f>
        <v>0</v>
      </c>
      <c r="AS396" s="33" t="str">
        <f t="shared" si="12"/>
        <v/>
      </c>
      <c r="AT396" s="37"/>
      <c r="AU396" s="29"/>
      <c r="AV396" s="29" t="b">
        <v>0</v>
      </c>
      <c r="AW396" s="22" t="str">
        <f t="shared" si="13"/>
        <v/>
      </c>
      <c r="AX396" s="7">
        <f>IF(ISBLANK(AT396), 0, VLOOKUP(AT396, 'Price Sheet'!$A$2:$B1015, 2, false))</f>
        <v>0</v>
      </c>
      <c r="AY396" s="33" t="str">
        <f t="shared" si="14"/>
        <v/>
      </c>
      <c r="AZ396" s="37"/>
      <c r="BA396" s="29"/>
      <c r="BB396" s="29" t="b">
        <v>0</v>
      </c>
      <c r="BC396" s="22" t="str">
        <f t="shared" si="15"/>
        <v/>
      </c>
      <c r="BD396" s="7">
        <f>IF(ISBLANK(AZ396), 0, VLOOKUP(AZ396, 'Price Sheet'!$A$2:$B1015, 2, false))</f>
        <v>0</v>
      </c>
      <c r="BE396" s="33" t="str">
        <f t="shared" si="16"/>
        <v/>
      </c>
      <c r="BF396" s="37"/>
      <c r="BG396" s="29"/>
      <c r="BH396" s="29" t="b">
        <v>0</v>
      </c>
      <c r="BI396" s="22" t="str">
        <f t="shared" si="17"/>
        <v/>
      </c>
      <c r="BJ396" s="7">
        <f>IF(ISBLANK(BF396), 0, VLOOKUP(BF396, 'Price Sheet'!$A$2:$B1015, 2, false))</f>
        <v>0</v>
      </c>
      <c r="BK396" s="33" t="str">
        <f t="shared" si="18"/>
        <v/>
      </c>
      <c r="BL396" s="37"/>
      <c r="BM396" s="29"/>
      <c r="BN396" s="29" t="b">
        <v>0</v>
      </c>
      <c r="BO396" s="22" t="str">
        <f t="shared" si="19"/>
        <v/>
      </c>
      <c r="BP396" s="7">
        <f>IF(ISBLANK(BL396), 0, VLOOKUP(BL396, 'Price Sheet'!$A$2:$B1015, 2, false))</f>
        <v>0</v>
      </c>
      <c r="BQ396" s="33" t="str">
        <f t="shared" si="20"/>
        <v/>
      </c>
    </row>
    <row r="397">
      <c r="B397" s="19"/>
      <c r="C397" s="29"/>
      <c r="D397" s="29"/>
      <c r="E397" s="7" t="str">
        <f>IF(ISBLANK(D397), "", VLOOKUP(D397,'Crafting Tables'!$A$2:$B1015, 2, false))</f>
        <v/>
      </c>
      <c r="F397" s="7" t="str">
        <f>IFERROR(IF(E397 = "None", 1, VLOOKUP(C397,General!$A$5:$L$35, SWITCH(E397, "Basic", 8, "Advanced", 10, "Modern", 12), false)),"")</f>
        <v/>
      </c>
      <c r="G397" s="29"/>
      <c r="H397" s="7">
        <f>IFERROR(VLOOKUP(C397, General!$A$5:$L$35, 6, false) * G397 / 1000, 0)</f>
        <v>0</v>
      </c>
      <c r="I397" s="29"/>
      <c r="J397" s="22" t="str">
        <f>IFERROR(I397*VLOOKUP(D397,'Crafting Tables'!$1:$1000, 4, false)*F397,"")</f>
        <v/>
      </c>
      <c r="K397" s="29" t="b">
        <v>0</v>
      </c>
      <c r="L397" s="37"/>
      <c r="M397" s="29"/>
      <c r="N397" s="21" t="str">
        <f t="shared" si="2"/>
        <v/>
      </c>
      <c r="P397" s="37"/>
      <c r="Q397" s="29"/>
      <c r="R397" s="29" t="b">
        <v>0</v>
      </c>
      <c r="S397" s="22" t="str">
        <f t="shared" si="3"/>
        <v/>
      </c>
      <c r="T397" s="7">
        <f>IF(ISBLANK(P397), 0, VLOOKUP(P397, 'Price Sheet'!$A$2:$B1015, 2, false))</f>
        <v>0</v>
      </c>
      <c r="U397" s="33" t="str">
        <f t="shared" si="4"/>
        <v/>
      </c>
      <c r="V397" s="37"/>
      <c r="W397" s="29"/>
      <c r="X397" s="29" t="b">
        <v>0</v>
      </c>
      <c r="Y397" s="22" t="str">
        <f t="shared" si="5"/>
        <v/>
      </c>
      <c r="Z397" s="7">
        <f>IF(ISBLANK(V397), 0, VLOOKUP(V397, 'Price Sheet'!$A$2:$B1015, 2, false))</f>
        <v>0</v>
      </c>
      <c r="AA397" s="33" t="str">
        <f t="shared" si="6"/>
        <v/>
      </c>
      <c r="AB397" s="37"/>
      <c r="AC397" s="29"/>
      <c r="AD397" s="29" t="b">
        <v>0</v>
      </c>
      <c r="AE397" s="22" t="str">
        <f t="shared" si="7"/>
        <v/>
      </c>
      <c r="AF397" s="7">
        <f>IF(ISBLANK(AB397), 0, VLOOKUP(AB397, 'Price Sheet'!$A$2:$B1015, 2, false))</f>
        <v>0</v>
      </c>
      <c r="AG397" s="33" t="str">
        <f t="shared" si="8"/>
        <v/>
      </c>
      <c r="AH397" s="37"/>
      <c r="AI397" s="29"/>
      <c r="AJ397" s="29" t="b">
        <v>0</v>
      </c>
      <c r="AK397" s="22" t="str">
        <f t="shared" si="9"/>
        <v/>
      </c>
      <c r="AL397" s="7">
        <f>IF(ISBLANK(AH397), 0, VLOOKUP(AH397, 'Price Sheet'!$A$2:$B1015, 2, false))</f>
        <v>0</v>
      </c>
      <c r="AM397" s="33" t="str">
        <f t="shared" si="10"/>
        <v/>
      </c>
      <c r="AN397" s="37"/>
      <c r="AO397" s="29"/>
      <c r="AP397" s="29" t="b">
        <v>0</v>
      </c>
      <c r="AQ397" s="22" t="str">
        <f t="shared" si="11"/>
        <v/>
      </c>
      <c r="AR397" s="7">
        <f>IF(ISBLANK(AN397), 0, VLOOKUP(AN397, 'Price Sheet'!$A$2:$B1015, 2, false))</f>
        <v>0</v>
      </c>
      <c r="AS397" s="33" t="str">
        <f t="shared" si="12"/>
        <v/>
      </c>
      <c r="AT397" s="37"/>
      <c r="AU397" s="29"/>
      <c r="AV397" s="29" t="b">
        <v>0</v>
      </c>
      <c r="AW397" s="22" t="str">
        <f t="shared" si="13"/>
        <v/>
      </c>
      <c r="AX397" s="7">
        <f>IF(ISBLANK(AT397), 0, VLOOKUP(AT397, 'Price Sheet'!$A$2:$B1015, 2, false))</f>
        <v>0</v>
      </c>
      <c r="AY397" s="33" t="str">
        <f t="shared" si="14"/>
        <v/>
      </c>
      <c r="AZ397" s="37"/>
      <c r="BA397" s="29"/>
      <c r="BB397" s="29" t="b">
        <v>0</v>
      </c>
      <c r="BC397" s="22" t="str">
        <f t="shared" si="15"/>
        <v/>
      </c>
      <c r="BD397" s="7">
        <f>IF(ISBLANK(AZ397), 0, VLOOKUP(AZ397, 'Price Sheet'!$A$2:$B1015, 2, false))</f>
        <v>0</v>
      </c>
      <c r="BE397" s="33" t="str">
        <f t="shared" si="16"/>
        <v/>
      </c>
      <c r="BF397" s="37"/>
      <c r="BG397" s="29"/>
      <c r="BH397" s="29" t="b">
        <v>0</v>
      </c>
      <c r="BI397" s="22" t="str">
        <f t="shared" si="17"/>
        <v/>
      </c>
      <c r="BJ397" s="7">
        <f>IF(ISBLANK(BF397), 0, VLOOKUP(BF397, 'Price Sheet'!$A$2:$B1015, 2, false))</f>
        <v>0</v>
      </c>
      <c r="BK397" s="33" t="str">
        <f t="shared" si="18"/>
        <v/>
      </c>
      <c r="BL397" s="37"/>
      <c r="BM397" s="29"/>
      <c r="BN397" s="29" t="b">
        <v>0</v>
      </c>
      <c r="BO397" s="22" t="str">
        <f t="shared" si="19"/>
        <v/>
      </c>
      <c r="BP397" s="7">
        <f>IF(ISBLANK(BL397), 0, VLOOKUP(BL397, 'Price Sheet'!$A$2:$B1015, 2, false))</f>
        <v>0</v>
      </c>
      <c r="BQ397" s="33" t="str">
        <f t="shared" si="20"/>
        <v/>
      </c>
    </row>
    <row r="398">
      <c r="B398" s="19"/>
      <c r="C398" s="29"/>
      <c r="D398" s="29"/>
      <c r="E398" s="7" t="str">
        <f>IF(ISBLANK(D398), "", VLOOKUP(D398,'Crafting Tables'!$A$2:$B1015, 2, false))</f>
        <v/>
      </c>
      <c r="F398" s="7" t="str">
        <f>IFERROR(IF(E398 = "None", 1, VLOOKUP(C398,General!$A$5:$L$35, SWITCH(E398, "Basic", 8, "Advanced", 10, "Modern", 12), false)),"")</f>
        <v/>
      </c>
      <c r="G398" s="29"/>
      <c r="H398" s="7">
        <f>IFERROR(VLOOKUP(C398, General!$A$5:$L$35, 6, false) * G398 / 1000, 0)</f>
        <v>0</v>
      </c>
      <c r="I398" s="29"/>
      <c r="J398" s="22" t="str">
        <f>IFERROR(I398*VLOOKUP(D398,'Crafting Tables'!$1:$1000, 4, false)*F398,"")</f>
        <v/>
      </c>
      <c r="K398" s="29" t="b">
        <v>0</v>
      </c>
      <c r="L398" s="37"/>
      <c r="M398" s="29"/>
      <c r="N398" s="21" t="str">
        <f t="shared" si="2"/>
        <v/>
      </c>
      <c r="P398" s="37"/>
      <c r="Q398" s="29"/>
      <c r="R398" s="29" t="b">
        <v>0</v>
      </c>
      <c r="S398" s="22" t="str">
        <f t="shared" si="3"/>
        <v/>
      </c>
      <c r="T398" s="7">
        <f>IF(ISBLANK(P398), 0, VLOOKUP(P398, 'Price Sheet'!$A$2:$B1015, 2, false))</f>
        <v>0</v>
      </c>
      <c r="U398" s="33" t="str">
        <f t="shared" si="4"/>
        <v/>
      </c>
      <c r="V398" s="37"/>
      <c r="W398" s="29"/>
      <c r="X398" s="29" t="b">
        <v>0</v>
      </c>
      <c r="Y398" s="22" t="str">
        <f t="shared" si="5"/>
        <v/>
      </c>
      <c r="Z398" s="7">
        <f>IF(ISBLANK(V398), 0, VLOOKUP(V398, 'Price Sheet'!$A$2:$B1015, 2, false))</f>
        <v>0</v>
      </c>
      <c r="AA398" s="33" t="str">
        <f t="shared" si="6"/>
        <v/>
      </c>
      <c r="AB398" s="37"/>
      <c r="AC398" s="29"/>
      <c r="AD398" s="29" t="b">
        <v>0</v>
      </c>
      <c r="AE398" s="22" t="str">
        <f t="shared" si="7"/>
        <v/>
      </c>
      <c r="AF398" s="7">
        <f>IF(ISBLANK(AB398), 0, VLOOKUP(AB398, 'Price Sheet'!$A$2:$B1015, 2, false))</f>
        <v>0</v>
      </c>
      <c r="AG398" s="33" t="str">
        <f t="shared" si="8"/>
        <v/>
      </c>
      <c r="AH398" s="37"/>
      <c r="AI398" s="29"/>
      <c r="AJ398" s="29" t="b">
        <v>0</v>
      </c>
      <c r="AK398" s="22" t="str">
        <f t="shared" si="9"/>
        <v/>
      </c>
      <c r="AL398" s="7">
        <f>IF(ISBLANK(AH398), 0, VLOOKUP(AH398, 'Price Sheet'!$A$2:$B1015, 2, false))</f>
        <v>0</v>
      </c>
      <c r="AM398" s="33" t="str">
        <f t="shared" si="10"/>
        <v/>
      </c>
      <c r="AN398" s="37"/>
      <c r="AO398" s="29"/>
      <c r="AP398" s="29" t="b">
        <v>0</v>
      </c>
      <c r="AQ398" s="22" t="str">
        <f t="shared" si="11"/>
        <v/>
      </c>
      <c r="AR398" s="7">
        <f>IF(ISBLANK(AN398), 0, VLOOKUP(AN398, 'Price Sheet'!$A$2:$B1015, 2, false))</f>
        <v>0</v>
      </c>
      <c r="AS398" s="33" t="str">
        <f t="shared" si="12"/>
        <v/>
      </c>
      <c r="AT398" s="37"/>
      <c r="AU398" s="29"/>
      <c r="AV398" s="29" t="b">
        <v>0</v>
      </c>
      <c r="AW398" s="22" t="str">
        <f t="shared" si="13"/>
        <v/>
      </c>
      <c r="AX398" s="7">
        <f>IF(ISBLANK(AT398), 0, VLOOKUP(AT398, 'Price Sheet'!$A$2:$B1015, 2, false))</f>
        <v>0</v>
      </c>
      <c r="AY398" s="33" t="str">
        <f t="shared" si="14"/>
        <v/>
      </c>
      <c r="AZ398" s="37"/>
      <c r="BA398" s="29"/>
      <c r="BB398" s="29" t="b">
        <v>0</v>
      </c>
      <c r="BC398" s="22" t="str">
        <f t="shared" si="15"/>
        <v/>
      </c>
      <c r="BD398" s="7">
        <f>IF(ISBLANK(AZ398), 0, VLOOKUP(AZ398, 'Price Sheet'!$A$2:$B1015, 2, false))</f>
        <v>0</v>
      </c>
      <c r="BE398" s="33" t="str">
        <f t="shared" si="16"/>
        <v/>
      </c>
      <c r="BF398" s="37"/>
      <c r="BG398" s="29"/>
      <c r="BH398" s="29" t="b">
        <v>0</v>
      </c>
      <c r="BI398" s="22" t="str">
        <f t="shared" si="17"/>
        <v/>
      </c>
      <c r="BJ398" s="7">
        <f>IF(ISBLANK(BF398), 0, VLOOKUP(BF398, 'Price Sheet'!$A$2:$B1015, 2, false))</f>
        <v>0</v>
      </c>
      <c r="BK398" s="33" t="str">
        <f t="shared" si="18"/>
        <v/>
      </c>
      <c r="BL398" s="37"/>
      <c r="BM398" s="29"/>
      <c r="BN398" s="29" t="b">
        <v>0</v>
      </c>
      <c r="BO398" s="22" t="str">
        <f t="shared" si="19"/>
        <v/>
      </c>
      <c r="BP398" s="7">
        <f>IF(ISBLANK(BL398), 0, VLOOKUP(BL398, 'Price Sheet'!$A$2:$B1015, 2, false))</f>
        <v>0</v>
      </c>
      <c r="BQ398" s="33" t="str">
        <f t="shared" si="20"/>
        <v/>
      </c>
    </row>
    <row r="399">
      <c r="B399" s="19"/>
      <c r="C399" s="29"/>
      <c r="D399" s="29"/>
      <c r="E399" s="7" t="str">
        <f>IF(ISBLANK(D399), "", VLOOKUP(D399,'Crafting Tables'!$A$2:$B1015, 2, false))</f>
        <v/>
      </c>
      <c r="F399" s="7" t="str">
        <f>IFERROR(IF(E399 = "None", 1, VLOOKUP(C399,General!$A$5:$L$35, SWITCH(E399, "Basic", 8, "Advanced", 10, "Modern", 12), false)),"")</f>
        <v/>
      </c>
      <c r="G399" s="29"/>
      <c r="H399" s="7">
        <f>IFERROR(VLOOKUP(C399, General!$A$5:$L$35, 6, false) * G399 / 1000, 0)</f>
        <v>0</v>
      </c>
      <c r="I399" s="29"/>
      <c r="J399" s="22" t="str">
        <f>IFERROR(I399*VLOOKUP(D399,'Crafting Tables'!$1:$1000, 4, false)*F399,"")</f>
        <v/>
      </c>
      <c r="K399" s="29" t="b">
        <v>0</v>
      </c>
      <c r="L399" s="37"/>
      <c r="M399" s="29"/>
      <c r="N399" s="21" t="str">
        <f t="shared" si="2"/>
        <v/>
      </c>
      <c r="P399" s="37"/>
      <c r="Q399" s="29"/>
      <c r="R399" s="29" t="b">
        <v>0</v>
      </c>
      <c r="S399" s="22" t="str">
        <f t="shared" si="3"/>
        <v/>
      </c>
      <c r="T399" s="7">
        <f>IF(ISBLANK(P399), 0, VLOOKUP(P399, 'Price Sheet'!$A$2:$B1015, 2, false))</f>
        <v>0</v>
      </c>
      <c r="U399" s="33" t="str">
        <f t="shared" si="4"/>
        <v/>
      </c>
      <c r="V399" s="37"/>
      <c r="W399" s="29"/>
      <c r="X399" s="29" t="b">
        <v>0</v>
      </c>
      <c r="Y399" s="22" t="str">
        <f t="shared" si="5"/>
        <v/>
      </c>
      <c r="Z399" s="7">
        <f>IF(ISBLANK(V399), 0, VLOOKUP(V399, 'Price Sheet'!$A$2:$B1015, 2, false))</f>
        <v>0</v>
      </c>
      <c r="AA399" s="33" t="str">
        <f t="shared" si="6"/>
        <v/>
      </c>
      <c r="AB399" s="37"/>
      <c r="AC399" s="29"/>
      <c r="AD399" s="29" t="b">
        <v>0</v>
      </c>
      <c r="AE399" s="22" t="str">
        <f t="shared" si="7"/>
        <v/>
      </c>
      <c r="AF399" s="7">
        <f>IF(ISBLANK(AB399), 0, VLOOKUP(AB399, 'Price Sheet'!$A$2:$B1015, 2, false))</f>
        <v>0</v>
      </c>
      <c r="AG399" s="33" t="str">
        <f t="shared" si="8"/>
        <v/>
      </c>
      <c r="AH399" s="37"/>
      <c r="AI399" s="29"/>
      <c r="AJ399" s="29" t="b">
        <v>0</v>
      </c>
      <c r="AK399" s="22" t="str">
        <f t="shared" si="9"/>
        <v/>
      </c>
      <c r="AL399" s="7">
        <f>IF(ISBLANK(AH399), 0, VLOOKUP(AH399, 'Price Sheet'!$A$2:$B1015, 2, false))</f>
        <v>0</v>
      </c>
      <c r="AM399" s="33" t="str">
        <f t="shared" si="10"/>
        <v/>
      </c>
      <c r="AN399" s="37"/>
      <c r="AO399" s="29"/>
      <c r="AP399" s="29" t="b">
        <v>0</v>
      </c>
      <c r="AQ399" s="22" t="str">
        <f t="shared" si="11"/>
        <v/>
      </c>
      <c r="AR399" s="7">
        <f>IF(ISBLANK(AN399), 0, VLOOKUP(AN399, 'Price Sheet'!$A$2:$B1015, 2, false))</f>
        <v>0</v>
      </c>
      <c r="AS399" s="33" t="str">
        <f t="shared" si="12"/>
        <v/>
      </c>
      <c r="AT399" s="37"/>
      <c r="AU399" s="29"/>
      <c r="AV399" s="29" t="b">
        <v>0</v>
      </c>
      <c r="AW399" s="22" t="str">
        <f t="shared" si="13"/>
        <v/>
      </c>
      <c r="AX399" s="7">
        <f>IF(ISBLANK(AT399), 0, VLOOKUP(AT399, 'Price Sheet'!$A$2:$B1015, 2, false))</f>
        <v>0</v>
      </c>
      <c r="AY399" s="33" t="str">
        <f t="shared" si="14"/>
        <v/>
      </c>
      <c r="AZ399" s="37"/>
      <c r="BA399" s="29"/>
      <c r="BB399" s="29" t="b">
        <v>0</v>
      </c>
      <c r="BC399" s="22" t="str">
        <f t="shared" si="15"/>
        <v/>
      </c>
      <c r="BD399" s="7">
        <f>IF(ISBLANK(AZ399), 0, VLOOKUP(AZ399, 'Price Sheet'!$A$2:$B1015, 2, false))</f>
        <v>0</v>
      </c>
      <c r="BE399" s="33" t="str">
        <f t="shared" si="16"/>
        <v/>
      </c>
      <c r="BF399" s="37"/>
      <c r="BG399" s="29"/>
      <c r="BH399" s="29" t="b">
        <v>0</v>
      </c>
      <c r="BI399" s="22" t="str">
        <f t="shared" si="17"/>
        <v/>
      </c>
      <c r="BJ399" s="7">
        <f>IF(ISBLANK(BF399), 0, VLOOKUP(BF399, 'Price Sheet'!$A$2:$B1015, 2, false))</f>
        <v>0</v>
      </c>
      <c r="BK399" s="33" t="str">
        <f t="shared" si="18"/>
        <v/>
      </c>
      <c r="BL399" s="37"/>
      <c r="BM399" s="29"/>
      <c r="BN399" s="29" t="b">
        <v>0</v>
      </c>
      <c r="BO399" s="22" t="str">
        <f t="shared" si="19"/>
        <v/>
      </c>
      <c r="BP399" s="7">
        <f>IF(ISBLANK(BL399), 0, VLOOKUP(BL399, 'Price Sheet'!$A$2:$B1015, 2, false))</f>
        <v>0</v>
      </c>
      <c r="BQ399" s="33" t="str">
        <f t="shared" si="20"/>
        <v/>
      </c>
    </row>
    <row r="400">
      <c r="B400" s="19"/>
      <c r="C400" s="29"/>
      <c r="D400" s="29"/>
      <c r="E400" s="7" t="str">
        <f>IF(ISBLANK(D400), "", VLOOKUP(D400,'Crafting Tables'!$A$2:$B1015, 2, false))</f>
        <v/>
      </c>
      <c r="F400" s="7" t="str">
        <f>IFERROR(IF(E400 = "None", 1, VLOOKUP(C400,General!$A$5:$L$35, SWITCH(E400, "Basic", 8, "Advanced", 10, "Modern", 12), false)),"")</f>
        <v/>
      </c>
      <c r="G400" s="29"/>
      <c r="H400" s="7">
        <f>IFERROR(VLOOKUP(C400, General!$A$5:$L$35, 6, false) * G400 / 1000, 0)</f>
        <v>0</v>
      </c>
      <c r="I400" s="29"/>
      <c r="J400" s="22" t="str">
        <f>IFERROR(I400*VLOOKUP(D400,'Crafting Tables'!$1:$1000, 4, false)*F400,"")</f>
        <v/>
      </c>
      <c r="K400" s="29" t="b">
        <v>0</v>
      </c>
      <c r="L400" s="37"/>
      <c r="M400" s="29"/>
      <c r="N400" s="21" t="str">
        <f t="shared" si="2"/>
        <v/>
      </c>
      <c r="P400" s="37"/>
      <c r="Q400" s="29"/>
      <c r="R400" s="29" t="b">
        <v>0</v>
      </c>
      <c r="S400" s="22" t="str">
        <f t="shared" si="3"/>
        <v/>
      </c>
      <c r="T400" s="7">
        <f>IF(ISBLANK(P400), 0, VLOOKUP(P400, 'Price Sheet'!$A$2:$B1015, 2, false))</f>
        <v>0</v>
      </c>
      <c r="U400" s="33" t="str">
        <f t="shared" si="4"/>
        <v/>
      </c>
      <c r="V400" s="37"/>
      <c r="W400" s="29"/>
      <c r="X400" s="29" t="b">
        <v>0</v>
      </c>
      <c r="Y400" s="22" t="str">
        <f t="shared" si="5"/>
        <v/>
      </c>
      <c r="Z400" s="7">
        <f>IF(ISBLANK(V400), 0, VLOOKUP(V400, 'Price Sheet'!$A$2:$B1015, 2, false))</f>
        <v>0</v>
      </c>
      <c r="AA400" s="33" t="str">
        <f t="shared" si="6"/>
        <v/>
      </c>
      <c r="AB400" s="37"/>
      <c r="AC400" s="29"/>
      <c r="AD400" s="29" t="b">
        <v>0</v>
      </c>
      <c r="AE400" s="22" t="str">
        <f t="shared" si="7"/>
        <v/>
      </c>
      <c r="AF400" s="7">
        <f>IF(ISBLANK(AB400), 0, VLOOKUP(AB400, 'Price Sheet'!$A$2:$B1015, 2, false))</f>
        <v>0</v>
      </c>
      <c r="AG400" s="33" t="str">
        <f t="shared" si="8"/>
        <v/>
      </c>
      <c r="AH400" s="37"/>
      <c r="AI400" s="29"/>
      <c r="AJ400" s="29" t="b">
        <v>0</v>
      </c>
      <c r="AK400" s="22" t="str">
        <f t="shared" si="9"/>
        <v/>
      </c>
      <c r="AL400" s="7">
        <f>IF(ISBLANK(AH400), 0, VLOOKUP(AH400, 'Price Sheet'!$A$2:$B1015, 2, false))</f>
        <v>0</v>
      </c>
      <c r="AM400" s="33" t="str">
        <f t="shared" si="10"/>
        <v/>
      </c>
      <c r="AN400" s="37"/>
      <c r="AO400" s="29"/>
      <c r="AP400" s="29" t="b">
        <v>0</v>
      </c>
      <c r="AQ400" s="22" t="str">
        <f t="shared" si="11"/>
        <v/>
      </c>
      <c r="AR400" s="7">
        <f>IF(ISBLANK(AN400), 0, VLOOKUP(AN400, 'Price Sheet'!$A$2:$B1015, 2, false))</f>
        <v>0</v>
      </c>
      <c r="AS400" s="33" t="str">
        <f t="shared" si="12"/>
        <v/>
      </c>
      <c r="AT400" s="37"/>
      <c r="AU400" s="29"/>
      <c r="AV400" s="29" t="b">
        <v>0</v>
      </c>
      <c r="AW400" s="22" t="str">
        <f t="shared" si="13"/>
        <v/>
      </c>
      <c r="AX400" s="7">
        <f>IF(ISBLANK(AT400), 0, VLOOKUP(AT400, 'Price Sheet'!$A$2:$B1015, 2, false))</f>
        <v>0</v>
      </c>
      <c r="AY400" s="33" t="str">
        <f t="shared" si="14"/>
        <v/>
      </c>
      <c r="AZ400" s="37"/>
      <c r="BA400" s="29"/>
      <c r="BB400" s="29" t="b">
        <v>0</v>
      </c>
      <c r="BC400" s="22" t="str">
        <f t="shared" si="15"/>
        <v/>
      </c>
      <c r="BD400" s="7">
        <f>IF(ISBLANK(AZ400), 0, VLOOKUP(AZ400, 'Price Sheet'!$A$2:$B1015, 2, false))</f>
        <v>0</v>
      </c>
      <c r="BE400" s="33" t="str">
        <f t="shared" si="16"/>
        <v/>
      </c>
      <c r="BF400" s="37"/>
      <c r="BG400" s="29"/>
      <c r="BH400" s="29" t="b">
        <v>0</v>
      </c>
      <c r="BI400" s="22" t="str">
        <f t="shared" si="17"/>
        <v/>
      </c>
      <c r="BJ400" s="7">
        <f>IF(ISBLANK(BF400), 0, VLOOKUP(BF400, 'Price Sheet'!$A$2:$B1015, 2, false))</f>
        <v>0</v>
      </c>
      <c r="BK400" s="33" t="str">
        <f t="shared" si="18"/>
        <v/>
      </c>
      <c r="BL400" s="37"/>
      <c r="BM400" s="29"/>
      <c r="BN400" s="29" t="b">
        <v>0</v>
      </c>
      <c r="BO400" s="22" t="str">
        <f t="shared" si="19"/>
        <v/>
      </c>
      <c r="BP400" s="7">
        <f>IF(ISBLANK(BL400), 0, VLOOKUP(BL400, 'Price Sheet'!$A$2:$B1015, 2, false))</f>
        <v>0</v>
      </c>
      <c r="BQ400" s="33" t="str">
        <f t="shared" si="20"/>
        <v/>
      </c>
    </row>
    <row r="401">
      <c r="B401" s="19"/>
      <c r="C401" s="29"/>
      <c r="D401" s="29"/>
      <c r="E401" s="7" t="str">
        <f>IF(ISBLANK(D401), "", VLOOKUP(D401,'Crafting Tables'!$A$2:$B1015, 2, false))</f>
        <v/>
      </c>
      <c r="F401" s="7" t="str">
        <f>IFERROR(IF(E401 = "None", 1, VLOOKUP(C401,General!$A$5:$L$35, SWITCH(E401, "Basic", 8, "Advanced", 10, "Modern", 12), false)),"")</f>
        <v/>
      </c>
      <c r="G401" s="29"/>
      <c r="H401" s="7">
        <f>IFERROR(VLOOKUP(C401, General!$A$5:$L$35, 6, false) * G401 / 1000, 0)</f>
        <v>0</v>
      </c>
      <c r="I401" s="29"/>
      <c r="J401" s="22" t="str">
        <f>IFERROR(I401*VLOOKUP(D401,'Crafting Tables'!$1:$1000, 4, false)*F401,"")</f>
        <v/>
      </c>
      <c r="K401" s="29" t="b">
        <v>0</v>
      </c>
      <c r="L401" s="37"/>
      <c r="M401" s="29"/>
      <c r="N401" s="21" t="str">
        <f t="shared" si="2"/>
        <v/>
      </c>
      <c r="P401" s="37"/>
      <c r="Q401" s="29"/>
      <c r="R401" s="29" t="b">
        <v>0</v>
      </c>
      <c r="S401" s="22" t="str">
        <f t="shared" si="3"/>
        <v/>
      </c>
      <c r="T401" s="7">
        <f>IF(ISBLANK(P401), 0, VLOOKUP(P401, 'Price Sheet'!$A$2:$B1015, 2, false))</f>
        <v>0</v>
      </c>
      <c r="U401" s="33" t="str">
        <f t="shared" si="4"/>
        <v/>
      </c>
      <c r="V401" s="37"/>
      <c r="W401" s="29"/>
      <c r="X401" s="29" t="b">
        <v>0</v>
      </c>
      <c r="Y401" s="22" t="str">
        <f t="shared" si="5"/>
        <v/>
      </c>
      <c r="Z401" s="7">
        <f>IF(ISBLANK(V401), 0, VLOOKUP(V401, 'Price Sheet'!$A$2:$B1015, 2, false))</f>
        <v>0</v>
      </c>
      <c r="AA401" s="33" t="str">
        <f t="shared" si="6"/>
        <v/>
      </c>
      <c r="AB401" s="37"/>
      <c r="AC401" s="29"/>
      <c r="AD401" s="29" t="b">
        <v>0</v>
      </c>
      <c r="AE401" s="22" t="str">
        <f t="shared" si="7"/>
        <v/>
      </c>
      <c r="AF401" s="7">
        <f>IF(ISBLANK(AB401), 0, VLOOKUP(AB401, 'Price Sheet'!$A$2:$B1015, 2, false))</f>
        <v>0</v>
      </c>
      <c r="AG401" s="33" t="str">
        <f t="shared" si="8"/>
        <v/>
      </c>
      <c r="AH401" s="37"/>
      <c r="AI401" s="29"/>
      <c r="AJ401" s="29" t="b">
        <v>0</v>
      </c>
      <c r="AK401" s="22" t="str">
        <f t="shared" si="9"/>
        <v/>
      </c>
      <c r="AL401" s="7">
        <f>IF(ISBLANK(AH401), 0, VLOOKUP(AH401, 'Price Sheet'!$A$2:$B1015, 2, false))</f>
        <v>0</v>
      </c>
      <c r="AM401" s="33" t="str">
        <f t="shared" si="10"/>
        <v/>
      </c>
      <c r="AN401" s="37"/>
      <c r="AO401" s="29"/>
      <c r="AP401" s="29" t="b">
        <v>0</v>
      </c>
      <c r="AQ401" s="22" t="str">
        <f t="shared" si="11"/>
        <v/>
      </c>
      <c r="AR401" s="7">
        <f>IF(ISBLANK(AN401), 0, VLOOKUP(AN401, 'Price Sheet'!$A$2:$B1015, 2, false))</f>
        <v>0</v>
      </c>
      <c r="AS401" s="33" t="str">
        <f t="shared" si="12"/>
        <v/>
      </c>
      <c r="AT401" s="37"/>
      <c r="AU401" s="29"/>
      <c r="AV401" s="29" t="b">
        <v>0</v>
      </c>
      <c r="AW401" s="22" t="str">
        <f t="shared" si="13"/>
        <v/>
      </c>
      <c r="AX401" s="7">
        <f>IF(ISBLANK(AT401), 0, VLOOKUP(AT401, 'Price Sheet'!$A$2:$B1015, 2, false))</f>
        <v>0</v>
      </c>
      <c r="AY401" s="33" t="str">
        <f t="shared" si="14"/>
        <v/>
      </c>
      <c r="AZ401" s="37"/>
      <c r="BA401" s="29"/>
      <c r="BB401" s="29" t="b">
        <v>0</v>
      </c>
      <c r="BC401" s="22" t="str">
        <f t="shared" si="15"/>
        <v/>
      </c>
      <c r="BD401" s="7">
        <f>IF(ISBLANK(AZ401), 0, VLOOKUP(AZ401, 'Price Sheet'!$A$2:$B1015, 2, false))</f>
        <v>0</v>
      </c>
      <c r="BE401" s="33" t="str">
        <f t="shared" si="16"/>
        <v/>
      </c>
      <c r="BF401" s="37"/>
      <c r="BG401" s="29"/>
      <c r="BH401" s="29" t="b">
        <v>0</v>
      </c>
      <c r="BI401" s="22" t="str">
        <f t="shared" si="17"/>
        <v/>
      </c>
      <c r="BJ401" s="7">
        <f>IF(ISBLANK(BF401), 0, VLOOKUP(BF401, 'Price Sheet'!$A$2:$B1015, 2, false))</f>
        <v>0</v>
      </c>
      <c r="BK401" s="33" t="str">
        <f t="shared" si="18"/>
        <v/>
      </c>
      <c r="BL401" s="37"/>
      <c r="BM401" s="29"/>
      <c r="BN401" s="29" t="b">
        <v>0</v>
      </c>
      <c r="BO401" s="22" t="str">
        <f t="shared" si="19"/>
        <v/>
      </c>
      <c r="BP401" s="7">
        <f>IF(ISBLANK(BL401), 0, VLOOKUP(BL401, 'Price Sheet'!$A$2:$B1015, 2, false))</f>
        <v>0</v>
      </c>
      <c r="BQ401" s="33" t="str">
        <f t="shared" si="20"/>
        <v/>
      </c>
    </row>
    <row r="402">
      <c r="B402" s="19"/>
      <c r="C402" s="29"/>
      <c r="D402" s="29"/>
      <c r="E402" s="7" t="str">
        <f>IF(ISBLANK(D402), "", VLOOKUP(D402,'Crafting Tables'!$A$2:$B1015, 2, false))</f>
        <v/>
      </c>
      <c r="F402" s="7" t="str">
        <f>IFERROR(IF(E402 = "None", 1, VLOOKUP(C402,General!$A$5:$L$35, SWITCH(E402, "Basic", 8, "Advanced", 10, "Modern", 12), false)),"")</f>
        <v/>
      </c>
      <c r="G402" s="29"/>
      <c r="H402" s="7">
        <f>IFERROR(VLOOKUP(C402, General!$A$5:$L$35, 6, false) * G402 / 1000, 0)</f>
        <v>0</v>
      </c>
      <c r="I402" s="29"/>
      <c r="J402" s="22" t="str">
        <f>IFERROR(I402*VLOOKUP(D402,'Crafting Tables'!$1:$1000, 4, false)*F402,"")</f>
        <v/>
      </c>
      <c r="K402" s="29" t="b">
        <v>0</v>
      </c>
      <c r="L402" s="37"/>
      <c r="M402" s="29"/>
      <c r="N402" s="21" t="str">
        <f t="shared" si="2"/>
        <v/>
      </c>
      <c r="P402" s="37"/>
      <c r="Q402" s="29"/>
      <c r="R402" s="29" t="b">
        <v>0</v>
      </c>
      <c r="S402" s="22" t="str">
        <f t="shared" si="3"/>
        <v/>
      </c>
      <c r="T402" s="7">
        <f>IF(ISBLANK(P402), 0, VLOOKUP(P402, 'Price Sheet'!$A$2:$B1015, 2, false))</f>
        <v>0</v>
      </c>
      <c r="U402" s="33" t="str">
        <f t="shared" si="4"/>
        <v/>
      </c>
      <c r="V402" s="37"/>
      <c r="W402" s="29"/>
      <c r="X402" s="29" t="b">
        <v>0</v>
      </c>
      <c r="Y402" s="22" t="str">
        <f t="shared" si="5"/>
        <v/>
      </c>
      <c r="Z402" s="7">
        <f>IF(ISBLANK(V402), 0, VLOOKUP(V402, 'Price Sheet'!$A$2:$B1015, 2, false))</f>
        <v>0</v>
      </c>
      <c r="AA402" s="33" t="str">
        <f t="shared" si="6"/>
        <v/>
      </c>
      <c r="AB402" s="37"/>
      <c r="AC402" s="29"/>
      <c r="AD402" s="29" t="b">
        <v>0</v>
      </c>
      <c r="AE402" s="22" t="str">
        <f t="shared" si="7"/>
        <v/>
      </c>
      <c r="AF402" s="7">
        <f>IF(ISBLANK(AB402), 0, VLOOKUP(AB402, 'Price Sheet'!$A$2:$B1015, 2, false))</f>
        <v>0</v>
      </c>
      <c r="AG402" s="33" t="str">
        <f t="shared" si="8"/>
        <v/>
      </c>
      <c r="AH402" s="37"/>
      <c r="AI402" s="29"/>
      <c r="AJ402" s="29" t="b">
        <v>0</v>
      </c>
      <c r="AK402" s="22" t="str">
        <f t="shared" si="9"/>
        <v/>
      </c>
      <c r="AL402" s="7">
        <f>IF(ISBLANK(AH402), 0, VLOOKUP(AH402, 'Price Sheet'!$A$2:$B1015, 2, false))</f>
        <v>0</v>
      </c>
      <c r="AM402" s="33" t="str">
        <f t="shared" si="10"/>
        <v/>
      </c>
      <c r="AN402" s="37"/>
      <c r="AO402" s="29"/>
      <c r="AP402" s="29" t="b">
        <v>0</v>
      </c>
      <c r="AQ402" s="22" t="str">
        <f t="shared" si="11"/>
        <v/>
      </c>
      <c r="AR402" s="7">
        <f>IF(ISBLANK(AN402), 0, VLOOKUP(AN402, 'Price Sheet'!$A$2:$B1015, 2, false))</f>
        <v>0</v>
      </c>
      <c r="AS402" s="33" t="str">
        <f t="shared" si="12"/>
        <v/>
      </c>
      <c r="AT402" s="37"/>
      <c r="AU402" s="29"/>
      <c r="AV402" s="29" t="b">
        <v>0</v>
      </c>
      <c r="AW402" s="22" t="str">
        <f t="shared" si="13"/>
        <v/>
      </c>
      <c r="AX402" s="7">
        <f>IF(ISBLANK(AT402), 0, VLOOKUP(AT402, 'Price Sheet'!$A$2:$B1015, 2, false))</f>
        <v>0</v>
      </c>
      <c r="AY402" s="33" t="str">
        <f t="shared" si="14"/>
        <v/>
      </c>
      <c r="AZ402" s="37"/>
      <c r="BA402" s="29"/>
      <c r="BB402" s="29" t="b">
        <v>0</v>
      </c>
      <c r="BC402" s="22" t="str">
        <f t="shared" si="15"/>
        <v/>
      </c>
      <c r="BD402" s="7">
        <f>IF(ISBLANK(AZ402), 0, VLOOKUP(AZ402, 'Price Sheet'!$A$2:$B1015, 2, false))</f>
        <v>0</v>
      </c>
      <c r="BE402" s="33" t="str">
        <f t="shared" si="16"/>
        <v/>
      </c>
      <c r="BF402" s="37"/>
      <c r="BG402" s="29"/>
      <c r="BH402" s="29" t="b">
        <v>0</v>
      </c>
      <c r="BI402" s="22" t="str">
        <f t="shared" si="17"/>
        <v/>
      </c>
      <c r="BJ402" s="7">
        <f>IF(ISBLANK(BF402), 0, VLOOKUP(BF402, 'Price Sheet'!$A$2:$B1015, 2, false))</f>
        <v>0</v>
      </c>
      <c r="BK402" s="33" t="str">
        <f t="shared" si="18"/>
        <v/>
      </c>
      <c r="BL402" s="37"/>
      <c r="BM402" s="29"/>
      <c r="BN402" s="29" t="b">
        <v>0</v>
      </c>
      <c r="BO402" s="22" t="str">
        <f t="shared" si="19"/>
        <v/>
      </c>
      <c r="BP402" s="7">
        <f>IF(ISBLANK(BL402), 0, VLOOKUP(BL402, 'Price Sheet'!$A$2:$B1015, 2, false))</f>
        <v>0</v>
      </c>
      <c r="BQ402" s="33" t="str">
        <f t="shared" si="20"/>
        <v/>
      </c>
    </row>
    <row r="403">
      <c r="B403" s="19"/>
      <c r="C403" s="29"/>
      <c r="D403" s="29"/>
      <c r="E403" s="7" t="str">
        <f>IF(ISBLANK(D403), "", VLOOKUP(D403,'Crafting Tables'!$A$2:$B1015, 2, false))</f>
        <v/>
      </c>
      <c r="F403" s="7" t="str">
        <f>IFERROR(IF(E403 = "None", 1, VLOOKUP(C403,General!$A$5:$L$35, SWITCH(E403, "Basic", 8, "Advanced", 10, "Modern", 12), false)),"")</f>
        <v/>
      </c>
      <c r="G403" s="29"/>
      <c r="H403" s="7">
        <f>IFERROR(VLOOKUP(C403, General!$A$5:$L$35, 6, false) * G403 / 1000, 0)</f>
        <v>0</v>
      </c>
      <c r="I403" s="29"/>
      <c r="J403" s="22" t="str">
        <f>IFERROR(I403*VLOOKUP(D403,'Crafting Tables'!$1:$1000, 4, false)*F403,"")</f>
        <v/>
      </c>
      <c r="K403" s="29" t="b">
        <v>0</v>
      </c>
      <c r="L403" s="37"/>
      <c r="M403" s="29"/>
      <c r="N403" s="21" t="str">
        <f t="shared" si="2"/>
        <v/>
      </c>
      <c r="P403" s="37"/>
      <c r="Q403" s="29"/>
      <c r="R403" s="29" t="b">
        <v>0</v>
      </c>
      <c r="S403" s="22" t="str">
        <f t="shared" si="3"/>
        <v/>
      </c>
      <c r="T403" s="7">
        <f>IF(ISBLANK(P403), 0, VLOOKUP(P403, 'Price Sheet'!$A$2:$B1015, 2, false))</f>
        <v>0</v>
      </c>
      <c r="U403" s="33" t="str">
        <f t="shared" si="4"/>
        <v/>
      </c>
      <c r="V403" s="37"/>
      <c r="W403" s="29"/>
      <c r="X403" s="29" t="b">
        <v>0</v>
      </c>
      <c r="Y403" s="22" t="str">
        <f t="shared" si="5"/>
        <v/>
      </c>
      <c r="Z403" s="7">
        <f>IF(ISBLANK(V403), 0, VLOOKUP(V403, 'Price Sheet'!$A$2:$B1015, 2, false))</f>
        <v>0</v>
      </c>
      <c r="AA403" s="33" t="str">
        <f t="shared" si="6"/>
        <v/>
      </c>
      <c r="AB403" s="37"/>
      <c r="AC403" s="29"/>
      <c r="AD403" s="29" t="b">
        <v>0</v>
      </c>
      <c r="AE403" s="22" t="str">
        <f t="shared" si="7"/>
        <v/>
      </c>
      <c r="AF403" s="7">
        <f>IF(ISBLANK(AB403), 0, VLOOKUP(AB403, 'Price Sheet'!$A$2:$B1015, 2, false))</f>
        <v>0</v>
      </c>
      <c r="AG403" s="33" t="str">
        <f t="shared" si="8"/>
        <v/>
      </c>
      <c r="AH403" s="37"/>
      <c r="AI403" s="29"/>
      <c r="AJ403" s="29" t="b">
        <v>0</v>
      </c>
      <c r="AK403" s="22" t="str">
        <f t="shared" si="9"/>
        <v/>
      </c>
      <c r="AL403" s="7">
        <f>IF(ISBLANK(AH403), 0, VLOOKUP(AH403, 'Price Sheet'!$A$2:$B1015, 2, false))</f>
        <v>0</v>
      </c>
      <c r="AM403" s="33" t="str">
        <f t="shared" si="10"/>
        <v/>
      </c>
      <c r="AN403" s="37"/>
      <c r="AO403" s="29"/>
      <c r="AP403" s="29" t="b">
        <v>0</v>
      </c>
      <c r="AQ403" s="22" t="str">
        <f t="shared" si="11"/>
        <v/>
      </c>
      <c r="AR403" s="7">
        <f>IF(ISBLANK(AN403), 0, VLOOKUP(AN403, 'Price Sheet'!$A$2:$B1015, 2, false))</f>
        <v>0</v>
      </c>
      <c r="AS403" s="33" t="str">
        <f t="shared" si="12"/>
        <v/>
      </c>
      <c r="AT403" s="37"/>
      <c r="AU403" s="29"/>
      <c r="AV403" s="29" t="b">
        <v>0</v>
      </c>
      <c r="AW403" s="22" t="str">
        <f t="shared" si="13"/>
        <v/>
      </c>
      <c r="AX403" s="7">
        <f>IF(ISBLANK(AT403), 0, VLOOKUP(AT403, 'Price Sheet'!$A$2:$B1015, 2, false))</f>
        <v>0</v>
      </c>
      <c r="AY403" s="33" t="str">
        <f t="shared" si="14"/>
        <v/>
      </c>
      <c r="AZ403" s="37"/>
      <c r="BA403" s="29"/>
      <c r="BB403" s="29" t="b">
        <v>0</v>
      </c>
      <c r="BC403" s="22" t="str">
        <f t="shared" si="15"/>
        <v/>
      </c>
      <c r="BD403" s="7">
        <f>IF(ISBLANK(AZ403), 0, VLOOKUP(AZ403, 'Price Sheet'!$A$2:$B1015, 2, false))</f>
        <v>0</v>
      </c>
      <c r="BE403" s="33" t="str">
        <f t="shared" si="16"/>
        <v/>
      </c>
      <c r="BF403" s="37"/>
      <c r="BG403" s="29"/>
      <c r="BH403" s="29" t="b">
        <v>0</v>
      </c>
      <c r="BI403" s="22" t="str">
        <f t="shared" si="17"/>
        <v/>
      </c>
      <c r="BJ403" s="7">
        <f>IF(ISBLANK(BF403), 0, VLOOKUP(BF403, 'Price Sheet'!$A$2:$B1015, 2, false))</f>
        <v>0</v>
      </c>
      <c r="BK403" s="33" t="str">
        <f t="shared" si="18"/>
        <v/>
      </c>
      <c r="BL403" s="37"/>
      <c r="BM403" s="29"/>
      <c r="BN403" s="29" t="b">
        <v>0</v>
      </c>
      <c r="BO403" s="22" t="str">
        <f t="shared" si="19"/>
        <v/>
      </c>
      <c r="BP403" s="7">
        <f>IF(ISBLANK(BL403), 0, VLOOKUP(BL403, 'Price Sheet'!$A$2:$B1015, 2, false))</f>
        <v>0</v>
      </c>
      <c r="BQ403" s="33" t="str">
        <f t="shared" si="20"/>
        <v/>
      </c>
    </row>
    <row r="404">
      <c r="B404" s="19"/>
      <c r="C404" s="29"/>
      <c r="D404" s="29"/>
      <c r="E404" s="7" t="str">
        <f>IF(ISBLANK(D404), "", VLOOKUP(D404,'Crafting Tables'!$A$2:$B1015, 2, false))</f>
        <v/>
      </c>
      <c r="F404" s="7" t="str">
        <f>IFERROR(IF(E404 = "None", 1, VLOOKUP(C404,General!$A$5:$L$35, SWITCH(E404, "Basic", 8, "Advanced", 10, "Modern", 12), false)),"")</f>
        <v/>
      </c>
      <c r="G404" s="29"/>
      <c r="H404" s="7">
        <f>IFERROR(VLOOKUP(C404, General!$A$5:$L$35, 6, false) * G404 / 1000, 0)</f>
        <v>0</v>
      </c>
      <c r="I404" s="29"/>
      <c r="J404" s="22" t="str">
        <f>IFERROR(I404*VLOOKUP(D404,'Crafting Tables'!$1:$1000, 4, false)*F404,"")</f>
        <v/>
      </c>
      <c r="K404" s="29" t="b">
        <v>0</v>
      </c>
      <c r="L404" s="37"/>
      <c r="M404" s="29"/>
      <c r="N404" s="21" t="str">
        <f t="shared" si="2"/>
        <v/>
      </c>
      <c r="P404" s="37"/>
      <c r="Q404" s="29"/>
      <c r="R404" s="29" t="b">
        <v>0</v>
      </c>
      <c r="S404" s="22" t="str">
        <f t="shared" si="3"/>
        <v/>
      </c>
      <c r="T404" s="7">
        <f>IF(ISBLANK(P404), 0, VLOOKUP(P404, 'Price Sheet'!$A$2:$B1015, 2, false))</f>
        <v>0</v>
      </c>
      <c r="U404" s="33" t="str">
        <f t="shared" si="4"/>
        <v/>
      </c>
      <c r="V404" s="37"/>
      <c r="W404" s="29"/>
      <c r="X404" s="29" t="b">
        <v>0</v>
      </c>
      <c r="Y404" s="22" t="str">
        <f t="shared" si="5"/>
        <v/>
      </c>
      <c r="Z404" s="7">
        <f>IF(ISBLANK(V404), 0, VLOOKUP(V404, 'Price Sheet'!$A$2:$B1015, 2, false))</f>
        <v>0</v>
      </c>
      <c r="AA404" s="33" t="str">
        <f t="shared" si="6"/>
        <v/>
      </c>
      <c r="AB404" s="37"/>
      <c r="AC404" s="29"/>
      <c r="AD404" s="29" t="b">
        <v>0</v>
      </c>
      <c r="AE404" s="22" t="str">
        <f t="shared" si="7"/>
        <v/>
      </c>
      <c r="AF404" s="7">
        <f>IF(ISBLANK(AB404), 0, VLOOKUP(AB404, 'Price Sheet'!$A$2:$B1015, 2, false))</f>
        <v>0</v>
      </c>
      <c r="AG404" s="33" t="str">
        <f t="shared" si="8"/>
        <v/>
      </c>
      <c r="AH404" s="37"/>
      <c r="AI404" s="29"/>
      <c r="AJ404" s="29" t="b">
        <v>0</v>
      </c>
      <c r="AK404" s="22" t="str">
        <f t="shared" si="9"/>
        <v/>
      </c>
      <c r="AL404" s="7">
        <f>IF(ISBLANK(AH404), 0, VLOOKUP(AH404, 'Price Sheet'!$A$2:$B1015, 2, false))</f>
        <v>0</v>
      </c>
      <c r="AM404" s="33" t="str">
        <f t="shared" si="10"/>
        <v/>
      </c>
      <c r="AN404" s="37"/>
      <c r="AO404" s="29"/>
      <c r="AP404" s="29" t="b">
        <v>0</v>
      </c>
      <c r="AQ404" s="22" t="str">
        <f t="shared" si="11"/>
        <v/>
      </c>
      <c r="AR404" s="7">
        <f>IF(ISBLANK(AN404), 0, VLOOKUP(AN404, 'Price Sheet'!$A$2:$B1015, 2, false))</f>
        <v>0</v>
      </c>
      <c r="AS404" s="33" t="str">
        <f t="shared" si="12"/>
        <v/>
      </c>
      <c r="AT404" s="37"/>
      <c r="AU404" s="29"/>
      <c r="AV404" s="29" t="b">
        <v>0</v>
      </c>
      <c r="AW404" s="22" t="str">
        <f t="shared" si="13"/>
        <v/>
      </c>
      <c r="AX404" s="7">
        <f>IF(ISBLANK(AT404), 0, VLOOKUP(AT404, 'Price Sheet'!$A$2:$B1015, 2, false))</f>
        <v>0</v>
      </c>
      <c r="AY404" s="33" t="str">
        <f t="shared" si="14"/>
        <v/>
      </c>
      <c r="AZ404" s="37"/>
      <c r="BA404" s="29"/>
      <c r="BB404" s="29" t="b">
        <v>0</v>
      </c>
      <c r="BC404" s="22" t="str">
        <f t="shared" si="15"/>
        <v/>
      </c>
      <c r="BD404" s="7">
        <f>IF(ISBLANK(AZ404), 0, VLOOKUP(AZ404, 'Price Sheet'!$A$2:$B1015, 2, false))</f>
        <v>0</v>
      </c>
      <c r="BE404" s="33" t="str">
        <f t="shared" si="16"/>
        <v/>
      </c>
      <c r="BF404" s="37"/>
      <c r="BG404" s="29"/>
      <c r="BH404" s="29" t="b">
        <v>0</v>
      </c>
      <c r="BI404" s="22" t="str">
        <f t="shared" si="17"/>
        <v/>
      </c>
      <c r="BJ404" s="7">
        <f>IF(ISBLANK(BF404), 0, VLOOKUP(BF404, 'Price Sheet'!$A$2:$B1015, 2, false))</f>
        <v>0</v>
      </c>
      <c r="BK404" s="33" t="str">
        <f t="shared" si="18"/>
        <v/>
      </c>
      <c r="BL404" s="37"/>
      <c r="BM404" s="29"/>
      <c r="BN404" s="29" t="b">
        <v>0</v>
      </c>
      <c r="BO404" s="22" t="str">
        <f t="shared" si="19"/>
        <v/>
      </c>
      <c r="BP404" s="7">
        <f>IF(ISBLANK(BL404), 0, VLOOKUP(BL404, 'Price Sheet'!$A$2:$B1015, 2, false))</f>
        <v>0</v>
      </c>
      <c r="BQ404" s="33" t="str">
        <f t="shared" si="20"/>
        <v/>
      </c>
    </row>
    <row r="405">
      <c r="B405" s="19"/>
      <c r="C405" s="29"/>
      <c r="D405" s="29"/>
      <c r="E405" s="7" t="str">
        <f>IF(ISBLANK(D405), "", VLOOKUP(D405,'Crafting Tables'!$A$2:$B1015, 2, false))</f>
        <v/>
      </c>
      <c r="F405" s="7" t="str">
        <f>IFERROR(IF(E405 = "None", 1, VLOOKUP(C405,General!$A$5:$L$35, SWITCH(E405, "Basic", 8, "Advanced", 10, "Modern", 12), false)),"")</f>
        <v/>
      </c>
      <c r="G405" s="29"/>
      <c r="H405" s="7">
        <f>IFERROR(VLOOKUP(C405, General!$A$5:$L$35, 6, false) * G405 / 1000, 0)</f>
        <v>0</v>
      </c>
      <c r="I405" s="29"/>
      <c r="J405" s="22" t="str">
        <f>IFERROR(I405*VLOOKUP(D405,'Crafting Tables'!$1:$1000, 4, false)*F405,"")</f>
        <v/>
      </c>
      <c r="K405" s="29" t="b">
        <v>0</v>
      </c>
      <c r="L405" s="37"/>
      <c r="M405" s="29"/>
      <c r="N405" s="21" t="str">
        <f t="shared" si="2"/>
        <v/>
      </c>
      <c r="P405" s="37"/>
      <c r="Q405" s="29"/>
      <c r="R405" s="29" t="b">
        <v>0</v>
      </c>
      <c r="S405" s="22" t="str">
        <f t="shared" si="3"/>
        <v/>
      </c>
      <c r="T405" s="7">
        <f>IF(ISBLANK(P405), 0, VLOOKUP(P405, 'Price Sheet'!$A$2:$B1015, 2, false))</f>
        <v>0</v>
      </c>
      <c r="U405" s="33" t="str">
        <f t="shared" si="4"/>
        <v/>
      </c>
      <c r="V405" s="37"/>
      <c r="W405" s="29"/>
      <c r="X405" s="29" t="b">
        <v>0</v>
      </c>
      <c r="Y405" s="22" t="str">
        <f t="shared" si="5"/>
        <v/>
      </c>
      <c r="Z405" s="7">
        <f>IF(ISBLANK(V405), 0, VLOOKUP(V405, 'Price Sheet'!$A$2:$B1015, 2, false))</f>
        <v>0</v>
      </c>
      <c r="AA405" s="33" t="str">
        <f t="shared" si="6"/>
        <v/>
      </c>
      <c r="AB405" s="37"/>
      <c r="AC405" s="29"/>
      <c r="AD405" s="29" t="b">
        <v>0</v>
      </c>
      <c r="AE405" s="22" t="str">
        <f t="shared" si="7"/>
        <v/>
      </c>
      <c r="AF405" s="7">
        <f>IF(ISBLANK(AB405), 0, VLOOKUP(AB405, 'Price Sheet'!$A$2:$B1015, 2, false))</f>
        <v>0</v>
      </c>
      <c r="AG405" s="33" t="str">
        <f t="shared" si="8"/>
        <v/>
      </c>
      <c r="AH405" s="37"/>
      <c r="AI405" s="29"/>
      <c r="AJ405" s="29" t="b">
        <v>0</v>
      </c>
      <c r="AK405" s="22" t="str">
        <f t="shared" si="9"/>
        <v/>
      </c>
      <c r="AL405" s="7">
        <f>IF(ISBLANK(AH405), 0, VLOOKUP(AH405, 'Price Sheet'!$A$2:$B1015, 2, false))</f>
        <v>0</v>
      </c>
      <c r="AM405" s="33" t="str">
        <f t="shared" si="10"/>
        <v/>
      </c>
      <c r="AN405" s="37"/>
      <c r="AO405" s="29"/>
      <c r="AP405" s="29" t="b">
        <v>0</v>
      </c>
      <c r="AQ405" s="22" t="str">
        <f t="shared" si="11"/>
        <v/>
      </c>
      <c r="AR405" s="7">
        <f>IF(ISBLANK(AN405), 0, VLOOKUP(AN405, 'Price Sheet'!$A$2:$B1015, 2, false))</f>
        <v>0</v>
      </c>
      <c r="AS405" s="33" t="str">
        <f t="shared" si="12"/>
        <v/>
      </c>
      <c r="AT405" s="37"/>
      <c r="AU405" s="29"/>
      <c r="AV405" s="29" t="b">
        <v>0</v>
      </c>
      <c r="AW405" s="22" t="str">
        <f t="shared" si="13"/>
        <v/>
      </c>
      <c r="AX405" s="7">
        <f>IF(ISBLANK(AT405), 0, VLOOKUP(AT405, 'Price Sheet'!$A$2:$B1015, 2, false))</f>
        <v>0</v>
      </c>
      <c r="AY405" s="33" t="str">
        <f t="shared" si="14"/>
        <v/>
      </c>
      <c r="AZ405" s="37"/>
      <c r="BA405" s="29"/>
      <c r="BB405" s="29" t="b">
        <v>0</v>
      </c>
      <c r="BC405" s="22" t="str">
        <f t="shared" si="15"/>
        <v/>
      </c>
      <c r="BD405" s="7">
        <f>IF(ISBLANK(AZ405), 0, VLOOKUP(AZ405, 'Price Sheet'!$A$2:$B1015, 2, false))</f>
        <v>0</v>
      </c>
      <c r="BE405" s="33" t="str">
        <f t="shared" si="16"/>
        <v/>
      </c>
      <c r="BF405" s="37"/>
      <c r="BG405" s="29"/>
      <c r="BH405" s="29" t="b">
        <v>0</v>
      </c>
      <c r="BI405" s="22" t="str">
        <f t="shared" si="17"/>
        <v/>
      </c>
      <c r="BJ405" s="7">
        <f>IF(ISBLANK(BF405), 0, VLOOKUP(BF405, 'Price Sheet'!$A$2:$B1015, 2, false))</f>
        <v>0</v>
      </c>
      <c r="BK405" s="33" t="str">
        <f t="shared" si="18"/>
        <v/>
      </c>
      <c r="BL405" s="37"/>
      <c r="BM405" s="29"/>
      <c r="BN405" s="29" t="b">
        <v>0</v>
      </c>
      <c r="BO405" s="22" t="str">
        <f t="shared" si="19"/>
        <v/>
      </c>
      <c r="BP405" s="7">
        <f>IF(ISBLANK(BL405), 0, VLOOKUP(BL405, 'Price Sheet'!$A$2:$B1015, 2, false))</f>
        <v>0</v>
      </c>
      <c r="BQ405" s="33" t="str">
        <f t="shared" si="20"/>
        <v/>
      </c>
    </row>
    <row r="406">
      <c r="B406" s="19"/>
      <c r="C406" s="29"/>
      <c r="D406" s="29"/>
      <c r="E406" s="7" t="str">
        <f>IF(ISBLANK(D406), "", VLOOKUP(D406,'Crafting Tables'!$A$2:$B1015, 2, false))</f>
        <v/>
      </c>
      <c r="F406" s="7" t="str">
        <f>IFERROR(IF(E406 = "None", 1, VLOOKUP(C406,General!$A$5:$L$35, SWITCH(E406, "Basic", 8, "Advanced", 10, "Modern", 12), false)),"")</f>
        <v/>
      </c>
      <c r="G406" s="29"/>
      <c r="H406" s="7">
        <f>IFERROR(VLOOKUP(C406, General!$A$5:$L$35, 6, false) * G406 / 1000, 0)</f>
        <v>0</v>
      </c>
      <c r="I406" s="29"/>
      <c r="J406" s="22" t="str">
        <f>IFERROR(I406*VLOOKUP(D406,'Crafting Tables'!$1:$1000, 4, false)*F406,"")</f>
        <v/>
      </c>
      <c r="K406" s="29" t="b">
        <v>0</v>
      </c>
      <c r="L406" s="37"/>
      <c r="M406" s="29"/>
      <c r="N406" s="21" t="str">
        <f t="shared" si="2"/>
        <v/>
      </c>
      <c r="P406" s="37"/>
      <c r="Q406" s="29"/>
      <c r="R406" s="29" t="b">
        <v>0</v>
      </c>
      <c r="S406" s="22" t="str">
        <f t="shared" si="3"/>
        <v/>
      </c>
      <c r="T406" s="7">
        <f>IF(ISBLANK(P406), 0, VLOOKUP(P406, 'Price Sheet'!$A$2:$B1015, 2, false))</f>
        <v>0</v>
      </c>
      <c r="U406" s="33" t="str">
        <f t="shared" si="4"/>
        <v/>
      </c>
      <c r="V406" s="37"/>
      <c r="W406" s="29"/>
      <c r="X406" s="29" t="b">
        <v>0</v>
      </c>
      <c r="Y406" s="22" t="str">
        <f t="shared" si="5"/>
        <v/>
      </c>
      <c r="Z406" s="7">
        <f>IF(ISBLANK(V406), 0, VLOOKUP(V406, 'Price Sheet'!$A$2:$B1015, 2, false))</f>
        <v>0</v>
      </c>
      <c r="AA406" s="33" t="str">
        <f t="shared" si="6"/>
        <v/>
      </c>
      <c r="AB406" s="37"/>
      <c r="AC406" s="29"/>
      <c r="AD406" s="29" t="b">
        <v>0</v>
      </c>
      <c r="AE406" s="22" t="str">
        <f t="shared" si="7"/>
        <v/>
      </c>
      <c r="AF406" s="7">
        <f>IF(ISBLANK(AB406), 0, VLOOKUP(AB406, 'Price Sheet'!$A$2:$B1015, 2, false))</f>
        <v>0</v>
      </c>
      <c r="AG406" s="33" t="str">
        <f t="shared" si="8"/>
        <v/>
      </c>
      <c r="AH406" s="37"/>
      <c r="AI406" s="29"/>
      <c r="AJ406" s="29" t="b">
        <v>0</v>
      </c>
      <c r="AK406" s="22" t="str">
        <f t="shared" si="9"/>
        <v/>
      </c>
      <c r="AL406" s="7">
        <f>IF(ISBLANK(AH406), 0, VLOOKUP(AH406, 'Price Sheet'!$A$2:$B1015, 2, false))</f>
        <v>0</v>
      </c>
      <c r="AM406" s="33" t="str">
        <f t="shared" si="10"/>
        <v/>
      </c>
      <c r="AN406" s="37"/>
      <c r="AO406" s="29"/>
      <c r="AP406" s="29" t="b">
        <v>0</v>
      </c>
      <c r="AQ406" s="22" t="str">
        <f t="shared" si="11"/>
        <v/>
      </c>
      <c r="AR406" s="7">
        <f>IF(ISBLANK(AN406), 0, VLOOKUP(AN406, 'Price Sheet'!$A$2:$B1015, 2, false))</f>
        <v>0</v>
      </c>
      <c r="AS406" s="33" t="str">
        <f t="shared" si="12"/>
        <v/>
      </c>
      <c r="AT406" s="37"/>
      <c r="AU406" s="29"/>
      <c r="AV406" s="29" t="b">
        <v>0</v>
      </c>
      <c r="AW406" s="22" t="str">
        <f t="shared" si="13"/>
        <v/>
      </c>
      <c r="AX406" s="7">
        <f>IF(ISBLANK(AT406), 0, VLOOKUP(AT406, 'Price Sheet'!$A$2:$B1015, 2, false))</f>
        <v>0</v>
      </c>
      <c r="AY406" s="33" t="str">
        <f t="shared" si="14"/>
        <v/>
      </c>
      <c r="AZ406" s="37"/>
      <c r="BA406" s="29"/>
      <c r="BB406" s="29" t="b">
        <v>0</v>
      </c>
      <c r="BC406" s="22" t="str">
        <f t="shared" si="15"/>
        <v/>
      </c>
      <c r="BD406" s="7">
        <f>IF(ISBLANK(AZ406), 0, VLOOKUP(AZ406, 'Price Sheet'!$A$2:$B1015, 2, false))</f>
        <v>0</v>
      </c>
      <c r="BE406" s="33" t="str">
        <f t="shared" si="16"/>
        <v/>
      </c>
      <c r="BF406" s="37"/>
      <c r="BG406" s="29"/>
      <c r="BH406" s="29" t="b">
        <v>0</v>
      </c>
      <c r="BI406" s="22" t="str">
        <f t="shared" si="17"/>
        <v/>
      </c>
      <c r="BJ406" s="7">
        <f>IF(ISBLANK(BF406), 0, VLOOKUP(BF406, 'Price Sheet'!$A$2:$B1015, 2, false))</f>
        <v>0</v>
      </c>
      <c r="BK406" s="33" t="str">
        <f t="shared" si="18"/>
        <v/>
      </c>
      <c r="BL406" s="37"/>
      <c r="BM406" s="29"/>
      <c r="BN406" s="29" t="b">
        <v>0</v>
      </c>
      <c r="BO406" s="22" t="str">
        <f t="shared" si="19"/>
        <v/>
      </c>
      <c r="BP406" s="7">
        <f>IF(ISBLANK(BL406), 0, VLOOKUP(BL406, 'Price Sheet'!$A$2:$B1015, 2, false))</f>
        <v>0</v>
      </c>
      <c r="BQ406" s="33" t="str">
        <f t="shared" si="20"/>
        <v/>
      </c>
    </row>
    <row r="407">
      <c r="B407" s="19"/>
      <c r="C407" s="29"/>
      <c r="D407" s="29"/>
      <c r="E407" s="7" t="str">
        <f>IF(ISBLANK(D407), "", VLOOKUP(D407,'Crafting Tables'!$A$2:$B1015, 2, false))</f>
        <v/>
      </c>
      <c r="F407" s="7" t="str">
        <f>IFERROR(IF(E407 = "None", 1, VLOOKUP(C407,General!$A$5:$L$35, SWITCH(E407, "Basic", 8, "Advanced", 10, "Modern", 12), false)),"")</f>
        <v/>
      </c>
      <c r="G407" s="29"/>
      <c r="H407" s="7">
        <f>IFERROR(VLOOKUP(C407, General!$A$5:$L$35, 6, false) * G407 / 1000, 0)</f>
        <v>0</v>
      </c>
      <c r="I407" s="29"/>
      <c r="J407" s="22" t="str">
        <f>IFERROR(I407*VLOOKUP(D407,'Crafting Tables'!$1:$1000, 4, false)*F407,"")</f>
        <v/>
      </c>
      <c r="K407" s="29" t="b">
        <v>0</v>
      </c>
      <c r="L407" s="37"/>
      <c r="M407" s="29"/>
      <c r="N407" s="21" t="str">
        <f t="shared" si="2"/>
        <v/>
      </c>
      <c r="P407" s="37"/>
      <c r="Q407" s="29"/>
      <c r="R407" s="29" t="b">
        <v>0</v>
      </c>
      <c r="S407" s="22" t="str">
        <f t="shared" si="3"/>
        <v/>
      </c>
      <c r="T407" s="7">
        <f>IF(ISBLANK(P407), 0, VLOOKUP(P407, 'Price Sheet'!$A$2:$B1015, 2, false))</f>
        <v>0</v>
      </c>
      <c r="U407" s="33" t="str">
        <f t="shared" si="4"/>
        <v/>
      </c>
      <c r="V407" s="37"/>
      <c r="W407" s="29"/>
      <c r="X407" s="29" t="b">
        <v>0</v>
      </c>
      <c r="Y407" s="22" t="str">
        <f t="shared" si="5"/>
        <v/>
      </c>
      <c r="Z407" s="7">
        <f>IF(ISBLANK(V407), 0, VLOOKUP(V407, 'Price Sheet'!$A$2:$B1015, 2, false))</f>
        <v>0</v>
      </c>
      <c r="AA407" s="33" t="str">
        <f t="shared" si="6"/>
        <v/>
      </c>
      <c r="AB407" s="37"/>
      <c r="AC407" s="29"/>
      <c r="AD407" s="29" t="b">
        <v>0</v>
      </c>
      <c r="AE407" s="22" t="str">
        <f t="shared" si="7"/>
        <v/>
      </c>
      <c r="AF407" s="7">
        <f>IF(ISBLANK(AB407), 0, VLOOKUP(AB407, 'Price Sheet'!$A$2:$B1015, 2, false))</f>
        <v>0</v>
      </c>
      <c r="AG407" s="33" t="str">
        <f t="shared" si="8"/>
        <v/>
      </c>
      <c r="AH407" s="37"/>
      <c r="AI407" s="29"/>
      <c r="AJ407" s="29" t="b">
        <v>0</v>
      </c>
      <c r="AK407" s="22" t="str">
        <f t="shared" si="9"/>
        <v/>
      </c>
      <c r="AL407" s="7">
        <f>IF(ISBLANK(AH407), 0, VLOOKUP(AH407, 'Price Sheet'!$A$2:$B1015, 2, false))</f>
        <v>0</v>
      </c>
      <c r="AM407" s="33" t="str">
        <f t="shared" si="10"/>
        <v/>
      </c>
      <c r="AN407" s="37"/>
      <c r="AO407" s="29"/>
      <c r="AP407" s="29" t="b">
        <v>0</v>
      </c>
      <c r="AQ407" s="22" t="str">
        <f t="shared" si="11"/>
        <v/>
      </c>
      <c r="AR407" s="7">
        <f>IF(ISBLANK(AN407), 0, VLOOKUP(AN407, 'Price Sheet'!$A$2:$B1015, 2, false))</f>
        <v>0</v>
      </c>
      <c r="AS407" s="33" t="str">
        <f t="shared" si="12"/>
        <v/>
      </c>
      <c r="AT407" s="37"/>
      <c r="AU407" s="29"/>
      <c r="AV407" s="29" t="b">
        <v>0</v>
      </c>
      <c r="AW407" s="22" t="str">
        <f t="shared" si="13"/>
        <v/>
      </c>
      <c r="AX407" s="7">
        <f>IF(ISBLANK(AT407), 0, VLOOKUP(AT407, 'Price Sheet'!$A$2:$B1015, 2, false))</f>
        <v>0</v>
      </c>
      <c r="AY407" s="33" t="str">
        <f t="shared" si="14"/>
        <v/>
      </c>
      <c r="AZ407" s="37"/>
      <c r="BA407" s="29"/>
      <c r="BB407" s="29" t="b">
        <v>0</v>
      </c>
      <c r="BC407" s="22" t="str">
        <f t="shared" si="15"/>
        <v/>
      </c>
      <c r="BD407" s="7">
        <f>IF(ISBLANK(AZ407), 0, VLOOKUP(AZ407, 'Price Sheet'!$A$2:$B1015, 2, false))</f>
        <v>0</v>
      </c>
      <c r="BE407" s="33" t="str">
        <f t="shared" si="16"/>
        <v/>
      </c>
      <c r="BF407" s="37"/>
      <c r="BG407" s="29"/>
      <c r="BH407" s="29" t="b">
        <v>0</v>
      </c>
      <c r="BI407" s="22" t="str">
        <f t="shared" si="17"/>
        <v/>
      </c>
      <c r="BJ407" s="7">
        <f>IF(ISBLANK(BF407), 0, VLOOKUP(BF407, 'Price Sheet'!$A$2:$B1015, 2, false))</f>
        <v>0</v>
      </c>
      <c r="BK407" s="33" t="str">
        <f t="shared" si="18"/>
        <v/>
      </c>
      <c r="BL407" s="37"/>
      <c r="BM407" s="29"/>
      <c r="BN407" s="29" t="b">
        <v>0</v>
      </c>
      <c r="BO407" s="22" t="str">
        <f t="shared" si="19"/>
        <v/>
      </c>
      <c r="BP407" s="7">
        <f>IF(ISBLANK(BL407), 0, VLOOKUP(BL407, 'Price Sheet'!$A$2:$B1015, 2, false))</f>
        <v>0</v>
      </c>
      <c r="BQ407" s="33" t="str">
        <f t="shared" si="20"/>
        <v/>
      </c>
    </row>
    <row r="408">
      <c r="B408" s="19"/>
      <c r="C408" s="29"/>
      <c r="D408" s="29"/>
      <c r="E408" s="7" t="str">
        <f>IF(ISBLANK(D408), "", VLOOKUP(D408,'Crafting Tables'!$A$2:$B1015, 2, false))</f>
        <v/>
      </c>
      <c r="F408" s="7" t="str">
        <f>IFERROR(IF(E408 = "None", 1, VLOOKUP(C408,General!$A$5:$L$35, SWITCH(E408, "Basic", 8, "Advanced", 10, "Modern", 12), false)),"")</f>
        <v/>
      </c>
      <c r="G408" s="29"/>
      <c r="H408" s="7">
        <f>IFERROR(VLOOKUP(C408, General!$A$5:$L$35, 6, false) * G408 / 1000, 0)</f>
        <v>0</v>
      </c>
      <c r="I408" s="29"/>
      <c r="J408" s="22" t="str">
        <f>IFERROR(I408*VLOOKUP(D408,'Crafting Tables'!$1:$1000, 4, false)*F408,"")</f>
        <v/>
      </c>
      <c r="K408" s="29" t="b">
        <v>0</v>
      </c>
      <c r="L408" s="37"/>
      <c r="M408" s="29"/>
      <c r="N408" s="21" t="str">
        <f t="shared" si="2"/>
        <v/>
      </c>
      <c r="P408" s="37"/>
      <c r="Q408" s="29"/>
      <c r="R408" s="29" t="b">
        <v>0</v>
      </c>
      <c r="S408" s="22" t="str">
        <f t="shared" si="3"/>
        <v/>
      </c>
      <c r="T408" s="7">
        <f>IF(ISBLANK(P408), 0, VLOOKUP(P408, 'Price Sheet'!$A$2:$B1015, 2, false))</f>
        <v>0</v>
      </c>
      <c r="U408" s="33" t="str">
        <f t="shared" si="4"/>
        <v/>
      </c>
      <c r="V408" s="37"/>
      <c r="W408" s="29"/>
      <c r="X408" s="29" t="b">
        <v>0</v>
      </c>
      <c r="Y408" s="22" t="str">
        <f t="shared" si="5"/>
        <v/>
      </c>
      <c r="Z408" s="7">
        <f>IF(ISBLANK(V408), 0, VLOOKUP(V408, 'Price Sheet'!$A$2:$B1015, 2, false))</f>
        <v>0</v>
      </c>
      <c r="AA408" s="33" t="str">
        <f t="shared" si="6"/>
        <v/>
      </c>
      <c r="AB408" s="37"/>
      <c r="AC408" s="29"/>
      <c r="AD408" s="29" t="b">
        <v>0</v>
      </c>
      <c r="AE408" s="22" t="str">
        <f t="shared" si="7"/>
        <v/>
      </c>
      <c r="AF408" s="7">
        <f>IF(ISBLANK(AB408), 0, VLOOKUP(AB408, 'Price Sheet'!$A$2:$B1015, 2, false))</f>
        <v>0</v>
      </c>
      <c r="AG408" s="33" t="str">
        <f t="shared" si="8"/>
        <v/>
      </c>
      <c r="AH408" s="37"/>
      <c r="AI408" s="29"/>
      <c r="AJ408" s="29" t="b">
        <v>0</v>
      </c>
      <c r="AK408" s="22" t="str">
        <f t="shared" si="9"/>
        <v/>
      </c>
      <c r="AL408" s="7">
        <f>IF(ISBLANK(AH408), 0, VLOOKUP(AH408, 'Price Sheet'!$A$2:$B1015, 2, false))</f>
        <v>0</v>
      </c>
      <c r="AM408" s="33" t="str">
        <f t="shared" si="10"/>
        <v/>
      </c>
      <c r="AN408" s="37"/>
      <c r="AO408" s="29"/>
      <c r="AP408" s="29" t="b">
        <v>0</v>
      </c>
      <c r="AQ408" s="22" t="str">
        <f t="shared" si="11"/>
        <v/>
      </c>
      <c r="AR408" s="7">
        <f>IF(ISBLANK(AN408), 0, VLOOKUP(AN408, 'Price Sheet'!$A$2:$B1015, 2, false))</f>
        <v>0</v>
      </c>
      <c r="AS408" s="33" t="str">
        <f t="shared" si="12"/>
        <v/>
      </c>
      <c r="AT408" s="37"/>
      <c r="AU408" s="29"/>
      <c r="AV408" s="29" t="b">
        <v>0</v>
      </c>
      <c r="AW408" s="22" t="str">
        <f t="shared" si="13"/>
        <v/>
      </c>
      <c r="AX408" s="7">
        <f>IF(ISBLANK(AT408), 0, VLOOKUP(AT408, 'Price Sheet'!$A$2:$B1015, 2, false))</f>
        <v>0</v>
      </c>
      <c r="AY408" s="33" t="str">
        <f t="shared" si="14"/>
        <v/>
      </c>
      <c r="AZ408" s="37"/>
      <c r="BA408" s="29"/>
      <c r="BB408" s="29" t="b">
        <v>0</v>
      </c>
      <c r="BC408" s="22" t="str">
        <f t="shared" si="15"/>
        <v/>
      </c>
      <c r="BD408" s="7">
        <f>IF(ISBLANK(AZ408), 0, VLOOKUP(AZ408, 'Price Sheet'!$A$2:$B1015, 2, false))</f>
        <v>0</v>
      </c>
      <c r="BE408" s="33" t="str">
        <f t="shared" si="16"/>
        <v/>
      </c>
      <c r="BF408" s="37"/>
      <c r="BG408" s="29"/>
      <c r="BH408" s="29" t="b">
        <v>0</v>
      </c>
      <c r="BI408" s="22" t="str">
        <f t="shared" si="17"/>
        <v/>
      </c>
      <c r="BJ408" s="7">
        <f>IF(ISBLANK(BF408), 0, VLOOKUP(BF408, 'Price Sheet'!$A$2:$B1015, 2, false))</f>
        <v>0</v>
      </c>
      <c r="BK408" s="33" t="str">
        <f t="shared" si="18"/>
        <v/>
      </c>
      <c r="BL408" s="37"/>
      <c r="BM408" s="29"/>
      <c r="BN408" s="29" t="b">
        <v>0</v>
      </c>
      <c r="BO408" s="22" t="str">
        <f t="shared" si="19"/>
        <v/>
      </c>
      <c r="BP408" s="7">
        <f>IF(ISBLANK(BL408), 0, VLOOKUP(BL408, 'Price Sheet'!$A$2:$B1015, 2, false))</f>
        <v>0</v>
      </c>
      <c r="BQ408" s="33" t="str">
        <f t="shared" si="20"/>
        <v/>
      </c>
    </row>
    <row r="409">
      <c r="B409" s="19"/>
      <c r="C409" s="29"/>
      <c r="D409" s="29"/>
      <c r="E409" s="7" t="str">
        <f>IF(ISBLANK(D409), "", VLOOKUP(D409,'Crafting Tables'!$A$2:$B1015, 2, false))</f>
        <v/>
      </c>
      <c r="F409" s="7" t="str">
        <f>IFERROR(IF(E409 = "None", 1, VLOOKUP(C409,General!$A$5:$L$35, SWITCH(E409, "Basic", 8, "Advanced", 10, "Modern", 12), false)),"")</f>
        <v/>
      </c>
      <c r="G409" s="29"/>
      <c r="H409" s="7">
        <f>IFERROR(VLOOKUP(C409, General!$A$5:$L$35, 6, false) * G409 / 1000, 0)</f>
        <v>0</v>
      </c>
      <c r="I409" s="29"/>
      <c r="J409" s="22" t="str">
        <f>IFERROR(I409*VLOOKUP(D409,'Crafting Tables'!$1:$1000, 4, false)*F409,"")</f>
        <v/>
      </c>
      <c r="K409" s="29" t="b">
        <v>0</v>
      </c>
      <c r="L409" s="37"/>
      <c r="M409" s="29"/>
      <c r="N409" s="21" t="str">
        <f t="shared" si="2"/>
        <v/>
      </c>
      <c r="P409" s="37"/>
      <c r="Q409" s="29"/>
      <c r="R409" s="29" t="b">
        <v>0</v>
      </c>
      <c r="S409" s="22" t="str">
        <f t="shared" si="3"/>
        <v/>
      </c>
      <c r="T409" s="7">
        <f>IF(ISBLANK(P409), 0, VLOOKUP(P409, 'Price Sheet'!$A$2:$B1015, 2, false))</f>
        <v>0</v>
      </c>
      <c r="U409" s="33" t="str">
        <f t="shared" si="4"/>
        <v/>
      </c>
      <c r="V409" s="37"/>
      <c r="W409" s="29"/>
      <c r="X409" s="29" t="b">
        <v>0</v>
      </c>
      <c r="Y409" s="22" t="str">
        <f t="shared" si="5"/>
        <v/>
      </c>
      <c r="Z409" s="7">
        <f>IF(ISBLANK(V409), 0, VLOOKUP(V409, 'Price Sheet'!$A$2:$B1015, 2, false))</f>
        <v>0</v>
      </c>
      <c r="AA409" s="33" t="str">
        <f t="shared" si="6"/>
        <v/>
      </c>
      <c r="AB409" s="37"/>
      <c r="AC409" s="29"/>
      <c r="AD409" s="29" t="b">
        <v>0</v>
      </c>
      <c r="AE409" s="22" t="str">
        <f t="shared" si="7"/>
        <v/>
      </c>
      <c r="AF409" s="7">
        <f>IF(ISBLANK(AB409), 0, VLOOKUP(AB409, 'Price Sheet'!$A$2:$B1015, 2, false))</f>
        <v>0</v>
      </c>
      <c r="AG409" s="33" t="str">
        <f t="shared" si="8"/>
        <v/>
      </c>
      <c r="AH409" s="37"/>
      <c r="AI409" s="29"/>
      <c r="AJ409" s="29" t="b">
        <v>0</v>
      </c>
      <c r="AK409" s="22" t="str">
        <f t="shared" si="9"/>
        <v/>
      </c>
      <c r="AL409" s="7">
        <f>IF(ISBLANK(AH409), 0, VLOOKUP(AH409, 'Price Sheet'!$A$2:$B1015, 2, false))</f>
        <v>0</v>
      </c>
      <c r="AM409" s="33" t="str">
        <f t="shared" si="10"/>
        <v/>
      </c>
      <c r="AN409" s="37"/>
      <c r="AO409" s="29"/>
      <c r="AP409" s="29" t="b">
        <v>0</v>
      </c>
      <c r="AQ409" s="22" t="str">
        <f t="shared" si="11"/>
        <v/>
      </c>
      <c r="AR409" s="7">
        <f>IF(ISBLANK(AN409), 0, VLOOKUP(AN409, 'Price Sheet'!$A$2:$B1015, 2, false))</f>
        <v>0</v>
      </c>
      <c r="AS409" s="33" t="str">
        <f t="shared" si="12"/>
        <v/>
      </c>
      <c r="AT409" s="37"/>
      <c r="AU409" s="29"/>
      <c r="AV409" s="29" t="b">
        <v>0</v>
      </c>
      <c r="AW409" s="22" t="str">
        <f t="shared" si="13"/>
        <v/>
      </c>
      <c r="AX409" s="7">
        <f>IF(ISBLANK(AT409), 0, VLOOKUP(AT409, 'Price Sheet'!$A$2:$B1015, 2, false))</f>
        <v>0</v>
      </c>
      <c r="AY409" s="33" t="str">
        <f t="shared" si="14"/>
        <v/>
      </c>
      <c r="AZ409" s="37"/>
      <c r="BA409" s="29"/>
      <c r="BB409" s="29" t="b">
        <v>0</v>
      </c>
      <c r="BC409" s="22" t="str">
        <f t="shared" si="15"/>
        <v/>
      </c>
      <c r="BD409" s="7">
        <f>IF(ISBLANK(AZ409), 0, VLOOKUP(AZ409, 'Price Sheet'!$A$2:$B1015, 2, false))</f>
        <v>0</v>
      </c>
      <c r="BE409" s="33" t="str">
        <f t="shared" si="16"/>
        <v/>
      </c>
      <c r="BF409" s="37"/>
      <c r="BG409" s="29"/>
      <c r="BH409" s="29" t="b">
        <v>0</v>
      </c>
      <c r="BI409" s="22" t="str">
        <f t="shared" si="17"/>
        <v/>
      </c>
      <c r="BJ409" s="7">
        <f>IF(ISBLANK(BF409), 0, VLOOKUP(BF409, 'Price Sheet'!$A$2:$B1015, 2, false))</f>
        <v>0</v>
      </c>
      <c r="BK409" s="33" t="str">
        <f t="shared" si="18"/>
        <v/>
      </c>
      <c r="BL409" s="37"/>
      <c r="BM409" s="29"/>
      <c r="BN409" s="29" t="b">
        <v>0</v>
      </c>
      <c r="BO409" s="22" t="str">
        <f t="shared" si="19"/>
        <v/>
      </c>
      <c r="BP409" s="7">
        <f>IF(ISBLANK(BL409), 0, VLOOKUP(BL409, 'Price Sheet'!$A$2:$B1015, 2, false))</f>
        <v>0</v>
      </c>
      <c r="BQ409" s="33" t="str">
        <f t="shared" si="20"/>
        <v/>
      </c>
    </row>
    <row r="410">
      <c r="B410" s="19"/>
      <c r="C410" s="29"/>
      <c r="D410" s="29"/>
      <c r="E410" s="7" t="str">
        <f>IF(ISBLANK(D410), "", VLOOKUP(D410,'Crafting Tables'!$A$2:$B1015, 2, false))</f>
        <v/>
      </c>
      <c r="F410" s="7" t="str">
        <f>IFERROR(IF(E410 = "None", 1, VLOOKUP(C410,General!$A$5:$L$35, SWITCH(E410, "Basic", 8, "Advanced", 10, "Modern", 12), false)),"")</f>
        <v/>
      </c>
      <c r="G410" s="29"/>
      <c r="H410" s="7">
        <f>IFERROR(VLOOKUP(C410, General!$A$5:$L$35, 6, false) * G410 / 1000, 0)</f>
        <v>0</v>
      </c>
      <c r="I410" s="29"/>
      <c r="J410" s="22" t="str">
        <f>IFERROR(I410*VLOOKUP(D410,'Crafting Tables'!$1:$1000, 4, false)*F410,"")</f>
        <v/>
      </c>
      <c r="K410" s="29" t="b">
        <v>0</v>
      </c>
      <c r="L410" s="37"/>
      <c r="M410" s="29"/>
      <c r="N410" s="21" t="str">
        <f t="shared" si="2"/>
        <v/>
      </c>
      <c r="P410" s="37"/>
      <c r="Q410" s="29"/>
      <c r="R410" s="29" t="b">
        <v>0</v>
      </c>
      <c r="S410" s="22" t="str">
        <f t="shared" si="3"/>
        <v/>
      </c>
      <c r="T410" s="7">
        <f>IF(ISBLANK(P410), 0, VLOOKUP(P410, 'Price Sheet'!$A$2:$B1015, 2, false))</f>
        <v>0</v>
      </c>
      <c r="U410" s="33" t="str">
        <f t="shared" si="4"/>
        <v/>
      </c>
      <c r="V410" s="37"/>
      <c r="W410" s="29"/>
      <c r="X410" s="29" t="b">
        <v>0</v>
      </c>
      <c r="Y410" s="22" t="str">
        <f t="shared" si="5"/>
        <v/>
      </c>
      <c r="Z410" s="7">
        <f>IF(ISBLANK(V410), 0, VLOOKUP(V410, 'Price Sheet'!$A$2:$B1015, 2, false))</f>
        <v>0</v>
      </c>
      <c r="AA410" s="33" t="str">
        <f t="shared" si="6"/>
        <v/>
      </c>
      <c r="AB410" s="37"/>
      <c r="AC410" s="29"/>
      <c r="AD410" s="29" t="b">
        <v>0</v>
      </c>
      <c r="AE410" s="22" t="str">
        <f t="shared" si="7"/>
        <v/>
      </c>
      <c r="AF410" s="7">
        <f>IF(ISBLANK(AB410), 0, VLOOKUP(AB410, 'Price Sheet'!$A$2:$B1015, 2, false))</f>
        <v>0</v>
      </c>
      <c r="AG410" s="33" t="str">
        <f t="shared" si="8"/>
        <v/>
      </c>
      <c r="AH410" s="37"/>
      <c r="AI410" s="29"/>
      <c r="AJ410" s="29" t="b">
        <v>0</v>
      </c>
      <c r="AK410" s="22" t="str">
        <f t="shared" si="9"/>
        <v/>
      </c>
      <c r="AL410" s="7">
        <f>IF(ISBLANK(AH410), 0, VLOOKUP(AH410, 'Price Sheet'!$A$2:$B1015, 2, false))</f>
        <v>0</v>
      </c>
      <c r="AM410" s="33" t="str">
        <f t="shared" si="10"/>
        <v/>
      </c>
      <c r="AN410" s="37"/>
      <c r="AO410" s="29"/>
      <c r="AP410" s="29" t="b">
        <v>0</v>
      </c>
      <c r="AQ410" s="22" t="str">
        <f t="shared" si="11"/>
        <v/>
      </c>
      <c r="AR410" s="7">
        <f>IF(ISBLANK(AN410), 0, VLOOKUP(AN410, 'Price Sheet'!$A$2:$B1015, 2, false))</f>
        <v>0</v>
      </c>
      <c r="AS410" s="33" t="str">
        <f t="shared" si="12"/>
        <v/>
      </c>
      <c r="AT410" s="37"/>
      <c r="AU410" s="29"/>
      <c r="AV410" s="29" t="b">
        <v>0</v>
      </c>
      <c r="AW410" s="22" t="str">
        <f t="shared" si="13"/>
        <v/>
      </c>
      <c r="AX410" s="7">
        <f>IF(ISBLANK(AT410), 0, VLOOKUP(AT410, 'Price Sheet'!$A$2:$B1015, 2, false))</f>
        <v>0</v>
      </c>
      <c r="AY410" s="33" t="str">
        <f t="shared" si="14"/>
        <v/>
      </c>
      <c r="AZ410" s="37"/>
      <c r="BA410" s="29"/>
      <c r="BB410" s="29" t="b">
        <v>0</v>
      </c>
      <c r="BC410" s="22" t="str">
        <f t="shared" si="15"/>
        <v/>
      </c>
      <c r="BD410" s="7">
        <f>IF(ISBLANK(AZ410), 0, VLOOKUP(AZ410, 'Price Sheet'!$A$2:$B1015, 2, false))</f>
        <v>0</v>
      </c>
      <c r="BE410" s="33" t="str">
        <f t="shared" si="16"/>
        <v/>
      </c>
      <c r="BF410" s="37"/>
      <c r="BG410" s="29"/>
      <c r="BH410" s="29" t="b">
        <v>0</v>
      </c>
      <c r="BI410" s="22" t="str">
        <f t="shared" si="17"/>
        <v/>
      </c>
      <c r="BJ410" s="7">
        <f>IF(ISBLANK(BF410), 0, VLOOKUP(BF410, 'Price Sheet'!$A$2:$B1015, 2, false))</f>
        <v>0</v>
      </c>
      <c r="BK410" s="33" t="str">
        <f t="shared" si="18"/>
        <v/>
      </c>
      <c r="BL410" s="37"/>
      <c r="BM410" s="29"/>
      <c r="BN410" s="29" t="b">
        <v>0</v>
      </c>
      <c r="BO410" s="22" t="str">
        <f t="shared" si="19"/>
        <v/>
      </c>
      <c r="BP410" s="7">
        <f>IF(ISBLANK(BL410), 0, VLOOKUP(BL410, 'Price Sheet'!$A$2:$B1015, 2, false))</f>
        <v>0</v>
      </c>
      <c r="BQ410" s="33" t="str">
        <f t="shared" si="20"/>
        <v/>
      </c>
    </row>
    <row r="411">
      <c r="B411" s="19"/>
      <c r="C411" s="29"/>
      <c r="D411" s="29"/>
      <c r="E411" s="7" t="str">
        <f>IF(ISBLANK(D411), "", VLOOKUP(D411,'Crafting Tables'!$A$2:$B1015, 2, false))</f>
        <v/>
      </c>
      <c r="F411" s="7" t="str">
        <f>IFERROR(IF(E411 = "None", 1, VLOOKUP(C411,General!$A$5:$L$35, SWITCH(E411, "Basic", 8, "Advanced", 10, "Modern", 12), false)),"")</f>
        <v/>
      </c>
      <c r="G411" s="29"/>
      <c r="H411" s="7">
        <f>IFERROR(VLOOKUP(C411, General!$A$5:$L$35, 6, false) * G411 / 1000, 0)</f>
        <v>0</v>
      </c>
      <c r="I411" s="29"/>
      <c r="J411" s="22" t="str">
        <f>IFERROR(I411*VLOOKUP(D411,'Crafting Tables'!$1:$1000, 4, false)*F411,"")</f>
        <v/>
      </c>
      <c r="K411" s="29" t="b">
        <v>0</v>
      </c>
      <c r="L411" s="37"/>
      <c r="M411" s="29"/>
      <c r="N411" s="21" t="str">
        <f t="shared" si="2"/>
        <v/>
      </c>
      <c r="P411" s="37"/>
      <c r="Q411" s="29"/>
      <c r="R411" s="29" t="b">
        <v>0</v>
      </c>
      <c r="S411" s="22" t="str">
        <f t="shared" si="3"/>
        <v/>
      </c>
      <c r="T411" s="7">
        <f>IF(ISBLANK(P411), 0, VLOOKUP(P411, 'Price Sheet'!$A$2:$B1015, 2, false))</f>
        <v>0</v>
      </c>
      <c r="U411" s="33" t="str">
        <f t="shared" si="4"/>
        <v/>
      </c>
      <c r="V411" s="37"/>
      <c r="W411" s="29"/>
      <c r="X411" s="29" t="b">
        <v>0</v>
      </c>
      <c r="Y411" s="22" t="str">
        <f t="shared" si="5"/>
        <v/>
      </c>
      <c r="Z411" s="7">
        <f>IF(ISBLANK(V411), 0, VLOOKUP(V411, 'Price Sheet'!$A$2:$B1015, 2, false))</f>
        <v>0</v>
      </c>
      <c r="AA411" s="33" t="str">
        <f t="shared" si="6"/>
        <v/>
      </c>
      <c r="AB411" s="37"/>
      <c r="AC411" s="29"/>
      <c r="AD411" s="29" t="b">
        <v>0</v>
      </c>
      <c r="AE411" s="22" t="str">
        <f t="shared" si="7"/>
        <v/>
      </c>
      <c r="AF411" s="7">
        <f>IF(ISBLANK(AB411), 0, VLOOKUP(AB411, 'Price Sheet'!$A$2:$B1015, 2, false))</f>
        <v>0</v>
      </c>
      <c r="AG411" s="33" t="str">
        <f t="shared" si="8"/>
        <v/>
      </c>
      <c r="AH411" s="37"/>
      <c r="AI411" s="29"/>
      <c r="AJ411" s="29" t="b">
        <v>0</v>
      </c>
      <c r="AK411" s="22" t="str">
        <f t="shared" si="9"/>
        <v/>
      </c>
      <c r="AL411" s="7">
        <f>IF(ISBLANK(AH411), 0, VLOOKUP(AH411, 'Price Sheet'!$A$2:$B1015, 2, false))</f>
        <v>0</v>
      </c>
      <c r="AM411" s="33" t="str">
        <f t="shared" si="10"/>
        <v/>
      </c>
      <c r="AN411" s="37"/>
      <c r="AO411" s="29"/>
      <c r="AP411" s="29" t="b">
        <v>0</v>
      </c>
      <c r="AQ411" s="22" t="str">
        <f t="shared" si="11"/>
        <v/>
      </c>
      <c r="AR411" s="7">
        <f>IF(ISBLANK(AN411), 0, VLOOKUP(AN411, 'Price Sheet'!$A$2:$B1015, 2, false))</f>
        <v>0</v>
      </c>
      <c r="AS411" s="33" t="str">
        <f t="shared" si="12"/>
        <v/>
      </c>
      <c r="AT411" s="37"/>
      <c r="AU411" s="29"/>
      <c r="AV411" s="29" t="b">
        <v>0</v>
      </c>
      <c r="AW411" s="22" t="str">
        <f t="shared" si="13"/>
        <v/>
      </c>
      <c r="AX411" s="7">
        <f>IF(ISBLANK(AT411), 0, VLOOKUP(AT411, 'Price Sheet'!$A$2:$B1015, 2, false))</f>
        <v>0</v>
      </c>
      <c r="AY411" s="33" t="str">
        <f t="shared" si="14"/>
        <v/>
      </c>
      <c r="AZ411" s="37"/>
      <c r="BA411" s="29"/>
      <c r="BB411" s="29" t="b">
        <v>0</v>
      </c>
      <c r="BC411" s="22" t="str">
        <f t="shared" si="15"/>
        <v/>
      </c>
      <c r="BD411" s="7">
        <f>IF(ISBLANK(AZ411), 0, VLOOKUP(AZ411, 'Price Sheet'!$A$2:$B1015, 2, false))</f>
        <v>0</v>
      </c>
      <c r="BE411" s="33" t="str">
        <f t="shared" si="16"/>
        <v/>
      </c>
      <c r="BF411" s="37"/>
      <c r="BG411" s="29"/>
      <c r="BH411" s="29" t="b">
        <v>0</v>
      </c>
      <c r="BI411" s="22" t="str">
        <f t="shared" si="17"/>
        <v/>
      </c>
      <c r="BJ411" s="7">
        <f>IF(ISBLANK(BF411), 0, VLOOKUP(BF411, 'Price Sheet'!$A$2:$B1015, 2, false))</f>
        <v>0</v>
      </c>
      <c r="BK411" s="33" t="str">
        <f t="shared" si="18"/>
        <v/>
      </c>
      <c r="BL411" s="37"/>
      <c r="BM411" s="29"/>
      <c r="BN411" s="29" t="b">
        <v>0</v>
      </c>
      <c r="BO411" s="22" t="str">
        <f t="shared" si="19"/>
        <v/>
      </c>
      <c r="BP411" s="7">
        <f>IF(ISBLANK(BL411), 0, VLOOKUP(BL411, 'Price Sheet'!$A$2:$B1015, 2, false))</f>
        <v>0</v>
      </c>
      <c r="BQ411" s="33" t="str">
        <f t="shared" si="20"/>
        <v/>
      </c>
    </row>
    <row r="412">
      <c r="B412" s="19"/>
      <c r="C412" s="29"/>
      <c r="D412" s="29"/>
      <c r="E412" s="7" t="str">
        <f>IF(ISBLANK(D412), "", VLOOKUP(D412,'Crafting Tables'!$A$2:$B1015, 2, false))</f>
        <v/>
      </c>
      <c r="F412" s="7" t="str">
        <f>IFERROR(IF(E412 = "None", 1, VLOOKUP(C412,General!$A$5:$L$35, SWITCH(E412, "Basic", 8, "Advanced", 10, "Modern", 12), false)),"")</f>
        <v/>
      </c>
      <c r="G412" s="29"/>
      <c r="H412" s="7">
        <f>IFERROR(VLOOKUP(C412, General!$A$5:$L$35, 6, false) * G412 / 1000, 0)</f>
        <v>0</v>
      </c>
      <c r="I412" s="29"/>
      <c r="J412" s="22" t="str">
        <f>IFERROR(I412*VLOOKUP(D412,'Crafting Tables'!$1:$1000, 4, false)*F412,"")</f>
        <v/>
      </c>
      <c r="K412" s="29" t="b">
        <v>0</v>
      </c>
      <c r="L412" s="37"/>
      <c r="M412" s="29"/>
      <c r="N412" s="21" t="str">
        <f t="shared" si="2"/>
        <v/>
      </c>
      <c r="P412" s="37"/>
      <c r="Q412" s="29"/>
      <c r="R412" s="29" t="b">
        <v>0</v>
      </c>
      <c r="S412" s="22" t="str">
        <f t="shared" si="3"/>
        <v/>
      </c>
      <c r="T412" s="7">
        <f>IF(ISBLANK(P412), 0, VLOOKUP(P412, 'Price Sheet'!$A$2:$B1015, 2, false))</f>
        <v>0</v>
      </c>
      <c r="U412" s="33" t="str">
        <f t="shared" si="4"/>
        <v/>
      </c>
      <c r="V412" s="37"/>
      <c r="W412" s="29"/>
      <c r="X412" s="29" t="b">
        <v>0</v>
      </c>
      <c r="Y412" s="22" t="str">
        <f t="shared" si="5"/>
        <v/>
      </c>
      <c r="Z412" s="7">
        <f>IF(ISBLANK(V412), 0, VLOOKUP(V412, 'Price Sheet'!$A$2:$B1015, 2, false))</f>
        <v>0</v>
      </c>
      <c r="AA412" s="33" t="str">
        <f t="shared" si="6"/>
        <v/>
      </c>
      <c r="AB412" s="37"/>
      <c r="AC412" s="29"/>
      <c r="AD412" s="29" t="b">
        <v>0</v>
      </c>
      <c r="AE412" s="22" t="str">
        <f t="shared" si="7"/>
        <v/>
      </c>
      <c r="AF412" s="7">
        <f>IF(ISBLANK(AB412), 0, VLOOKUP(AB412, 'Price Sheet'!$A$2:$B1015, 2, false))</f>
        <v>0</v>
      </c>
      <c r="AG412" s="33" t="str">
        <f t="shared" si="8"/>
        <v/>
      </c>
      <c r="AH412" s="37"/>
      <c r="AI412" s="29"/>
      <c r="AJ412" s="29" t="b">
        <v>0</v>
      </c>
      <c r="AK412" s="22" t="str">
        <f t="shared" si="9"/>
        <v/>
      </c>
      <c r="AL412" s="7">
        <f>IF(ISBLANK(AH412), 0, VLOOKUP(AH412, 'Price Sheet'!$A$2:$B1015, 2, false))</f>
        <v>0</v>
      </c>
      <c r="AM412" s="33" t="str">
        <f t="shared" si="10"/>
        <v/>
      </c>
      <c r="AN412" s="37"/>
      <c r="AO412" s="29"/>
      <c r="AP412" s="29" t="b">
        <v>0</v>
      </c>
      <c r="AQ412" s="22" t="str">
        <f t="shared" si="11"/>
        <v/>
      </c>
      <c r="AR412" s="7">
        <f>IF(ISBLANK(AN412), 0, VLOOKUP(AN412, 'Price Sheet'!$A$2:$B1015, 2, false))</f>
        <v>0</v>
      </c>
      <c r="AS412" s="33" t="str">
        <f t="shared" si="12"/>
        <v/>
      </c>
      <c r="AT412" s="37"/>
      <c r="AU412" s="29"/>
      <c r="AV412" s="29" t="b">
        <v>0</v>
      </c>
      <c r="AW412" s="22" t="str">
        <f t="shared" si="13"/>
        <v/>
      </c>
      <c r="AX412" s="7">
        <f>IF(ISBLANK(AT412), 0, VLOOKUP(AT412, 'Price Sheet'!$A$2:$B1015, 2, false))</f>
        <v>0</v>
      </c>
      <c r="AY412" s="33" t="str">
        <f t="shared" si="14"/>
        <v/>
      </c>
      <c r="AZ412" s="37"/>
      <c r="BA412" s="29"/>
      <c r="BB412" s="29" t="b">
        <v>0</v>
      </c>
      <c r="BC412" s="22" t="str">
        <f t="shared" si="15"/>
        <v/>
      </c>
      <c r="BD412" s="7">
        <f>IF(ISBLANK(AZ412), 0, VLOOKUP(AZ412, 'Price Sheet'!$A$2:$B1015, 2, false))</f>
        <v>0</v>
      </c>
      <c r="BE412" s="33" t="str">
        <f t="shared" si="16"/>
        <v/>
      </c>
      <c r="BF412" s="37"/>
      <c r="BG412" s="29"/>
      <c r="BH412" s="29" t="b">
        <v>0</v>
      </c>
      <c r="BI412" s="22" t="str">
        <f t="shared" si="17"/>
        <v/>
      </c>
      <c r="BJ412" s="7">
        <f>IF(ISBLANK(BF412), 0, VLOOKUP(BF412, 'Price Sheet'!$A$2:$B1015, 2, false))</f>
        <v>0</v>
      </c>
      <c r="BK412" s="33" t="str">
        <f t="shared" si="18"/>
        <v/>
      </c>
      <c r="BL412" s="37"/>
      <c r="BM412" s="29"/>
      <c r="BN412" s="29" t="b">
        <v>0</v>
      </c>
      <c r="BO412" s="22" t="str">
        <f t="shared" si="19"/>
        <v/>
      </c>
      <c r="BP412" s="7">
        <f>IF(ISBLANK(BL412), 0, VLOOKUP(BL412, 'Price Sheet'!$A$2:$B1015, 2, false))</f>
        <v>0</v>
      </c>
      <c r="BQ412" s="33" t="str">
        <f t="shared" si="20"/>
        <v/>
      </c>
    </row>
    <row r="413">
      <c r="B413" s="19"/>
      <c r="C413" s="29"/>
      <c r="D413" s="29"/>
      <c r="E413" s="7" t="str">
        <f>IF(ISBLANK(D413), "", VLOOKUP(D413,'Crafting Tables'!$A$2:$B1015, 2, false))</f>
        <v/>
      </c>
      <c r="F413" s="7" t="str">
        <f>IFERROR(IF(E413 = "None", 1, VLOOKUP(C413,General!$A$5:$L$35, SWITCH(E413, "Basic", 8, "Advanced", 10, "Modern", 12), false)),"")</f>
        <v/>
      </c>
      <c r="G413" s="29"/>
      <c r="H413" s="7">
        <f>IFERROR(VLOOKUP(C413, General!$A$5:$L$35, 6, false) * G413 / 1000, 0)</f>
        <v>0</v>
      </c>
      <c r="I413" s="29"/>
      <c r="J413" s="22" t="str">
        <f>IFERROR(I413*VLOOKUP(D413,'Crafting Tables'!$1:$1000, 4, false)*F413,"")</f>
        <v/>
      </c>
      <c r="K413" s="29" t="b">
        <v>0</v>
      </c>
      <c r="L413" s="37"/>
      <c r="M413" s="29"/>
      <c r="N413" s="21" t="str">
        <f t="shared" si="2"/>
        <v/>
      </c>
      <c r="P413" s="37"/>
      <c r="Q413" s="29"/>
      <c r="R413" s="29" t="b">
        <v>0</v>
      </c>
      <c r="S413" s="22" t="str">
        <f t="shared" si="3"/>
        <v/>
      </c>
      <c r="T413" s="7">
        <f>IF(ISBLANK(P413), 0, VLOOKUP(P413, 'Price Sheet'!$A$2:$B1015, 2, false))</f>
        <v>0</v>
      </c>
      <c r="U413" s="33" t="str">
        <f t="shared" si="4"/>
        <v/>
      </c>
      <c r="V413" s="37"/>
      <c r="W413" s="29"/>
      <c r="X413" s="29" t="b">
        <v>0</v>
      </c>
      <c r="Y413" s="22" t="str">
        <f t="shared" si="5"/>
        <v/>
      </c>
      <c r="Z413" s="7">
        <f>IF(ISBLANK(V413), 0, VLOOKUP(V413, 'Price Sheet'!$A$2:$B1015, 2, false))</f>
        <v>0</v>
      </c>
      <c r="AA413" s="33" t="str">
        <f t="shared" si="6"/>
        <v/>
      </c>
      <c r="AB413" s="37"/>
      <c r="AC413" s="29"/>
      <c r="AD413" s="29" t="b">
        <v>0</v>
      </c>
      <c r="AE413" s="22" t="str">
        <f t="shared" si="7"/>
        <v/>
      </c>
      <c r="AF413" s="7">
        <f>IF(ISBLANK(AB413), 0, VLOOKUP(AB413, 'Price Sheet'!$A$2:$B1015, 2, false))</f>
        <v>0</v>
      </c>
      <c r="AG413" s="33" t="str">
        <f t="shared" si="8"/>
        <v/>
      </c>
      <c r="AH413" s="37"/>
      <c r="AI413" s="29"/>
      <c r="AJ413" s="29" t="b">
        <v>0</v>
      </c>
      <c r="AK413" s="22" t="str">
        <f t="shared" si="9"/>
        <v/>
      </c>
      <c r="AL413" s="7">
        <f>IF(ISBLANK(AH413), 0, VLOOKUP(AH413, 'Price Sheet'!$A$2:$B1015, 2, false))</f>
        <v>0</v>
      </c>
      <c r="AM413" s="33" t="str">
        <f t="shared" si="10"/>
        <v/>
      </c>
      <c r="AN413" s="37"/>
      <c r="AO413" s="29"/>
      <c r="AP413" s="29" t="b">
        <v>0</v>
      </c>
      <c r="AQ413" s="22" t="str">
        <f t="shared" si="11"/>
        <v/>
      </c>
      <c r="AR413" s="7">
        <f>IF(ISBLANK(AN413), 0, VLOOKUP(AN413, 'Price Sheet'!$A$2:$B1015, 2, false))</f>
        <v>0</v>
      </c>
      <c r="AS413" s="33" t="str">
        <f t="shared" si="12"/>
        <v/>
      </c>
      <c r="AT413" s="37"/>
      <c r="AU413" s="29"/>
      <c r="AV413" s="29" t="b">
        <v>0</v>
      </c>
      <c r="AW413" s="22" t="str">
        <f t="shared" si="13"/>
        <v/>
      </c>
      <c r="AX413" s="7">
        <f>IF(ISBLANK(AT413), 0, VLOOKUP(AT413, 'Price Sheet'!$A$2:$B1015, 2, false))</f>
        <v>0</v>
      </c>
      <c r="AY413" s="33" t="str">
        <f t="shared" si="14"/>
        <v/>
      </c>
      <c r="AZ413" s="37"/>
      <c r="BA413" s="29"/>
      <c r="BB413" s="29" t="b">
        <v>0</v>
      </c>
      <c r="BC413" s="22" t="str">
        <f t="shared" si="15"/>
        <v/>
      </c>
      <c r="BD413" s="7">
        <f>IF(ISBLANK(AZ413), 0, VLOOKUP(AZ413, 'Price Sheet'!$A$2:$B1015, 2, false))</f>
        <v>0</v>
      </c>
      <c r="BE413" s="33" t="str">
        <f t="shared" si="16"/>
        <v/>
      </c>
      <c r="BF413" s="37"/>
      <c r="BG413" s="29"/>
      <c r="BH413" s="29" t="b">
        <v>0</v>
      </c>
      <c r="BI413" s="22" t="str">
        <f t="shared" si="17"/>
        <v/>
      </c>
      <c r="BJ413" s="7">
        <f>IF(ISBLANK(BF413), 0, VLOOKUP(BF413, 'Price Sheet'!$A$2:$B1015, 2, false))</f>
        <v>0</v>
      </c>
      <c r="BK413" s="33" t="str">
        <f t="shared" si="18"/>
        <v/>
      </c>
      <c r="BL413" s="37"/>
      <c r="BM413" s="29"/>
      <c r="BN413" s="29" t="b">
        <v>0</v>
      </c>
      <c r="BO413" s="22" t="str">
        <f t="shared" si="19"/>
        <v/>
      </c>
      <c r="BP413" s="7">
        <f>IF(ISBLANK(BL413), 0, VLOOKUP(BL413, 'Price Sheet'!$A$2:$B1015, 2, false))</f>
        <v>0</v>
      </c>
      <c r="BQ413" s="33" t="str">
        <f t="shared" si="20"/>
        <v/>
      </c>
    </row>
    <row r="414">
      <c r="B414" s="19"/>
      <c r="C414" s="29"/>
      <c r="D414" s="29"/>
      <c r="E414" s="7" t="str">
        <f>IF(ISBLANK(D414), "", VLOOKUP(D414,'Crafting Tables'!$A$2:$B1015, 2, false))</f>
        <v/>
      </c>
      <c r="F414" s="7" t="str">
        <f>IFERROR(IF(E414 = "None", 1, VLOOKUP(C414,General!$A$5:$L$35, SWITCH(E414, "Basic", 8, "Advanced", 10, "Modern", 12), false)),"")</f>
        <v/>
      </c>
      <c r="G414" s="29"/>
      <c r="H414" s="7">
        <f>IFERROR(VLOOKUP(C414, General!$A$5:$L$35, 6, false) * G414 / 1000, 0)</f>
        <v>0</v>
      </c>
      <c r="I414" s="29"/>
      <c r="J414" s="22" t="str">
        <f>IFERROR(I414*VLOOKUP(D414,'Crafting Tables'!$1:$1000, 4, false)*F414,"")</f>
        <v/>
      </c>
      <c r="K414" s="29" t="b">
        <v>0</v>
      </c>
      <c r="L414" s="37"/>
      <c r="M414" s="29"/>
      <c r="N414" s="21" t="str">
        <f t="shared" si="2"/>
        <v/>
      </c>
      <c r="P414" s="37"/>
      <c r="Q414" s="29"/>
      <c r="R414" s="29" t="b">
        <v>0</v>
      </c>
      <c r="S414" s="22" t="str">
        <f t="shared" si="3"/>
        <v/>
      </c>
      <c r="T414" s="7">
        <f>IF(ISBLANK(P414), 0, VLOOKUP(P414, 'Price Sheet'!$A$2:$B1015, 2, false))</f>
        <v>0</v>
      </c>
      <c r="U414" s="33" t="str">
        <f t="shared" si="4"/>
        <v/>
      </c>
      <c r="V414" s="37"/>
      <c r="W414" s="29"/>
      <c r="X414" s="29" t="b">
        <v>0</v>
      </c>
      <c r="Y414" s="22" t="str">
        <f t="shared" si="5"/>
        <v/>
      </c>
      <c r="Z414" s="7">
        <f>IF(ISBLANK(V414), 0, VLOOKUP(V414, 'Price Sheet'!$A$2:$B1015, 2, false))</f>
        <v>0</v>
      </c>
      <c r="AA414" s="33" t="str">
        <f t="shared" si="6"/>
        <v/>
      </c>
      <c r="AB414" s="37"/>
      <c r="AC414" s="29"/>
      <c r="AD414" s="29" t="b">
        <v>0</v>
      </c>
      <c r="AE414" s="22" t="str">
        <f t="shared" si="7"/>
        <v/>
      </c>
      <c r="AF414" s="7">
        <f>IF(ISBLANK(AB414), 0, VLOOKUP(AB414, 'Price Sheet'!$A$2:$B1015, 2, false))</f>
        <v>0</v>
      </c>
      <c r="AG414" s="33" t="str">
        <f t="shared" si="8"/>
        <v/>
      </c>
      <c r="AH414" s="37"/>
      <c r="AI414" s="29"/>
      <c r="AJ414" s="29" t="b">
        <v>0</v>
      </c>
      <c r="AK414" s="22" t="str">
        <f t="shared" si="9"/>
        <v/>
      </c>
      <c r="AL414" s="7">
        <f>IF(ISBLANK(AH414), 0, VLOOKUP(AH414, 'Price Sheet'!$A$2:$B1015, 2, false))</f>
        <v>0</v>
      </c>
      <c r="AM414" s="33" t="str">
        <f t="shared" si="10"/>
        <v/>
      </c>
      <c r="AN414" s="37"/>
      <c r="AO414" s="29"/>
      <c r="AP414" s="29" t="b">
        <v>0</v>
      </c>
      <c r="AQ414" s="22" t="str">
        <f t="shared" si="11"/>
        <v/>
      </c>
      <c r="AR414" s="7">
        <f>IF(ISBLANK(AN414), 0, VLOOKUP(AN414, 'Price Sheet'!$A$2:$B1015, 2, false))</f>
        <v>0</v>
      </c>
      <c r="AS414" s="33" t="str">
        <f t="shared" si="12"/>
        <v/>
      </c>
      <c r="AT414" s="37"/>
      <c r="AU414" s="29"/>
      <c r="AV414" s="29" t="b">
        <v>0</v>
      </c>
      <c r="AW414" s="22" t="str">
        <f t="shared" si="13"/>
        <v/>
      </c>
      <c r="AX414" s="7">
        <f>IF(ISBLANK(AT414), 0, VLOOKUP(AT414, 'Price Sheet'!$A$2:$B1015, 2, false))</f>
        <v>0</v>
      </c>
      <c r="AY414" s="33" t="str">
        <f t="shared" si="14"/>
        <v/>
      </c>
      <c r="AZ414" s="37"/>
      <c r="BA414" s="29"/>
      <c r="BB414" s="29" t="b">
        <v>0</v>
      </c>
      <c r="BC414" s="22" t="str">
        <f t="shared" si="15"/>
        <v/>
      </c>
      <c r="BD414" s="7">
        <f>IF(ISBLANK(AZ414), 0, VLOOKUP(AZ414, 'Price Sheet'!$A$2:$B1015, 2, false))</f>
        <v>0</v>
      </c>
      <c r="BE414" s="33" t="str">
        <f t="shared" si="16"/>
        <v/>
      </c>
      <c r="BF414" s="37"/>
      <c r="BG414" s="29"/>
      <c r="BH414" s="29" t="b">
        <v>0</v>
      </c>
      <c r="BI414" s="22" t="str">
        <f t="shared" si="17"/>
        <v/>
      </c>
      <c r="BJ414" s="7">
        <f>IF(ISBLANK(BF414), 0, VLOOKUP(BF414, 'Price Sheet'!$A$2:$B1015, 2, false))</f>
        <v>0</v>
      </c>
      <c r="BK414" s="33" t="str">
        <f t="shared" si="18"/>
        <v/>
      </c>
      <c r="BL414" s="37"/>
      <c r="BM414" s="29"/>
      <c r="BN414" s="29" t="b">
        <v>0</v>
      </c>
      <c r="BO414" s="22" t="str">
        <f t="shared" si="19"/>
        <v/>
      </c>
      <c r="BP414" s="7">
        <f>IF(ISBLANK(BL414), 0, VLOOKUP(BL414, 'Price Sheet'!$A$2:$B1015, 2, false))</f>
        <v>0</v>
      </c>
      <c r="BQ414" s="33" t="str">
        <f t="shared" si="20"/>
        <v/>
      </c>
    </row>
    <row r="415">
      <c r="B415" s="19"/>
      <c r="C415" s="29"/>
      <c r="D415" s="29"/>
      <c r="E415" s="7" t="str">
        <f>IF(ISBLANK(D415), "", VLOOKUP(D415,'Crafting Tables'!$A$2:$B1015, 2, false))</f>
        <v/>
      </c>
      <c r="F415" s="7" t="str">
        <f>IFERROR(IF(E415 = "None", 1, VLOOKUP(C415,General!$A$5:$L$35, SWITCH(E415, "Basic", 8, "Advanced", 10, "Modern", 12), false)),"")</f>
        <v/>
      </c>
      <c r="G415" s="29"/>
      <c r="H415" s="7">
        <f>IFERROR(VLOOKUP(C415, General!$A$5:$L$35, 6, false) * G415 / 1000, 0)</f>
        <v>0</v>
      </c>
      <c r="I415" s="29"/>
      <c r="J415" s="22" t="str">
        <f>IFERROR(I415*VLOOKUP(D415,'Crafting Tables'!$1:$1000, 4, false)*F415,"")</f>
        <v/>
      </c>
      <c r="K415" s="29" t="b">
        <v>0</v>
      </c>
      <c r="L415" s="37"/>
      <c r="M415" s="29"/>
      <c r="N415" s="21" t="str">
        <f t="shared" si="2"/>
        <v/>
      </c>
      <c r="P415" s="37"/>
      <c r="Q415" s="29"/>
      <c r="R415" s="29" t="b">
        <v>0</v>
      </c>
      <c r="S415" s="22" t="str">
        <f t="shared" si="3"/>
        <v/>
      </c>
      <c r="T415" s="7">
        <f>IF(ISBLANK(P415), 0, VLOOKUP(P415, 'Price Sheet'!$A$2:$B1015, 2, false))</f>
        <v>0</v>
      </c>
      <c r="U415" s="33" t="str">
        <f t="shared" si="4"/>
        <v/>
      </c>
      <c r="V415" s="37"/>
      <c r="W415" s="29"/>
      <c r="X415" s="29" t="b">
        <v>0</v>
      </c>
      <c r="Y415" s="22" t="str">
        <f t="shared" si="5"/>
        <v/>
      </c>
      <c r="Z415" s="7">
        <f>IF(ISBLANK(V415), 0, VLOOKUP(V415, 'Price Sheet'!$A$2:$B1015, 2, false))</f>
        <v>0</v>
      </c>
      <c r="AA415" s="33" t="str">
        <f t="shared" si="6"/>
        <v/>
      </c>
      <c r="AB415" s="37"/>
      <c r="AC415" s="29"/>
      <c r="AD415" s="29" t="b">
        <v>0</v>
      </c>
      <c r="AE415" s="22" t="str">
        <f t="shared" si="7"/>
        <v/>
      </c>
      <c r="AF415" s="7">
        <f>IF(ISBLANK(AB415), 0, VLOOKUP(AB415, 'Price Sheet'!$A$2:$B1015, 2, false))</f>
        <v>0</v>
      </c>
      <c r="AG415" s="33" t="str">
        <f t="shared" si="8"/>
        <v/>
      </c>
      <c r="AH415" s="37"/>
      <c r="AI415" s="29"/>
      <c r="AJ415" s="29" t="b">
        <v>0</v>
      </c>
      <c r="AK415" s="22" t="str">
        <f t="shared" si="9"/>
        <v/>
      </c>
      <c r="AL415" s="7">
        <f>IF(ISBLANK(AH415), 0, VLOOKUP(AH415, 'Price Sheet'!$A$2:$B1015, 2, false))</f>
        <v>0</v>
      </c>
      <c r="AM415" s="33" t="str">
        <f t="shared" si="10"/>
        <v/>
      </c>
      <c r="AN415" s="37"/>
      <c r="AO415" s="29"/>
      <c r="AP415" s="29" t="b">
        <v>0</v>
      </c>
      <c r="AQ415" s="22" t="str">
        <f t="shared" si="11"/>
        <v/>
      </c>
      <c r="AR415" s="7">
        <f>IF(ISBLANK(AN415), 0, VLOOKUP(AN415, 'Price Sheet'!$A$2:$B1015, 2, false))</f>
        <v>0</v>
      </c>
      <c r="AS415" s="33" t="str">
        <f t="shared" si="12"/>
        <v/>
      </c>
      <c r="AT415" s="37"/>
      <c r="AU415" s="29"/>
      <c r="AV415" s="29" t="b">
        <v>0</v>
      </c>
      <c r="AW415" s="22" t="str">
        <f t="shared" si="13"/>
        <v/>
      </c>
      <c r="AX415" s="7">
        <f>IF(ISBLANK(AT415), 0, VLOOKUP(AT415, 'Price Sheet'!$A$2:$B1015, 2, false))</f>
        <v>0</v>
      </c>
      <c r="AY415" s="33" t="str">
        <f t="shared" si="14"/>
        <v/>
      </c>
      <c r="AZ415" s="37"/>
      <c r="BA415" s="29"/>
      <c r="BB415" s="29" t="b">
        <v>0</v>
      </c>
      <c r="BC415" s="22" t="str">
        <f t="shared" si="15"/>
        <v/>
      </c>
      <c r="BD415" s="7">
        <f>IF(ISBLANK(AZ415), 0, VLOOKUP(AZ415, 'Price Sheet'!$A$2:$B1015, 2, false))</f>
        <v>0</v>
      </c>
      <c r="BE415" s="33" t="str">
        <f t="shared" si="16"/>
        <v/>
      </c>
      <c r="BF415" s="37"/>
      <c r="BG415" s="29"/>
      <c r="BH415" s="29" t="b">
        <v>0</v>
      </c>
      <c r="BI415" s="22" t="str">
        <f t="shared" si="17"/>
        <v/>
      </c>
      <c r="BJ415" s="7">
        <f>IF(ISBLANK(BF415), 0, VLOOKUP(BF415, 'Price Sheet'!$A$2:$B1015, 2, false))</f>
        <v>0</v>
      </c>
      <c r="BK415" s="33" t="str">
        <f t="shared" si="18"/>
        <v/>
      </c>
      <c r="BL415" s="37"/>
      <c r="BM415" s="29"/>
      <c r="BN415" s="29" t="b">
        <v>0</v>
      </c>
      <c r="BO415" s="22" t="str">
        <f t="shared" si="19"/>
        <v/>
      </c>
      <c r="BP415" s="7">
        <f>IF(ISBLANK(BL415), 0, VLOOKUP(BL415, 'Price Sheet'!$A$2:$B1015, 2, false))</f>
        <v>0</v>
      </c>
      <c r="BQ415" s="33" t="str">
        <f t="shared" si="20"/>
        <v/>
      </c>
    </row>
    <row r="416">
      <c r="B416" s="19"/>
      <c r="C416" s="29"/>
      <c r="D416" s="29"/>
      <c r="E416" s="7" t="str">
        <f>IF(ISBLANK(D416), "", VLOOKUP(D416,'Crafting Tables'!$A$2:$B1015, 2, false))</f>
        <v/>
      </c>
      <c r="F416" s="7" t="str">
        <f>IFERROR(IF(E416 = "None", 1, VLOOKUP(C416,General!$A$5:$L$35, SWITCH(E416, "Basic", 8, "Advanced", 10, "Modern", 12), false)),"")</f>
        <v/>
      </c>
      <c r="G416" s="29"/>
      <c r="H416" s="7">
        <f>IFERROR(VLOOKUP(C416, General!$A$5:$L$35, 6, false) * G416 / 1000, 0)</f>
        <v>0</v>
      </c>
      <c r="I416" s="29"/>
      <c r="J416" s="22" t="str">
        <f>IFERROR(I416*VLOOKUP(D416,'Crafting Tables'!$1:$1000, 4, false)*F416,"")</f>
        <v/>
      </c>
      <c r="K416" s="29" t="b">
        <v>0</v>
      </c>
      <c r="L416" s="37"/>
      <c r="M416" s="29"/>
      <c r="N416" s="21" t="str">
        <f t="shared" si="2"/>
        <v/>
      </c>
      <c r="P416" s="37"/>
      <c r="Q416" s="29"/>
      <c r="R416" s="29" t="b">
        <v>0</v>
      </c>
      <c r="S416" s="22" t="str">
        <f t="shared" si="3"/>
        <v/>
      </c>
      <c r="T416" s="7">
        <f>IF(ISBLANK(P416), 0, VLOOKUP(P416, 'Price Sheet'!$A$2:$B1015, 2, false))</f>
        <v>0</v>
      </c>
      <c r="U416" s="33" t="str">
        <f t="shared" si="4"/>
        <v/>
      </c>
      <c r="V416" s="37"/>
      <c r="W416" s="29"/>
      <c r="X416" s="29" t="b">
        <v>0</v>
      </c>
      <c r="Y416" s="22" t="str">
        <f t="shared" si="5"/>
        <v/>
      </c>
      <c r="Z416" s="7">
        <f>IF(ISBLANK(V416), 0, VLOOKUP(V416, 'Price Sheet'!$A$2:$B1015, 2, false))</f>
        <v>0</v>
      </c>
      <c r="AA416" s="33" t="str">
        <f t="shared" si="6"/>
        <v/>
      </c>
      <c r="AB416" s="37"/>
      <c r="AC416" s="29"/>
      <c r="AD416" s="29" t="b">
        <v>0</v>
      </c>
      <c r="AE416" s="22" t="str">
        <f t="shared" si="7"/>
        <v/>
      </c>
      <c r="AF416" s="7">
        <f>IF(ISBLANK(AB416), 0, VLOOKUP(AB416, 'Price Sheet'!$A$2:$B1015, 2, false))</f>
        <v>0</v>
      </c>
      <c r="AG416" s="33" t="str">
        <f t="shared" si="8"/>
        <v/>
      </c>
      <c r="AH416" s="37"/>
      <c r="AI416" s="29"/>
      <c r="AJ416" s="29" t="b">
        <v>0</v>
      </c>
      <c r="AK416" s="22" t="str">
        <f t="shared" si="9"/>
        <v/>
      </c>
      <c r="AL416" s="7">
        <f>IF(ISBLANK(AH416), 0, VLOOKUP(AH416, 'Price Sheet'!$A$2:$B1015, 2, false))</f>
        <v>0</v>
      </c>
      <c r="AM416" s="33" t="str">
        <f t="shared" si="10"/>
        <v/>
      </c>
      <c r="AN416" s="37"/>
      <c r="AO416" s="29"/>
      <c r="AP416" s="29" t="b">
        <v>0</v>
      </c>
      <c r="AQ416" s="22" t="str">
        <f t="shared" si="11"/>
        <v/>
      </c>
      <c r="AR416" s="7">
        <f>IF(ISBLANK(AN416), 0, VLOOKUP(AN416, 'Price Sheet'!$A$2:$B1015, 2, false))</f>
        <v>0</v>
      </c>
      <c r="AS416" s="33" t="str">
        <f t="shared" si="12"/>
        <v/>
      </c>
      <c r="AT416" s="37"/>
      <c r="AU416" s="29"/>
      <c r="AV416" s="29" t="b">
        <v>0</v>
      </c>
      <c r="AW416" s="22" t="str">
        <f t="shared" si="13"/>
        <v/>
      </c>
      <c r="AX416" s="7">
        <f>IF(ISBLANK(AT416), 0, VLOOKUP(AT416, 'Price Sheet'!$A$2:$B1015, 2, false))</f>
        <v>0</v>
      </c>
      <c r="AY416" s="33" t="str">
        <f t="shared" si="14"/>
        <v/>
      </c>
      <c r="AZ416" s="37"/>
      <c r="BA416" s="29"/>
      <c r="BB416" s="29" t="b">
        <v>0</v>
      </c>
      <c r="BC416" s="22" t="str">
        <f t="shared" si="15"/>
        <v/>
      </c>
      <c r="BD416" s="7">
        <f>IF(ISBLANK(AZ416), 0, VLOOKUP(AZ416, 'Price Sheet'!$A$2:$B1015, 2, false))</f>
        <v>0</v>
      </c>
      <c r="BE416" s="33" t="str">
        <f t="shared" si="16"/>
        <v/>
      </c>
      <c r="BF416" s="37"/>
      <c r="BG416" s="29"/>
      <c r="BH416" s="29" t="b">
        <v>0</v>
      </c>
      <c r="BI416" s="22" t="str">
        <f t="shared" si="17"/>
        <v/>
      </c>
      <c r="BJ416" s="7">
        <f>IF(ISBLANK(BF416), 0, VLOOKUP(BF416, 'Price Sheet'!$A$2:$B1015, 2, false))</f>
        <v>0</v>
      </c>
      <c r="BK416" s="33" t="str">
        <f t="shared" si="18"/>
        <v/>
      </c>
      <c r="BL416" s="37"/>
      <c r="BM416" s="29"/>
      <c r="BN416" s="29" t="b">
        <v>0</v>
      </c>
      <c r="BO416" s="22" t="str">
        <f t="shared" si="19"/>
        <v/>
      </c>
      <c r="BP416" s="7">
        <f>IF(ISBLANK(BL416), 0, VLOOKUP(BL416, 'Price Sheet'!$A$2:$B1015, 2, false))</f>
        <v>0</v>
      </c>
      <c r="BQ416" s="33" t="str">
        <f t="shared" si="20"/>
        <v/>
      </c>
    </row>
    <row r="417">
      <c r="B417" s="19"/>
      <c r="C417" s="29"/>
      <c r="D417" s="29"/>
      <c r="E417" s="7" t="str">
        <f>IF(ISBLANK(D417), "", VLOOKUP(D417,'Crafting Tables'!$A$2:$B1015, 2, false))</f>
        <v/>
      </c>
      <c r="F417" s="7" t="str">
        <f>IFERROR(IF(E417 = "None", 1, VLOOKUP(C417,General!$A$5:$L$35, SWITCH(E417, "Basic", 8, "Advanced", 10, "Modern", 12), false)),"")</f>
        <v/>
      </c>
      <c r="G417" s="29"/>
      <c r="H417" s="7">
        <f>IFERROR(VLOOKUP(C417, General!$A$5:$L$35, 6, false) * G417 / 1000, 0)</f>
        <v>0</v>
      </c>
      <c r="I417" s="29"/>
      <c r="J417" s="22" t="str">
        <f>IFERROR(I417*VLOOKUP(D417,'Crafting Tables'!$1:$1000, 4, false)*F417,"")</f>
        <v/>
      </c>
      <c r="K417" s="29" t="b">
        <v>0</v>
      </c>
      <c r="L417" s="37"/>
      <c r="M417" s="29"/>
      <c r="N417" s="21" t="str">
        <f t="shared" si="2"/>
        <v/>
      </c>
      <c r="P417" s="37"/>
      <c r="Q417" s="29"/>
      <c r="R417" s="29" t="b">
        <v>0</v>
      </c>
      <c r="S417" s="22" t="str">
        <f t="shared" si="3"/>
        <v/>
      </c>
      <c r="T417" s="7">
        <f>IF(ISBLANK(P417), 0, VLOOKUP(P417, 'Price Sheet'!$A$2:$B1015, 2, false))</f>
        <v>0</v>
      </c>
      <c r="U417" s="33" t="str">
        <f t="shared" si="4"/>
        <v/>
      </c>
      <c r="V417" s="37"/>
      <c r="W417" s="29"/>
      <c r="X417" s="29" t="b">
        <v>0</v>
      </c>
      <c r="Y417" s="22" t="str">
        <f t="shared" si="5"/>
        <v/>
      </c>
      <c r="Z417" s="7">
        <f>IF(ISBLANK(V417), 0, VLOOKUP(V417, 'Price Sheet'!$A$2:$B1015, 2, false))</f>
        <v>0</v>
      </c>
      <c r="AA417" s="33" t="str">
        <f t="shared" si="6"/>
        <v/>
      </c>
      <c r="AB417" s="37"/>
      <c r="AC417" s="29"/>
      <c r="AD417" s="29" t="b">
        <v>0</v>
      </c>
      <c r="AE417" s="22" t="str">
        <f t="shared" si="7"/>
        <v/>
      </c>
      <c r="AF417" s="7">
        <f>IF(ISBLANK(AB417), 0, VLOOKUP(AB417, 'Price Sheet'!$A$2:$B1015, 2, false))</f>
        <v>0</v>
      </c>
      <c r="AG417" s="33" t="str">
        <f t="shared" si="8"/>
        <v/>
      </c>
      <c r="AH417" s="37"/>
      <c r="AI417" s="29"/>
      <c r="AJ417" s="29" t="b">
        <v>0</v>
      </c>
      <c r="AK417" s="22" t="str">
        <f t="shared" si="9"/>
        <v/>
      </c>
      <c r="AL417" s="7">
        <f>IF(ISBLANK(AH417), 0, VLOOKUP(AH417, 'Price Sheet'!$A$2:$B1015, 2, false))</f>
        <v>0</v>
      </c>
      <c r="AM417" s="33" t="str">
        <f t="shared" si="10"/>
        <v/>
      </c>
      <c r="AN417" s="37"/>
      <c r="AO417" s="29"/>
      <c r="AP417" s="29" t="b">
        <v>0</v>
      </c>
      <c r="AQ417" s="22" t="str">
        <f t="shared" si="11"/>
        <v/>
      </c>
      <c r="AR417" s="7">
        <f>IF(ISBLANK(AN417), 0, VLOOKUP(AN417, 'Price Sheet'!$A$2:$B1015, 2, false))</f>
        <v>0</v>
      </c>
      <c r="AS417" s="33" t="str">
        <f t="shared" si="12"/>
        <v/>
      </c>
      <c r="AT417" s="37"/>
      <c r="AU417" s="29"/>
      <c r="AV417" s="29" t="b">
        <v>0</v>
      </c>
      <c r="AW417" s="22" t="str">
        <f t="shared" si="13"/>
        <v/>
      </c>
      <c r="AX417" s="7">
        <f>IF(ISBLANK(AT417), 0, VLOOKUP(AT417, 'Price Sheet'!$A$2:$B1015, 2, false))</f>
        <v>0</v>
      </c>
      <c r="AY417" s="33" t="str">
        <f t="shared" si="14"/>
        <v/>
      </c>
      <c r="AZ417" s="37"/>
      <c r="BA417" s="29"/>
      <c r="BB417" s="29" t="b">
        <v>0</v>
      </c>
      <c r="BC417" s="22" t="str">
        <f t="shared" si="15"/>
        <v/>
      </c>
      <c r="BD417" s="7">
        <f>IF(ISBLANK(AZ417), 0, VLOOKUP(AZ417, 'Price Sheet'!$A$2:$B1015, 2, false))</f>
        <v>0</v>
      </c>
      <c r="BE417" s="33" t="str">
        <f t="shared" si="16"/>
        <v/>
      </c>
      <c r="BF417" s="37"/>
      <c r="BG417" s="29"/>
      <c r="BH417" s="29" t="b">
        <v>0</v>
      </c>
      <c r="BI417" s="22" t="str">
        <f t="shared" si="17"/>
        <v/>
      </c>
      <c r="BJ417" s="7">
        <f>IF(ISBLANK(BF417), 0, VLOOKUP(BF417, 'Price Sheet'!$A$2:$B1015, 2, false))</f>
        <v>0</v>
      </c>
      <c r="BK417" s="33" t="str">
        <f t="shared" si="18"/>
        <v/>
      </c>
      <c r="BL417" s="37"/>
      <c r="BM417" s="29"/>
      <c r="BN417" s="29" t="b">
        <v>0</v>
      </c>
      <c r="BO417" s="22" t="str">
        <f t="shared" si="19"/>
        <v/>
      </c>
      <c r="BP417" s="7">
        <f>IF(ISBLANK(BL417), 0, VLOOKUP(BL417, 'Price Sheet'!$A$2:$B1015, 2, false))</f>
        <v>0</v>
      </c>
      <c r="BQ417" s="33" t="str">
        <f t="shared" si="20"/>
        <v/>
      </c>
    </row>
    <row r="418">
      <c r="B418" s="19"/>
      <c r="C418" s="29"/>
      <c r="D418" s="29"/>
      <c r="E418" s="7" t="str">
        <f>IF(ISBLANK(D418), "", VLOOKUP(D418,'Crafting Tables'!$A$2:$B1015, 2, false))</f>
        <v/>
      </c>
      <c r="F418" s="7" t="str">
        <f>IFERROR(IF(E418 = "None", 1, VLOOKUP(C418,General!$A$5:$L$35, SWITCH(E418, "Basic", 8, "Advanced", 10, "Modern", 12), false)),"")</f>
        <v/>
      </c>
      <c r="G418" s="29"/>
      <c r="H418" s="7">
        <f>IFERROR(VLOOKUP(C418, General!$A$5:$L$35, 6, false) * G418 / 1000, 0)</f>
        <v>0</v>
      </c>
      <c r="I418" s="29"/>
      <c r="J418" s="22" t="str">
        <f>IFERROR(I418*VLOOKUP(D418,'Crafting Tables'!$1:$1000, 4, false)*F418,"")</f>
        <v/>
      </c>
      <c r="K418" s="29" t="b">
        <v>0</v>
      </c>
      <c r="L418" s="37"/>
      <c r="M418" s="29"/>
      <c r="N418" s="21" t="str">
        <f t="shared" si="2"/>
        <v/>
      </c>
      <c r="P418" s="37"/>
      <c r="Q418" s="29"/>
      <c r="R418" s="29" t="b">
        <v>0</v>
      </c>
      <c r="S418" s="22" t="str">
        <f t="shared" si="3"/>
        <v/>
      </c>
      <c r="T418" s="7">
        <f>IF(ISBLANK(P418), 0, VLOOKUP(P418, 'Price Sheet'!$A$2:$B1015, 2, false))</f>
        <v>0</v>
      </c>
      <c r="U418" s="33" t="str">
        <f t="shared" si="4"/>
        <v/>
      </c>
      <c r="V418" s="37"/>
      <c r="W418" s="29"/>
      <c r="X418" s="29" t="b">
        <v>0</v>
      </c>
      <c r="Y418" s="22" t="str">
        <f t="shared" si="5"/>
        <v/>
      </c>
      <c r="Z418" s="7">
        <f>IF(ISBLANK(V418), 0, VLOOKUP(V418, 'Price Sheet'!$A$2:$B1015, 2, false))</f>
        <v>0</v>
      </c>
      <c r="AA418" s="33" t="str">
        <f t="shared" si="6"/>
        <v/>
      </c>
      <c r="AB418" s="37"/>
      <c r="AC418" s="29"/>
      <c r="AD418" s="29" t="b">
        <v>0</v>
      </c>
      <c r="AE418" s="22" t="str">
        <f t="shared" si="7"/>
        <v/>
      </c>
      <c r="AF418" s="7">
        <f>IF(ISBLANK(AB418), 0, VLOOKUP(AB418, 'Price Sheet'!$A$2:$B1015, 2, false))</f>
        <v>0</v>
      </c>
      <c r="AG418" s="33" t="str">
        <f t="shared" si="8"/>
        <v/>
      </c>
      <c r="AH418" s="37"/>
      <c r="AI418" s="29"/>
      <c r="AJ418" s="29" t="b">
        <v>0</v>
      </c>
      <c r="AK418" s="22" t="str">
        <f t="shared" si="9"/>
        <v/>
      </c>
      <c r="AL418" s="7">
        <f>IF(ISBLANK(AH418), 0, VLOOKUP(AH418, 'Price Sheet'!$A$2:$B1015, 2, false))</f>
        <v>0</v>
      </c>
      <c r="AM418" s="33" t="str">
        <f t="shared" si="10"/>
        <v/>
      </c>
      <c r="AN418" s="37"/>
      <c r="AO418" s="29"/>
      <c r="AP418" s="29" t="b">
        <v>0</v>
      </c>
      <c r="AQ418" s="22" t="str">
        <f t="shared" si="11"/>
        <v/>
      </c>
      <c r="AR418" s="7">
        <f>IF(ISBLANK(AN418), 0, VLOOKUP(AN418, 'Price Sheet'!$A$2:$B1015, 2, false))</f>
        <v>0</v>
      </c>
      <c r="AS418" s="33" t="str">
        <f t="shared" si="12"/>
        <v/>
      </c>
      <c r="AT418" s="37"/>
      <c r="AU418" s="29"/>
      <c r="AV418" s="29" t="b">
        <v>0</v>
      </c>
      <c r="AW418" s="22" t="str">
        <f t="shared" si="13"/>
        <v/>
      </c>
      <c r="AX418" s="7">
        <f>IF(ISBLANK(AT418), 0, VLOOKUP(AT418, 'Price Sheet'!$A$2:$B1015, 2, false))</f>
        <v>0</v>
      </c>
      <c r="AY418" s="33" t="str">
        <f t="shared" si="14"/>
        <v/>
      </c>
      <c r="AZ418" s="37"/>
      <c r="BA418" s="29"/>
      <c r="BB418" s="29" t="b">
        <v>0</v>
      </c>
      <c r="BC418" s="22" t="str">
        <f t="shared" si="15"/>
        <v/>
      </c>
      <c r="BD418" s="7">
        <f>IF(ISBLANK(AZ418), 0, VLOOKUP(AZ418, 'Price Sheet'!$A$2:$B1015, 2, false))</f>
        <v>0</v>
      </c>
      <c r="BE418" s="33" t="str">
        <f t="shared" si="16"/>
        <v/>
      </c>
      <c r="BF418" s="37"/>
      <c r="BG418" s="29"/>
      <c r="BH418" s="29" t="b">
        <v>0</v>
      </c>
      <c r="BI418" s="22" t="str">
        <f t="shared" si="17"/>
        <v/>
      </c>
      <c r="BJ418" s="7">
        <f>IF(ISBLANK(BF418), 0, VLOOKUP(BF418, 'Price Sheet'!$A$2:$B1015, 2, false))</f>
        <v>0</v>
      </c>
      <c r="BK418" s="33" t="str">
        <f t="shared" si="18"/>
        <v/>
      </c>
      <c r="BL418" s="37"/>
      <c r="BM418" s="29"/>
      <c r="BN418" s="29" t="b">
        <v>0</v>
      </c>
      <c r="BO418" s="22" t="str">
        <f t="shared" si="19"/>
        <v/>
      </c>
      <c r="BP418" s="7">
        <f>IF(ISBLANK(BL418), 0, VLOOKUP(BL418, 'Price Sheet'!$A$2:$B1015, 2, false))</f>
        <v>0</v>
      </c>
      <c r="BQ418" s="33" t="str">
        <f t="shared" si="20"/>
        <v/>
      </c>
    </row>
    <row r="419">
      <c r="B419" s="19"/>
      <c r="C419" s="29"/>
      <c r="D419" s="29"/>
      <c r="E419" s="7" t="str">
        <f>IF(ISBLANK(D419), "", VLOOKUP(D419,'Crafting Tables'!$A$2:$B1015, 2, false))</f>
        <v/>
      </c>
      <c r="F419" s="7" t="str">
        <f>IFERROR(IF(E419 = "None", 1, VLOOKUP(C419,General!$A$5:$L$35, SWITCH(E419, "Basic", 8, "Advanced", 10, "Modern", 12), false)),"")</f>
        <v/>
      </c>
      <c r="G419" s="29"/>
      <c r="H419" s="7">
        <f>IFERROR(VLOOKUP(C419, General!$A$5:$L$35, 6, false) * G419 / 1000, 0)</f>
        <v>0</v>
      </c>
      <c r="I419" s="29"/>
      <c r="J419" s="22" t="str">
        <f>IFERROR(I419*VLOOKUP(D419,'Crafting Tables'!$1:$1000, 4, false)*F419,"")</f>
        <v/>
      </c>
      <c r="K419" s="29" t="b">
        <v>0</v>
      </c>
      <c r="L419" s="37"/>
      <c r="M419" s="29"/>
      <c r="N419" s="21" t="str">
        <f t="shared" si="2"/>
        <v/>
      </c>
      <c r="P419" s="37"/>
      <c r="Q419" s="29"/>
      <c r="R419" s="29" t="b">
        <v>0</v>
      </c>
      <c r="S419" s="22" t="str">
        <f t="shared" si="3"/>
        <v/>
      </c>
      <c r="T419" s="7">
        <f>IF(ISBLANK(P419), 0, VLOOKUP(P419, 'Price Sheet'!$A$2:$B1015, 2, false))</f>
        <v>0</v>
      </c>
      <c r="U419" s="33" t="str">
        <f t="shared" si="4"/>
        <v/>
      </c>
      <c r="V419" s="37"/>
      <c r="W419" s="29"/>
      <c r="X419" s="29" t="b">
        <v>0</v>
      </c>
      <c r="Y419" s="22" t="str">
        <f t="shared" si="5"/>
        <v/>
      </c>
      <c r="Z419" s="7">
        <f>IF(ISBLANK(V419), 0, VLOOKUP(V419, 'Price Sheet'!$A$2:$B1015, 2, false))</f>
        <v>0</v>
      </c>
      <c r="AA419" s="33" t="str">
        <f t="shared" si="6"/>
        <v/>
      </c>
      <c r="AB419" s="37"/>
      <c r="AC419" s="29"/>
      <c r="AD419" s="29" t="b">
        <v>0</v>
      </c>
      <c r="AE419" s="22" t="str">
        <f t="shared" si="7"/>
        <v/>
      </c>
      <c r="AF419" s="7">
        <f>IF(ISBLANK(AB419), 0, VLOOKUP(AB419, 'Price Sheet'!$A$2:$B1015, 2, false))</f>
        <v>0</v>
      </c>
      <c r="AG419" s="33" t="str">
        <f t="shared" si="8"/>
        <v/>
      </c>
      <c r="AH419" s="37"/>
      <c r="AI419" s="29"/>
      <c r="AJ419" s="29" t="b">
        <v>0</v>
      </c>
      <c r="AK419" s="22" t="str">
        <f t="shared" si="9"/>
        <v/>
      </c>
      <c r="AL419" s="7">
        <f>IF(ISBLANK(AH419), 0, VLOOKUP(AH419, 'Price Sheet'!$A$2:$B1015, 2, false))</f>
        <v>0</v>
      </c>
      <c r="AM419" s="33" t="str">
        <f t="shared" si="10"/>
        <v/>
      </c>
      <c r="AN419" s="37"/>
      <c r="AO419" s="29"/>
      <c r="AP419" s="29" t="b">
        <v>0</v>
      </c>
      <c r="AQ419" s="22" t="str">
        <f t="shared" si="11"/>
        <v/>
      </c>
      <c r="AR419" s="7">
        <f>IF(ISBLANK(AN419), 0, VLOOKUP(AN419, 'Price Sheet'!$A$2:$B1015, 2, false))</f>
        <v>0</v>
      </c>
      <c r="AS419" s="33" t="str">
        <f t="shared" si="12"/>
        <v/>
      </c>
      <c r="AT419" s="37"/>
      <c r="AU419" s="29"/>
      <c r="AV419" s="29" t="b">
        <v>0</v>
      </c>
      <c r="AW419" s="22" t="str">
        <f t="shared" si="13"/>
        <v/>
      </c>
      <c r="AX419" s="7">
        <f>IF(ISBLANK(AT419), 0, VLOOKUP(AT419, 'Price Sheet'!$A$2:$B1015, 2, false))</f>
        <v>0</v>
      </c>
      <c r="AY419" s="33" t="str">
        <f t="shared" si="14"/>
        <v/>
      </c>
      <c r="AZ419" s="37"/>
      <c r="BA419" s="29"/>
      <c r="BB419" s="29" t="b">
        <v>0</v>
      </c>
      <c r="BC419" s="22" t="str">
        <f t="shared" si="15"/>
        <v/>
      </c>
      <c r="BD419" s="7">
        <f>IF(ISBLANK(AZ419), 0, VLOOKUP(AZ419, 'Price Sheet'!$A$2:$B1015, 2, false))</f>
        <v>0</v>
      </c>
      <c r="BE419" s="33" t="str">
        <f t="shared" si="16"/>
        <v/>
      </c>
      <c r="BF419" s="37"/>
      <c r="BG419" s="29"/>
      <c r="BH419" s="29" t="b">
        <v>0</v>
      </c>
      <c r="BI419" s="22" t="str">
        <f t="shared" si="17"/>
        <v/>
      </c>
      <c r="BJ419" s="7">
        <f>IF(ISBLANK(BF419), 0, VLOOKUP(BF419, 'Price Sheet'!$A$2:$B1015, 2, false))</f>
        <v>0</v>
      </c>
      <c r="BK419" s="33" t="str">
        <f t="shared" si="18"/>
        <v/>
      </c>
      <c r="BL419" s="37"/>
      <c r="BM419" s="29"/>
      <c r="BN419" s="29" t="b">
        <v>0</v>
      </c>
      <c r="BO419" s="22" t="str">
        <f t="shared" si="19"/>
        <v/>
      </c>
      <c r="BP419" s="7">
        <f>IF(ISBLANK(BL419), 0, VLOOKUP(BL419, 'Price Sheet'!$A$2:$B1015, 2, false))</f>
        <v>0</v>
      </c>
      <c r="BQ419" s="33" t="str">
        <f t="shared" si="20"/>
        <v/>
      </c>
    </row>
    <row r="420">
      <c r="B420" s="19"/>
      <c r="C420" s="29"/>
      <c r="D420" s="29"/>
      <c r="E420" s="7" t="str">
        <f>IF(ISBLANK(D420), "", VLOOKUP(D420,'Crafting Tables'!$A$2:$B1015, 2, false))</f>
        <v/>
      </c>
      <c r="F420" s="7" t="str">
        <f>IFERROR(IF(E420 = "None", 1, VLOOKUP(C420,General!$A$5:$L$35, SWITCH(E420, "Basic", 8, "Advanced", 10, "Modern", 12), false)),"")</f>
        <v/>
      </c>
      <c r="G420" s="29"/>
      <c r="H420" s="7">
        <f>IFERROR(VLOOKUP(C420, General!$A$5:$L$35, 6, false) * G420 / 1000, 0)</f>
        <v>0</v>
      </c>
      <c r="I420" s="29"/>
      <c r="J420" s="22" t="str">
        <f>IFERROR(I420*VLOOKUP(D420,'Crafting Tables'!$1:$1000, 4, false)*F420,"")</f>
        <v/>
      </c>
      <c r="K420" s="29" t="b">
        <v>0</v>
      </c>
      <c r="L420" s="37"/>
      <c r="M420" s="29"/>
      <c r="N420" s="21" t="str">
        <f t="shared" si="2"/>
        <v/>
      </c>
      <c r="P420" s="37"/>
      <c r="Q420" s="29"/>
      <c r="R420" s="29" t="b">
        <v>0</v>
      </c>
      <c r="S420" s="22" t="str">
        <f t="shared" si="3"/>
        <v/>
      </c>
      <c r="T420" s="7">
        <f>IF(ISBLANK(P420), 0, VLOOKUP(P420, 'Price Sheet'!$A$2:$B1015, 2, false))</f>
        <v>0</v>
      </c>
      <c r="U420" s="33" t="str">
        <f t="shared" si="4"/>
        <v/>
      </c>
      <c r="V420" s="37"/>
      <c r="W420" s="29"/>
      <c r="X420" s="29" t="b">
        <v>0</v>
      </c>
      <c r="Y420" s="22" t="str">
        <f t="shared" si="5"/>
        <v/>
      </c>
      <c r="Z420" s="7">
        <f>IF(ISBLANK(V420), 0, VLOOKUP(V420, 'Price Sheet'!$A$2:$B1015, 2, false))</f>
        <v>0</v>
      </c>
      <c r="AA420" s="33" t="str">
        <f t="shared" si="6"/>
        <v/>
      </c>
      <c r="AB420" s="37"/>
      <c r="AC420" s="29"/>
      <c r="AD420" s="29" t="b">
        <v>0</v>
      </c>
      <c r="AE420" s="22" t="str">
        <f t="shared" si="7"/>
        <v/>
      </c>
      <c r="AF420" s="7">
        <f>IF(ISBLANK(AB420), 0, VLOOKUP(AB420, 'Price Sheet'!$A$2:$B1015, 2, false))</f>
        <v>0</v>
      </c>
      <c r="AG420" s="33" t="str">
        <f t="shared" si="8"/>
        <v/>
      </c>
      <c r="AH420" s="37"/>
      <c r="AI420" s="29"/>
      <c r="AJ420" s="29" t="b">
        <v>0</v>
      </c>
      <c r="AK420" s="22" t="str">
        <f t="shared" si="9"/>
        <v/>
      </c>
      <c r="AL420" s="7">
        <f>IF(ISBLANK(AH420), 0, VLOOKUP(AH420, 'Price Sheet'!$A$2:$B1015, 2, false))</f>
        <v>0</v>
      </c>
      <c r="AM420" s="33" t="str">
        <f t="shared" si="10"/>
        <v/>
      </c>
      <c r="AN420" s="37"/>
      <c r="AO420" s="29"/>
      <c r="AP420" s="29" t="b">
        <v>0</v>
      </c>
      <c r="AQ420" s="22" t="str">
        <f t="shared" si="11"/>
        <v/>
      </c>
      <c r="AR420" s="7">
        <f>IF(ISBLANK(AN420), 0, VLOOKUP(AN420, 'Price Sheet'!$A$2:$B1015, 2, false))</f>
        <v>0</v>
      </c>
      <c r="AS420" s="33" t="str">
        <f t="shared" si="12"/>
        <v/>
      </c>
      <c r="AT420" s="37"/>
      <c r="AU420" s="29"/>
      <c r="AV420" s="29" t="b">
        <v>0</v>
      </c>
      <c r="AW420" s="22" t="str">
        <f t="shared" si="13"/>
        <v/>
      </c>
      <c r="AX420" s="7">
        <f>IF(ISBLANK(AT420), 0, VLOOKUP(AT420, 'Price Sheet'!$A$2:$B1015, 2, false))</f>
        <v>0</v>
      </c>
      <c r="AY420" s="33" t="str">
        <f t="shared" si="14"/>
        <v/>
      </c>
      <c r="AZ420" s="37"/>
      <c r="BA420" s="29"/>
      <c r="BB420" s="29" t="b">
        <v>0</v>
      </c>
      <c r="BC420" s="22" t="str">
        <f t="shared" si="15"/>
        <v/>
      </c>
      <c r="BD420" s="7">
        <f>IF(ISBLANK(AZ420), 0, VLOOKUP(AZ420, 'Price Sheet'!$A$2:$B1015, 2, false))</f>
        <v>0</v>
      </c>
      <c r="BE420" s="33" t="str">
        <f t="shared" si="16"/>
        <v/>
      </c>
      <c r="BF420" s="37"/>
      <c r="BG420" s="29"/>
      <c r="BH420" s="29" t="b">
        <v>0</v>
      </c>
      <c r="BI420" s="22" t="str">
        <f t="shared" si="17"/>
        <v/>
      </c>
      <c r="BJ420" s="7">
        <f>IF(ISBLANK(BF420), 0, VLOOKUP(BF420, 'Price Sheet'!$A$2:$B1015, 2, false))</f>
        <v>0</v>
      </c>
      <c r="BK420" s="33" t="str">
        <f t="shared" si="18"/>
        <v/>
      </c>
      <c r="BL420" s="37"/>
      <c r="BM420" s="29"/>
      <c r="BN420" s="29" t="b">
        <v>0</v>
      </c>
      <c r="BO420" s="22" t="str">
        <f t="shared" si="19"/>
        <v/>
      </c>
      <c r="BP420" s="7">
        <f>IF(ISBLANK(BL420), 0, VLOOKUP(BL420, 'Price Sheet'!$A$2:$B1015, 2, false))</f>
        <v>0</v>
      </c>
      <c r="BQ420" s="33" t="str">
        <f t="shared" si="20"/>
        <v/>
      </c>
    </row>
    <row r="421">
      <c r="B421" s="19"/>
      <c r="C421" s="29"/>
      <c r="D421" s="29"/>
      <c r="E421" s="7" t="str">
        <f>IF(ISBLANK(D421), "", VLOOKUP(D421,'Crafting Tables'!$A$2:$B1015, 2, false))</f>
        <v/>
      </c>
      <c r="F421" s="7" t="str">
        <f>IFERROR(IF(E421 = "None", 1, VLOOKUP(C421,General!$A$5:$L$35, SWITCH(E421, "Basic", 8, "Advanced", 10, "Modern", 12), false)),"")</f>
        <v/>
      </c>
      <c r="G421" s="29"/>
      <c r="H421" s="7">
        <f>IFERROR(VLOOKUP(C421, General!$A$5:$L$35, 6, false) * G421 / 1000, 0)</f>
        <v>0</v>
      </c>
      <c r="I421" s="29"/>
      <c r="J421" s="22" t="str">
        <f>IFERROR(I421*VLOOKUP(D421,'Crafting Tables'!$1:$1000, 4, false)*F421,"")</f>
        <v/>
      </c>
      <c r="K421" s="29" t="b">
        <v>0</v>
      </c>
      <c r="L421" s="37"/>
      <c r="M421" s="29"/>
      <c r="N421" s="21" t="str">
        <f t="shared" si="2"/>
        <v/>
      </c>
      <c r="P421" s="37"/>
      <c r="Q421" s="29"/>
      <c r="R421" s="29" t="b">
        <v>0</v>
      </c>
      <c r="S421" s="22" t="str">
        <f t="shared" si="3"/>
        <v/>
      </c>
      <c r="T421" s="7">
        <f>IF(ISBLANK(P421), 0, VLOOKUP(P421, 'Price Sheet'!$A$2:$B1015, 2, false))</f>
        <v>0</v>
      </c>
      <c r="U421" s="33" t="str">
        <f t="shared" si="4"/>
        <v/>
      </c>
      <c r="V421" s="37"/>
      <c r="W421" s="29"/>
      <c r="X421" s="29" t="b">
        <v>0</v>
      </c>
      <c r="Y421" s="22" t="str">
        <f t="shared" si="5"/>
        <v/>
      </c>
      <c r="Z421" s="7">
        <f>IF(ISBLANK(V421), 0, VLOOKUP(V421, 'Price Sheet'!$A$2:$B1015, 2, false))</f>
        <v>0</v>
      </c>
      <c r="AA421" s="33" t="str">
        <f t="shared" si="6"/>
        <v/>
      </c>
      <c r="AB421" s="37"/>
      <c r="AC421" s="29"/>
      <c r="AD421" s="29" t="b">
        <v>0</v>
      </c>
      <c r="AE421" s="22" t="str">
        <f t="shared" si="7"/>
        <v/>
      </c>
      <c r="AF421" s="7">
        <f>IF(ISBLANK(AB421), 0, VLOOKUP(AB421, 'Price Sheet'!$A$2:$B1015, 2, false))</f>
        <v>0</v>
      </c>
      <c r="AG421" s="33" t="str">
        <f t="shared" si="8"/>
        <v/>
      </c>
      <c r="AH421" s="37"/>
      <c r="AI421" s="29"/>
      <c r="AJ421" s="29" t="b">
        <v>0</v>
      </c>
      <c r="AK421" s="22" t="str">
        <f t="shared" si="9"/>
        <v/>
      </c>
      <c r="AL421" s="7">
        <f>IF(ISBLANK(AH421), 0, VLOOKUP(AH421, 'Price Sheet'!$A$2:$B1015, 2, false))</f>
        <v>0</v>
      </c>
      <c r="AM421" s="33" t="str">
        <f t="shared" si="10"/>
        <v/>
      </c>
      <c r="AN421" s="37"/>
      <c r="AO421" s="29"/>
      <c r="AP421" s="29" t="b">
        <v>0</v>
      </c>
      <c r="AQ421" s="22" t="str">
        <f t="shared" si="11"/>
        <v/>
      </c>
      <c r="AR421" s="7">
        <f>IF(ISBLANK(AN421), 0, VLOOKUP(AN421, 'Price Sheet'!$A$2:$B1015, 2, false))</f>
        <v>0</v>
      </c>
      <c r="AS421" s="33" t="str">
        <f t="shared" si="12"/>
        <v/>
      </c>
      <c r="AT421" s="37"/>
      <c r="AU421" s="29"/>
      <c r="AV421" s="29" t="b">
        <v>0</v>
      </c>
      <c r="AW421" s="22" t="str">
        <f t="shared" si="13"/>
        <v/>
      </c>
      <c r="AX421" s="7">
        <f>IF(ISBLANK(AT421), 0, VLOOKUP(AT421, 'Price Sheet'!$A$2:$B1015, 2, false))</f>
        <v>0</v>
      </c>
      <c r="AY421" s="33" t="str">
        <f t="shared" si="14"/>
        <v/>
      </c>
      <c r="AZ421" s="37"/>
      <c r="BA421" s="29"/>
      <c r="BB421" s="29" t="b">
        <v>0</v>
      </c>
      <c r="BC421" s="22" t="str">
        <f t="shared" si="15"/>
        <v/>
      </c>
      <c r="BD421" s="7">
        <f>IF(ISBLANK(AZ421), 0, VLOOKUP(AZ421, 'Price Sheet'!$A$2:$B1015, 2, false))</f>
        <v>0</v>
      </c>
      <c r="BE421" s="33" t="str">
        <f t="shared" si="16"/>
        <v/>
      </c>
      <c r="BF421" s="37"/>
      <c r="BG421" s="29"/>
      <c r="BH421" s="29" t="b">
        <v>0</v>
      </c>
      <c r="BI421" s="22" t="str">
        <f t="shared" si="17"/>
        <v/>
      </c>
      <c r="BJ421" s="7">
        <f>IF(ISBLANK(BF421), 0, VLOOKUP(BF421, 'Price Sheet'!$A$2:$B1015, 2, false))</f>
        <v>0</v>
      </c>
      <c r="BK421" s="33" t="str">
        <f t="shared" si="18"/>
        <v/>
      </c>
      <c r="BL421" s="37"/>
      <c r="BM421" s="29"/>
      <c r="BN421" s="29" t="b">
        <v>0</v>
      </c>
      <c r="BO421" s="22" t="str">
        <f t="shared" si="19"/>
        <v/>
      </c>
      <c r="BP421" s="7">
        <f>IF(ISBLANK(BL421), 0, VLOOKUP(BL421, 'Price Sheet'!$A$2:$B1015, 2, false))</f>
        <v>0</v>
      </c>
      <c r="BQ421" s="33" t="str">
        <f t="shared" si="20"/>
        <v/>
      </c>
    </row>
    <row r="422">
      <c r="B422" s="19"/>
      <c r="C422" s="29"/>
      <c r="D422" s="29"/>
      <c r="E422" s="7" t="str">
        <f>IF(ISBLANK(D422), "", VLOOKUP(D422,'Crafting Tables'!$A$2:$B1015, 2, false))</f>
        <v/>
      </c>
      <c r="F422" s="7" t="str">
        <f>IFERROR(IF(E422 = "None", 1, VLOOKUP(C422,General!$A$5:$L$35, SWITCH(E422, "Basic", 8, "Advanced", 10, "Modern", 12), false)),"")</f>
        <v/>
      </c>
      <c r="G422" s="29"/>
      <c r="H422" s="7">
        <f>IFERROR(VLOOKUP(C422, General!$A$5:$L$35, 6, false) * G422 / 1000, 0)</f>
        <v>0</v>
      </c>
      <c r="I422" s="29"/>
      <c r="J422" s="22" t="str">
        <f>IFERROR(I422*VLOOKUP(D422,'Crafting Tables'!$1:$1000, 4, false)*F422,"")</f>
        <v/>
      </c>
      <c r="K422" s="29" t="b">
        <v>0</v>
      </c>
      <c r="L422" s="37"/>
      <c r="M422" s="29"/>
      <c r="N422" s="21" t="str">
        <f t="shared" si="2"/>
        <v/>
      </c>
      <c r="P422" s="37"/>
      <c r="Q422" s="29"/>
      <c r="R422" s="29" t="b">
        <v>0</v>
      </c>
      <c r="S422" s="22" t="str">
        <f t="shared" si="3"/>
        <v/>
      </c>
      <c r="T422" s="7">
        <f>IF(ISBLANK(P422), 0, VLOOKUP(P422, 'Price Sheet'!$A$2:$B1015, 2, false))</f>
        <v>0</v>
      </c>
      <c r="U422" s="33" t="str">
        <f t="shared" si="4"/>
        <v/>
      </c>
      <c r="V422" s="37"/>
      <c r="W422" s="29"/>
      <c r="X422" s="29" t="b">
        <v>0</v>
      </c>
      <c r="Y422" s="22" t="str">
        <f t="shared" si="5"/>
        <v/>
      </c>
      <c r="Z422" s="7">
        <f>IF(ISBLANK(V422), 0, VLOOKUP(V422, 'Price Sheet'!$A$2:$B1015, 2, false))</f>
        <v>0</v>
      </c>
      <c r="AA422" s="33" t="str">
        <f t="shared" si="6"/>
        <v/>
      </c>
      <c r="AB422" s="37"/>
      <c r="AC422" s="29"/>
      <c r="AD422" s="29" t="b">
        <v>0</v>
      </c>
      <c r="AE422" s="22" t="str">
        <f t="shared" si="7"/>
        <v/>
      </c>
      <c r="AF422" s="7">
        <f>IF(ISBLANK(AB422), 0, VLOOKUP(AB422, 'Price Sheet'!$A$2:$B1015, 2, false))</f>
        <v>0</v>
      </c>
      <c r="AG422" s="33" t="str">
        <f t="shared" si="8"/>
        <v/>
      </c>
      <c r="AH422" s="37"/>
      <c r="AI422" s="29"/>
      <c r="AJ422" s="29" t="b">
        <v>0</v>
      </c>
      <c r="AK422" s="22" t="str">
        <f t="shared" si="9"/>
        <v/>
      </c>
      <c r="AL422" s="7">
        <f>IF(ISBLANK(AH422), 0, VLOOKUP(AH422, 'Price Sheet'!$A$2:$B1015, 2, false))</f>
        <v>0</v>
      </c>
      <c r="AM422" s="33" t="str">
        <f t="shared" si="10"/>
        <v/>
      </c>
      <c r="AN422" s="37"/>
      <c r="AO422" s="29"/>
      <c r="AP422" s="29" t="b">
        <v>0</v>
      </c>
      <c r="AQ422" s="22" t="str">
        <f t="shared" si="11"/>
        <v/>
      </c>
      <c r="AR422" s="7">
        <f>IF(ISBLANK(AN422), 0, VLOOKUP(AN422, 'Price Sheet'!$A$2:$B1015, 2, false))</f>
        <v>0</v>
      </c>
      <c r="AS422" s="33" t="str">
        <f t="shared" si="12"/>
        <v/>
      </c>
      <c r="AT422" s="37"/>
      <c r="AU422" s="29"/>
      <c r="AV422" s="29" t="b">
        <v>0</v>
      </c>
      <c r="AW422" s="22" t="str">
        <f t="shared" si="13"/>
        <v/>
      </c>
      <c r="AX422" s="7">
        <f>IF(ISBLANK(AT422), 0, VLOOKUP(AT422, 'Price Sheet'!$A$2:$B1015, 2, false))</f>
        <v>0</v>
      </c>
      <c r="AY422" s="33" t="str">
        <f t="shared" si="14"/>
        <v/>
      </c>
      <c r="AZ422" s="37"/>
      <c r="BA422" s="29"/>
      <c r="BB422" s="29" t="b">
        <v>0</v>
      </c>
      <c r="BC422" s="22" t="str">
        <f t="shared" si="15"/>
        <v/>
      </c>
      <c r="BD422" s="7">
        <f>IF(ISBLANK(AZ422), 0, VLOOKUP(AZ422, 'Price Sheet'!$A$2:$B1015, 2, false))</f>
        <v>0</v>
      </c>
      <c r="BE422" s="33" t="str">
        <f t="shared" si="16"/>
        <v/>
      </c>
      <c r="BF422" s="37"/>
      <c r="BG422" s="29"/>
      <c r="BH422" s="29" t="b">
        <v>0</v>
      </c>
      <c r="BI422" s="22" t="str">
        <f t="shared" si="17"/>
        <v/>
      </c>
      <c r="BJ422" s="7">
        <f>IF(ISBLANK(BF422), 0, VLOOKUP(BF422, 'Price Sheet'!$A$2:$B1015, 2, false))</f>
        <v>0</v>
      </c>
      <c r="BK422" s="33" t="str">
        <f t="shared" si="18"/>
        <v/>
      </c>
      <c r="BL422" s="37"/>
      <c r="BM422" s="29"/>
      <c r="BN422" s="29" t="b">
        <v>0</v>
      </c>
      <c r="BO422" s="22" t="str">
        <f t="shared" si="19"/>
        <v/>
      </c>
      <c r="BP422" s="7">
        <f>IF(ISBLANK(BL422), 0, VLOOKUP(BL422, 'Price Sheet'!$A$2:$B1015, 2, false))</f>
        <v>0</v>
      </c>
      <c r="BQ422" s="33" t="str">
        <f t="shared" si="20"/>
        <v/>
      </c>
    </row>
    <row r="423">
      <c r="B423" s="19"/>
      <c r="C423" s="29"/>
      <c r="D423" s="29"/>
      <c r="E423" s="7" t="str">
        <f>IF(ISBLANK(D423), "", VLOOKUP(D423,'Crafting Tables'!$A$2:$B1015, 2, false))</f>
        <v/>
      </c>
      <c r="F423" s="7" t="str">
        <f>IFERROR(IF(E423 = "None", 1, VLOOKUP(C423,General!$A$5:$L$35, SWITCH(E423, "Basic", 8, "Advanced", 10, "Modern", 12), false)),"")</f>
        <v/>
      </c>
      <c r="G423" s="29"/>
      <c r="H423" s="7">
        <f>IFERROR(VLOOKUP(C423, General!$A$5:$L$35, 6, false) * G423 / 1000, 0)</f>
        <v>0</v>
      </c>
      <c r="I423" s="29"/>
      <c r="J423" s="22" t="str">
        <f>IFERROR(I423*VLOOKUP(D423,'Crafting Tables'!$1:$1000, 4, false)*F423,"")</f>
        <v/>
      </c>
      <c r="K423" s="29" t="b">
        <v>0</v>
      </c>
      <c r="L423" s="37"/>
      <c r="M423" s="29"/>
      <c r="N423" s="21" t="str">
        <f t="shared" si="2"/>
        <v/>
      </c>
      <c r="P423" s="37"/>
      <c r="Q423" s="29"/>
      <c r="R423" s="29" t="b">
        <v>0</v>
      </c>
      <c r="S423" s="22" t="str">
        <f t="shared" si="3"/>
        <v/>
      </c>
      <c r="T423" s="7">
        <f>IF(ISBLANK(P423), 0, VLOOKUP(P423, 'Price Sheet'!$A$2:$B1015, 2, false))</f>
        <v>0</v>
      </c>
      <c r="U423" s="33" t="str">
        <f t="shared" si="4"/>
        <v/>
      </c>
      <c r="V423" s="37"/>
      <c r="W423" s="29"/>
      <c r="X423" s="29" t="b">
        <v>0</v>
      </c>
      <c r="Y423" s="22" t="str">
        <f t="shared" si="5"/>
        <v/>
      </c>
      <c r="Z423" s="7">
        <f>IF(ISBLANK(V423), 0, VLOOKUP(V423, 'Price Sheet'!$A$2:$B1015, 2, false))</f>
        <v>0</v>
      </c>
      <c r="AA423" s="33" t="str">
        <f t="shared" si="6"/>
        <v/>
      </c>
      <c r="AB423" s="37"/>
      <c r="AC423" s="29"/>
      <c r="AD423" s="29" t="b">
        <v>0</v>
      </c>
      <c r="AE423" s="22" t="str">
        <f t="shared" si="7"/>
        <v/>
      </c>
      <c r="AF423" s="7">
        <f>IF(ISBLANK(AB423), 0, VLOOKUP(AB423, 'Price Sheet'!$A$2:$B1015, 2, false))</f>
        <v>0</v>
      </c>
      <c r="AG423" s="33" t="str">
        <f t="shared" si="8"/>
        <v/>
      </c>
      <c r="AH423" s="37"/>
      <c r="AI423" s="29"/>
      <c r="AJ423" s="29" t="b">
        <v>0</v>
      </c>
      <c r="AK423" s="22" t="str">
        <f t="shared" si="9"/>
        <v/>
      </c>
      <c r="AL423" s="7">
        <f>IF(ISBLANK(AH423), 0, VLOOKUP(AH423, 'Price Sheet'!$A$2:$B1015, 2, false))</f>
        <v>0</v>
      </c>
      <c r="AM423" s="33" t="str">
        <f t="shared" si="10"/>
        <v/>
      </c>
      <c r="AN423" s="37"/>
      <c r="AO423" s="29"/>
      <c r="AP423" s="29" t="b">
        <v>0</v>
      </c>
      <c r="AQ423" s="22" t="str">
        <f t="shared" si="11"/>
        <v/>
      </c>
      <c r="AR423" s="7">
        <f>IF(ISBLANK(AN423), 0, VLOOKUP(AN423, 'Price Sheet'!$A$2:$B1015, 2, false))</f>
        <v>0</v>
      </c>
      <c r="AS423" s="33" t="str">
        <f t="shared" si="12"/>
        <v/>
      </c>
      <c r="AT423" s="37"/>
      <c r="AU423" s="29"/>
      <c r="AV423" s="29" t="b">
        <v>0</v>
      </c>
      <c r="AW423" s="22" t="str">
        <f t="shared" si="13"/>
        <v/>
      </c>
      <c r="AX423" s="7">
        <f>IF(ISBLANK(AT423), 0, VLOOKUP(AT423, 'Price Sheet'!$A$2:$B1015, 2, false))</f>
        <v>0</v>
      </c>
      <c r="AY423" s="33" t="str">
        <f t="shared" si="14"/>
        <v/>
      </c>
      <c r="AZ423" s="37"/>
      <c r="BA423" s="29"/>
      <c r="BB423" s="29" t="b">
        <v>0</v>
      </c>
      <c r="BC423" s="22" t="str">
        <f t="shared" si="15"/>
        <v/>
      </c>
      <c r="BD423" s="7">
        <f>IF(ISBLANK(AZ423), 0, VLOOKUP(AZ423, 'Price Sheet'!$A$2:$B1015, 2, false))</f>
        <v>0</v>
      </c>
      <c r="BE423" s="33" t="str">
        <f t="shared" si="16"/>
        <v/>
      </c>
      <c r="BF423" s="37"/>
      <c r="BG423" s="29"/>
      <c r="BH423" s="29" t="b">
        <v>0</v>
      </c>
      <c r="BI423" s="22" t="str">
        <f t="shared" si="17"/>
        <v/>
      </c>
      <c r="BJ423" s="7">
        <f>IF(ISBLANK(BF423), 0, VLOOKUP(BF423, 'Price Sheet'!$A$2:$B1015, 2, false))</f>
        <v>0</v>
      </c>
      <c r="BK423" s="33" t="str">
        <f t="shared" si="18"/>
        <v/>
      </c>
      <c r="BL423" s="37"/>
      <c r="BM423" s="29"/>
      <c r="BN423" s="29" t="b">
        <v>0</v>
      </c>
      <c r="BO423" s="22" t="str">
        <f t="shared" si="19"/>
        <v/>
      </c>
      <c r="BP423" s="7">
        <f>IF(ISBLANK(BL423), 0, VLOOKUP(BL423, 'Price Sheet'!$A$2:$B1015, 2, false))</f>
        <v>0</v>
      </c>
      <c r="BQ423" s="33" t="str">
        <f t="shared" si="20"/>
        <v/>
      </c>
    </row>
    <row r="424">
      <c r="B424" s="19"/>
      <c r="C424" s="29"/>
      <c r="D424" s="29"/>
      <c r="E424" s="7" t="str">
        <f>IF(ISBLANK(D424), "", VLOOKUP(D424,'Crafting Tables'!$A$2:$B1015, 2, false))</f>
        <v/>
      </c>
      <c r="F424" s="7" t="str">
        <f>IFERROR(IF(E424 = "None", 1, VLOOKUP(C424,General!$A$5:$L$35, SWITCH(E424, "Basic", 8, "Advanced", 10, "Modern", 12), false)),"")</f>
        <v/>
      </c>
      <c r="G424" s="29"/>
      <c r="H424" s="7">
        <f>IFERROR(VLOOKUP(C424, General!$A$5:$L$35, 6, false) * G424 / 1000, 0)</f>
        <v>0</v>
      </c>
      <c r="I424" s="29"/>
      <c r="J424" s="22" t="str">
        <f>IFERROR(I424*VLOOKUP(D424,'Crafting Tables'!$1:$1000, 4, false)*F424,"")</f>
        <v/>
      </c>
      <c r="K424" s="29" t="b">
        <v>0</v>
      </c>
      <c r="L424" s="37"/>
      <c r="M424" s="29"/>
      <c r="N424" s="21" t="str">
        <f t="shared" si="2"/>
        <v/>
      </c>
      <c r="P424" s="37"/>
      <c r="Q424" s="29"/>
      <c r="R424" s="29" t="b">
        <v>0</v>
      </c>
      <c r="S424" s="22" t="str">
        <f t="shared" si="3"/>
        <v/>
      </c>
      <c r="T424" s="7">
        <f>IF(ISBLANK(P424), 0, VLOOKUP(P424, 'Price Sheet'!$A$2:$B1015, 2, false))</f>
        <v>0</v>
      </c>
      <c r="U424" s="33" t="str">
        <f t="shared" si="4"/>
        <v/>
      </c>
      <c r="V424" s="37"/>
      <c r="W424" s="29"/>
      <c r="X424" s="29" t="b">
        <v>0</v>
      </c>
      <c r="Y424" s="22" t="str">
        <f t="shared" si="5"/>
        <v/>
      </c>
      <c r="Z424" s="7">
        <f>IF(ISBLANK(V424), 0, VLOOKUP(V424, 'Price Sheet'!$A$2:$B1015, 2, false))</f>
        <v>0</v>
      </c>
      <c r="AA424" s="33" t="str">
        <f t="shared" si="6"/>
        <v/>
      </c>
      <c r="AB424" s="37"/>
      <c r="AC424" s="29"/>
      <c r="AD424" s="29" t="b">
        <v>0</v>
      </c>
      <c r="AE424" s="22" t="str">
        <f t="shared" si="7"/>
        <v/>
      </c>
      <c r="AF424" s="7">
        <f>IF(ISBLANK(AB424), 0, VLOOKUP(AB424, 'Price Sheet'!$A$2:$B1015, 2, false))</f>
        <v>0</v>
      </c>
      <c r="AG424" s="33" t="str">
        <f t="shared" si="8"/>
        <v/>
      </c>
      <c r="AH424" s="37"/>
      <c r="AI424" s="29"/>
      <c r="AJ424" s="29" t="b">
        <v>0</v>
      </c>
      <c r="AK424" s="22" t="str">
        <f t="shared" si="9"/>
        <v/>
      </c>
      <c r="AL424" s="7">
        <f>IF(ISBLANK(AH424), 0, VLOOKUP(AH424, 'Price Sheet'!$A$2:$B1015, 2, false))</f>
        <v>0</v>
      </c>
      <c r="AM424" s="33" t="str">
        <f t="shared" si="10"/>
        <v/>
      </c>
      <c r="AN424" s="37"/>
      <c r="AO424" s="29"/>
      <c r="AP424" s="29" t="b">
        <v>0</v>
      </c>
      <c r="AQ424" s="22" t="str">
        <f t="shared" si="11"/>
        <v/>
      </c>
      <c r="AR424" s="7">
        <f>IF(ISBLANK(AN424), 0, VLOOKUP(AN424, 'Price Sheet'!$A$2:$B1015, 2, false))</f>
        <v>0</v>
      </c>
      <c r="AS424" s="33" t="str">
        <f t="shared" si="12"/>
        <v/>
      </c>
      <c r="AT424" s="37"/>
      <c r="AU424" s="29"/>
      <c r="AV424" s="29" t="b">
        <v>0</v>
      </c>
      <c r="AW424" s="22" t="str">
        <f t="shared" si="13"/>
        <v/>
      </c>
      <c r="AX424" s="7">
        <f>IF(ISBLANK(AT424), 0, VLOOKUP(AT424, 'Price Sheet'!$A$2:$B1015, 2, false))</f>
        <v>0</v>
      </c>
      <c r="AY424" s="33" t="str">
        <f t="shared" si="14"/>
        <v/>
      </c>
      <c r="AZ424" s="37"/>
      <c r="BA424" s="29"/>
      <c r="BB424" s="29" t="b">
        <v>0</v>
      </c>
      <c r="BC424" s="22" t="str">
        <f t="shared" si="15"/>
        <v/>
      </c>
      <c r="BD424" s="7">
        <f>IF(ISBLANK(AZ424), 0, VLOOKUP(AZ424, 'Price Sheet'!$A$2:$B1015, 2, false))</f>
        <v>0</v>
      </c>
      <c r="BE424" s="33" t="str">
        <f t="shared" si="16"/>
        <v/>
      </c>
      <c r="BF424" s="37"/>
      <c r="BG424" s="29"/>
      <c r="BH424" s="29" t="b">
        <v>0</v>
      </c>
      <c r="BI424" s="22" t="str">
        <f t="shared" si="17"/>
        <v/>
      </c>
      <c r="BJ424" s="7">
        <f>IF(ISBLANK(BF424), 0, VLOOKUP(BF424, 'Price Sheet'!$A$2:$B1015, 2, false))</f>
        <v>0</v>
      </c>
      <c r="BK424" s="33" t="str">
        <f t="shared" si="18"/>
        <v/>
      </c>
      <c r="BL424" s="37"/>
      <c r="BM424" s="29"/>
      <c r="BN424" s="29" t="b">
        <v>0</v>
      </c>
      <c r="BO424" s="22" t="str">
        <f t="shared" si="19"/>
        <v/>
      </c>
      <c r="BP424" s="7">
        <f>IF(ISBLANK(BL424), 0, VLOOKUP(BL424, 'Price Sheet'!$A$2:$B1015, 2, false))</f>
        <v>0</v>
      </c>
      <c r="BQ424" s="33" t="str">
        <f t="shared" si="20"/>
        <v/>
      </c>
    </row>
    <row r="425">
      <c r="B425" s="19"/>
      <c r="C425" s="29"/>
      <c r="D425" s="29"/>
      <c r="E425" s="7" t="str">
        <f>IF(ISBLANK(D425), "", VLOOKUP(D425,'Crafting Tables'!$A$2:$B1015, 2, false))</f>
        <v/>
      </c>
      <c r="F425" s="7" t="str">
        <f>IFERROR(IF(E425 = "None", 1, VLOOKUP(C425,General!$A$5:$L$35, SWITCH(E425, "Basic", 8, "Advanced", 10, "Modern", 12), false)),"")</f>
        <v/>
      </c>
      <c r="G425" s="29"/>
      <c r="H425" s="7">
        <f>IFERROR(VLOOKUP(C425, General!$A$5:$L$35, 6, false) * G425 / 1000, 0)</f>
        <v>0</v>
      </c>
      <c r="I425" s="29"/>
      <c r="J425" s="22" t="str">
        <f>IFERROR(I425*VLOOKUP(D425,'Crafting Tables'!$1:$1000, 4, false)*F425,"")</f>
        <v/>
      </c>
      <c r="K425" s="29" t="b">
        <v>0</v>
      </c>
      <c r="L425" s="37"/>
      <c r="M425" s="29"/>
      <c r="N425" s="21" t="str">
        <f t="shared" si="2"/>
        <v/>
      </c>
      <c r="P425" s="37"/>
      <c r="Q425" s="29"/>
      <c r="R425" s="29" t="b">
        <v>0</v>
      </c>
      <c r="S425" s="22" t="str">
        <f t="shared" si="3"/>
        <v/>
      </c>
      <c r="T425" s="7">
        <f>IF(ISBLANK(P425), 0, VLOOKUP(P425, 'Price Sheet'!$A$2:$B1015, 2, false))</f>
        <v>0</v>
      </c>
      <c r="U425" s="33" t="str">
        <f t="shared" si="4"/>
        <v/>
      </c>
      <c r="V425" s="37"/>
      <c r="W425" s="29"/>
      <c r="X425" s="29" t="b">
        <v>0</v>
      </c>
      <c r="Y425" s="22" t="str">
        <f t="shared" si="5"/>
        <v/>
      </c>
      <c r="Z425" s="7">
        <f>IF(ISBLANK(V425), 0, VLOOKUP(V425, 'Price Sheet'!$A$2:$B1015, 2, false))</f>
        <v>0</v>
      </c>
      <c r="AA425" s="33" t="str">
        <f t="shared" si="6"/>
        <v/>
      </c>
      <c r="AB425" s="37"/>
      <c r="AC425" s="29"/>
      <c r="AD425" s="29" t="b">
        <v>0</v>
      </c>
      <c r="AE425" s="22" t="str">
        <f t="shared" si="7"/>
        <v/>
      </c>
      <c r="AF425" s="7">
        <f>IF(ISBLANK(AB425), 0, VLOOKUP(AB425, 'Price Sheet'!$A$2:$B1015, 2, false))</f>
        <v>0</v>
      </c>
      <c r="AG425" s="33" t="str">
        <f t="shared" si="8"/>
        <v/>
      </c>
      <c r="AH425" s="37"/>
      <c r="AI425" s="29"/>
      <c r="AJ425" s="29" t="b">
        <v>0</v>
      </c>
      <c r="AK425" s="22" t="str">
        <f t="shared" si="9"/>
        <v/>
      </c>
      <c r="AL425" s="7">
        <f>IF(ISBLANK(AH425), 0, VLOOKUP(AH425, 'Price Sheet'!$A$2:$B1015, 2, false))</f>
        <v>0</v>
      </c>
      <c r="AM425" s="33" t="str">
        <f t="shared" si="10"/>
        <v/>
      </c>
      <c r="AN425" s="37"/>
      <c r="AO425" s="29"/>
      <c r="AP425" s="29" t="b">
        <v>0</v>
      </c>
      <c r="AQ425" s="22" t="str">
        <f t="shared" si="11"/>
        <v/>
      </c>
      <c r="AR425" s="7">
        <f>IF(ISBLANK(AN425), 0, VLOOKUP(AN425, 'Price Sheet'!$A$2:$B1015, 2, false))</f>
        <v>0</v>
      </c>
      <c r="AS425" s="33" t="str">
        <f t="shared" si="12"/>
        <v/>
      </c>
      <c r="AT425" s="37"/>
      <c r="AU425" s="29"/>
      <c r="AV425" s="29" t="b">
        <v>0</v>
      </c>
      <c r="AW425" s="22" t="str">
        <f t="shared" si="13"/>
        <v/>
      </c>
      <c r="AX425" s="7">
        <f>IF(ISBLANK(AT425), 0, VLOOKUP(AT425, 'Price Sheet'!$A$2:$B1015, 2, false))</f>
        <v>0</v>
      </c>
      <c r="AY425" s="33" t="str">
        <f t="shared" si="14"/>
        <v/>
      </c>
      <c r="AZ425" s="37"/>
      <c r="BA425" s="29"/>
      <c r="BB425" s="29" t="b">
        <v>0</v>
      </c>
      <c r="BC425" s="22" t="str">
        <f t="shared" si="15"/>
        <v/>
      </c>
      <c r="BD425" s="7">
        <f>IF(ISBLANK(AZ425), 0, VLOOKUP(AZ425, 'Price Sheet'!$A$2:$B1015, 2, false))</f>
        <v>0</v>
      </c>
      <c r="BE425" s="33" t="str">
        <f t="shared" si="16"/>
        <v/>
      </c>
      <c r="BF425" s="37"/>
      <c r="BG425" s="29"/>
      <c r="BH425" s="29" t="b">
        <v>0</v>
      </c>
      <c r="BI425" s="22" t="str">
        <f t="shared" si="17"/>
        <v/>
      </c>
      <c r="BJ425" s="7">
        <f>IF(ISBLANK(BF425), 0, VLOOKUP(BF425, 'Price Sheet'!$A$2:$B1015, 2, false))</f>
        <v>0</v>
      </c>
      <c r="BK425" s="33" t="str">
        <f t="shared" si="18"/>
        <v/>
      </c>
      <c r="BL425" s="37"/>
      <c r="BM425" s="29"/>
      <c r="BN425" s="29" t="b">
        <v>0</v>
      </c>
      <c r="BO425" s="22" t="str">
        <f t="shared" si="19"/>
        <v/>
      </c>
      <c r="BP425" s="7">
        <f>IF(ISBLANK(BL425), 0, VLOOKUP(BL425, 'Price Sheet'!$A$2:$B1015, 2, false))</f>
        <v>0</v>
      </c>
      <c r="BQ425" s="33" t="str">
        <f t="shared" si="20"/>
        <v/>
      </c>
    </row>
    <row r="426">
      <c r="B426" s="19"/>
      <c r="C426" s="29"/>
      <c r="D426" s="29"/>
      <c r="E426" s="7" t="str">
        <f>IF(ISBLANK(D426), "", VLOOKUP(D426,'Crafting Tables'!$A$2:$B1015, 2, false))</f>
        <v/>
      </c>
      <c r="F426" s="7" t="str">
        <f>IFERROR(IF(E426 = "None", 1, VLOOKUP(C426,General!$A$5:$L$35, SWITCH(E426, "Basic", 8, "Advanced", 10, "Modern", 12), false)),"")</f>
        <v/>
      </c>
      <c r="G426" s="29"/>
      <c r="H426" s="7">
        <f>IFERROR(VLOOKUP(C426, General!$A$5:$L$35, 6, false) * G426 / 1000, 0)</f>
        <v>0</v>
      </c>
      <c r="I426" s="29"/>
      <c r="J426" s="22" t="str">
        <f>IFERROR(I426*VLOOKUP(D426,'Crafting Tables'!$1:$1000, 4, false)*F426,"")</f>
        <v/>
      </c>
      <c r="K426" s="29" t="b">
        <v>0</v>
      </c>
      <c r="L426" s="37"/>
      <c r="M426" s="29"/>
      <c r="N426" s="21" t="str">
        <f t="shared" si="2"/>
        <v/>
      </c>
      <c r="P426" s="37"/>
      <c r="Q426" s="29"/>
      <c r="R426" s="29" t="b">
        <v>0</v>
      </c>
      <c r="S426" s="22" t="str">
        <f t="shared" si="3"/>
        <v/>
      </c>
      <c r="T426" s="7">
        <f>IF(ISBLANK(P426), 0, VLOOKUP(P426, 'Price Sheet'!$A$2:$B1015, 2, false))</f>
        <v>0</v>
      </c>
      <c r="U426" s="33" t="str">
        <f t="shared" si="4"/>
        <v/>
      </c>
      <c r="V426" s="37"/>
      <c r="W426" s="29"/>
      <c r="X426" s="29" t="b">
        <v>0</v>
      </c>
      <c r="Y426" s="22" t="str">
        <f t="shared" si="5"/>
        <v/>
      </c>
      <c r="Z426" s="7">
        <f>IF(ISBLANK(V426), 0, VLOOKUP(V426, 'Price Sheet'!$A$2:$B1015, 2, false))</f>
        <v>0</v>
      </c>
      <c r="AA426" s="33" t="str">
        <f t="shared" si="6"/>
        <v/>
      </c>
      <c r="AB426" s="37"/>
      <c r="AC426" s="29"/>
      <c r="AD426" s="29" t="b">
        <v>0</v>
      </c>
      <c r="AE426" s="22" t="str">
        <f t="shared" si="7"/>
        <v/>
      </c>
      <c r="AF426" s="7">
        <f>IF(ISBLANK(AB426), 0, VLOOKUP(AB426, 'Price Sheet'!$A$2:$B1015, 2, false))</f>
        <v>0</v>
      </c>
      <c r="AG426" s="33" t="str">
        <f t="shared" si="8"/>
        <v/>
      </c>
      <c r="AH426" s="37"/>
      <c r="AI426" s="29"/>
      <c r="AJ426" s="29" t="b">
        <v>0</v>
      </c>
      <c r="AK426" s="22" t="str">
        <f t="shared" si="9"/>
        <v/>
      </c>
      <c r="AL426" s="7">
        <f>IF(ISBLANK(AH426), 0, VLOOKUP(AH426, 'Price Sheet'!$A$2:$B1015, 2, false))</f>
        <v>0</v>
      </c>
      <c r="AM426" s="33" t="str">
        <f t="shared" si="10"/>
        <v/>
      </c>
      <c r="AN426" s="37"/>
      <c r="AO426" s="29"/>
      <c r="AP426" s="29" t="b">
        <v>0</v>
      </c>
      <c r="AQ426" s="22" t="str">
        <f t="shared" si="11"/>
        <v/>
      </c>
      <c r="AR426" s="7">
        <f>IF(ISBLANK(AN426), 0, VLOOKUP(AN426, 'Price Sheet'!$A$2:$B1015, 2, false))</f>
        <v>0</v>
      </c>
      <c r="AS426" s="33" t="str">
        <f t="shared" si="12"/>
        <v/>
      </c>
      <c r="AT426" s="37"/>
      <c r="AU426" s="29"/>
      <c r="AV426" s="29" t="b">
        <v>0</v>
      </c>
      <c r="AW426" s="22" t="str">
        <f t="shared" si="13"/>
        <v/>
      </c>
      <c r="AX426" s="7">
        <f>IF(ISBLANK(AT426), 0, VLOOKUP(AT426, 'Price Sheet'!$A$2:$B1015, 2, false))</f>
        <v>0</v>
      </c>
      <c r="AY426" s="33" t="str">
        <f t="shared" si="14"/>
        <v/>
      </c>
      <c r="AZ426" s="37"/>
      <c r="BA426" s="29"/>
      <c r="BB426" s="29" t="b">
        <v>0</v>
      </c>
      <c r="BC426" s="22" t="str">
        <f t="shared" si="15"/>
        <v/>
      </c>
      <c r="BD426" s="7">
        <f>IF(ISBLANK(AZ426), 0, VLOOKUP(AZ426, 'Price Sheet'!$A$2:$B1015, 2, false))</f>
        <v>0</v>
      </c>
      <c r="BE426" s="33" t="str">
        <f t="shared" si="16"/>
        <v/>
      </c>
      <c r="BF426" s="37"/>
      <c r="BG426" s="29"/>
      <c r="BH426" s="29" t="b">
        <v>0</v>
      </c>
      <c r="BI426" s="22" t="str">
        <f t="shared" si="17"/>
        <v/>
      </c>
      <c r="BJ426" s="7">
        <f>IF(ISBLANK(BF426), 0, VLOOKUP(BF426, 'Price Sheet'!$A$2:$B1015, 2, false))</f>
        <v>0</v>
      </c>
      <c r="BK426" s="33" t="str">
        <f t="shared" si="18"/>
        <v/>
      </c>
      <c r="BL426" s="37"/>
      <c r="BM426" s="29"/>
      <c r="BN426" s="29" t="b">
        <v>0</v>
      </c>
      <c r="BO426" s="22" t="str">
        <f t="shared" si="19"/>
        <v/>
      </c>
      <c r="BP426" s="7">
        <f>IF(ISBLANK(BL426), 0, VLOOKUP(BL426, 'Price Sheet'!$A$2:$B1015, 2, false))</f>
        <v>0</v>
      </c>
      <c r="BQ426" s="33" t="str">
        <f t="shared" si="20"/>
        <v/>
      </c>
    </row>
    <row r="427">
      <c r="B427" s="19"/>
      <c r="C427" s="29"/>
      <c r="D427" s="29"/>
      <c r="E427" s="7" t="str">
        <f>IF(ISBLANK(D427), "", VLOOKUP(D427,'Crafting Tables'!$A$2:$B1015, 2, false))</f>
        <v/>
      </c>
      <c r="F427" s="7" t="str">
        <f>IFERROR(IF(E427 = "None", 1, VLOOKUP(C427,General!$A$5:$L$35, SWITCH(E427, "Basic", 8, "Advanced", 10, "Modern", 12), false)),"")</f>
        <v/>
      </c>
      <c r="G427" s="29"/>
      <c r="H427" s="7">
        <f>IFERROR(VLOOKUP(C427, General!$A$5:$L$35, 6, false) * G427 / 1000, 0)</f>
        <v>0</v>
      </c>
      <c r="I427" s="29"/>
      <c r="J427" s="22" t="str">
        <f>IFERROR(I427*VLOOKUP(D427,'Crafting Tables'!$1:$1000, 4, false)*F427,"")</f>
        <v/>
      </c>
      <c r="K427" s="29" t="b">
        <v>0</v>
      </c>
      <c r="L427" s="37"/>
      <c r="M427" s="29"/>
      <c r="N427" s="21" t="str">
        <f t="shared" si="2"/>
        <v/>
      </c>
      <c r="P427" s="37"/>
      <c r="Q427" s="29"/>
      <c r="R427" s="29" t="b">
        <v>0</v>
      </c>
      <c r="S427" s="22" t="str">
        <f t="shared" si="3"/>
        <v/>
      </c>
      <c r="T427" s="7">
        <f>IF(ISBLANK(P427), 0, VLOOKUP(P427, 'Price Sheet'!$A$2:$B1015, 2, false))</f>
        <v>0</v>
      </c>
      <c r="U427" s="33" t="str">
        <f t="shared" si="4"/>
        <v/>
      </c>
      <c r="V427" s="37"/>
      <c r="W427" s="29"/>
      <c r="X427" s="29" t="b">
        <v>0</v>
      </c>
      <c r="Y427" s="22" t="str">
        <f t="shared" si="5"/>
        <v/>
      </c>
      <c r="Z427" s="7">
        <f>IF(ISBLANK(V427), 0, VLOOKUP(V427, 'Price Sheet'!$A$2:$B1015, 2, false))</f>
        <v>0</v>
      </c>
      <c r="AA427" s="33" t="str">
        <f t="shared" si="6"/>
        <v/>
      </c>
      <c r="AB427" s="37"/>
      <c r="AC427" s="29"/>
      <c r="AD427" s="29" t="b">
        <v>0</v>
      </c>
      <c r="AE427" s="22" t="str">
        <f t="shared" si="7"/>
        <v/>
      </c>
      <c r="AF427" s="7">
        <f>IF(ISBLANK(AB427), 0, VLOOKUP(AB427, 'Price Sheet'!$A$2:$B1015, 2, false))</f>
        <v>0</v>
      </c>
      <c r="AG427" s="33" t="str">
        <f t="shared" si="8"/>
        <v/>
      </c>
      <c r="AH427" s="37"/>
      <c r="AI427" s="29"/>
      <c r="AJ427" s="29" t="b">
        <v>0</v>
      </c>
      <c r="AK427" s="22" t="str">
        <f t="shared" si="9"/>
        <v/>
      </c>
      <c r="AL427" s="7">
        <f>IF(ISBLANK(AH427), 0, VLOOKUP(AH427, 'Price Sheet'!$A$2:$B1015, 2, false))</f>
        <v>0</v>
      </c>
      <c r="AM427" s="33" t="str">
        <f t="shared" si="10"/>
        <v/>
      </c>
      <c r="AN427" s="37"/>
      <c r="AO427" s="29"/>
      <c r="AP427" s="29" t="b">
        <v>0</v>
      </c>
      <c r="AQ427" s="22" t="str">
        <f t="shared" si="11"/>
        <v/>
      </c>
      <c r="AR427" s="7">
        <f>IF(ISBLANK(AN427), 0, VLOOKUP(AN427, 'Price Sheet'!$A$2:$B1015, 2, false))</f>
        <v>0</v>
      </c>
      <c r="AS427" s="33" t="str">
        <f t="shared" si="12"/>
        <v/>
      </c>
      <c r="AT427" s="37"/>
      <c r="AU427" s="29"/>
      <c r="AV427" s="29" t="b">
        <v>0</v>
      </c>
      <c r="AW427" s="22" t="str">
        <f t="shared" si="13"/>
        <v/>
      </c>
      <c r="AX427" s="7">
        <f>IF(ISBLANK(AT427), 0, VLOOKUP(AT427, 'Price Sheet'!$A$2:$B1015, 2, false))</f>
        <v>0</v>
      </c>
      <c r="AY427" s="33" t="str">
        <f t="shared" si="14"/>
        <v/>
      </c>
      <c r="AZ427" s="37"/>
      <c r="BA427" s="29"/>
      <c r="BB427" s="29" t="b">
        <v>0</v>
      </c>
      <c r="BC427" s="22" t="str">
        <f t="shared" si="15"/>
        <v/>
      </c>
      <c r="BD427" s="7">
        <f>IF(ISBLANK(AZ427), 0, VLOOKUP(AZ427, 'Price Sheet'!$A$2:$B1015, 2, false))</f>
        <v>0</v>
      </c>
      <c r="BE427" s="33" t="str">
        <f t="shared" si="16"/>
        <v/>
      </c>
      <c r="BF427" s="37"/>
      <c r="BG427" s="29"/>
      <c r="BH427" s="29" t="b">
        <v>0</v>
      </c>
      <c r="BI427" s="22" t="str">
        <f t="shared" si="17"/>
        <v/>
      </c>
      <c r="BJ427" s="7">
        <f>IF(ISBLANK(BF427), 0, VLOOKUP(BF427, 'Price Sheet'!$A$2:$B1015, 2, false))</f>
        <v>0</v>
      </c>
      <c r="BK427" s="33" t="str">
        <f t="shared" si="18"/>
        <v/>
      </c>
      <c r="BL427" s="37"/>
      <c r="BM427" s="29"/>
      <c r="BN427" s="29" t="b">
        <v>0</v>
      </c>
      <c r="BO427" s="22" t="str">
        <f t="shared" si="19"/>
        <v/>
      </c>
      <c r="BP427" s="7">
        <f>IF(ISBLANK(BL427), 0, VLOOKUP(BL427, 'Price Sheet'!$A$2:$B1015, 2, false))</f>
        <v>0</v>
      </c>
      <c r="BQ427" s="33" t="str">
        <f t="shared" si="20"/>
        <v/>
      </c>
    </row>
    <row r="428">
      <c r="B428" s="19"/>
      <c r="C428" s="29"/>
      <c r="D428" s="29"/>
      <c r="E428" s="7" t="str">
        <f>IF(ISBLANK(D428), "", VLOOKUP(D428,'Crafting Tables'!$A$2:$B1015, 2, false))</f>
        <v/>
      </c>
      <c r="F428" s="7" t="str">
        <f>IFERROR(IF(E428 = "None", 1, VLOOKUP(C428,General!$A$5:$L$35, SWITCH(E428, "Basic", 8, "Advanced", 10, "Modern", 12), false)),"")</f>
        <v/>
      </c>
      <c r="G428" s="29"/>
      <c r="H428" s="7">
        <f>IFERROR(VLOOKUP(C428, General!$A$5:$L$35, 6, false) * G428 / 1000, 0)</f>
        <v>0</v>
      </c>
      <c r="I428" s="29"/>
      <c r="J428" s="22" t="str">
        <f>IFERROR(I428*VLOOKUP(D428,'Crafting Tables'!$1:$1000, 4, false)*F428,"")</f>
        <v/>
      </c>
      <c r="K428" s="29" t="b">
        <v>0</v>
      </c>
      <c r="L428" s="37"/>
      <c r="M428" s="29"/>
      <c r="N428" s="21" t="str">
        <f t="shared" si="2"/>
        <v/>
      </c>
      <c r="P428" s="37"/>
      <c r="Q428" s="29"/>
      <c r="R428" s="29" t="b">
        <v>0</v>
      </c>
      <c r="S428" s="22" t="str">
        <f t="shared" si="3"/>
        <v/>
      </c>
      <c r="T428" s="7">
        <f>IF(ISBLANK(P428), 0, VLOOKUP(P428, 'Price Sheet'!$A$2:$B1015, 2, false))</f>
        <v>0</v>
      </c>
      <c r="U428" s="33" t="str">
        <f t="shared" si="4"/>
        <v/>
      </c>
      <c r="V428" s="37"/>
      <c r="W428" s="29"/>
      <c r="X428" s="29" t="b">
        <v>0</v>
      </c>
      <c r="Y428" s="22" t="str">
        <f t="shared" si="5"/>
        <v/>
      </c>
      <c r="Z428" s="7">
        <f>IF(ISBLANK(V428), 0, VLOOKUP(V428, 'Price Sheet'!$A$2:$B1015, 2, false))</f>
        <v>0</v>
      </c>
      <c r="AA428" s="33" t="str">
        <f t="shared" si="6"/>
        <v/>
      </c>
      <c r="AB428" s="37"/>
      <c r="AC428" s="29"/>
      <c r="AD428" s="29" t="b">
        <v>0</v>
      </c>
      <c r="AE428" s="22" t="str">
        <f t="shared" si="7"/>
        <v/>
      </c>
      <c r="AF428" s="7">
        <f>IF(ISBLANK(AB428), 0, VLOOKUP(AB428, 'Price Sheet'!$A$2:$B1015, 2, false))</f>
        <v>0</v>
      </c>
      <c r="AG428" s="33" t="str">
        <f t="shared" si="8"/>
        <v/>
      </c>
      <c r="AH428" s="37"/>
      <c r="AI428" s="29"/>
      <c r="AJ428" s="29" t="b">
        <v>0</v>
      </c>
      <c r="AK428" s="22" t="str">
        <f t="shared" si="9"/>
        <v/>
      </c>
      <c r="AL428" s="7">
        <f>IF(ISBLANK(AH428), 0, VLOOKUP(AH428, 'Price Sheet'!$A$2:$B1015, 2, false))</f>
        <v>0</v>
      </c>
      <c r="AM428" s="33" t="str">
        <f t="shared" si="10"/>
        <v/>
      </c>
      <c r="AN428" s="37"/>
      <c r="AO428" s="29"/>
      <c r="AP428" s="29" t="b">
        <v>0</v>
      </c>
      <c r="AQ428" s="22" t="str">
        <f t="shared" si="11"/>
        <v/>
      </c>
      <c r="AR428" s="7">
        <f>IF(ISBLANK(AN428), 0, VLOOKUP(AN428, 'Price Sheet'!$A$2:$B1015, 2, false))</f>
        <v>0</v>
      </c>
      <c r="AS428" s="33" t="str">
        <f t="shared" si="12"/>
        <v/>
      </c>
      <c r="AT428" s="37"/>
      <c r="AU428" s="29"/>
      <c r="AV428" s="29" t="b">
        <v>0</v>
      </c>
      <c r="AW428" s="22" t="str">
        <f t="shared" si="13"/>
        <v/>
      </c>
      <c r="AX428" s="7">
        <f>IF(ISBLANK(AT428), 0, VLOOKUP(AT428, 'Price Sheet'!$A$2:$B1015, 2, false))</f>
        <v>0</v>
      </c>
      <c r="AY428" s="33" t="str">
        <f t="shared" si="14"/>
        <v/>
      </c>
      <c r="AZ428" s="37"/>
      <c r="BA428" s="29"/>
      <c r="BB428" s="29" t="b">
        <v>0</v>
      </c>
      <c r="BC428" s="22" t="str">
        <f t="shared" si="15"/>
        <v/>
      </c>
      <c r="BD428" s="7">
        <f>IF(ISBLANK(AZ428), 0, VLOOKUP(AZ428, 'Price Sheet'!$A$2:$B1015, 2, false))</f>
        <v>0</v>
      </c>
      <c r="BE428" s="33" t="str">
        <f t="shared" si="16"/>
        <v/>
      </c>
      <c r="BF428" s="37"/>
      <c r="BG428" s="29"/>
      <c r="BH428" s="29" t="b">
        <v>0</v>
      </c>
      <c r="BI428" s="22" t="str">
        <f t="shared" si="17"/>
        <v/>
      </c>
      <c r="BJ428" s="7">
        <f>IF(ISBLANK(BF428), 0, VLOOKUP(BF428, 'Price Sheet'!$A$2:$B1015, 2, false))</f>
        <v>0</v>
      </c>
      <c r="BK428" s="33" t="str">
        <f t="shared" si="18"/>
        <v/>
      </c>
      <c r="BL428" s="37"/>
      <c r="BM428" s="29"/>
      <c r="BN428" s="29" t="b">
        <v>0</v>
      </c>
      <c r="BO428" s="22" t="str">
        <f t="shared" si="19"/>
        <v/>
      </c>
      <c r="BP428" s="7">
        <f>IF(ISBLANK(BL428), 0, VLOOKUP(BL428, 'Price Sheet'!$A$2:$B1015, 2, false))</f>
        <v>0</v>
      </c>
      <c r="BQ428" s="33" t="str">
        <f t="shared" si="20"/>
        <v/>
      </c>
    </row>
    <row r="429">
      <c r="B429" s="19"/>
      <c r="C429" s="29"/>
      <c r="D429" s="29"/>
      <c r="E429" s="7" t="str">
        <f>IF(ISBLANK(D429), "", VLOOKUP(D429,'Crafting Tables'!$A$2:$B1015, 2, false))</f>
        <v/>
      </c>
      <c r="F429" s="7" t="str">
        <f>IFERROR(IF(E429 = "None", 1, VLOOKUP(C429,General!$A$5:$L$35, SWITCH(E429, "Basic", 8, "Advanced", 10, "Modern", 12), false)),"")</f>
        <v/>
      </c>
      <c r="G429" s="29"/>
      <c r="H429" s="7">
        <f>IFERROR(VLOOKUP(C429, General!$A$5:$L$35, 6, false) * G429 / 1000, 0)</f>
        <v>0</v>
      </c>
      <c r="I429" s="29"/>
      <c r="J429" s="22" t="str">
        <f>IFERROR(I429*VLOOKUP(D429,'Crafting Tables'!$1:$1000, 4, false)*F429,"")</f>
        <v/>
      </c>
      <c r="K429" s="29" t="b">
        <v>0</v>
      </c>
      <c r="L429" s="37"/>
      <c r="M429" s="29"/>
      <c r="N429" s="21" t="str">
        <f t="shared" si="2"/>
        <v/>
      </c>
      <c r="P429" s="37"/>
      <c r="Q429" s="29"/>
      <c r="R429" s="29" t="b">
        <v>0</v>
      </c>
      <c r="S429" s="22" t="str">
        <f t="shared" si="3"/>
        <v/>
      </c>
      <c r="T429" s="7">
        <f>IF(ISBLANK(P429), 0, VLOOKUP(P429, 'Price Sheet'!$A$2:$B1015, 2, false))</f>
        <v>0</v>
      </c>
      <c r="U429" s="33" t="str">
        <f t="shared" si="4"/>
        <v/>
      </c>
      <c r="V429" s="37"/>
      <c r="W429" s="29"/>
      <c r="X429" s="29" t="b">
        <v>0</v>
      </c>
      <c r="Y429" s="22" t="str">
        <f t="shared" si="5"/>
        <v/>
      </c>
      <c r="Z429" s="7">
        <f>IF(ISBLANK(V429), 0, VLOOKUP(V429, 'Price Sheet'!$A$2:$B1015, 2, false))</f>
        <v>0</v>
      </c>
      <c r="AA429" s="33" t="str">
        <f t="shared" si="6"/>
        <v/>
      </c>
      <c r="AB429" s="37"/>
      <c r="AC429" s="29"/>
      <c r="AD429" s="29" t="b">
        <v>0</v>
      </c>
      <c r="AE429" s="22" t="str">
        <f t="shared" si="7"/>
        <v/>
      </c>
      <c r="AF429" s="7">
        <f>IF(ISBLANK(AB429), 0, VLOOKUP(AB429, 'Price Sheet'!$A$2:$B1015, 2, false))</f>
        <v>0</v>
      </c>
      <c r="AG429" s="33" t="str">
        <f t="shared" si="8"/>
        <v/>
      </c>
      <c r="AH429" s="37"/>
      <c r="AI429" s="29"/>
      <c r="AJ429" s="29" t="b">
        <v>0</v>
      </c>
      <c r="AK429" s="22" t="str">
        <f t="shared" si="9"/>
        <v/>
      </c>
      <c r="AL429" s="7">
        <f>IF(ISBLANK(AH429), 0, VLOOKUP(AH429, 'Price Sheet'!$A$2:$B1015, 2, false))</f>
        <v>0</v>
      </c>
      <c r="AM429" s="33" t="str">
        <f t="shared" si="10"/>
        <v/>
      </c>
      <c r="AN429" s="37"/>
      <c r="AO429" s="29"/>
      <c r="AP429" s="29" t="b">
        <v>0</v>
      </c>
      <c r="AQ429" s="22" t="str">
        <f t="shared" si="11"/>
        <v/>
      </c>
      <c r="AR429" s="7">
        <f>IF(ISBLANK(AN429), 0, VLOOKUP(AN429, 'Price Sheet'!$A$2:$B1015, 2, false))</f>
        <v>0</v>
      </c>
      <c r="AS429" s="33" t="str">
        <f t="shared" si="12"/>
        <v/>
      </c>
      <c r="AT429" s="37"/>
      <c r="AU429" s="29"/>
      <c r="AV429" s="29" t="b">
        <v>0</v>
      </c>
      <c r="AW429" s="22" t="str">
        <f t="shared" si="13"/>
        <v/>
      </c>
      <c r="AX429" s="7">
        <f>IF(ISBLANK(AT429), 0, VLOOKUP(AT429, 'Price Sheet'!$A$2:$B1015, 2, false))</f>
        <v>0</v>
      </c>
      <c r="AY429" s="33" t="str">
        <f t="shared" si="14"/>
        <v/>
      </c>
      <c r="AZ429" s="37"/>
      <c r="BA429" s="29"/>
      <c r="BB429" s="29" t="b">
        <v>0</v>
      </c>
      <c r="BC429" s="22" t="str">
        <f t="shared" si="15"/>
        <v/>
      </c>
      <c r="BD429" s="7">
        <f>IF(ISBLANK(AZ429), 0, VLOOKUP(AZ429, 'Price Sheet'!$A$2:$B1015, 2, false))</f>
        <v>0</v>
      </c>
      <c r="BE429" s="33" t="str">
        <f t="shared" si="16"/>
        <v/>
      </c>
      <c r="BF429" s="37"/>
      <c r="BG429" s="29"/>
      <c r="BH429" s="29" t="b">
        <v>0</v>
      </c>
      <c r="BI429" s="22" t="str">
        <f t="shared" si="17"/>
        <v/>
      </c>
      <c r="BJ429" s="7">
        <f>IF(ISBLANK(BF429), 0, VLOOKUP(BF429, 'Price Sheet'!$A$2:$B1015, 2, false))</f>
        <v>0</v>
      </c>
      <c r="BK429" s="33" t="str">
        <f t="shared" si="18"/>
        <v/>
      </c>
      <c r="BL429" s="37"/>
      <c r="BM429" s="29"/>
      <c r="BN429" s="29" t="b">
        <v>0</v>
      </c>
      <c r="BO429" s="22" t="str">
        <f t="shared" si="19"/>
        <v/>
      </c>
      <c r="BP429" s="7">
        <f>IF(ISBLANK(BL429), 0, VLOOKUP(BL429, 'Price Sheet'!$A$2:$B1015, 2, false))</f>
        <v>0</v>
      </c>
      <c r="BQ429" s="33" t="str">
        <f t="shared" si="20"/>
        <v/>
      </c>
    </row>
    <row r="430">
      <c r="B430" s="19"/>
      <c r="C430" s="29"/>
      <c r="D430" s="29"/>
      <c r="E430" s="7" t="str">
        <f>IF(ISBLANK(D430), "", VLOOKUP(D430,'Crafting Tables'!$A$2:$B1015, 2, false))</f>
        <v/>
      </c>
      <c r="F430" s="7" t="str">
        <f>IFERROR(IF(E430 = "None", 1, VLOOKUP(C430,General!$A$5:$L$35, SWITCH(E430, "Basic", 8, "Advanced", 10, "Modern", 12), false)),"")</f>
        <v/>
      </c>
      <c r="G430" s="29"/>
      <c r="H430" s="7">
        <f>IFERROR(VLOOKUP(C430, General!$A$5:$L$35, 6, false) * G430 / 1000, 0)</f>
        <v>0</v>
      </c>
      <c r="I430" s="29"/>
      <c r="J430" s="22" t="str">
        <f>IFERROR(I430*VLOOKUP(D430,'Crafting Tables'!$1:$1000, 4, false)*F430,"")</f>
        <v/>
      </c>
      <c r="K430" s="29" t="b">
        <v>0</v>
      </c>
      <c r="L430" s="37"/>
      <c r="M430" s="29"/>
      <c r="N430" s="21" t="str">
        <f t="shared" si="2"/>
        <v/>
      </c>
      <c r="P430" s="37"/>
      <c r="Q430" s="29"/>
      <c r="R430" s="29" t="b">
        <v>0</v>
      </c>
      <c r="S430" s="22" t="str">
        <f t="shared" si="3"/>
        <v/>
      </c>
      <c r="T430" s="7">
        <f>IF(ISBLANK(P430), 0, VLOOKUP(P430, 'Price Sheet'!$A$2:$B1015, 2, false))</f>
        <v>0</v>
      </c>
      <c r="U430" s="33" t="str">
        <f t="shared" si="4"/>
        <v/>
      </c>
      <c r="V430" s="37"/>
      <c r="W430" s="29"/>
      <c r="X430" s="29" t="b">
        <v>0</v>
      </c>
      <c r="Y430" s="22" t="str">
        <f t="shared" si="5"/>
        <v/>
      </c>
      <c r="Z430" s="7">
        <f>IF(ISBLANK(V430), 0, VLOOKUP(V430, 'Price Sheet'!$A$2:$B1015, 2, false))</f>
        <v>0</v>
      </c>
      <c r="AA430" s="33" t="str">
        <f t="shared" si="6"/>
        <v/>
      </c>
      <c r="AB430" s="37"/>
      <c r="AC430" s="29"/>
      <c r="AD430" s="29" t="b">
        <v>0</v>
      </c>
      <c r="AE430" s="22" t="str">
        <f t="shared" si="7"/>
        <v/>
      </c>
      <c r="AF430" s="7">
        <f>IF(ISBLANK(AB430), 0, VLOOKUP(AB430, 'Price Sheet'!$A$2:$B1015, 2, false))</f>
        <v>0</v>
      </c>
      <c r="AG430" s="33" t="str">
        <f t="shared" si="8"/>
        <v/>
      </c>
      <c r="AH430" s="37"/>
      <c r="AI430" s="29"/>
      <c r="AJ430" s="29" t="b">
        <v>0</v>
      </c>
      <c r="AK430" s="22" t="str">
        <f t="shared" si="9"/>
        <v/>
      </c>
      <c r="AL430" s="7">
        <f>IF(ISBLANK(AH430), 0, VLOOKUP(AH430, 'Price Sheet'!$A$2:$B1015, 2, false))</f>
        <v>0</v>
      </c>
      <c r="AM430" s="33" t="str">
        <f t="shared" si="10"/>
        <v/>
      </c>
      <c r="AN430" s="37"/>
      <c r="AO430" s="29"/>
      <c r="AP430" s="29" t="b">
        <v>0</v>
      </c>
      <c r="AQ430" s="22" t="str">
        <f t="shared" si="11"/>
        <v/>
      </c>
      <c r="AR430" s="7">
        <f>IF(ISBLANK(AN430), 0, VLOOKUP(AN430, 'Price Sheet'!$A$2:$B1015, 2, false))</f>
        <v>0</v>
      </c>
      <c r="AS430" s="33" t="str">
        <f t="shared" si="12"/>
        <v/>
      </c>
      <c r="AT430" s="37"/>
      <c r="AU430" s="29"/>
      <c r="AV430" s="29" t="b">
        <v>0</v>
      </c>
      <c r="AW430" s="22" t="str">
        <f t="shared" si="13"/>
        <v/>
      </c>
      <c r="AX430" s="7">
        <f>IF(ISBLANK(AT430), 0, VLOOKUP(AT430, 'Price Sheet'!$A$2:$B1015, 2, false))</f>
        <v>0</v>
      </c>
      <c r="AY430" s="33" t="str">
        <f t="shared" si="14"/>
        <v/>
      </c>
      <c r="AZ430" s="37"/>
      <c r="BA430" s="29"/>
      <c r="BB430" s="29" t="b">
        <v>0</v>
      </c>
      <c r="BC430" s="22" t="str">
        <f t="shared" si="15"/>
        <v/>
      </c>
      <c r="BD430" s="7">
        <f>IF(ISBLANK(AZ430), 0, VLOOKUP(AZ430, 'Price Sheet'!$A$2:$B1015, 2, false))</f>
        <v>0</v>
      </c>
      <c r="BE430" s="33" t="str">
        <f t="shared" si="16"/>
        <v/>
      </c>
      <c r="BF430" s="37"/>
      <c r="BG430" s="29"/>
      <c r="BH430" s="29" t="b">
        <v>0</v>
      </c>
      <c r="BI430" s="22" t="str">
        <f t="shared" si="17"/>
        <v/>
      </c>
      <c r="BJ430" s="7">
        <f>IF(ISBLANK(BF430), 0, VLOOKUP(BF430, 'Price Sheet'!$A$2:$B1015, 2, false))</f>
        <v>0</v>
      </c>
      <c r="BK430" s="33" t="str">
        <f t="shared" si="18"/>
        <v/>
      </c>
      <c r="BL430" s="37"/>
      <c r="BM430" s="29"/>
      <c r="BN430" s="29" t="b">
        <v>0</v>
      </c>
      <c r="BO430" s="22" t="str">
        <f t="shared" si="19"/>
        <v/>
      </c>
      <c r="BP430" s="7">
        <f>IF(ISBLANK(BL430), 0, VLOOKUP(BL430, 'Price Sheet'!$A$2:$B1015, 2, false))</f>
        <v>0</v>
      </c>
      <c r="BQ430" s="33" t="str">
        <f t="shared" si="20"/>
        <v/>
      </c>
    </row>
    <row r="431">
      <c r="B431" s="19"/>
      <c r="C431" s="29"/>
      <c r="D431" s="29"/>
      <c r="E431" s="7" t="str">
        <f>IF(ISBLANK(D431), "", VLOOKUP(D431,'Crafting Tables'!$A$2:$B1015, 2, false))</f>
        <v/>
      </c>
      <c r="F431" s="7" t="str">
        <f>IFERROR(IF(E431 = "None", 1, VLOOKUP(C431,General!$A$5:$L$35, SWITCH(E431, "Basic", 8, "Advanced", 10, "Modern", 12), false)),"")</f>
        <v/>
      </c>
      <c r="G431" s="29"/>
      <c r="H431" s="7">
        <f>IFERROR(VLOOKUP(C431, General!$A$5:$L$35, 6, false) * G431 / 1000, 0)</f>
        <v>0</v>
      </c>
      <c r="I431" s="29"/>
      <c r="J431" s="22" t="str">
        <f>IFERROR(I431*VLOOKUP(D431,'Crafting Tables'!$1:$1000, 4, false)*F431,"")</f>
        <v/>
      </c>
      <c r="K431" s="29" t="b">
        <v>0</v>
      </c>
      <c r="L431" s="37"/>
      <c r="M431" s="29"/>
      <c r="N431" s="21" t="str">
        <f t="shared" si="2"/>
        <v/>
      </c>
      <c r="P431" s="37"/>
      <c r="Q431" s="29"/>
      <c r="R431" s="29" t="b">
        <v>0</v>
      </c>
      <c r="S431" s="22" t="str">
        <f t="shared" si="3"/>
        <v/>
      </c>
      <c r="T431" s="7">
        <f>IF(ISBLANK(P431), 0, VLOOKUP(P431, 'Price Sheet'!$A$2:$B1015, 2, false))</f>
        <v>0</v>
      </c>
      <c r="U431" s="33" t="str">
        <f t="shared" si="4"/>
        <v/>
      </c>
      <c r="V431" s="37"/>
      <c r="W431" s="29"/>
      <c r="X431" s="29" t="b">
        <v>0</v>
      </c>
      <c r="Y431" s="22" t="str">
        <f t="shared" si="5"/>
        <v/>
      </c>
      <c r="Z431" s="7">
        <f>IF(ISBLANK(V431), 0, VLOOKUP(V431, 'Price Sheet'!$A$2:$B1015, 2, false))</f>
        <v>0</v>
      </c>
      <c r="AA431" s="33" t="str">
        <f t="shared" si="6"/>
        <v/>
      </c>
      <c r="AB431" s="37"/>
      <c r="AC431" s="29"/>
      <c r="AD431" s="29" t="b">
        <v>0</v>
      </c>
      <c r="AE431" s="22" t="str">
        <f t="shared" si="7"/>
        <v/>
      </c>
      <c r="AF431" s="7">
        <f>IF(ISBLANK(AB431), 0, VLOOKUP(AB431, 'Price Sheet'!$A$2:$B1015, 2, false))</f>
        <v>0</v>
      </c>
      <c r="AG431" s="33" t="str">
        <f t="shared" si="8"/>
        <v/>
      </c>
      <c r="AH431" s="37"/>
      <c r="AI431" s="29"/>
      <c r="AJ431" s="29" t="b">
        <v>0</v>
      </c>
      <c r="AK431" s="22" t="str">
        <f t="shared" si="9"/>
        <v/>
      </c>
      <c r="AL431" s="7">
        <f>IF(ISBLANK(AH431), 0, VLOOKUP(AH431, 'Price Sheet'!$A$2:$B1015, 2, false))</f>
        <v>0</v>
      </c>
      <c r="AM431" s="33" t="str">
        <f t="shared" si="10"/>
        <v/>
      </c>
      <c r="AN431" s="37"/>
      <c r="AO431" s="29"/>
      <c r="AP431" s="29" t="b">
        <v>0</v>
      </c>
      <c r="AQ431" s="22" t="str">
        <f t="shared" si="11"/>
        <v/>
      </c>
      <c r="AR431" s="7">
        <f>IF(ISBLANK(AN431), 0, VLOOKUP(AN431, 'Price Sheet'!$A$2:$B1015, 2, false))</f>
        <v>0</v>
      </c>
      <c r="AS431" s="33" t="str">
        <f t="shared" si="12"/>
        <v/>
      </c>
      <c r="AT431" s="37"/>
      <c r="AU431" s="29"/>
      <c r="AV431" s="29" t="b">
        <v>0</v>
      </c>
      <c r="AW431" s="22" t="str">
        <f t="shared" si="13"/>
        <v/>
      </c>
      <c r="AX431" s="7">
        <f>IF(ISBLANK(AT431), 0, VLOOKUP(AT431, 'Price Sheet'!$A$2:$B1015, 2, false))</f>
        <v>0</v>
      </c>
      <c r="AY431" s="33" t="str">
        <f t="shared" si="14"/>
        <v/>
      </c>
      <c r="AZ431" s="37"/>
      <c r="BA431" s="29"/>
      <c r="BB431" s="29" t="b">
        <v>0</v>
      </c>
      <c r="BC431" s="22" t="str">
        <f t="shared" si="15"/>
        <v/>
      </c>
      <c r="BD431" s="7">
        <f>IF(ISBLANK(AZ431), 0, VLOOKUP(AZ431, 'Price Sheet'!$A$2:$B1015, 2, false))</f>
        <v>0</v>
      </c>
      <c r="BE431" s="33" t="str">
        <f t="shared" si="16"/>
        <v/>
      </c>
      <c r="BF431" s="37"/>
      <c r="BG431" s="29"/>
      <c r="BH431" s="29" t="b">
        <v>0</v>
      </c>
      <c r="BI431" s="22" t="str">
        <f t="shared" si="17"/>
        <v/>
      </c>
      <c r="BJ431" s="7">
        <f>IF(ISBLANK(BF431), 0, VLOOKUP(BF431, 'Price Sheet'!$A$2:$B1015, 2, false))</f>
        <v>0</v>
      </c>
      <c r="BK431" s="33" t="str">
        <f t="shared" si="18"/>
        <v/>
      </c>
      <c r="BL431" s="37"/>
      <c r="BM431" s="29"/>
      <c r="BN431" s="29" t="b">
        <v>0</v>
      </c>
      <c r="BO431" s="22" t="str">
        <f t="shared" si="19"/>
        <v/>
      </c>
      <c r="BP431" s="7">
        <f>IF(ISBLANK(BL431), 0, VLOOKUP(BL431, 'Price Sheet'!$A$2:$B1015, 2, false))</f>
        <v>0</v>
      </c>
      <c r="BQ431" s="33" t="str">
        <f t="shared" si="20"/>
        <v/>
      </c>
    </row>
    <row r="432">
      <c r="B432" s="19"/>
      <c r="C432" s="29"/>
      <c r="D432" s="29"/>
      <c r="E432" s="7" t="str">
        <f>IF(ISBLANK(D432), "", VLOOKUP(D432,'Crafting Tables'!$A$2:$B1015, 2, false))</f>
        <v/>
      </c>
      <c r="F432" s="7" t="str">
        <f>IFERROR(IF(E432 = "None", 1, VLOOKUP(C432,General!$A$5:$L$35, SWITCH(E432, "Basic", 8, "Advanced", 10, "Modern", 12), false)),"")</f>
        <v/>
      </c>
      <c r="G432" s="29"/>
      <c r="H432" s="7">
        <f>IFERROR(VLOOKUP(C432, General!$A$5:$L$35, 6, false) * G432 / 1000, 0)</f>
        <v>0</v>
      </c>
      <c r="I432" s="29"/>
      <c r="J432" s="22" t="str">
        <f>IFERROR(I432*VLOOKUP(D432,'Crafting Tables'!$1:$1000, 4, false)*F432,"")</f>
        <v/>
      </c>
      <c r="K432" s="29" t="b">
        <v>0</v>
      </c>
      <c r="L432" s="37"/>
      <c r="M432" s="29"/>
      <c r="N432" s="21" t="str">
        <f t="shared" si="2"/>
        <v/>
      </c>
      <c r="P432" s="37"/>
      <c r="Q432" s="29"/>
      <c r="R432" s="29" t="b">
        <v>0</v>
      </c>
      <c r="S432" s="22" t="str">
        <f t="shared" si="3"/>
        <v/>
      </c>
      <c r="T432" s="7">
        <f>IF(ISBLANK(P432), 0, VLOOKUP(P432, 'Price Sheet'!$A$2:$B1015, 2, false))</f>
        <v>0</v>
      </c>
      <c r="U432" s="33" t="str">
        <f t="shared" si="4"/>
        <v/>
      </c>
      <c r="V432" s="37"/>
      <c r="W432" s="29"/>
      <c r="X432" s="29" t="b">
        <v>0</v>
      </c>
      <c r="Y432" s="22" t="str">
        <f t="shared" si="5"/>
        <v/>
      </c>
      <c r="Z432" s="7">
        <f>IF(ISBLANK(V432), 0, VLOOKUP(V432, 'Price Sheet'!$A$2:$B1015, 2, false))</f>
        <v>0</v>
      </c>
      <c r="AA432" s="33" t="str">
        <f t="shared" si="6"/>
        <v/>
      </c>
      <c r="AB432" s="37"/>
      <c r="AC432" s="29"/>
      <c r="AD432" s="29" t="b">
        <v>0</v>
      </c>
      <c r="AE432" s="22" t="str">
        <f t="shared" si="7"/>
        <v/>
      </c>
      <c r="AF432" s="7">
        <f>IF(ISBLANK(AB432), 0, VLOOKUP(AB432, 'Price Sheet'!$A$2:$B1015, 2, false))</f>
        <v>0</v>
      </c>
      <c r="AG432" s="33" t="str">
        <f t="shared" si="8"/>
        <v/>
      </c>
      <c r="AH432" s="37"/>
      <c r="AI432" s="29"/>
      <c r="AJ432" s="29" t="b">
        <v>0</v>
      </c>
      <c r="AK432" s="22" t="str">
        <f t="shared" si="9"/>
        <v/>
      </c>
      <c r="AL432" s="7">
        <f>IF(ISBLANK(AH432), 0, VLOOKUP(AH432, 'Price Sheet'!$A$2:$B1015, 2, false))</f>
        <v>0</v>
      </c>
      <c r="AM432" s="33" t="str">
        <f t="shared" si="10"/>
        <v/>
      </c>
      <c r="AN432" s="37"/>
      <c r="AO432" s="29"/>
      <c r="AP432" s="29" t="b">
        <v>0</v>
      </c>
      <c r="AQ432" s="22" t="str">
        <f t="shared" si="11"/>
        <v/>
      </c>
      <c r="AR432" s="7">
        <f>IF(ISBLANK(AN432), 0, VLOOKUP(AN432, 'Price Sheet'!$A$2:$B1015, 2, false))</f>
        <v>0</v>
      </c>
      <c r="AS432" s="33" t="str">
        <f t="shared" si="12"/>
        <v/>
      </c>
      <c r="AT432" s="37"/>
      <c r="AU432" s="29"/>
      <c r="AV432" s="29" t="b">
        <v>0</v>
      </c>
      <c r="AW432" s="22" t="str">
        <f t="shared" si="13"/>
        <v/>
      </c>
      <c r="AX432" s="7">
        <f>IF(ISBLANK(AT432), 0, VLOOKUP(AT432, 'Price Sheet'!$A$2:$B1015, 2, false))</f>
        <v>0</v>
      </c>
      <c r="AY432" s="33" t="str">
        <f t="shared" si="14"/>
        <v/>
      </c>
      <c r="AZ432" s="37"/>
      <c r="BA432" s="29"/>
      <c r="BB432" s="29" t="b">
        <v>0</v>
      </c>
      <c r="BC432" s="22" t="str">
        <f t="shared" si="15"/>
        <v/>
      </c>
      <c r="BD432" s="7">
        <f>IF(ISBLANK(AZ432), 0, VLOOKUP(AZ432, 'Price Sheet'!$A$2:$B1015, 2, false))</f>
        <v>0</v>
      </c>
      <c r="BE432" s="33" t="str">
        <f t="shared" si="16"/>
        <v/>
      </c>
      <c r="BF432" s="37"/>
      <c r="BG432" s="29"/>
      <c r="BH432" s="29" t="b">
        <v>0</v>
      </c>
      <c r="BI432" s="22" t="str">
        <f t="shared" si="17"/>
        <v/>
      </c>
      <c r="BJ432" s="7">
        <f>IF(ISBLANK(BF432), 0, VLOOKUP(BF432, 'Price Sheet'!$A$2:$B1015, 2, false))</f>
        <v>0</v>
      </c>
      <c r="BK432" s="33" t="str">
        <f t="shared" si="18"/>
        <v/>
      </c>
      <c r="BL432" s="37"/>
      <c r="BM432" s="29"/>
      <c r="BN432" s="29" t="b">
        <v>0</v>
      </c>
      <c r="BO432" s="22" t="str">
        <f t="shared" si="19"/>
        <v/>
      </c>
      <c r="BP432" s="7">
        <f>IF(ISBLANK(BL432), 0, VLOOKUP(BL432, 'Price Sheet'!$A$2:$B1015, 2, false))</f>
        <v>0</v>
      </c>
      <c r="BQ432" s="33" t="str">
        <f t="shared" si="20"/>
        <v/>
      </c>
    </row>
    <row r="433">
      <c r="B433" s="19"/>
      <c r="C433" s="29"/>
      <c r="D433" s="29"/>
      <c r="E433" s="7" t="str">
        <f>IF(ISBLANK(D433), "", VLOOKUP(D433,'Crafting Tables'!$A$2:$B1015, 2, false))</f>
        <v/>
      </c>
      <c r="F433" s="7" t="str">
        <f>IFERROR(IF(E433 = "None", 1, VLOOKUP(C433,General!$A$5:$L$35, SWITCH(E433, "Basic", 8, "Advanced", 10, "Modern", 12), false)),"")</f>
        <v/>
      </c>
      <c r="G433" s="29"/>
      <c r="H433" s="7">
        <f>IFERROR(VLOOKUP(C433, General!$A$5:$L$35, 6, false) * G433 / 1000, 0)</f>
        <v>0</v>
      </c>
      <c r="I433" s="29"/>
      <c r="J433" s="22" t="str">
        <f>IFERROR(I433*VLOOKUP(D433,'Crafting Tables'!$1:$1000, 4, false)*F433,"")</f>
        <v/>
      </c>
      <c r="K433" s="29" t="b">
        <v>0</v>
      </c>
      <c r="L433" s="37"/>
      <c r="M433" s="29"/>
      <c r="N433" s="21" t="str">
        <f t="shared" si="2"/>
        <v/>
      </c>
      <c r="P433" s="37"/>
      <c r="Q433" s="29"/>
      <c r="R433" s="29" t="b">
        <v>0</v>
      </c>
      <c r="S433" s="22" t="str">
        <f t="shared" si="3"/>
        <v/>
      </c>
      <c r="T433" s="7">
        <f>IF(ISBLANK(P433), 0, VLOOKUP(P433, 'Price Sheet'!$A$2:$B1015, 2, false))</f>
        <v>0</v>
      </c>
      <c r="U433" s="33" t="str">
        <f t="shared" si="4"/>
        <v/>
      </c>
      <c r="V433" s="37"/>
      <c r="W433" s="29"/>
      <c r="X433" s="29" t="b">
        <v>0</v>
      </c>
      <c r="Y433" s="22" t="str">
        <f t="shared" si="5"/>
        <v/>
      </c>
      <c r="Z433" s="7">
        <f>IF(ISBLANK(V433), 0, VLOOKUP(V433, 'Price Sheet'!$A$2:$B1015, 2, false))</f>
        <v>0</v>
      </c>
      <c r="AA433" s="33" t="str">
        <f t="shared" si="6"/>
        <v/>
      </c>
      <c r="AB433" s="37"/>
      <c r="AC433" s="29"/>
      <c r="AD433" s="29" t="b">
        <v>0</v>
      </c>
      <c r="AE433" s="22" t="str">
        <f t="shared" si="7"/>
        <v/>
      </c>
      <c r="AF433" s="7">
        <f>IF(ISBLANK(AB433), 0, VLOOKUP(AB433, 'Price Sheet'!$A$2:$B1015, 2, false))</f>
        <v>0</v>
      </c>
      <c r="AG433" s="33" t="str">
        <f t="shared" si="8"/>
        <v/>
      </c>
      <c r="AH433" s="37"/>
      <c r="AI433" s="29"/>
      <c r="AJ433" s="29" t="b">
        <v>0</v>
      </c>
      <c r="AK433" s="22" t="str">
        <f t="shared" si="9"/>
        <v/>
      </c>
      <c r="AL433" s="7">
        <f>IF(ISBLANK(AH433), 0, VLOOKUP(AH433, 'Price Sheet'!$A$2:$B1015, 2, false))</f>
        <v>0</v>
      </c>
      <c r="AM433" s="33" t="str">
        <f t="shared" si="10"/>
        <v/>
      </c>
      <c r="AN433" s="37"/>
      <c r="AO433" s="29"/>
      <c r="AP433" s="29" t="b">
        <v>0</v>
      </c>
      <c r="AQ433" s="22" t="str">
        <f t="shared" si="11"/>
        <v/>
      </c>
      <c r="AR433" s="7">
        <f>IF(ISBLANK(AN433), 0, VLOOKUP(AN433, 'Price Sheet'!$A$2:$B1015, 2, false))</f>
        <v>0</v>
      </c>
      <c r="AS433" s="33" t="str">
        <f t="shared" si="12"/>
        <v/>
      </c>
      <c r="AT433" s="37"/>
      <c r="AU433" s="29"/>
      <c r="AV433" s="29" t="b">
        <v>0</v>
      </c>
      <c r="AW433" s="22" t="str">
        <f t="shared" si="13"/>
        <v/>
      </c>
      <c r="AX433" s="7">
        <f>IF(ISBLANK(AT433), 0, VLOOKUP(AT433, 'Price Sheet'!$A$2:$B1015, 2, false))</f>
        <v>0</v>
      </c>
      <c r="AY433" s="33" t="str">
        <f t="shared" si="14"/>
        <v/>
      </c>
      <c r="AZ433" s="37"/>
      <c r="BA433" s="29"/>
      <c r="BB433" s="29" t="b">
        <v>0</v>
      </c>
      <c r="BC433" s="22" t="str">
        <f t="shared" si="15"/>
        <v/>
      </c>
      <c r="BD433" s="7">
        <f>IF(ISBLANK(AZ433), 0, VLOOKUP(AZ433, 'Price Sheet'!$A$2:$B1015, 2, false))</f>
        <v>0</v>
      </c>
      <c r="BE433" s="33" t="str">
        <f t="shared" si="16"/>
        <v/>
      </c>
      <c r="BF433" s="37"/>
      <c r="BG433" s="29"/>
      <c r="BH433" s="29" t="b">
        <v>0</v>
      </c>
      <c r="BI433" s="22" t="str">
        <f t="shared" si="17"/>
        <v/>
      </c>
      <c r="BJ433" s="7">
        <f>IF(ISBLANK(BF433), 0, VLOOKUP(BF433, 'Price Sheet'!$A$2:$B1015, 2, false))</f>
        <v>0</v>
      </c>
      <c r="BK433" s="33" t="str">
        <f t="shared" si="18"/>
        <v/>
      </c>
      <c r="BL433" s="37"/>
      <c r="BM433" s="29"/>
      <c r="BN433" s="29" t="b">
        <v>0</v>
      </c>
      <c r="BO433" s="22" t="str">
        <f t="shared" si="19"/>
        <v/>
      </c>
      <c r="BP433" s="7">
        <f>IF(ISBLANK(BL433), 0, VLOOKUP(BL433, 'Price Sheet'!$A$2:$B1015, 2, false))</f>
        <v>0</v>
      </c>
      <c r="BQ433" s="33" t="str">
        <f t="shared" si="20"/>
        <v/>
      </c>
    </row>
    <row r="434">
      <c r="B434" s="19"/>
      <c r="C434" s="29"/>
      <c r="D434" s="29"/>
      <c r="E434" s="7" t="str">
        <f>IF(ISBLANK(D434), "", VLOOKUP(D434,'Crafting Tables'!$A$2:$B1015, 2, false))</f>
        <v/>
      </c>
      <c r="F434" s="7" t="str">
        <f>IFERROR(IF(E434 = "None", 1, VLOOKUP(C434,General!$A$5:$L$35, SWITCH(E434, "Basic", 8, "Advanced", 10, "Modern", 12), false)),"")</f>
        <v/>
      </c>
      <c r="G434" s="29"/>
      <c r="H434" s="7">
        <f>IFERROR(VLOOKUP(C434, General!$A$5:$L$35, 6, false) * G434 / 1000, 0)</f>
        <v>0</v>
      </c>
      <c r="I434" s="29"/>
      <c r="J434" s="22" t="str">
        <f>IFERROR(I434*VLOOKUP(D434,'Crafting Tables'!$1:$1000, 4, false)*F434,"")</f>
        <v/>
      </c>
      <c r="K434" s="29" t="b">
        <v>0</v>
      </c>
      <c r="L434" s="37"/>
      <c r="M434" s="29"/>
      <c r="N434" s="21" t="str">
        <f t="shared" si="2"/>
        <v/>
      </c>
      <c r="P434" s="37"/>
      <c r="Q434" s="29"/>
      <c r="R434" s="29" t="b">
        <v>0</v>
      </c>
      <c r="S434" s="22" t="str">
        <f t="shared" si="3"/>
        <v/>
      </c>
      <c r="T434" s="7">
        <f>IF(ISBLANK(P434), 0, VLOOKUP(P434, 'Price Sheet'!$A$2:$B1015, 2, false))</f>
        <v>0</v>
      </c>
      <c r="U434" s="33" t="str">
        <f t="shared" si="4"/>
        <v/>
      </c>
      <c r="V434" s="37"/>
      <c r="W434" s="29"/>
      <c r="X434" s="29" t="b">
        <v>0</v>
      </c>
      <c r="Y434" s="22" t="str">
        <f t="shared" si="5"/>
        <v/>
      </c>
      <c r="Z434" s="7">
        <f>IF(ISBLANK(V434), 0, VLOOKUP(V434, 'Price Sheet'!$A$2:$B1015, 2, false))</f>
        <v>0</v>
      </c>
      <c r="AA434" s="33" t="str">
        <f t="shared" si="6"/>
        <v/>
      </c>
      <c r="AB434" s="37"/>
      <c r="AC434" s="29"/>
      <c r="AD434" s="29" t="b">
        <v>0</v>
      </c>
      <c r="AE434" s="22" t="str">
        <f t="shared" si="7"/>
        <v/>
      </c>
      <c r="AF434" s="7">
        <f>IF(ISBLANK(AB434), 0, VLOOKUP(AB434, 'Price Sheet'!$A$2:$B1015, 2, false))</f>
        <v>0</v>
      </c>
      <c r="AG434" s="33" t="str">
        <f t="shared" si="8"/>
        <v/>
      </c>
      <c r="AH434" s="37"/>
      <c r="AI434" s="29"/>
      <c r="AJ434" s="29" t="b">
        <v>0</v>
      </c>
      <c r="AK434" s="22" t="str">
        <f t="shared" si="9"/>
        <v/>
      </c>
      <c r="AL434" s="7">
        <f>IF(ISBLANK(AH434), 0, VLOOKUP(AH434, 'Price Sheet'!$A$2:$B1015, 2, false))</f>
        <v>0</v>
      </c>
      <c r="AM434" s="33" t="str">
        <f t="shared" si="10"/>
        <v/>
      </c>
      <c r="AN434" s="37"/>
      <c r="AO434" s="29"/>
      <c r="AP434" s="29" t="b">
        <v>0</v>
      </c>
      <c r="AQ434" s="22" t="str">
        <f t="shared" si="11"/>
        <v/>
      </c>
      <c r="AR434" s="7">
        <f>IF(ISBLANK(AN434), 0, VLOOKUP(AN434, 'Price Sheet'!$A$2:$B1015, 2, false))</f>
        <v>0</v>
      </c>
      <c r="AS434" s="33" t="str">
        <f t="shared" si="12"/>
        <v/>
      </c>
      <c r="AT434" s="37"/>
      <c r="AU434" s="29"/>
      <c r="AV434" s="29" t="b">
        <v>0</v>
      </c>
      <c r="AW434" s="22" t="str">
        <f t="shared" si="13"/>
        <v/>
      </c>
      <c r="AX434" s="7">
        <f>IF(ISBLANK(AT434), 0, VLOOKUP(AT434, 'Price Sheet'!$A$2:$B1015, 2, false))</f>
        <v>0</v>
      </c>
      <c r="AY434" s="33" t="str">
        <f t="shared" si="14"/>
        <v/>
      </c>
      <c r="AZ434" s="37"/>
      <c r="BA434" s="29"/>
      <c r="BB434" s="29" t="b">
        <v>0</v>
      </c>
      <c r="BC434" s="22" t="str">
        <f t="shared" si="15"/>
        <v/>
      </c>
      <c r="BD434" s="7">
        <f>IF(ISBLANK(AZ434), 0, VLOOKUP(AZ434, 'Price Sheet'!$A$2:$B1015, 2, false))</f>
        <v>0</v>
      </c>
      <c r="BE434" s="33" t="str">
        <f t="shared" si="16"/>
        <v/>
      </c>
      <c r="BF434" s="37"/>
      <c r="BG434" s="29"/>
      <c r="BH434" s="29" t="b">
        <v>0</v>
      </c>
      <c r="BI434" s="22" t="str">
        <f t="shared" si="17"/>
        <v/>
      </c>
      <c r="BJ434" s="7">
        <f>IF(ISBLANK(BF434), 0, VLOOKUP(BF434, 'Price Sheet'!$A$2:$B1015, 2, false))</f>
        <v>0</v>
      </c>
      <c r="BK434" s="33" t="str">
        <f t="shared" si="18"/>
        <v/>
      </c>
      <c r="BL434" s="37"/>
      <c r="BM434" s="29"/>
      <c r="BN434" s="29" t="b">
        <v>0</v>
      </c>
      <c r="BO434" s="22" t="str">
        <f t="shared" si="19"/>
        <v/>
      </c>
      <c r="BP434" s="7">
        <f>IF(ISBLANK(BL434), 0, VLOOKUP(BL434, 'Price Sheet'!$A$2:$B1015, 2, false))</f>
        <v>0</v>
      </c>
      <c r="BQ434" s="33" t="str">
        <f t="shared" si="20"/>
        <v/>
      </c>
    </row>
    <row r="435">
      <c r="B435" s="19"/>
      <c r="C435" s="29"/>
      <c r="D435" s="29"/>
      <c r="E435" s="7" t="str">
        <f>IF(ISBLANK(D435), "", VLOOKUP(D435,'Crafting Tables'!$A$2:$B1015, 2, false))</f>
        <v/>
      </c>
      <c r="F435" s="7" t="str">
        <f>IFERROR(IF(E435 = "None", 1, VLOOKUP(C435,General!$A$5:$L$35, SWITCH(E435, "Basic", 8, "Advanced", 10, "Modern", 12), false)),"")</f>
        <v/>
      </c>
      <c r="G435" s="29"/>
      <c r="H435" s="7">
        <f>IFERROR(VLOOKUP(C435, General!$A$5:$L$35, 6, false) * G435 / 1000, 0)</f>
        <v>0</v>
      </c>
      <c r="I435" s="29"/>
      <c r="J435" s="22" t="str">
        <f>IFERROR(I435*VLOOKUP(D435,'Crafting Tables'!$1:$1000, 4, false)*F435,"")</f>
        <v/>
      </c>
      <c r="K435" s="29" t="b">
        <v>0</v>
      </c>
      <c r="L435" s="37"/>
      <c r="M435" s="29"/>
      <c r="N435" s="21" t="str">
        <f t="shared" si="2"/>
        <v/>
      </c>
      <c r="P435" s="37"/>
      <c r="Q435" s="29"/>
      <c r="R435" s="29" t="b">
        <v>0</v>
      </c>
      <c r="S435" s="22" t="str">
        <f t="shared" si="3"/>
        <v/>
      </c>
      <c r="T435" s="7">
        <f>IF(ISBLANK(P435), 0, VLOOKUP(P435, 'Price Sheet'!$A$2:$B1015, 2, false))</f>
        <v>0</v>
      </c>
      <c r="U435" s="33" t="str">
        <f t="shared" si="4"/>
        <v/>
      </c>
      <c r="V435" s="37"/>
      <c r="W435" s="29"/>
      <c r="X435" s="29" t="b">
        <v>0</v>
      </c>
      <c r="Y435" s="22" t="str">
        <f t="shared" si="5"/>
        <v/>
      </c>
      <c r="Z435" s="7">
        <f>IF(ISBLANK(V435), 0, VLOOKUP(V435, 'Price Sheet'!$A$2:$B1015, 2, false))</f>
        <v>0</v>
      </c>
      <c r="AA435" s="33" t="str">
        <f t="shared" si="6"/>
        <v/>
      </c>
      <c r="AB435" s="37"/>
      <c r="AC435" s="29"/>
      <c r="AD435" s="29" t="b">
        <v>0</v>
      </c>
      <c r="AE435" s="22" t="str">
        <f t="shared" si="7"/>
        <v/>
      </c>
      <c r="AF435" s="7">
        <f>IF(ISBLANK(AB435), 0, VLOOKUP(AB435, 'Price Sheet'!$A$2:$B1015, 2, false))</f>
        <v>0</v>
      </c>
      <c r="AG435" s="33" t="str">
        <f t="shared" si="8"/>
        <v/>
      </c>
      <c r="AH435" s="37"/>
      <c r="AI435" s="29"/>
      <c r="AJ435" s="29" t="b">
        <v>0</v>
      </c>
      <c r="AK435" s="22" t="str">
        <f t="shared" si="9"/>
        <v/>
      </c>
      <c r="AL435" s="7">
        <f>IF(ISBLANK(AH435), 0, VLOOKUP(AH435, 'Price Sheet'!$A$2:$B1015, 2, false))</f>
        <v>0</v>
      </c>
      <c r="AM435" s="33" t="str">
        <f t="shared" si="10"/>
        <v/>
      </c>
      <c r="AN435" s="37"/>
      <c r="AO435" s="29"/>
      <c r="AP435" s="29" t="b">
        <v>0</v>
      </c>
      <c r="AQ435" s="22" t="str">
        <f t="shared" si="11"/>
        <v/>
      </c>
      <c r="AR435" s="7">
        <f>IF(ISBLANK(AN435), 0, VLOOKUP(AN435, 'Price Sheet'!$A$2:$B1015, 2, false))</f>
        <v>0</v>
      </c>
      <c r="AS435" s="33" t="str">
        <f t="shared" si="12"/>
        <v/>
      </c>
      <c r="AT435" s="37"/>
      <c r="AU435" s="29"/>
      <c r="AV435" s="29" t="b">
        <v>0</v>
      </c>
      <c r="AW435" s="22" t="str">
        <f t="shared" si="13"/>
        <v/>
      </c>
      <c r="AX435" s="7">
        <f>IF(ISBLANK(AT435), 0, VLOOKUP(AT435, 'Price Sheet'!$A$2:$B1015, 2, false))</f>
        <v>0</v>
      </c>
      <c r="AY435" s="33" t="str">
        <f t="shared" si="14"/>
        <v/>
      </c>
      <c r="AZ435" s="37"/>
      <c r="BA435" s="29"/>
      <c r="BB435" s="29" t="b">
        <v>0</v>
      </c>
      <c r="BC435" s="22" t="str">
        <f t="shared" si="15"/>
        <v/>
      </c>
      <c r="BD435" s="7">
        <f>IF(ISBLANK(AZ435), 0, VLOOKUP(AZ435, 'Price Sheet'!$A$2:$B1015, 2, false))</f>
        <v>0</v>
      </c>
      <c r="BE435" s="33" t="str">
        <f t="shared" si="16"/>
        <v/>
      </c>
      <c r="BF435" s="37"/>
      <c r="BG435" s="29"/>
      <c r="BH435" s="29" t="b">
        <v>0</v>
      </c>
      <c r="BI435" s="22" t="str">
        <f t="shared" si="17"/>
        <v/>
      </c>
      <c r="BJ435" s="7">
        <f>IF(ISBLANK(BF435), 0, VLOOKUP(BF435, 'Price Sheet'!$A$2:$B1015, 2, false))</f>
        <v>0</v>
      </c>
      <c r="BK435" s="33" t="str">
        <f t="shared" si="18"/>
        <v/>
      </c>
      <c r="BL435" s="37"/>
      <c r="BM435" s="29"/>
      <c r="BN435" s="29" t="b">
        <v>0</v>
      </c>
      <c r="BO435" s="22" t="str">
        <f t="shared" si="19"/>
        <v/>
      </c>
      <c r="BP435" s="7">
        <f>IF(ISBLANK(BL435), 0, VLOOKUP(BL435, 'Price Sheet'!$A$2:$B1015, 2, false))</f>
        <v>0</v>
      </c>
      <c r="BQ435" s="33" t="str">
        <f t="shared" si="20"/>
        <v/>
      </c>
    </row>
    <row r="436">
      <c r="B436" s="19"/>
      <c r="C436" s="29"/>
      <c r="D436" s="29"/>
      <c r="E436" s="7" t="str">
        <f>IF(ISBLANK(D436), "", VLOOKUP(D436,'Crafting Tables'!$A$2:$B1015, 2, false))</f>
        <v/>
      </c>
      <c r="F436" s="7" t="str">
        <f>IFERROR(IF(E436 = "None", 1, VLOOKUP(C436,General!$A$5:$L$35, SWITCH(E436, "Basic", 8, "Advanced", 10, "Modern", 12), false)),"")</f>
        <v/>
      </c>
      <c r="G436" s="29"/>
      <c r="H436" s="7">
        <f>IFERROR(VLOOKUP(C436, General!$A$5:$L$35, 6, false) * G436 / 1000, 0)</f>
        <v>0</v>
      </c>
      <c r="I436" s="29"/>
      <c r="J436" s="22" t="str">
        <f>IFERROR(I436*VLOOKUP(D436,'Crafting Tables'!$1:$1000, 4, false)*F436,"")</f>
        <v/>
      </c>
      <c r="K436" s="29" t="b">
        <v>0</v>
      </c>
      <c r="L436" s="37"/>
      <c r="M436" s="29"/>
      <c r="N436" s="21" t="str">
        <f t="shared" si="2"/>
        <v/>
      </c>
      <c r="P436" s="37"/>
      <c r="Q436" s="29"/>
      <c r="R436" s="29" t="b">
        <v>0</v>
      </c>
      <c r="S436" s="22" t="str">
        <f t="shared" si="3"/>
        <v/>
      </c>
      <c r="T436" s="7">
        <f>IF(ISBLANK(P436), 0, VLOOKUP(P436, 'Price Sheet'!$A$2:$B1015, 2, false))</f>
        <v>0</v>
      </c>
      <c r="U436" s="33" t="str">
        <f t="shared" si="4"/>
        <v/>
      </c>
      <c r="V436" s="37"/>
      <c r="W436" s="29"/>
      <c r="X436" s="29" t="b">
        <v>0</v>
      </c>
      <c r="Y436" s="22" t="str">
        <f t="shared" si="5"/>
        <v/>
      </c>
      <c r="Z436" s="7">
        <f>IF(ISBLANK(V436), 0, VLOOKUP(V436, 'Price Sheet'!$A$2:$B1015, 2, false))</f>
        <v>0</v>
      </c>
      <c r="AA436" s="33" t="str">
        <f t="shared" si="6"/>
        <v/>
      </c>
      <c r="AB436" s="37"/>
      <c r="AC436" s="29"/>
      <c r="AD436" s="29" t="b">
        <v>0</v>
      </c>
      <c r="AE436" s="22" t="str">
        <f t="shared" si="7"/>
        <v/>
      </c>
      <c r="AF436" s="7">
        <f>IF(ISBLANK(AB436), 0, VLOOKUP(AB436, 'Price Sheet'!$A$2:$B1015, 2, false))</f>
        <v>0</v>
      </c>
      <c r="AG436" s="33" t="str">
        <f t="shared" si="8"/>
        <v/>
      </c>
      <c r="AH436" s="37"/>
      <c r="AI436" s="29"/>
      <c r="AJ436" s="29" t="b">
        <v>0</v>
      </c>
      <c r="AK436" s="22" t="str">
        <f t="shared" si="9"/>
        <v/>
      </c>
      <c r="AL436" s="7">
        <f>IF(ISBLANK(AH436), 0, VLOOKUP(AH436, 'Price Sheet'!$A$2:$B1015, 2, false))</f>
        <v>0</v>
      </c>
      <c r="AM436" s="33" t="str">
        <f t="shared" si="10"/>
        <v/>
      </c>
      <c r="AN436" s="37"/>
      <c r="AO436" s="29"/>
      <c r="AP436" s="29" t="b">
        <v>0</v>
      </c>
      <c r="AQ436" s="22" t="str">
        <f t="shared" si="11"/>
        <v/>
      </c>
      <c r="AR436" s="7">
        <f>IF(ISBLANK(AN436), 0, VLOOKUP(AN436, 'Price Sheet'!$A$2:$B1015, 2, false))</f>
        <v>0</v>
      </c>
      <c r="AS436" s="33" t="str">
        <f t="shared" si="12"/>
        <v/>
      </c>
      <c r="AT436" s="37"/>
      <c r="AU436" s="29"/>
      <c r="AV436" s="29" t="b">
        <v>0</v>
      </c>
      <c r="AW436" s="22" t="str">
        <f t="shared" si="13"/>
        <v/>
      </c>
      <c r="AX436" s="7">
        <f>IF(ISBLANK(AT436), 0, VLOOKUP(AT436, 'Price Sheet'!$A$2:$B1015, 2, false))</f>
        <v>0</v>
      </c>
      <c r="AY436" s="33" t="str">
        <f t="shared" si="14"/>
        <v/>
      </c>
      <c r="AZ436" s="37"/>
      <c r="BA436" s="29"/>
      <c r="BB436" s="29" t="b">
        <v>0</v>
      </c>
      <c r="BC436" s="22" t="str">
        <f t="shared" si="15"/>
        <v/>
      </c>
      <c r="BD436" s="7">
        <f>IF(ISBLANK(AZ436), 0, VLOOKUP(AZ436, 'Price Sheet'!$A$2:$B1015, 2, false))</f>
        <v>0</v>
      </c>
      <c r="BE436" s="33" t="str">
        <f t="shared" si="16"/>
        <v/>
      </c>
      <c r="BF436" s="37"/>
      <c r="BG436" s="29"/>
      <c r="BH436" s="29" t="b">
        <v>0</v>
      </c>
      <c r="BI436" s="22" t="str">
        <f t="shared" si="17"/>
        <v/>
      </c>
      <c r="BJ436" s="7">
        <f>IF(ISBLANK(BF436), 0, VLOOKUP(BF436, 'Price Sheet'!$A$2:$B1015, 2, false))</f>
        <v>0</v>
      </c>
      <c r="BK436" s="33" t="str">
        <f t="shared" si="18"/>
        <v/>
      </c>
      <c r="BL436" s="37"/>
      <c r="BM436" s="29"/>
      <c r="BN436" s="29" t="b">
        <v>0</v>
      </c>
      <c r="BO436" s="22" t="str">
        <f t="shared" si="19"/>
        <v/>
      </c>
      <c r="BP436" s="7">
        <f>IF(ISBLANK(BL436), 0, VLOOKUP(BL436, 'Price Sheet'!$A$2:$B1015, 2, false))</f>
        <v>0</v>
      </c>
      <c r="BQ436" s="33" t="str">
        <f t="shared" si="20"/>
        <v/>
      </c>
    </row>
    <row r="437">
      <c r="B437" s="19"/>
      <c r="C437" s="29"/>
      <c r="D437" s="29"/>
      <c r="E437" s="7" t="str">
        <f>IF(ISBLANK(D437), "", VLOOKUP(D437,'Crafting Tables'!$A$2:$B1015, 2, false))</f>
        <v/>
      </c>
      <c r="F437" s="7" t="str">
        <f>IFERROR(IF(E437 = "None", 1, VLOOKUP(C437,General!$A$5:$L$35, SWITCH(E437, "Basic", 8, "Advanced", 10, "Modern", 12), false)),"")</f>
        <v/>
      </c>
      <c r="G437" s="29"/>
      <c r="H437" s="7">
        <f>IFERROR(VLOOKUP(C437, General!$A$5:$L$35, 6, false) * G437 / 1000, 0)</f>
        <v>0</v>
      </c>
      <c r="I437" s="29"/>
      <c r="J437" s="22" t="str">
        <f>IFERROR(I437*VLOOKUP(D437,'Crafting Tables'!$1:$1000, 4, false)*F437,"")</f>
        <v/>
      </c>
      <c r="K437" s="29" t="b">
        <v>0</v>
      </c>
      <c r="L437" s="37"/>
      <c r="M437" s="29"/>
      <c r="N437" s="21" t="str">
        <f t="shared" si="2"/>
        <v/>
      </c>
      <c r="P437" s="37"/>
      <c r="Q437" s="29"/>
      <c r="R437" s="29" t="b">
        <v>0</v>
      </c>
      <c r="S437" s="22" t="str">
        <f t="shared" si="3"/>
        <v/>
      </c>
      <c r="T437" s="7">
        <f>IF(ISBLANK(P437), 0, VLOOKUP(P437, 'Price Sheet'!$A$2:$B1015, 2, false))</f>
        <v>0</v>
      </c>
      <c r="U437" s="33" t="str">
        <f t="shared" si="4"/>
        <v/>
      </c>
      <c r="V437" s="37"/>
      <c r="W437" s="29"/>
      <c r="X437" s="29" t="b">
        <v>0</v>
      </c>
      <c r="Y437" s="22" t="str">
        <f t="shared" si="5"/>
        <v/>
      </c>
      <c r="Z437" s="7">
        <f>IF(ISBLANK(V437), 0, VLOOKUP(V437, 'Price Sheet'!$A$2:$B1015, 2, false))</f>
        <v>0</v>
      </c>
      <c r="AA437" s="33" t="str">
        <f t="shared" si="6"/>
        <v/>
      </c>
      <c r="AB437" s="37"/>
      <c r="AC437" s="29"/>
      <c r="AD437" s="29" t="b">
        <v>0</v>
      </c>
      <c r="AE437" s="22" t="str">
        <f t="shared" si="7"/>
        <v/>
      </c>
      <c r="AF437" s="7">
        <f>IF(ISBLANK(AB437), 0, VLOOKUP(AB437, 'Price Sheet'!$A$2:$B1015, 2, false))</f>
        <v>0</v>
      </c>
      <c r="AG437" s="33" t="str">
        <f t="shared" si="8"/>
        <v/>
      </c>
      <c r="AH437" s="37"/>
      <c r="AI437" s="29"/>
      <c r="AJ437" s="29" t="b">
        <v>0</v>
      </c>
      <c r="AK437" s="22" t="str">
        <f t="shared" si="9"/>
        <v/>
      </c>
      <c r="AL437" s="7">
        <f>IF(ISBLANK(AH437), 0, VLOOKUP(AH437, 'Price Sheet'!$A$2:$B1015, 2, false))</f>
        <v>0</v>
      </c>
      <c r="AM437" s="33" t="str">
        <f t="shared" si="10"/>
        <v/>
      </c>
      <c r="AN437" s="37"/>
      <c r="AO437" s="29"/>
      <c r="AP437" s="29" t="b">
        <v>0</v>
      </c>
      <c r="AQ437" s="22" t="str">
        <f t="shared" si="11"/>
        <v/>
      </c>
      <c r="AR437" s="7">
        <f>IF(ISBLANK(AN437), 0, VLOOKUP(AN437, 'Price Sheet'!$A$2:$B1015, 2, false))</f>
        <v>0</v>
      </c>
      <c r="AS437" s="33" t="str">
        <f t="shared" si="12"/>
        <v/>
      </c>
      <c r="AT437" s="37"/>
      <c r="AU437" s="29"/>
      <c r="AV437" s="29" t="b">
        <v>0</v>
      </c>
      <c r="AW437" s="22" t="str">
        <f t="shared" si="13"/>
        <v/>
      </c>
      <c r="AX437" s="7">
        <f>IF(ISBLANK(AT437), 0, VLOOKUP(AT437, 'Price Sheet'!$A$2:$B1015, 2, false))</f>
        <v>0</v>
      </c>
      <c r="AY437" s="33" t="str">
        <f t="shared" si="14"/>
        <v/>
      </c>
      <c r="AZ437" s="37"/>
      <c r="BA437" s="29"/>
      <c r="BB437" s="29" t="b">
        <v>0</v>
      </c>
      <c r="BC437" s="22" t="str">
        <f t="shared" si="15"/>
        <v/>
      </c>
      <c r="BD437" s="7">
        <f>IF(ISBLANK(AZ437), 0, VLOOKUP(AZ437, 'Price Sheet'!$A$2:$B1015, 2, false))</f>
        <v>0</v>
      </c>
      <c r="BE437" s="33" t="str">
        <f t="shared" si="16"/>
        <v/>
      </c>
      <c r="BF437" s="37"/>
      <c r="BG437" s="29"/>
      <c r="BH437" s="29" t="b">
        <v>0</v>
      </c>
      <c r="BI437" s="22" t="str">
        <f t="shared" si="17"/>
        <v/>
      </c>
      <c r="BJ437" s="7">
        <f>IF(ISBLANK(BF437), 0, VLOOKUP(BF437, 'Price Sheet'!$A$2:$B1015, 2, false))</f>
        <v>0</v>
      </c>
      <c r="BK437" s="33" t="str">
        <f t="shared" si="18"/>
        <v/>
      </c>
      <c r="BL437" s="37"/>
      <c r="BM437" s="29"/>
      <c r="BN437" s="29" t="b">
        <v>0</v>
      </c>
      <c r="BO437" s="22" t="str">
        <f t="shared" si="19"/>
        <v/>
      </c>
      <c r="BP437" s="7">
        <f>IF(ISBLANK(BL437), 0, VLOOKUP(BL437, 'Price Sheet'!$A$2:$B1015, 2, false))</f>
        <v>0</v>
      </c>
      <c r="BQ437" s="33" t="str">
        <f t="shared" si="20"/>
        <v/>
      </c>
    </row>
    <row r="438">
      <c r="B438" s="19"/>
      <c r="C438" s="29"/>
      <c r="D438" s="29"/>
      <c r="E438" s="7" t="str">
        <f>IF(ISBLANK(D438), "", VLOOKUP(D438,'Crafting Tables'!$A$2:$B1015, 2, false))</f>
        <v/>
      </c>
      <c r="F438" s="7" t="str">
        <f>IFERROR(IF(E438 = "None", 1, VLOOKUP(C438,General!$A$5:$L$35, SWITCH(E438, "Basic", 8, "Advanced", 10, "Modern", 12), false)),"")</f>
        <v/>
      </c>
      <c r="G438" s="29"/>
      <c r="H438" s="7">
        <f>IFERROR(VLOOKUP(C438, General!$A$5:$L$35, 6, false) * G438 / 1000, 0)</f>
        <v>0</v>
      </c>
      <c r="I438" s="29"/>
      <c r="J438" s="22" t="str">
        <f>IFERROR(I438*VLOOKUP(D438,'Crafting Tables'!$1:$1000, 4, false)*F438,"")</f>
        <v/>
      </c>
      <c r="K438" s="29" t="b">
        <v>0</v>
      </c>
      <c r="L438" s="37"/>
      <c r="M438" s="29"/>
      <c r="N438" s="21" t="str">
        <f t="shared" si="2"/>
        <v/>
      </c>
      <c r="P438" s="37"/>
      <c r="Q438" s="29"/>
      <c r="R438" s="29" t="b">
        <v>0</v>
      </c>
      <c r="S438" s="22" t="str">
        <f t="shared" si="3"/>
        <v/>
      </c>
      <c r="T438" s="7">
        <f>IF(ISBLANK(P438), 0, VLOOKUP(P438, 'Price Sheet'!$A$2:$B1015, 2, false))</f>
        <v>0</v>
      </c>
      <c r="U438" s="33" t="str">
        <f t="shared" si="4"/>
        <v/>
      </c>
      <c r="V438" s="37"/>
      <c r="W438" s="29"/>
      <c r="X438" s="29" t="b">
        <v>0</v>
      </c>
      <c r="Y438" s="22" t="str">
        <f t="shared" si="5"/>
        <v/>
      </c>
      <c r="Z438" s="7">
        <f>IF(ISBLANK(V438), 0, VLOOKUP(V438, 'Price Sheet'!$A$2:$B1015, 2, false))</f>
        <v>0</v>
      </c>
      <c r="AA438" s="33" t="str">
        <f t="shared" si="6"/>
        <v/>
      </c>
      <c r="AB438" s="37"/>
      <c r="AC438" s="29"/>
      <c r="AD438" s="29" t="b">
        <v>0</v>
      </c>
      <c r="AE438" s="22" t="str">
        <f t="shared" si="7"/>
        <v/>
      </c>
      <c r="AF438" s="7">
        <f>IF(ISBLANK(AB438), 0, VLOOKUP(AB438, 'Price Sheet'!$A$2:$B1015, 2, false))</f>
        <v>0</v>
      </c>
      <c r="AG438" s="33" t="str">
        <f t="shared" si="8"/>
        <v/>
      </c>
      <c r="AH438" s="37"/>
      <c r="AI438" s="29"/>
      <c r="AJ438" s="29" t="b">
        <v>0</v>
      </c>
      <c r="AK438" s="22" t="str">
        <f t="shared" si="9"/>
        <v/>
      </c>
      <c r="AL438" s="7">
        <f>IF(ISBLANK(AH438), 0, VLOOKUP(AH438, 'Price Sheet'!$A$2:$B1015, 2, false))</f>
        <v>0</v>
      </c>
      <c r="AM438" s="33" t="str">
        <f t="shared" si="10"/>
        <v/>
      </c>
      <c r="AN438" s="37"/>
      <c r="AO438" s="29"/>
      <c r="AP438" s="29" t="b">
        <v>0</v>
      </c>
      <c r="AQ438" s="22" t="str">
        <f t="shared" si="11"/>
        <v/>
      </c>
      <c r="AR438" s="7">
        <f>IF(ISBLANK(AN438), 0, VLOOKUP(AN438, 'Price Sheet'!$A$2:$B1015, 2, false))</f>
        <v>0</v>
      </c>
      <c r="AS438" s="33" t="str">
        <f t="shared" si="12"/>
        <v/>
      </c>
      <c r="AT438" s="37"/>
      <c r="AU438" s="29"/>
      <c r="AV438" s="29" t="b">
        <v>0</v>
      </c>
      <c r="AW438" s="22" t="str">
        <f t="shared" si="13"/>
        <v/>
      </c>
      <c r="AX438" s="7">
        <f>IF(ISBLANK(AT438), 0, VLOOKUP(AT438, 'Price Sheet'!$A$2:$B1015, 2, false))</f>
        <v>0</v>
      </c>
      <c r="AY438" s="33" t="str">
        <f t="shared" si="14"/>
        <v/>
      </c>
      <c r="AZ438" s="37"/>
      <c r="BA438" s="29"/>
      <c r="BB438" s="29" t="b">
        <v>0</v>
      </c>
      <c r="BC438" s="22" t="str">
        <f t="shared" si="15"/>
        <v/>
      </c>
      <c r="BD438" s="7">
        <f>IF(ISBLANK(AZ438), 0, VLOOKUP(AZ438, 'Price Sheet'!$A$2:$B1015, 2, false))</f>
        <v>0</v>
      </c>
      <c r="BE438" s="33" t="str">
        <f t="shared" si="16"/>
        <v/>
      </c>
      <c r="BF438" s="37"/>
      <c r="BG438" s="29"/>
      <c r="BH438" s="29" t="b">
        <v>0</v>
      </c>
      <c r="BI438" s="22" t="str">
        <f t="shared" si="17"/>
        <v/>
      </c>
      <c r="BJ438" s="7">
        <f>IF(ISBLANK(BF438), 0, VLOOKUP(BF438, 'Price Sheet'!$A$2:$B1015, 2, false))</f>
        <v>0</v>
      </c>
      <c r="BK438" s="33" t="str">
        <f t="shared" si="18"/>
        <v/>
      </c>
      <c r="BL438" s="37"/>
      <c r="BM438" s="29"/>
      <c r="BN438" s="29" t="b">
        <v>0</v>
      </c>
      <c r="BO438" s="22" t="str">
        <f t="shared" si="19"/>
        <v/>
      </c>
      <c r="BP438" s="7">
        <f>IF(ISBLANK(BL438), 0, VLOOKUP(BL438, 'Price Sheet'!$A$2:$B1015, 2, false))</f>
        <v>0</v>
      </c>
      <c r="BQ438" s="33" t="str">
        <f t="shared" si="20"/>
        <v/>
      </c>
    </row>
    <row r="439">
      <c r="B439" s="19"/>
      <c r="C439" s="29"/>
      <c r="D439" s="29"/>
      <c r="E439" s="7" t="str">
        <f>IF(ISBLANK(D439), "", VLOOKUP(D439,'Crafting Tables'!$A$2:$B1015, 2, false))</f>
        <v/>
      </c>
      <c r="F439" s="7" t="str">
        <f>IFERROR(IF(E439 = "None", 1, VLOOKUP(C439,General!$A$5:$L$35, SWITCH(E439, "Basic", 8, "Advanced", 10, "Modern", 12), false)),"")</f>
        <v/>
      </c>
      <c r="G439" s="29"/>
      <c r="H439" s="7">
        <f>IFERROR(VLOOKUP(C439, General!$A$5:$L$35, 6, false) * G439 / 1000, 0)</f>
        <v>0</v>
      </c>
      <c r="I439" s="29"/>
      <c r="J439" s="22" t="str">
        <f>IFERROR(I439*VLOOKUP(D439,'Crafting Tables'!$1:$1000, 4, false)*F439,"")</f>
        <v/>
      </c>
      <c r="K439" s="29" t="b">
        <v>0</v>
      </c>
      <c r="L439" s="37"/>
      <c r="M439" s="29"/>
      <c r="N439" s="21" t="str">
        <f t="shared" si="2"/>
        <v/>
      </c>
      <c r="P439" s="37"/>
      <c r="Q439" s="29"/>
      <c r="R439" s="29" t="b">
        <v>0</v>
      </c>
      <c r="S439" s="22" t="str">
        <f t="shared" si="3"/>
        <v/>
      </c>
      <c r="T439" s="7">
        <f>IF(ISBLANK(P439), 0, VLOOKUP(P439, 'Price Sheet'!$A$2:$B1015, 2, false))</f>
        <v>0</v>
      </c>
      <c r="U439" s="33" t="str">
        <f t="shared" si="4"/>
        <v/>
      </c>
      <c r="V439" s="37"/>
      <c r="W439" s="29"/>
      <c r="X439" s="29" t="b">
        <v>0</v>
      </c>
      <c r="Y439" s="22" t="str">
        <f t="shared" si="5"/>
        <v/>
      </c>
      <c r="Z439" s="7">
        <f>IF(ISBLANK(V439), 0, VLOOKUP(V439, 'Price Sheet'!$A$2:$B1015, 2, false))</f>
        <v>0</v>
      </c>
      <c r="AA439" s="33" t="str">
        <f t="shared" si="6"/>
        <v/>
      </c>
      <c r="AB439" s="37"/>
      <c r="AC439" s="29"/>
      <c r="AD439" s="29" t="b">
        <v>0</v>
      </c>
      <c r="AE439" s="22" t="str">
        <f t="shared" si="7"/>
        <v/>
      </c>
      <c r="AF439" s="7">
        <f>IF(ISBLANK(AB439), 0, VLOOKUP(AB439, 'Price Sheet'!$A$2:$B1015, 2, false))</f>
        <v>0</v>
      </c>
      <c r="AG439" s="33" t="str">
        <f t="shared" si="8"/>
        <v/>
      </c>
      <c r="AH439" s="37"/>
      <c r="AI439" s="29"/>
      <c r="AJ439" s="29" t="b">
        <v>0</v>
      </c>
      <c r="AK439" s="22" t="str">
        <f t="shared" si="9"/>
        <v/>
      </c>
      <c r="AL439" s="7">
        <f>IF(ISBLANK(AH439), 0, VLOOKUP(AH439, 'Price Sheet'!$A$2:$B1015, 2, false))</f>
        <v>0</v>
      </c>
      <c r="AM439" s="33" t="str">
        <f t="shared" si="10"/>
        <v/>
      </c>
      <c r="AN439" s="37"/>
      <c r="AO439" s="29"/>
      <c r="AP439" s="29" t="b">
        <v>0</v>
      </c>
      <c r="AQ439" s="22" t="str">
        <f t="shared" si="11"/>
        <v/>
      </c>
      <c r="AR439" s="7">
        <f>IF(ISBLANK(AN439), 0, VLOOKUP(AN439, 'Price Sheet'!$A$2:$B1015, 2, false))</f>
        <v>0</v>
      </c>
      <c r="AS439" s="33" t="str">
        <f t="shared" si="12"/>
        <v/>
      </c>
      <c r="AT439" s="37"/>
      <c r="AU439" s="29"/>
      <c r="AV439" s="29" t="b">
        <v>0</v>
      </c>
      <c r="AW439" s="22" t="str">
        <f t="shared" si="13"/>
        <v/>
      </c>
      <c r="AX439" s="7">
        <f>IF(ISBLANK(AT439), 0, VLOOKUP(AT439, 'Price Sheet'!$A$2:$B1015, 2, false))</f>
        <v>0</v>
      </c>
      <c r="AY439" s="33" t="str">
        <f t="shared" si="14"/>
        <v/>
      </c>
      <c r="AZ439" s="37"/>
      <c r="BA439" s="29"/>
      <c r="BB439" s="29" t="b">
        <v>0</v>
      </c>
      <c r="BC439" s="22" t="str">
        <f t="shared" si="15"/>
        <v/>
      </c>
      <c r="BD439" s="7">
        <f>IF(ISBLANK(AZ439), 0, VLOOKUP(AZ439, 'Price Sheet'!$A$2:$B1015, 2, false))</f>
        <v>0</v>
      </c>
      <c r="BE439" s="33" t="str">
        <f t="shared" si="16"/>
        <v/>
      </c>
      <c r="BF439" s="37"/>
      <c r="BG439" s="29"/>
      <c r="BH439" s="29" t="b">
        <v>0</v>
      </c>
      <c r="BI439" s="22" t="str">
        <f t="shared" si="17"/>
        <v/>
      </c>
      <c r="BJ439" s="7">
        <f>IF(ISBLANK(BF439), 0, VLOOKUP(BF439, 'Price Sheet'!$A$2:$B1015, 2, false))</f>
        <v>0</v>
      </c>
      <c r="BK439" s="33" t="str">
        <f t="shared" si="18"/>
        <v/>
      </c>
      <c r="BL439" s="37"/>
      <c r="BM439" s="29"/>
      <c r="BN439" s="29" t="b">
        <v>0</v>
      </c>
      <c r="BO439" s="22" t="str">
        <f t="shared" si="19"/>
        <v/>
      </c>
      <c r="BP439" s="7">
        <f>IF(ISBLANK(BL439), 0, VLOOKUP(BL439, 'Price Sheet'!$A$2:$B1015, 2, false))</f>
        <v>0</v>
      </c>
      <c r="BQ439" s="33" t="str">
        <f t="shared" si="20"/>
        <v/>
      </c>
    </row>
    <row r="440">
      <c r="B440" s="19"/>
      <c r="C440" s="29"/>
      <c r="D440" s="29"/>
      <c r="E440" s="7" t="str">
        <f>IF(ISBLANK(D440), "", VLOOKUP(D440,'Crafting Tables'!$A$2:$B1015, 2, false))</f>
        <v/>
      </c>
      <c r="F440" s="7" t="str">
        <f>IFERROR(IF(E440 = "None", 1, VLOOKUP(C440,General!$A$5:$L$35, SWITCH(E440, "Basic", 8, "Advanced", 10, "Modern", 12), false)),"")</f>
        <v/>
      </c>
      <c r="G440" s="29"/>
      <c r="H440" s="7">
        <f>IFERROR(VLOOKUP(C440, General!$A$5:$L$35, 6, false) * G440 / 1000, 0)</f>
        <v>0</v>
      </c>
      <c r="I440" s="29"/>
      <c r="J440" s="22" t="str">
        <f>IFERROR(I440*VLOOKUP(D440,'Crafting Tables'!$1:$1000, 4, false)*F440,"")</f>
        <v/>
      </c>
      <c r="K440" s="29" t="b">
        <v>0</v>
      </c>
      <c r="L440" s="37"/>
      <c r="M440" s="29"/>
      <c r="N440" s="21" t="str">
        <f t="shared" si="2"/>
        <v/>
      </c>
      <c r="P440" s="37"/>
      <c r="Q440" s="29"/>
      <c r="R440" s="29" t="b">
        <v>0</v>
      </c>
      <c r="S440" s="22" t="str">
        <f t="shared" si="3"/>
        <v/>
      </c>
      <c r="T440" s="7">
        <f>IF(ISBLANK(P440), 0, VLOOKUP(P440, 'Price Sheet'!$A$2:$B1015, 2, false))</f>
        <v>0</v>
      </c>
      <c r="U440" s="33" t="str">
        <f t="shared" si="4"/>
        <v/>
      </c>
      <c r="V440" s="37"/>
      <c r="W440" s="29"/>
      <c r="X440" s="29" t="b">
        <v>0</v>
      </c>
      <c r="Y440" s="22" t="str">
        <f t="shared" si="5"/>
        <v/>
      </c>
      <c r="Z440" s="7">
        <f>IF(ISBLANK(V440), 0, VLOOKUP(V440, 'Price Sheet'!$A$2:$B1015, 2, false))</f>
        <v>0</v>
      </c>
      <c r="AA440" s="33" t="str">
        <f t="shared" si="6"/>
        <v/>
      </c>
      <c r="AB440" s="37"/>
      <c r="AC440" s="29"/>
      <c r="AD440" s="29" t="b">
        <v>0</v>
      </c>
      <c r="AE440" s="22" t="str">
        <f t="shared" si="7"/>
        <v/>
      </c>
      <c r="AF440" s="7">
        <f>IF(ISBLANK(AB440), 0, VLOOKUP(AB440, 'Price Sheet'!$A$2:$B1015, 2, false))</f>
        <v>0</v>
      </c>
      <c r="AG440" s="33" t="str">
        <f t="shared" si="8"/>
        <v/>
      </c>
      <c r="AH440" s="37"/>
      <c r="AI440" s="29"/>
      <c r="AJ440" s="29" t="b">
        <v>0</v>
      </c>
      <c r="AK440" s="22" t="str">
        <f t="shared" si="9"/>
        <v/>
      </c>
      <c r="AL440" s="7">
        <f>IF(ISBLANK(AH440), 0, VLOOKUP(AH440, 'Price Sheet'!$A$2:$B1015, 2, false))</f>
        <v>0</v>
      </c>
      <c r="AM440" s="33" t="str">
        <f t="shared" si="10"/>
        <v/>
      </c>
      <c r="AN440" s="37"/>
      <c r="AO440" s="29"/>
      <c r="AP440" s="29" t="b">
        <v>0</v>
      </c>
      <c r="AQ440" s="22" t="str">
        <f t="shared" si="11"/>
        <v/>
      </c>
      <c r="AR440" s="7">
        <f>IF(ISBLANK(AN440), 0, VLOOKUP(AN440, 'Price Sheet'!$A$2:$B1015, 2, false))</f>
        <v>0</v>
      </c>
      <c r="AS440" s="33" t="str">
        <f t="shared" si="12"/>
        <v/>
      </c>
      <c r="AT440" s="37"/>
      <c r="AU440" s="29"/>
      <c r="AV440" s="29" t="b">
        <v>0</v>
      </c>
      <c r="AW440" s="22" t="str">
        <f t="shared" si="13"/>
        <v/>
      </c>
      <c r="AX440" s="7">
        <f>IF(ISBLANK(AT440), 0, VLOOKUP(AT440, 'Price Sheet'!$A$2:$B1015, 2, false))</f>
        <v>0</v>
      </c>
      <c r="AY440" s="33" t="str">
        <f t="shared" si="14"/>
        <v/>
      </c>
      <c r="AZ440" s="37"/>
      <c r="BA440" s="29"/>
      <c r="BB440" s="29" t="b">
        <v>0</v>
      </c>
      <c r="BC440" s="22" t="str">
        <f t="shared" si="15"/>
        <v/>
      </c>
      <c r="BD440" s="7">
        <f>IF(ISBLANK(AZ440), 0, VLOOKUP(AZ440, 'Price Sheet'!$A$2:$B1015, 2, false))</f>
        <v>0</v>
      </c>
      <c r="BE440" s="33" t="str">
        <f t="shared" si="16"/>
        <v/>
      </c>
      <c r="BF440" s="37"/>
      <c r="BG440" s="29"/>
      <c r="BH440" s="29" t="b">
        <v>0</v>
      </c>
      <c r="BI440" s="22" t="str">
        <f t="shared" si="17"/>
        <v/>
      </c>
      <c r="BJ440" s="7">
        <f>IF(ISBLANK(BF440), 0, VLOOKUP(BF440, 'Price Sheet'!$A$2:$B1015, 2, false))</f>
        <v>0</v>
      </c>
      <c r="BK440" s="33" t="str">
        <f t="shared" si="18"/>
        <v/>
      </c>
      <c r="BL440" s="37"/>
      <c r="BM440" s="29"/>
      <c r="BN440" s="29" t="b">
        <v>0</v>
      </c>
      <c r="BO440" s="22" t="str">
        <f t="shared" si="19"/>
        <v/>
      </c>
      <c r="BP440" s="7">
        <f>IF(ISBLANK(BL440), 0, VLOOKUP(BL440, 'Price Sheet'!$A$2:$B1015, 2, false))</f>
        <v>0</v>
      </c>
      <c r="BQ440" s="33" t="str">
        <f t="shared" si="20"/>
        <v/>
      </c>
    </row>
    <row r="441">
      <c r="B441" s="19"/>
      <c r="C441" s="29"/>
      <c r="D441" s="29"/>
      <c r="E441" s="7" t="str">
        <f>IF(ISBLANK(D441), "", VLOOKUP(D441,'Crafting Tables'!$A$2:$B1015, 2, false))</f>
        <v/>
      </c>
      <c r="F441" s="7" t="str">
        <f>IFERROR(IF(E441 = "None", 1, VLOOKUP(C441,General!$A$5:$L$35, SWITCH(E441, "Basic", 8, "Advanced", 10, "Modern", 12), false)),"")</f>
        <v/>
      </c>
      <c r="G441" s="29"/>
      <c r="H441" s="7">
        <f>IFERROR(VLOOKUP(C441, General!$A$5:$L$35, 6, false) * G441 / 1000, 0)</f>
        <v>0</v>
      </c>
      <c r="I441" s="29"/>
      <c r="J441" s="22" t="str">
        <f>IFERROR(I441*VLOOKUP(D441,'Crafting Tables'!$1:$1000, 4, false)*F441,"")</f>
        <v/>
      </c>
      <c r="K441" s="29" t="b">
        <v>0</v>
      </c>
      <c r="L441" s="37"/>
      <c r="M441" s="29"/>
      <c r="N441" s="21" t="str">
        <f t="shared" si="2"/>
        <v/>
      </c>
      <c r="P441" s="37"/>
      <c r="Q441" s="29"/>
      <c r="R441" s="29" t="b">
        <v>0</v>
      </c>
      <c r="S441" s="22" t="str">
        <f t="shared" si="3"/>
        <v/>
      </c>
      <c r="T441" s="7">
        <f>IF(ISBLANK(P441), 0, VLOOKUP(P441, 'Price Sheet'!$A$2:$B1015, 2, false))</f>
        <v>0</v>
      </c>
      <c r="U441" s="33" t="str">
        <f t="shared" si="4"/>
        <v/>
      </c>
      <c r="V441" s="37"/>
      <c r="W441" s="29"/>
      <c r="X441" s="29" t="b">
        <v>0</v>
      </c>
      <c r="Y441" s="22" t="str">
        <f t="shared" si="5"/>
        <v/>
      </c>
      <c r="Z441" s="7">
        <f>IF(ISBLANK(V441), 0, VLOOKUP(V441, 'Price Sheet'!$A$2:$B1015, 2, false))</f>
        <v>0</v>
      </c>
      <c r="AA441" s="33" t="str">
        <f t="shared" si="6"/>
        <v/>
      </c>
      <c r="AB441" s="37"/>
      <c r="AC441" s="29"/>
      <c r="AD441" s="29" t="b">
        <v>0</v>
      </c>
      <c r="AE441" s="22" t="str">
        <f t="shared" si="7"/>
        <v/>
      </c>
      <c r="AF441" s="7">
        <f>IF(ISBLANK(AB441), 0, VLOOKUP(AB441, 'Price Sheet'!$A$2:$B1015, 2, false))</f>
        <v>0</v>
      </c>
      <c r="AG441" s="33" t="str">
        <f t="shared" si="8"/>
        <v/>
      </c>
      <c r="AH441" s="37"/>
      <c r="AI441" s="29"/>
      <c r="AJ441" s="29" t="b">
        <v>0</v>
      </c>
      <c r="AK441" s="22" t="str">
        <f t="shared" si="9"/>
        <v/>
      </c>
      <c r="AL441" s="7">
        <f>IF(ISBLANK(AH441), 0, VLOOKUP(AH441, 'Price Sheet'!$A$2:$B1015, 2, false))</f>
        <v>0</v>
      </c>
      <c r="AM441" s="33" t="str">
        <f t="shared" si="10"/>
        <v/>
      </c>
      <c r="AN441" s="37"/>
      <c r="AO441" s="29"/>
      <c r="AP441" s="29" t="b">
        <v>0</v>
      </c>
      <c r="AQ441" s="22" t="str">
        <f t="shared" si="11"/>
        <v/>
      </c>
      <c r="AR441" s="7">
        <f>IF(ISBLANK(AN441), 0, VLOOKUP(AN441, 'Price Sheet'!$A$2:$B1015, 2, false))</f>
        <v>0</v>
      </c>
      <c r="AS441" s="33" t="str">
        <f t="shared" si="12"/>
        <v/>
      </c>
      <c r="AT441" s="37"/>
      <c r="AU441" s="29"/>
      <c r="AV441" s="29" t="b">
        <v>0</v>
      </c>
      <c r="AW441" s="22" t="str">
        <f t="shared" si="13"/>
        <v/>
      </c>
      <c r="AX441" s="7">
        <f>IF(ISBLANK(AT441), 0, VLOOKUP(AT441, 'Price Sheet'!$A$2:$B1015, 2, false))</f>
        <v>0</v>
      </c>
      <c r="AY441" s="33" t="str">
        <f t="shared" si="14"/>
        <v/>
      </c>
      <c r="AZ441" s="37"/>
      <c r="BA441" s="29"/>
      <c r="BB441" s="29" t="b">
        <v>0</v>
      </c>
      <c r="BC441" s="22" t="str">
        <f t="shared" si="15"/>
        <v/>
      </c>
      <c r="BD441" s="7">
        <f>IF(ISBLANK(AZ441), 0, VLOOKUP(AZ441, 'Price Sheet'!$A$2:$B1015, 2, false))</f>
        <v>0</v>
      </c>
      <c r="BE441" s="33" t="str">
        <f t="shared" si="16"/>
        <v/>
      </c>
      <c r="BF441" s="37"/>
      <c r="BG441" s="29"/>
      <c r="BH441" s="29" t="b">
        <v>0</v>
      </c>
      <c r="BI441" s="22" t="str">
        <f t="shared" si="17"/>
        <v/>
      </c>
      <c r="BJ441" s="7">
        <f>IF(ISBLANK(BF441), 0, VLOOKUP(BF441, 'Price Sheet'!$A$2:$B1015, 2, false))</f>
        <v>0</v>
      </c>
      <c r="BK441" s="33" t="str">
        <f t="shared" si="18"/>
        <v/>
      </c>
      <c r="BL441" s="37"/>
      <c r="BM441" s="29"/>
      <c r="BN441" s="29" t="b">
        <v>0</v>
      </c>
      <c r="BO441" s="22" t="str">
        <f t="shared" si="19"/>
        <v/>
      </c>
      <c r="BP441" s="7">
        <f>IF(ISBLANK(BL441), 0, VLOOKUP(BL441, 'Price Sheet'!$A$2:$B1015, 2, false))</f>
        <v>0</v>
      </c>
      <c r="BQ441" s="33" t="str">
        <f t="shared" si="20"/>
        <v/>
      </c>
    </row>
    <row r="442">
      <c r="B442" s="19"/>
      <c r="C442" s="29"/>
      <c r="D442" s="29"/>
      <c r="E442" s="7" t="str">
        <f>IF(ISBLANK(D442), "", VLOOKUP(D442,'Crafting Tables'!$A$2:$B1015, 2, false))</f>
        <v/>
      </c>
      <c r="F442" s="7" t="str">
        <f>IFERROR(IF(E442 = "None", 1, VLOOKUP(C442,General!$A$5:$L$35, SWITCH(E442, "Basic", 8, "Advanced", 10, "Modern", 12), false)),"")</f>
        <v/>
      </c>
      <c r="G442" s="29"/>
      <c r="H442" s="7">
        <f>IFERROR(VLOOKUP(C442, General!$A$5:$L$35, 6, false) * G442 / 1000, 0)</f>
        <v>0</v>
      </c>
      <c r="I442" s="29"/>
      <c r="J442" s="22" t="str">
        <f>IFERROR(I442*VLOOKUP(D442,'Crafting Tables'!$1:$1000, 4, false)*F442,"")</f>
        <v/>
      </c>
      <c r="K442" s="29" t="b">
        <v>0</v>
      </c>
      <c r="L442" s="37"/>
      <c r="M442" s="29"/>
      <c r="N442" s="21" t="str">
        <f t="shared" si="2"/>
        <v/>
      </c>
      <c r="P442" s="37"/>
      <c r="Q442" s="29"/>
      <c r="R442" s="29" t="b">
        <v>0</v>
      </c>
      <c r="S442" s="22" t="str">
        <f t="shared" si="3"/>
        <v/>
      </c>
      <c r="T442" s="7">
        <f>IF(ISBLANK(P442), 0, VLOOKUP(P442, 'Price Sheet'!$A$2:$B1015, 2, false))</f>
        <v>0</v>
      </c>
      <c r="U442" s="33" t="str">
        <f t="shared" si="4"/>
        <v/>
      </c>
      <c r="V442" s="37"/>
      <c r="W442" s="29"/>
      <c r="X442" s="29" t="b">
        <v>0</v>
      </c>
      <c r="Y442" s="22" t="str">
        <f t="shared" si="5"/>
        <v/>
      </c>
      <c r="Z442" s="7">
        <f>IF(ISBLANK(V442), 0, VLOOKUP(V442, 'Price Sheet'!$A$2:$B1015, 2, false))</f>
        <v>0</v>
      </c>
      <c r="AA442" s="33" t="str">
        <f t="shared" si="6"/>
        <v/>
      </c>
      <c r="AB442" s="37"/>
      <c r="AC442" s="29"/>
      <c r="AD442" s="29" t="b">
        <v>0</v>
      </c>
      <c r="AE442" s="22" t="str">
        <f t="shared" si="7"/>
        <v/>
      </c>
      <c r="AF442" s="7">
        <f>IF(ISBLANK(AB442), 0, VLOOKUP(AB442, 'Price Sheet'!$A$2:$B1015, 2, false))</f>
        <v>0</v>
      </c>
      <c r="AG442" s="33" t="str">
        <f t="shared" si="8"/>
        <v/>
      </c>
      <c r="AH442" s="37"/>
      <c r="AI442" s="29"/>
      <c r="AJ442" s="29" t="b">
        <v>0</v>
      </c>
      <c r="AK442" s="22" t="str">
        <f t="shared" si="9"/>
        <v/>
      </c>
      <c r="AL442" s="7">
        <f>IF(ISBLANK(AH442), 0, VLOOKUP(AH442, 'Price Sheet'!$A$2:$B1015, 2, false))</f>
        <v>0</v>
      </c>
      <c r="AM442" s="33" t="str">
        <f t="shared" si="10"/>
        <v/>
      </c>
      <c r="AN442" s="37"/>
      <c r="AO442" s="29"/>
      <c r="AP442" s="29" t="b">
        <v>0</v>
      </c>
      <c r="AQ442" s="22" t="str">
        <f t="shared" si="11"/>
        <v/>
      </c>
      <c r="AR442" s="7">
        <f>IF(ISBLANK(AN442), 0, VLOOKUP(AN442, 'Price Sheet'!$A$2:$B1015, 2, false))</f>
        <v>0</v>
      </c>
      <c r="AS442" s="33" t="str">
        <f t="shared" si="12"/>
        <v/>
      </c>
      <c r="AT442" s="37"/>
      <c r="AU442" s="29"/>
      <c r="AV442" s="29" t="b">
        <v>0</v>
      </c>
      <c r="AW442" s="22" t="str">
        <f t="shared" si="13"/>
        <v/>
      </c>
      <c r="AX442" s="7">
        <f>IF(ISBLANK(AT442), 0, VLOOKUP(AT442, 'Price Sheet'!$A$2:$B1015, 2, false))</f>
        <v>0</v>
      </c>
      <c r="AY442" s="33" t="str">
        <f t="shared" si="14"/>
        <v/>
      </c>
      <c r="AZ442" s="37"/>
      <c r="BA442" s="29"/>
      <c r="BB442" s="29" t="b">
        <v>0</v>
      </c>
      <c r="BC442" s="22" t="str">
        <f t="shared" si="15"/>
        <v/>
      </c>
      <c r="BD442" s="7">
        <f>IF(ISBLANK(AZ442), 0, VLOOKUP(AZ442, 'Price Sheet'!$A$2:$B1015, 2, false))</f>
        <v>0</v>
      </c>
      <c r="BE442" s="33" t="str">
        <f t="shared" si="16"/>
        <v/>
      </c>
      <c r="BF442" s="37"/>
      <c r="BG442" s="29"/>
      <c r="BH442" s="29" t="b">
        <v>0</v>
      </c>
      <c r="BI442" s="22" t="str">
        <f t="shared" si="17"/>
        <v/>
      </c>
      <c r="BJ442" s="7">
        <f>IF(ISBLANK(BF442), 0, VLOOKUP(BF442, 'Price Sheet'!$A$2:$B1015, 2, false))</f>
        <v>0</v>
      </c>
      <c r="BK442" s="33" t="str">
        <f t="shared" si="18"/>
        <v/>
      </c>
      <c r="BL442" s="37"/>
      <c r="BM442" s="29"/>
      <c r="BN442" s="29" t="b">
        <v>0</v>
      </c>
      <c r="BO442" s="22" t="str">
        <f t="shared" si="19"/>
        <v/>
      </c>
      <c r="BP442" s="7">
        <f>IF(ISBLANK(BL442), 0, VLOOKUP(BL442, 'Price Sheet'!$A$2:$B1015, 2, false))</f>
        <v>0</v>
      </c>
      <c r="BQ442" s="33" t="str">
        <f t="shared" si="20"/>
        <v/>
      </c>
    </row>
    <row r="443">
      <c r="B443" s="19"/>
      <c r="C443" s="29"/>
      <c r="D443" s="29"/>
      <c r="E443" s="7" t="str">
        <f>IF(ISBLANK(D443), "", VLOOKUP(D443,'Crafting Tables'!$A$2:$B1015, 2, false))</f>
        <v/>
      </c>
      <c r="F443" s="7" t="str">
        <f>IFERROR(IF(E443 = "None", 1, VLOOKUP(C443,General!$A$5:$L$35, SWITCH(E443, "Basic", 8, "Advanced", 10, "Modern", 12), false)),"")</f>
        <v/>
      </c>
      <c r="G443" s="29"/>
      <c r="H443" s="7">
        <f>IFERROR(VLOOKUP(C443, General!$A$5:$L$35, 6, false) * G443 / 1000, 0)</f>
        <v>0</v>
      </c>
      <c r="I443" s="29"/>
      <c r="J443" s="22" t="str">
        <f>IFERROR(I443*VLOOKUP(D443,'Crafting Tables'!$1:$1000, 4, false)*F443,"")</f>
        <v/>
      </c>
      <c r="K443" s="29" t="b">
        <v>0</v>
      </c>
      <c r="L443" s="37"/>
      <c r="M443" s="29"/>
      <c r="N443" s="21" t="str">
        <f t="shared" si="2"/>
        <v/>
      </c>
      <c r="P443" s="37"/>
      <c r="Q443" s="29"/>
      <c r="R443" s="29" t="b">
        <v>0</v>
      </c>
      <c r="S443" s="22" t="str">
        <f t="shared" si="3"/>
        <v/>
      </c>
      <c r="T443" s="7">
        <f>IF(ISBLANK(P443), 0, VLOOKUP(P443, 'Price Sheet'!$A$2:$B1015, 2, false))</f>
        <v>0</v>
      </c>
      <c r="U443" s="33" t="str">
        <f t="shared" si="4"/>
        <v/>
      </c>
      <c r="V443" s="37"/>
      <c r="W443" s="29"/>
      <c r="X443" s="29" t="b">
        <v>0</v>
      </c>
      <c r="Y443" s="22" t="str">
        <f t="shared" si="5"/>
        <v/>
      </c>
      <c r="Z443" s="7">
        <f>IF(ISBLANK(V443), 0, VLOOKUP(V443, 'Price Sheet'!$A$2:$B1015, 2, false))</f>
        <v>0</v>
      </c>
      <c r="AA443" s="33" t="str">
        <f t="shared" si="6"/>
        <v/>
      </c>
      <c r="AB443" s="37"/>
      <c r="AC443" s="29"/>
      <c r="AD443" s="29" t="b">
        <v>0</v>
      </c>
      <c r="AE443" s="22" t="str">
        <f t="shared" si="7"/>
        <v/>
      </c>
      <c r="AF443" s="7">
        <f>IF(ISBLANK(AB443), 0, VLOOKUP(AB443, 'Price Sheet'!$A$2:$B1015, 2, false))</f>
        <v>0</v>
      </c>
      <c r="AG443" s="33" t="str">
        <f t="shared" si="8"/>
        <v/>
      </c>
      <c r="AH443" s="37"/>
      <c r="AI443" s="29"/>
      <c r="AJ443" s="29" t="b">
        <v>0</v>
      </c>
      <c r="AK443" s="22" t="str">
        <f t="shared" si="9"/>
        <v/>
      </c>
      <c r="AL443" s="7">
        <f>IF(ISBLANK(AH443), 0, VLOOKUP(AH443, 'Price Sheet'!$A$2:$B1015, 2, false))</f>
        <v>0</v>
      </c>
      <c r="AM443" s="33" t="str">
        <f t="shared" si="10"/>
        <v/>
      </c>
      <c r="AN443" s="37"/>
      <c r="AO443" s="29"/>
      <c r="AP443" s="29" t="b">
        <v>0</v>
      </c>
      <c r="AQ443" s="22" t="str">
        <f t="shared" si="11"/>
        <v/>
      </c>
      <c r="AR443" s="7">
        <f>IF(ISBLANK(AN443), 0, VLOOKUP(AN443, 'Price Sheet'!$A$2:$B1015, 2, false))</f>
        <v>0</v>
      </c>
      <c r="AS443" s="33" t="str">
        <f t="shared" si="12"/>
        <v/>
      </c>
      <c r="AT443" s="37"/>
      <c r="AU443" s="29"/>
      <c r="AV443" s="29" t="b">
        <v>0</v>
      </c>
      <c r="AW443" s="22" t="str">
        <f t="shared" si="13"/>
        <v/>
      </c>
      <c r="AX443" s="7">
        <f>IF(ISBLANK(AT443), 0, VLOOKUP(AT443, 'Price Sheet'!$A$2:$B1015, 2, false))</f>
        <v>0</v>
      </c>
      <c r="AY443" s="33" t="str">
        <f t="shared" si="14"/>
        <v/>
      </c>
      <c r="AZ443" s="37"/>
      <c r="BA443" s="29"/>
      <c r="BB443" s="29" t="b">
        <v>0</v>
      </c>
      <c r="BC443" s="22" t="str">
        <f t="shared" si="15"/>
        <v/>
      </c>
      <c r="BD443" s="7">
        <f>IF(ISBLANK(AZ443), 0, VLOOKUP(AZ443, 'Price Sheet'!$A$2:$B1015, 2, false))</f>
        <v>0</v>
      </c>
      <c r="BE443" s="33" t="str">
        <f t="shared" si="16"/>
        <v/>
      </c>
      <c r="BF443" s="37"/>
      <c r="BG443" s="29"/>
      <c r="BH443" s="29" t="b">
        <v>0</v>
      </c>
      <c r="BI443" s="22" t="str">
        <f t="shared" si="17"/>
        <v/>
      </c>
      <c r="BJ443" s="7">
        <f>IF(ISBLANK(BF443), 0, VLOOKUP(BF443, 'Price Sheet'!$A$2:$B1015, 2, false))</f>
        <v>0</v>
      </c>
      <c r="BK443" s="33" t="str">
        <f t="shared" si="18"/>
        <v/>
      </c>
      <c r="BL443" s="37"/>
      <c r="BM443" s="29"/>
      <c r="BN443" s="29" t="b">
        <v>0</v>
      </c>
      <c r="BO443" s="22" t="str">
        <f t="shared" si="19"/>
        <v/>
      </c>
      <c r="BP443" s="7">
        <f>IF(ISBLANK(BL443), 0, VLOOKUP(BL443, 'Price Sheet'!$A$2:$B1015, 2, false))</f>
        <v>0</v>
      </c>
      <c r="BQ443" s="33" t="str">
        <f t="shared" si="20"/>
        <v/>
      </c>
    </row>
    <row r="444">
      <c r="B444" s="19"/>
      <c r="C444" s="29"/>
      <c r="D444" s="29"/>
      <c r="E444" s="7" t="str">
        <f>IF(ISBLANK(D444), "", VLOOKUP(D444,'Crafting Tables'!$A$2:$B1015, 2, false))</f>
        <v/>
      </c>
      <c r="F444" s="7" t="str">
        <f>IFERROR(IF(E444 = "None", 1, VLOOKUP(C444,General!$A$5:$L$35, SWITCH(E444, "Basic", 8, "Advanced", 10, "Modern", 12), false)),"")</f>
        <v/>
      </c>
      <c r="G444" s="29"/>
      <c r="H444" s="7">
        <f>IFERROR(VLOOKUP(C444, General!$A$5:$L$35, 6, false) * G444 / 1000, 0)</f>
        <v>0</v>
      </c>
      <c r="I444" s="29"/>
      <c r="J444" s="22" t="str">
        <f>IFERROR(I444*VLOOKUP(D444,'Crafting Tables'!$1:$1000, 4, false)*F444,"")</f>
        <v/>
      </c>
      <c r="K444" s="29" t="b">
        <v>0</v>
      </c>
      <c r="L444" s="37"/>
      <c r="M444" s="29"/>
      <c r="N444" s="21" t="str">
        <f t="shared" si="2"/>
        <v/>
      </c>
      <c r="P444" s="37"/>
      <c r="Q444" s="29"/>
      <c r="R444" s="29" t="b">
        <v>0</v>
      </c>
      <c r="S444" s="22" t="str">
        <f t="shared" si="3"/>
        <v/>
      </c>
      <c r="T444" s="7">
        <f>IF(ISBLANK(P444), 0, VLOOKUP(P444, 'Price Sheet'!$A$2:$B1015, 2, false))</f>
        <v>0</v>
      </c>
      <c r="U444" s="33" t="str">
        <f t="shared" si="4"/>
        <v/>
      </c>
      <c r="V444" s="37"/>
      <c r="W444" s="29"/>
      <c r="X444" s="29" t="b">
        <v>0</v>
      </c>
      <c r="Y444" s="22" t="str">
        <f t="shared" si="5"/>
        <v/>
      </c>
      <c r="Z444" s="7">
        <f>IF(ISBLANK(V444), 0, VLOOKUP(V444, 'Price Sheet'!$A$2:$B1015, 2, false))</f>
        <v>0</v>
      </c>
      <c r="AA444" s="33" t="str">
        <f t="shared" si="6"/>
        <v/>
      </c>
      <c r="AB444" s="37"/>
      <c r="AC444" s="29"/>
      <c r="AD444" s="29" t="b">
        <v>0</v>
      </c>
      <c r="AE444" s="22" t="str">
        <f t="shared" si="7"/>
        <v/>
      </c>
      <c r="AF444" s="7">
        <f>IF(ISBLANK(AB444), 0, VLOOKUP(AB444, 'Price Sheet'!$A$2:$B1015, 2, false))</f>
        <v>0</v>
      </c>
      <c r="AG444" s="33" t="str">
        <f t="shared" si="8"/>
        <v/>
      </c>
      <c r="AH444" s="37"/>
      <c r="AI444" s="29"/>
      <c r="AJ444" s="29" t="b">
        <v>0</v>
      </c>
      <c r="AK444" s="22" t="str">
        <f t="shared" si="9"/>
        <v/>
      </c>
      <c r="AL444" s="7">
        <f>IF(ISBLANK(AH444), 0, VLOOKUP(AH444, 'Price Sheet'!$A$2:$B1015, 2, false))</f>
        <v>0</v>
      </c>
      <c r="AM444" s="33" t="str">
        <f t="shared" si="10"/>
        <v/>
      </c>
      <c r="AN444" s="37"/>
      <c r="AO444" s="29"/>
      <c r="AP444" s="29" t="b">
        <v>0</v>
      </c>
      <c r="AQ444" s="22" t="str">
        <f t="shared" si="11"/>
        <v/>
      </c>
      <c r="AR444" s="7">
        <f>IF(ISBLANK(AN444), 0, VLOOKUP(AN444, 'Price Sheet'!$A$2:$B1015, 2, false))</f>
        <v>0</v>
      </c>
      <c r="AS444" s="33" t="str">
        <f t="shared" si="12"/>
        <v/>
      </c>
      <c r="AT444" s="37"/>
      <c r="AU444" s="29"/>
      <c r="AV444" s="29" t="b">
        <v>0</v>
      </c>
      <c r="AW444" s="22" t="str">
        <f t="shared" si="13"/>
        <v/>
      </c>
      <c r="AX444" s="7">
        <f>IF(ISBLANK(AT444), 0, VLOOKUP(AT444, 'Price Sheet'!$A$2:$B1015, 2, false))</f>
        <v>0</v>
      </c>
      <c r="AY444" s="33" t="str">
        <f t="shared" si="14"/>
        <v/>
      </c>
      <c r="AZ444" s="37"/>
      <c r="BA444" s="29"/>
      <c r="BB444" s="29" t="b">
        <v>0</v>
      </c>
      <c r="BC444" s="22" t="str">
        <f t="shared" si="15"/>
        <v/>
      </c>
      <c r="BD444" s="7">
        <f>IF(ISBLANK(AZ444), 0, VLOOKUP(AZ444, 'Price Sheet'!$A$2:$B1015, 2, false))</f>
        <v>0</v>
      </c>
      <c r="BE444" s="33" t="str">
        <f t="shared" si="16"/>
        <v/>
      </c>
      <c r="BF444" s="37"/>
      <c r="BG444" s="29"/>
      <c r="BH444" s="29" t="b">
        <v>0</v>
      </c>
      <c r="BI444" s="22" t="str">
        <f t="shared" si="17"/>
        <v/>
      </c>
      <c r="BJ444" s="7">
        <f>IF(ISBLANK(BF444), 0, VLOOKUP(BF444, 'Price Sheet'!$A$2:$B1015, 2, false))</f>
        <v>0</v>
      </c>
      <c r="BK444" s="33" t="str">
        <f t="shared" si="18"/>
        <v/>
      </c>
      <c r="BL444" s="37"/>
      <c r="BM444" s="29"/>
      <c r="BN444" s="29" t="b">
        <v>0</v>
      </c>
      <c r="BO444" s="22" t="str">
        <f t="shared" si="19"/>
        <v/>
      </c>
      <c r="BP444" s="7">
        <f>IF(ISBLANK(BL444), 0, VLOOKUP(BL444, 'Price Sheet'!$A$2:$B1015, 2, false))</f>
        <v>0</v>
      </c>
      <c r="BQ444" s="33" t="str">
        <f t="shared" si="20"/>
        <v/>
      </c>
    </row>
    <row r="445">
      <c r="B445" s="19"/>
      <c r="C445" s="29"/>
      <c r="D445" s="29"/>
      <c r="E445" s="7" t="str">
        <f>IF(ISBLANK(D445), "", VLOOKUP(D445,'Crafting Tables'!$A$2:$B1015, 2, false))</f>
        <v/>
      </c>
      <c r="F445" s="7" t="str">
        <f>IFERROR(IF(E445 = "None", 1, VLOOKUP(C445,General!$A$5:$L$35, SWITCH(E445, "Basic", 8, "Advanced", 10, "Modern", 12), false)),"")</f>
        <v/>
      </c>
      <c r="G445" s="29"/>
      <c r="H445" s="7">
        <f>IFERROR(VLOOKUP(C445, General!$A$5:$L$35, 6, false) * G445 / 1000, 0)</f>
        <v>0</v>
      </c>
      <c r="I445" s="29"/>
      <c r="J445" s="22" t="str">
        <f>IFERROR(I445*VLOOKUP(D445,'Crafting Tables'!$1:$1000, 4, false)*F445,"")</f>
        <v/>
      </c>
      <c r="K445" s="29" t="b">
        <v>0</v>
      </c>
      <c r="L445" s="37"/>
      <c r="M445" s="29"/>
      <c r="N445" s="21" t="str">
        <f t="shared" si="2"/>
        <v/>
      </c>
      <c r="P445" s="37"/>
      <c r="Q445" s="29"/>
      <c r="R445" s="29" t="b">
        <v>0</v>
      </c>
      <c r="S445" s="22" t="str">
        <f t="shared" si="3"/>
        <v/>
      </c>
      <c r="T445" s="7">
        <f>IF(ISBLANK(P445), 0, VLOOKUP(P445, 'Price Sheet'!$A$2:$B1015, 2, false))</f>
        <v>0</v>
      </c>
      <c r="U445" s="33" t="str">
        <f t="shared" si="4"/>
        <v/>
      </c>
      <c r="V445" s="37"/>
      <c r="W445" s="29"/>
      <c r="X445" s="29" t="b">
        <v>0</v>
      </c>
      <c r="Y445" s="22" t="str">
        <f t="shared" si="5"/>
        <v/>
      </c>
      <c r="Z445" s="7">
        <f>IF(ISBLANK(V445), 0, VLOOKUP(V445, 'Price Sheet'!$A$2:$B1015, 2, false))</f>
        <v>0</v>
      </c>
      <c r="AA445" s="33" t="str">
        <f t="shared" si="6"/>
        <v/>
      </c>
      <c r="AB445" s="37"/>
      <c r="AC445" s="29"/>
      <c r="AD445" s="29" t="b">
        <v>0</v>
      </c>
      <c r="AE445" s="22" t="str">
        <f t="shared" si="7"/>
        <v/>
      </c>
      <c r="AF445" s="7">
        <f>IF(ISBLANK(AB445), 0, VLOOKUP(AB445, 'Price Sheet'!$A$2:$B1015, 2, false))</f>
        <v>0</v>
      </c>
      <c r="AG445" s="33" t="str">
        <f t="shared" si="8"/>
        <v/>
      </c>
      <c r="AH445" s="37"/>
      <c r="AI445" s="29"/>
      <c r="AJ445" s="29" t="b">
        <v>0</v>
      </c>
      <c r="AK445" s="22" t="str">
        <f t="shared" si="9"/>
        <v/>
      </c>
      <c r="AL445" s="7">
        <f>IF(ISBLANK(AH445), 0, VLOOKUP(AH445, 'Price Sheet'!$A$2:$B1015, 2, false))</f>
        <v>0</v>
      </c>
      <c r="AM445" s="33" t="str">
        <f t="shared" si="10"/>
        <v/>
      </c>
      <c r="AN445" s="37"/>
      <c r="AO445" s="29"/>
      <c r="AP445" s="29" t="b">
        <v>0</v>
      </c>
      <c r="AQ445" s="22" t="str">
        <f t="shared" si="11"/>
        <v/>
      </c>
      <c r="AR445" s="7">
        <f>IF(ISBLANK(AN445), 0, VLOOKUP(AN445, 'Price Sheet'!$A$2:$B1015, 2, false))</f>
        <v>0</v>
      </c>
      <c r="AS445" s="33" t="str">
        <f t="shared" si="12"/>
        <v/>
      </c>
      <c r="AT445" s="37"/>
      <c r="AU445" s="29"/>
      <c r="AV445" s="29" t="b">
        <v>0</v>
      </c>
      <c r="AW445" s="22" t="str">
        <f t="shared" si="13"/>
        <v/>
      </c>
      <c r="AX445" s="7">
        <f>IF(ISBLANK(AT445), 0, VLOOKUP(AT445, 'Price Sheet'!$A$2:$B1015, 2, false))</f>
        <v>0</v>
      </c>
      <c r="AY445" s="33" t="str">
        <f t="shared" si="14"/>
        <v/>
      </c>
      <c r="AZ445" s="37"/>
      <c r="BA445" s="29"/>
      <c r="BB445" s="29" t="b">
        <v>0</v>
      </c>
      <c r="BC445" s="22" t="str">
        <f t="shared" si="15"/>
        <v/>
      </c>
      <c r="BD445" s="7">
        <f>IF(ISBLANK(AZ445), 0, VLOOKUP(AZ445, 'Price Sheet'!$A$2:$B1015, 2, false))</f>
        <v>0</v>
      </c>
      <c r="BE445" s="33" t="str">
        <f t="shared" si="16"/>
        <v/>
      </c>
      <c r="BF445" s="37"/>
      <c r="BG445" s="29"/>
      <c r="BH445" s="29" t="b">
        <v>0</v>
      </c>
      <c r="BI445" s="22" t="str">
        <f t="shared" si="17"/>
        <v/>
      </c>
      <c r="BJ445" s="7">
        <f>IF(ISBLANK(BF445), 0, VLOOKUP(BF445, 'Price Sheet'!$A$2:$B1015, 2, false))</f>
        <v>0</v>
      </c>
      <c r="BK445" s="33" t="str">
        <f t="shared" si="18"/>
        <v/>
      </c>
      <c r="BL445" s="37"/>
      <c r="BM445" s="29"/>
      <c r="BN445" s="29" t="b">
        <v>0</v>
      </c>
      <c r="BO445" s="22" t="str">
        <f t="shared" si="19"/>
        <v/>
      </c>
      <c r="BP445" s="7">
        <f>IF(ISBLANK(BL445), 0, VLOOKUP(BL445, 'Price Sheet'!$A$2:$B1015, 2, false))</f>
        <v>0</v>
      </c>
      <c r="BQ445" s="33" t="str">
        <f t="shared" si="20"/>
        <v/>
      </c>
    </row>
    <row r="446">
      <c r="B446" s="19"/>
      <c r="C446" s="29"/>
      <c r="D446" s="29"/>
      <c r="E446" s="7" t="str">
        <f>IF(ISBLANK(D446), "", VLOOKUP(D446,'Crafting Tables'!$A$2:$B1015, 2, false))</f>
        <v/>
      </c>
      <c r="F446" s="7" t="str">
        <f>IFERROR(IF(E446 = "None", 1, VLOOKUP(C446,General!$A$5:$L$35, SWITCH(E446, "Basic", 8, "Advanced", 10, "Modern", 12), false)),"")</f>
        <v/>
      </c>
      <c r="G446" s="29"/>
      <c r="H446" s="7">
        <f>IFERROR(VLOOKUP(C446, General!$A$5:$L$35, 6, false) * G446 / 1000, 0)</f>
        <v>0</v>
      </c>
      <c r="I446" s="29"/>
      <c r="J446" s="22" t="str">
        <f>IFERROR(I446*VLOOKUP(D446,'Crafting Tables'!$1:$1000, 4, false)*F446,"")</f>
        <v/>
      </c>
      <c r="K446" s="29" t="b">
        <v>0</v>
      </c>
      <c r="L446" s="37"/>
      <c r="M446" s="29"/>
      <c r="N446" s="21" t="str">
        <f t="shared" si="2"/>
        <v/>
      </c>
      <c r="P446" s="37"/>
      <c r="Q446" s="29"/>
      <c r="R446" s="29" t="b">
        <v>0</v>
      </c>
      <c r="S446" s="22" t="str">
        <f t="shared" si="3"/>
        <v/>
      </c>
      <c r="T446" s="7">
        <f>IF(ISBLANK(P446), 0, VLOOKUP(P446, 'Price Sheet'!$A$2:$B1015, 2, false))</f>
        <v>0</v>
      </c>
      <c r="U446" s="33" t="str">
        <f t="shared" si="4"/>
        <v/>
      </c>
      <c r="V446" s="37"/>
      <c r="W446" s="29"/>
      <c r="X446" s="29" t="b">
        <v>0</v>
      </c>
      <c r="Y446" s="22" t="str">
        <f t="shared" si="5"/>
        <v/>
      </c>
      <c r="Z446" s="7">
        <f>IF(ISBLANK(V446), 0, VLOOKUP(V446, 'Price Sheet'!$A$2:$B1015, 2, false))</f>
        <v>0</v>
      </c>
      <c r="AA446" s="33" t="str">
        <f t="shared" si="6"/>
        <v/>
      </c>
      <c r="AB446" s="37"/>
      <c r="AC446" s="29"/>
      <c r="AD446" s="29" t="b">
        <v>0</v>
      </c>
      <c r="AE446" s="22" t="str">
        <f t="shared" si="7"/>
        <v/>
      </c>
      <c r="AF446" s="7">
        <f>IF(ISBLANK(AB446), 0, VLOOKUP(AB446, 'Price Sheet'!$A$2:$B1015, 2, false))</f>
        <v>0</v>
      </c>
      <c r="AG446" s="33" t="str">
        <f t="shared" si="8"/>
        <v/>
      </c>
      <c r="AH446" s="37"/>
      <c r="AI446" s="29"/>
      <c r="AJ446" s="29" t="b">
        <v>0</v>
      </c>
      <c r="AK446" s="22" t="str">
        <f t="shared" si="9"/>
        <v/>
      </c>
      <c r="AL446" s="7">
        <f>IF(ISBLANK(AH446), 0, VLOOKUP(AH446, 'Price Sheet'!$A$2:$B1015, 2, false))</f>
        <v>0</v>
      </c>
      <c r="AM446" s="33" t="str">
        <f t="shared" si="10"/>
        <v/>
      </c>
      <c r="AN446" s="37"/>
      <c r="AO446" s="29"/>
      <c r="AP446" s="29" t="b">
        <v>0</v>
      </c>
      <c r="AQ446" s="22" t="str">
        <f t="shared" si="11"/>
        <v/>
      </c>
      <c r="AR446" s="7">
        <f>IF(ISBLANK(AN446), 0, VLOOKUP(AN446, 'Price Sheet'!$A$2:$B1015, 2, false))</f>
        <v>0</v>
      </c>
      <c r="AS446" s="33" t="str">
        <f t="shared" si="12"/>
        <v/>
      </c>
      <c r="AT446" s="37"/>
      <c r="AU446" s="29"/>
      <c r="AV446" s="29" t="b">
        <v>0</v>
      </c>
      <c r="AW446" s="22" t="str">
        <f t="shared" si="13"/>
        <v/>
      </c>
      <c r="AX446" s="7">
        <f>IF(ISBLANK(AT446), 0, VLOOKUP(AT446, 'Price Sheet'!$A$2:$B1015, 2, false))</f>
        <v>0</v>
      </c>
      <c r="AY446" s="33" t="str">
        <f t="shared" si="14"/>
        <v/>
      </c>
      <c r="AZ446" s="37"/>
      <c r="BA446" s="29"/>
      <c r="BB446" s="29" t="b">
        <v>0</v>
      </c>
      <c r="BC446" s="22" t="str">
        <f t="shared" si="15"/>
        <v/>
      </c>
      <c r="BD446" s="7">
        <f>IF(ISBLANK(AZ446), 0, VLOOKUP(AZ446, 'Price Sheet'!$A$2:$B1015, 2, false))</f>
        <v>0</v>
      </c>
      <c r="BE446" s="33" t="str">
        <f t="shared" si="16"/>
        <v/>
      </c>
      <c r="BF446" s="37"/>
      <c r="BG446" s="29"/>
      <c r="BH446" s="29" t="b">
        <v>0</v>
      </c>
      <c r="BI446" s="22" t="str">
        <f t="shared" si="17"/>
        <v/>
      </c>
      <c r="BJ446" s="7">
        <f>IF(ISBLANK(BF446), 0, VLOOKUP(BF446, 'Price Sheet'!$A$2:$B1015, 2, false))</f>
        <v>0</v>
      </c>
      <c r="BK446" s="33" t="str">
        <f t="shared" si="18"/>
        <v/>
      </c>
      <c r="BL446" s="37"/>
      <c r="BM446" s="29"/>
      <c r="BN446" s="29" t="b">
        <v>0</v>
      </c>
      <c r="BO446" s="22" t="str">
        <f t="shared" si="19"/>
        <v/>
      </c>
      <c r="BP446" s="7">
        <f>IF(ISBLANK(BL446), 0, VLOOKUP(BL446, 'Price Sheet'!$A$2:$B1015, 2, false))</f>
        <v>0</v>
      </c>
      <c r="BQ446" s="33" t="str">
        <f t="shared" si="20"/>
        <v/>
      </c>
    </row>
    <row r="447">
      <c r="B447" s="19"/>
      <c r="C447" s="29"/>
      <c r="D447" s="29"/>
      <c r="E447" s="7" t="str">
        <f>IF(ISBLANK(D447), "", VLOOKUP(D447,'Crafting Tables'!$A$2:$B1015, 2, false))</f>
        <v/>
      </c>
      <c r="F447" s="7" t="str">
        <f>IFERROR(IF(E447 = "None", 1, VLOOKUP(C447,General!$A$5:$L$35, SWITCH(E447, "Basic", 8, "Advanced", 10, "Modern", 12), false)),"")</f>
        <v/>
      </c>
      <c r="G447" s="29"/>
      <c r="H447" s="7">
        <f>IFERROR(VLOOKUP(C447, General!$A$5:$L$35, 6, false) * G447 / 1000, 0)</f>
        <v>0</v>
      </c>
      <c r="I447" s="29"/>
      <c r="J447" s="22" t="str">
        <f>IFERROR(I447*VLOOKUP(D447,'Crafting Tables'!$1:$1000, 4, false)*F447,"")</f>
        <v/>
      </c>
      <c r="K447" s="29" t="b">
        <v>0</v>
      </c>
      <c r="L447" s="37"/>
      <c r="M447" s="29"/>
      <c r="N447" s="21" t="str">
        <f t="shared" si="2"/>
        <v/>
      </c>
      <c r="P447" s="37"/>
      <c r="Q447" s="29"/>
      <c r="R447" s="29" t="b">
        <v>0</v>
      </c>
      <c r="S447" s="22" t="str">
        <f t="shared" si="3"/>
        <v/>
      </c>
      <c r="T447" s="7">
        <f>IF(ISBLANK(P447), 0, VLOOKUP(P447, 'Price Sheet'!$A$2:$B1015, 2, false))</f>
        <v>0</v>
      </c>
      <c r="U447" s="33" t="str">
        <f t="shared" si="4"/>
        <v/>
      </c>
      <c r="V447" s="37"/>
      <c r="W447" s="29"/>
      <c r="X447" s="29" t="b">
        <v>0</v>
      </c>
      <c r="Y447" s="22" t="str">
        <f t="shared" si="5"/>
        <v/>
      </c>
      <c r="Z447" s="7">
        <f>IF(ISBLANK(V447), 0, VLOOKUP(V447, 'Price Sheet'!$A$2:$B1015, 2, false))</f>
        <v>0</v>
      </c>
      <c r="AA447" s="33" t="str">
        <f t="shared" si="6"/>
        <v/>
      </c>
      <c r="AB447" s="37"/>
      <c r="AC447" s="29"/>
      <c r="AD447" s="29" t="b">
        <v>0</v>
      </c>
      <c r="AE447" s="22" t="str">
        <f t="shared" si="7"/>
        <v/>
      </c>
      <c r="AF447" s="7">
        <f>IF(ISBLANK(AB447), 0, VLOOKUP(AB447, 'Price Sheet'!$A$2:$B1015, 2, false))</f>
        <v>0</v>
      </c>
      <c r="AG447" s="33" t="str">
        <f t="shared" si="8"/>
        <v/>
      </c>
      <c r="AH447" s="37"/>
      <c r="AI447" s="29"/>
      <c r="AJ447" s="29" t="b">
        <v>0</v>
      </c>
      <c r="AK447" s="22" t="str">
        <f t="shared" si="9"/>
        <v/>
      </c>
      <c r="AL447" s="7">
        <f>IF(ISBLANK(AH447), 0, VLOOKUP(AH447, 'Price Sheet'!$A$2:$B1015, 2, false))</f>
        <v>0</v>
      </c>
      <c r="AM447" s="33" t="str">
        <f t="shared" si="10"/>
        <v/>
      </c>
      <c r="AN447" s="37"/>
      <c r="AO447" s="29"/>
      <c r="AP447" s="29" t="b">
        <v>0</v>
      </c>
      <c r="AQ447" s="22" t="str">
        <f t="shared" si="11"/>
        <v/>
      </c>
      <c r="AR447" s="7">
        <f>IF(ISBLANK(AN447), 0, VLOOKUP(AN447, 'Price Sheet'!$A$2:$B1015, 2, false))</f>
        <v>0</v>
      </c>
      <c r="AS447" s="33" t="str">
        <f t="shared" si="12"/>
        <v/>
      </c>
      <c r="AT447" s="37"/>
      <c r="AU447" s="29"/>
      <c r="AV447" s="29" t="b">
        <v>0</v>
      </c>
      <c r="AW447" s="22" t="str">
        <f t="shared" si="13"/>
        <v/>
      </c>
      <c r="AX447" s="7">
        <f>IF(ISBLANK(AT447), 0, VLOOKUP(AT447, 'Price Sheet'!$A$2:$B1015, 2, false))</f>
        <v>0</v>
      </c>
      <c r="AY447" s="33" t="str">
        <f t="shared" si="14"/>
        <v/>
      </c>
      <c r="AZ447" s="37"/>
      <c r="BA447" s="29"/>
      <c r="BB447" s="29" t="b">
        <v>0</v>
      </c>
      <c r="BC447" s="22" t="str">
        <f t="shared" si="15"/>
        <v/>
      </c>
      <c r="BD447" s="7">
        <f>IF(ISBLANK(AZ447), 0, VLOOKUP(AZ447, 'Price Sheet'!$A$2:$B1015, 2, false))</f>
        <v>0</v>
      </c>
      <c r="BE447" s="33" t="str">
        <f t="shared" si="16"/>
        <v/>
      </c>
      <c r="BF447" s="37"/>
      <c r="BG447" s="29"/>
      <c r="BH447" s="29" t="b">
        <v>0</v>
      </c>
      <c r="BI447" s="22" t="str">
        <f t="shared" si="17"/>
        <v/>
      </c>
      <c r="BJ447" s="7">
        <f>IF(ISBLANK(BF447), 0, VLOOKUP(BF447, 'Price Sheet'!$A$2:$B1015, 2, false))</f>
        <v>0</v>
      </c>
      <c r="BK447" s="33" t="str">
        <f t="shared" si="18"/>
        <v/>
      </c>
      <c r="BL447" s="37"/>
      <c r="BM447" s="29"/>
      <c r="BN447" s="29" t="b">
        <v>0</v>
      </c>
      <c r="BO447" s="22" t="str">
        <f t="shared" si="19"/>
        <v/>
      </c>
      <c r="BP447" s="7">
        <f>IF(ISBLANK(BL447), 0, VLOOKUP(BL447, 'Price Sheet'!$A$2:$B1015, 2, false))</f>
        <v>0</v>
      </c>
      <c r="BQ447" s="33" t="str">
        <f t="shared" si="20"/>
        <v/>
      </c>
    </row>
    <row r="448">
      <c r="B448" s="19"/>
      <c r="C448" s="29"/>
      <c r="D448" s="29"/>
      <c r="E448" s="7" t="str">
        <f>IF(ISBLANK(D448), "", VLOOKUP(D448,'Crafting Tables'!$A$2:$B1015, 2, false))</f>
        <v/>
      </c>
      <c r="F448" s="7" t="str">
        <f>IFERROR(IF(E448 = "None", 1, VLOOKUP(C448,General!$A$5:$L$35, SWITCH(E448, "Basic", 8, "Advanced", 10, "Modern", 12), false)),"")</f>
        <v/>
      </c>
      <c r="G448" s="29"/>
      <c r="H448" s="7">
        <f>IFERROR(VLOOKUP(C448, General!$A$5:$L$35, 6, false) * G448 / 1000, 0)</f>
        <v>0</v>
      </c>
      <c r="I448" s="29"/>
      <c r="J448" s="22" t="str">
        <f>IFERROR(I448*VLOOKUP(D448,'Crafting Tables'!$1:$1000, 4, false)*F448,"")</f>
        <v/>
      </c>
      <c r="K448" s="29" t="b">
        <v>0</v>
      </c>
      <c r="L448" s="37"/>
      <c r="M448" s="29"/>
      <c r="N448" s="21" t="str">
        <f t="shared" si="2"/>
        <v/>
      </c>
      <c r="P448" s="37"/>
      <c r="Q448" s="29"/>
      <c r="R448" s="29" t="b">
        <v>0</v>
      </c>
      <c r="S448" s="22" t="str">
        <f t="shared" si="3"/>
        <v/>
      </c>
      <c r="T448" s="7">
        <f>IF(ISBLANK(P448), 0, VLOOKUP(P448, 'Price Sheet'!$A$2:$B1015, 2, false))</f>
        <v>0</v>
      </c>
      <c r="U448" s="33" t="str">
        <f t="shared" si="4"/>
        <v/>
      </c>
      <c r="V448" s="37"/>
      <c r="W448" s="29"/>
      <c r="X448" s="29" t="b">
        <v>0</v>
      </c>
      <c r="Y448" s="22" t="str">
        <f t="shared" si="5"/>
        <v/>
      </c>
      <c r="Z448" s="7">
        <f>IF(ISBLANK(V448), 0, VLOOKUP(V448, 'Price Sheet'!$A$2:$B1015, 2, false))</f>
        <v>0</v>
      </c>
      <c r="AA448" s="33" t="str">
        <f t="shared" si="6"/>
        <v/>
      </c>
      <c r="AB448" s="37"/>
      <c r="AC448" s="29"/>
      <c r="AD448" s="29" t="b">
        <v>0</v>
      </c>
      <c r="AE448" s="22" t="str">
        <f t="shared" si="7"/>
        <v/>
      </c>
      <c r="AF448" s="7">
        <f>IF(ISBLANK(AB448), 0, VLOOKUP(AB448, 'Price Sheet'!$A$2:$B1015, 2, false))</f>
        <v>0</v>
      </c>
      <c r="AG448" s="33" t="str">
        <f t="shared" si="8"/>
        <v/>
      </c>
      <c r="AH448" s="37"/>
      <c r="AI448" s="29"/>
      <c r="AJ448" s="29" t="b">
        <v>0</v>
      </c>
      <c r="AK448" s="22" t="str">
        <f t="shared" si="9"/>
        <v/>
      </c>
      <c r="AL448" s="7">
        <f>IF(ISBLANK(AH448), 0, VLOOKUP(AH448, 'Price Sheet'!$A$2:$B1015, 2, false))</f>
        <v>0</v>
      </c>
      <c r="AM448" s="33" t="str">
        <f t="shared" si="10"/>
        <v/>
      </c>
      <c r="AN448" s="37"/>
      <c r="AO448" s="29"/>
      <c r="AP448" s="29" t="b">
        <v>0</v>
      </c>
      <c r="AQ448" s="22" t="str">
        <f t="shared" si="11"/>
        <v/>
      </c>
      <c r="AR448" s="7">
        <f>IF(ISBLANK(AN448), 0, VLOOKUP(AN448, 'Price Sheet'!$A$2:$B1015, 2, false))</f>
        <v>0</v>
      </c>
      <c r="AS448" s="33" t="str">
        <f t="shared" si="12"/>
        <v/>
      </c>
      <c r="AT448" s="37"/>
      <c r="AU448" s="29"/>
      <c r="AV448" s="29" t="b">
        <v>0</v>
      </c>
      <c r="AW448" s="22" t="str">
        <f t="shared" si="13"/>
        <v/>
      </c>
      <c r="AX448" s="7">
        <f>IF(ISBLANK(AT448), 0, VLOOKUP(AT448, 'Price Sheet'!$A$2:$B1015, 2, false))</f>
        <v>0</v>
      </c>
      <c r="AY448" s="33" t="str">
        <f t="shared" si="14"/>
        <v/>
      </c>
      <c r="AZ448" s="37"/>
      <c r="BA448" s="29"/>
      <c r="BB448" s="29" t="b">
        <v>0</v>
      </c>
      <c r="BC448" s="22" t="str">
        <f t="shared" si="15"/>
        <v/>
      </c>
      <c r="BD448" s="7">
        <f>IF(ISBLANK(AZ448), 0, VLOOKUP(AZ448, 'Price Sheet'!$A$2:$B1015, 2, false))</f>
        <v>0</v>
      </c>
      <c r="BE448" s="33" t="str">
        <f t="shared" si="16"/>
        <v/>
      </c>
      <c r="BF448" s="37"/>
      <c r="BG448" s="29"/>
      <c r="BH448" s="29" t="b">
        <v>0</v>
      </c>
      <c r="BI448" s="22" t="str">
        <f t="shared" si="17"/>
        <v/>
      </c>
      <c r="BJ448" s="7">
        <f>IF(ISBLANK(BF448), 0, VLOOKUP(BF448, 'Price Sheet'!$A$2:$B1015, 2, false))</f>
        <v>0</v>
      </c>
      <c r="BK448" s="33" t="str">
        <f t="shared" si="18"/>
        <v/>
      </c>
      <c r="BL448" s="37"/>
      <c r="BM448" s="29"/>
      <c r="BN448" s="29" t="b">
        <v>0</v>
      </c>
      <c r="BO448" s="22" t="str">
        <f t="shared" si="19"/>
        <v/>
      </c>
      <c r="BP448" s="7">
        <f>IF(ISBLANK(BL448), 0, VLOOKUP(BL448, 'Price Sheet'!$A$2:$B1015, 2, false))</f>
        <v>0</v>
      </c>
      <c r="BQ448" s="33" t="str">
        <f t="shared" si="20"/>
        <v/>
      </c>
    </row>
    <row r="449">
      <c r="B449" s="19"/>
      <c r="C449" s="29"/>
      <c r="D449" s="29"/>
      <c r="E449" s="7" t="str">
        <f>IF(ISBLANK(D449), "", VLOOKUP(D449,'Crafting Tables'!$A$2:$B1015, 2, false))</f>
        <v/>
      </c>
      <c r="F449" s="7" t="str">
        <f>IFERROR(IF(E449 = "None", 1, VLOOKUP(C449,General!$A$5:$L$35, SWITCH(E449, "Basic", 8, "Advanced", 10, "Modern", 12), false)),"")</f>
        <v/>
      </c>
      <c r="G449" s="29"/>
      <c r="H449" s="7">
        <f>IFERROR(VLOOKUP(C449, General!$A$5:$L$35, 6, false) * G449 / 1000, 0)</f>
        <v>0</v>
      </c>
      <c r="I449" s="29"/>
      <c r="J449" s="22" t="str">
        <f>IFERROR(I449*VLOOKUP(D449,'Crafting Tables'!$1:$1000, 4, false)*F449,"")</f>
        <v/>
      </c>
      <c r="K449" s="29" t="b">
        <v>0</v>
      </c>
      <c r="L449" s="37"/>
      <c r="M449" s="29"/>
      <c r="N449" s="21" t="str">
        <f t="shared" si="2"/>
        <v/>
      </c>
      <c r="P449" s="37"/>
      <c r="Q449" s="29"/>
      <c r="R449" s="29" t="b">
        <v>0</v>
      </c>
      <c r="S449" s="22" t="str">
        <f t="shared" si="3"/>
        <v/>
      </c>
      <c r="T449" s="7">
        <f>IF(ISBLANK(P449), 0, VLOOKUP(P449, 'Price Sheet'!$A$2:$B1015, 2, false))</f>
        <v>0</v>
      </c>
      <c r="U449" s="33" t="str">
        <f t="shared" si="4"/>
        <v/>
      </c>
      <c r="V449" s="37"/>
      <c r="W449" s="29"/>
      <c r="X449" s="29" t="b">
        <v>0</v>
      </c>
      <c r="Y449" s="22" t="str">
        <f t="shared" si="5"/>
        <v/>
      </c>
      <c r="Z449" s="7">
        <f>IF(ISBLANK(V449), 0, VLOOKUP(V449, 'Price Sheet'!$A$2:$B1015, 2, false))</f>
        <v>0</v>
      </c>
      <c r="AA449" s="33" t="str">
        <f t="shared" si="6"/>
        <v/>
      </c>
      <c r="AB449" s="37"/>
      <c r="AC449" s="29"/>
      <c r="AD449" s="29" t="b">
        <v>0</v>
      </c>
      <c r="AE449" s="22" t="str">
        <f t="shared" si="7"/>
        <v/>
      </c>
      <c r="AF449" s="7">
        <f>IF(ISBLANK(AB449), 0, VLOOKUP(AB449, 'Price Sheet'!$A$2:$B1015, 2, false))</f>
        <v>0</v>
      </c>
      <c r="AG449" s="33" t="str">
        <f t="shared" si="8"/>
        <v/>
      </c>
      <c r="AH449" s="37"/>
      <c r="AI449" s="29"/>
      <c r="AJ449" s="29" t="b">
        <v>0</v>
      </c>
      <c r="AK449" s="22" t="str">
        <f t="shared" si="9"/>
        <v/>
      </c>
      <c r="AL449" s="7">
        <f>IF(ISBLANK(AH449), 0, VLOOKUP(AH449, 'Price Sheet'!$A$2:$B1015, 2, false))</f>
        <v>0</v>
      </c>
      <c r="AM449" s="33" t="str">
        <f t="shared" si="10"/>
        <v/>
      </c>
      <c r="AN449" s="37"/>
      <c r="AO449" s="29"/>
      <c r="AP449" s="29" t="b">
        <v>0</v>
      </c>
      <c r="AQ449" s="22" t="str">
        <f t="shared" si="11"/>
        <v/>
      </c>
      <c r="AR449" s="7">
        <f>IF(ISBLANK(AN449), 0, VLOOKUP(AN449, 'Price Sheet'!$A$2:$B1015, 2, false))</f>
        <v>0</v>
      </c>
      <c r="AS449" s="33" t="str">
        <f t="shared" si="12"/>
        <v/>
      </c>
      <c r="AT449" s="37"/>
      <c r="AU449" s="29"/>
      <c r="AV449" s="29" t="b">
        <v>0</v>
      </c>
      <c r="AW449" s="22" t="str">
        <f t="shared" si="13"/>
        <v/>
      </c>
      <c r="AX449" s="7">
        <f>IF(ISBLANK(AT449), 0, VLOOKUP(AT449, 'Price Sheet'!$A$2:$B1015, 2, false))</f>
        <v>0</v>
      </c>
      <c r="AY449" s="33" t="str">
        <f t="shared" si="14"/>
        <v/>
      </c>
      <c r="AZ449" s="37"/>
      <c r="BA449" s="29"/>
      <c r="BB449" s="29" t="b">
        <v>0</v>
      </c>
      <c r="BC449" s="22" t="str">
        <f t="shared" si="15"/>
        <v/>
      </c>
      <c r="BD449" s="7">
        <f>IF(ISBLANK(AZ449), 0, VLOOKUP(AZ449, 'Price Sheet'!$A$2:$B1015, 2, false))</f>
        <v>0</v>
      </c>
      <c r="BE449" s="33" t="str">
        <f t="shared" si="16"/>
        <v/>
      </c>
      <c r="BF449" s="37"/>
      <c r="BG449" s="29"/>
      <c r="BH449" s="29" t="b">
        <v>0</v>
      </c>
      <c r="BI449" s="22" t="str">
        <f t="shared" si="17"/>
        <v/>
      </c>
      <c r="BJ449" s="7">
        <f>IF(ISBLANK(BF449), 0, VLOOKUP(BF449, 'Price Sheet'!$A$2:$B1015, 2, false))</f>
        <v>0</v>
      </c>
      <c r="BK449" s="33" t="str">
        <f t="shared" si="18"/>
        <v/>
      </c>
      <c r="BL449" s="37"/>
      <c r="BM449" s="29"/>
      <c r="BN449" s="29" t="b">
        <v>0</v>
      </c>
      <c r="BO449" s="22" t="str">
        <f t="shared" si="19"/>
        <v/>
      </c>
      <c r="BP449" s="7">
        <f>IF(ISBLANK(BL449), 0, VLOOKUP(BL449, 'Price Sheet'!$A$2:$B1015, 2, false))</f>
        <v>0</v>
      </c>
      <c r="BQ449" s="33" t="str">
        <f t="shared" si="20"/>
        <v/>
      </c>
    </row>
    <row r="450">
      <c r="B450" s="19"/>
      <c r="C450" s="29"/>
      <c r="D450" s="29"/>
      <c r="E450" s="7" t="str">
        <f>IF(ISBLANK(D450), "", VLOOKUP(D450,'Crafting Tables'!$A$2:$B1015, 2, false))</f>
        <v/>
      </c>
      <c r="F450" s="7" t="str">
        <f>IFERROR(IF(E450 = "None", 1, VLOOKUP(C450,General!$A$5:$L$35, SWITCH(E450, "Basic", 8, "Advanced", 10, "Modern", 12), false)),"")</f>
        <v/>
      </c>
      <c r="G450" s="29"/>
      <c r="H450" s="7">
        <f>IFERROR(VLOOKUP(C450, General!$A$5:$L$35, 6, false) * G450 / 1000, 0)</f>
        <v>0</v>
      </c>
      <c r="I450" s="29"/>
      <c r="J450" s="22" t="str">
        <f>IFERROR(I450*VLOOKUP(D450,'Crafting Tables'!$1:$1000, 4, false)*F450,"")</f>
        <v/>
      </c>
      <c r="K450" s="29" t="b">
        <v>0</v>
      </c>
      <c r="L450" s="37"/>
      <c r="M450" s="29"/>
      <c r="N450" s="21" t="str">
        <f t="shared" si="2"/>
        <v/>
      </c>
      <c r="P450" s="37"/>
      <c r="Q450" s="29"/>
      <c r="R450" s="29" t="b">
        <v>0</v>
      </c>
      <c r="S450" s="22" t="str">
        <f t="shared" si="3"/>
        <v/>
      </c>
      <c r="T450" s="7">
        <f>IF(ISBLANK(P450), 0, VLOOKUP(P450, 'Price Sheet'!$A$2:$B1015, 2, false))</f>
        <v>0</v>
      </c>
      <c r="U450" s="33" t="str">
        <f t="shared" si="4"/>
        <v/>
      </c>
      <c r="V450" s="37"/>
      <c r="W450" s="29"/>
      <c r="X450" s="29" t="b">
        <v>0</v>
      </c>
      <c r="Y450" s="22" t="str">
        <f t="shared" si="5"/>
        <v/>
      </c>
      <c r="Z450" s="7">
        <f>IF(ISBLANK(V450), 0, VLOOKUP(V450, 'Price Sheet'!$A$2:$B1015, 2, false))</f>
        <v>0</v>
      </c>
      <c r="AA450" s="33" t="str">
        <f t="shared" si="6"/>
        <v/>
      </c>
      <c r="AB450" s="37"/>
      <c r="AC450" s="29"/>
      <c r="AD450" s="29" t="b">
        <v>0</v>
      </c>
      <c r="AE450" s="22" t="str">
        <f t="shared" si="7"/>
        <v/>
      </c>
      <c r="AF450" s="7">
        <f>IF(ISBLANK(AB450), 0, VLOOKUP(AB450, 'Price Sheet'!$A$2:$B1015, 2, false))</f>
        <v>0</v>
      </c>
      <c r="AG450" s="33" t="str">
        <f t="shared" si="8"/>
        <v/>
      </c>
      <c r="AH450" s="37"/>
      <c r="AI450" s="29"/>
      <c r="AJ450" s="29" t="b">
        <v>0</v>
      </c>
      <c r="AK450" s="22" t="str">
        <f t="shared" si="9"/>
        <v/>
      </c>
      <c r="AL450" s="7">
        <f>IF(ISBLANK(AH450), 0, VLOOKUP(AH450, 'Price Sheet'!$A$2:$B1015, 2, false))</f>
        <v>0</v>
      </c>
      <c r="AM450" s="33" t="str">
        <f t="shared" si="10"/>
        <v/>
      </c>
      <c r="AN450" s="37"/>
      <c r="AO450" s="29"/>
      <c r="AP450" s="29" t="b">
        <v>0</v>
      </c>
      <c r="AQ450" s="22" t="str">
        <f t="shared" si="11"/>
        <v/>
      </c>
      <c r="AR450" s="7">
        <f>IF(ISBLANK(AN450), 0, VLOOKUP(AN450, 'Price Sheet'!$A$2:$B1015, 2, false))</f>
        <v>0</v>
      </c>
      <c r="AS450" s="33" t="str">
        <f t="shared" si="12"/>
        <v/>
      </c>
      <c r="AT450" s="37"/>
      <c r="AU450" s="29"/>
      <c r="AV450" s="29" t="b">
        <v>0</v>
      </c>
      <c r="AW450" s="22" t="str">
        <f t="shared" si="13"/>
        <v/>
      </c>
      <c r="AX450" s="7">
        <f>IF(ISBLANK(AT450), 0, VLOOKUP(AT450, 'Price Sheet'!$A$2:$B1015, 2, false))</f>
        <v>0</v>
      </c>
      <c r="AY450" s="33" t="str">
        <f t="shared" si="14"/>
        <v/>
      </c>
      <c r="AZ450" s="37"/>
      <c r="BA450" s="29"/>
      <c r="BB450" s="29" t="b">
        <v>0</v>
      </c>
      <c r="BC450" s="22" t="str">
        <f t="shared" si="15"/>
        <v/>
      </c>
      <c r="BD450" s="7">
        <f>IF(ISBLANK(AZ450), 0, VLOOKUP(AZ450, 'Price Sheet'!$A$2:$B1015, 2, false))</f>
        <v>0</v>
      </c>
      <c r="BE450" s="33" t="str">
        <f t="shared" si="16"/>
        <v/>
      </c>
      <c r="BF450" s="37"/>
      <c r="BG450" s="29"/>
      <c r="BH450" s="29" t="b">
        <v>0</v>
      </c>
      <c r="BI450" s="22" t="str">
        <f t="shared" si="17"/>
        <v/>
      </c>
      <c r="BJ450" s="7">
        <f>IF(ISBLANK(BF450), 0, VLOOKUP(BF450, 'Price Sheet'!$A$2:$B1015, 2, false))</f>
        <v>0</v>
      </c>
      <c r="BK450" s="33" t="str">
        <f t="shared" si="18"/>
        <v/>
      </c>
      <c r="BL450" s="37"/>
      <c r="BM450" s="29"/>
      <c r="BN450" s="29" t="b">
        <v>0</v>
      </c>
      <c r="BO450" s="22" t="str">
        <f t="shared" si="19"/>
        <v/>
      </c>
      <c r="BP450" s="7">
        <f>IF(ISBLANK(BL450), 0, VLOOKUP(BL450, 'Price Sheet'!$A$2:$B1015, 2, false))</f>
        <v>0</v>
      </c>
      <c r="BQ450" s="33" t="str">
        <f t="shared" si="20"/>
        <v/>
      </c>
    </row>
    <row r="451">
      <c r="B451" s="19"/>
      <c r="C451" s="29"/>
      <c r="D451" s="29"/>
      <c r="E451" s="7" t="str">
        <f>IF(ISBLANK(D451), "", VLOOKUP(D451,'Crafting Tables'!$A$2:$B1015, 2, false))</f>
        <v/>
      </c>
      <c r="F451" s="7" t="str">
        <f>IFERROR(IF(E451 = "None", 1, VLOOKUP(C451,General!$A$5:$L$35, SWITCH(E451, "Basic", 8, "Advanced", 10, "Modern", 12), false)),"")</f>
        <v/>
      </c>
      <c r="G451" s="29"/>
      <c r="H451" s="7">
        <f>IFERROR(VLOOKUP(C451, General!$A$5:$L$35, 6, false) * G451 / 1000, 0)</f>
        <v>0</v>
      </c>
      <c r="I451" s="29"/>
      <c r="J451" s="22" t="str">
        <f>IFERROR(I451*VLOOKUP(D451,'Crafting Tables'!$1:$1000, 4, false)*F451,"")</f>
        <v/>
      </c>
      <c r="K451" s="29" t="b">
        <v>0</v>
      </c>
      <c r="L451" s="37"/>
      <c r="M451" s="29"/>
      <c r="N451" s="21" t="str">
        <f t="shared" si="2"/>
        <v/>
      </c>
      <c r="P451" s="37"/>
      <c r="Q451" s="29"/>
      <c r="R451" s="29" t="b">
        <v>0</v>
      </c>
      <c r="S451" s="22" t="str">
        <f t="shared" si="3"/>
        <v/>
      </c>
      <c r="T451" s="7">
        <f>IF(ISBLANK(P451), 0, VLOOKUP(P451, 'Price Sheet'!$A$2:$B1015, 2, false))</f>
        <v>0</v>
      </c>
      <c r="U451" s="33" t="str">
        <f t="shared" si="4"/>
        <v/>
      </c>
      <c r="V451" s="37"/>
      <c r="W451" s="29"/>
      <c r="X451" s="29" t="b">
        <v>0</v>
      </c>
      <c r="Y451" s="22" t="str">
        <f t="shared" si="5"/>
        <v/>
      </c>
      <c r="Z451" s="7">
        <f>IF(ISBLANK(V451), 0, VLOOKUP(V451, 'Price Sheet'!$A$2:$B1015, 2, false))</f>
        <v>0</v>
      </c>
      <c r="AA451" s="33" t="str">
        <f t="shared" si="6"/>
        <v/>
      </c>
      <c r="AB451" s="37"/>
      <c r="AC451" s="29"/>
      <c r="AD451" s="29" t="b">
        <v>0</v>
      </c>
      <c r="AE451" s="22" t="str">
        <f t="shared" si="7"/>
        <v/>
      </c>
      <c r="AF451" s="7">
        <f>IF(ISBLANK(AB451), 0, VLOOKUP(AB451, 'Price Sheet'!$A$2:$B1015, 2, false))</f>
        <v>0</v>
      </c>
      <c r="AG451" s="33" t="str">
        <f t="shared" si="8"/>
        <v/>
      </c>
      <c r="AH451" s="37"/>
      <c r="AI451" s="29"/>
      <c r="AJ451" s="29" t="b">
        <v>0</v>
      </c>
      <c r="AK451" s="22" t="str">
        <f t="shared" si="9"/>
        <v/>
      </c>
      <c r="AL451" s="7">
        <f>IF(ISBLANK(AH451), 0, VLOOKUP(AH451, 'Price Sheet'!$A$2:$B1015, 2, false))</f>
        <v>0</v>
      </c>
      <c r="AM451" s="33" t="str">
        <f t="shared" si="10"/>
        <v/>
      </c>
      <c r="AN451" s="37"/>
      <c r="AO451" s="29"/>
      <c r="AP451" s="29" t="b">
        <v>0</v>
      </c>
      <c r="AQ451" s="22" t="str">
        <f t="shared" si="11"/>
        <v/>
      </c>
      <c r="AR451" s="7">
        <f>IF(ISBLANK(AN451), 0, VLOOKUP(AN451, 'Price Sheet'!$A$2:$B1015, 2, false))</f>
        <v>0</v>
      </c>
      <c r="AS451" s="33" t="str">
        <f t="shared" si="12"/>
        <v/>
      </c>
      <c r="AT451" s="37"/>
      <c r="AU451" s="29"/>
      <c r="AV451" s="29" t="b">
        <v>0</v>
      </c>
      <c r="AW451" s="22" t="str">
        <f t="shared" si="13"/>
        <v/>
      </c>
      <c r="AX451" s="7">
        <f>IF(ISBLANK(AT451), 0, VLOOKUP(AT451, 'Price Sheet'!$A$2:$B1015, 2, false))</f>
        <v>0</v>
      </c>
      <c r="AY451" s="33" t="str">
        <f t="shared" si="14"/>
        <v/>
      </c>
      <c r="AZ451" s="37"/>
      <c r="BA451" s="29"/>
      <c r="BB451" s="29" t="b">
        <v>0</v>
      </c>
      <c r="BC451" s="22" t="str">
        <f t="shared" si="15"/>
        <v/>
      </c>
      <c r="BD451" s="7">
        <f>IF(ISBLANK(AZ451), 0, VLOOKUP(AZ451, 'Price Sheet'!$A$2:$B1015, 2, false))</f>
        <v>0</v>
      </c>
      <c r="BE451" s="33" t="str">
        <f t="shared" si="16"/>
        <v/>
      </c>
      <c r="BF451" s="37"/>
      <c r="BG451" s="29"/>
      <c r="BH451" s="29" t="b">
        <v>0</v>
      </c>
      <c r="BI451" s="22" t="str">
        <f t="shared" si="17"/>
        <v/>
      </c>
      <c r="BJ451" s="7">
        <f>IF(ISBLANK(BF451), 0, VLOOKUP(BF451, 'Price Sheet'!$A$2:$B1015, 2, false))</f>
        <v>0</v>
      </c>
      <c r="BK451" s="33" t="str">
        <f t="shared" si="18"/>
        <v/>
      </c>
      <c r="BL451" s="37"/>
      <c r="BM451" s="29"/>
      <c r="BN451" s="29" t="b">
        <v>0</v>
      </c>
      <c r="BO451" s="22" t="str">
        <f t="shared" si="19"/>
        <v/>
      </c>
      <c r="BP451" s="7">
        <f>IF(ISBLANK(BL451), 0, VLOOKUP(BL451, 'Price Sheet'!$A$2:$B1015, 2, false))</f>
        <v>0</v>
      </c>
      <c r="BQ451" s="33" t="str">
        <f t="shared" si="20"/>
        <v/>
      </c>
    </row>
    <row r="452">
      <c r="B452" s="19"/>
      <c r="C452" s="29"/>
      <c r="D452" s="29"/>
      <c r="E452" s="7" t="str">
        <f>IF(ISBLANK(D452), "", VLOOKUP(D452,'Crafting Tables'!$A$2:$B1015, 2, false))</f>
        <v/>
      </c>
      <c r="F452" s="7" t="str">
        <f>IFERROR(IF(E452 = "None", 1, VLOOKUP(C452,General!$A$5:$L$35, SWITCH(E452, "Basic", 8, "Advanced", 10, "Modern", 12), false)),"")</f>
        <v/>
      </c>
      <c r="G452" s="29"/>
      <c r="H452" s="7">
        <f>IFERROR(VLOOKUP(C452, General!$A$5:$L$35, 6, false) * G452 / 1000, 0)</f>
        <v>0</v>
      </c>
      <c r="I452" s="29"/>
      <c r="J452" s="22" t="str">
        <f>IFERROR(I452*VLOOKUP(D452,'Crafting Tables'!$1:$1000, 4, false)*F452,"")</f>
        <v/>
      </c>
      <c r="K452" s="29" t="b">
        <v>0</v>
      </c>
      <c r="L452" s="37"/>
      <c r="M452" s="29"/>
      <c r="N452" s="21" t="str">
        <f t="shared" si="2"/>
        <v/>
      </c>
      <c r="P452" s="37"/>
      <c r="Q452" s="29"/>
      <c r="R452" s="29" t="b">
        <v>0</v>
      </c>
      <c r="S452" s="22" t="str">
        <f t="shared" si="3"/>
        <v/>
      </c>
      <c r="T452" s="7">
        <f>IF(ISBLANK(P452), 0, VLOOKUP(P452, 'Price Sheet'!$A$2:$B1015, 2, false))</f>
        <v>0</v>
      </c>
      <c r="U452" s="33" t="str">
        <f t="shared" si="4"/>
        <v/>
      </c>
      <c r="V452" s="37"/>
      <c r="W452" s="29"/>
      <c r="X452" s="29" t="b">
        <v>0</v>
      </c>
      <c r="Y452" s="22" t="str">
        <f t="shared" si="5"/>
        <v/>
      </c>
      <c r="Z452" s="7">
        <f>IF(ISBLANK(V452), 0, VLOOKUP(V452, 'Price Sheet'!$A$2:$B1015, 2, false))</f>
        <v>0</v>
      </c>
      <c r="AA452" s="33" t="str">
        <f t="shared" si="6"/>
        <v/>
      </c>
      <c r="AB452" s="37"/>
      <c r="AC452" s="29"/>
      <c r="AD452" s="29" t="b">
        <v>0</v>
      </c>
      <c r="AE452" s="22" t="str">
        <f t="shared" si="7"/>
        <v/>
      </c>
      <c r="AF452" s="7">
        <f>IF(ISBLANK(AB452), 0, VLOOKUP(AB452, 'Price Sheet'!$A$2:$B1015, 2, false))</f>
        <v>0</v>
      </c>
      <c r="AG452" s="33" t="str">
        <f t="shared" si="8"/>
        <v/>
      </c>
      <c r="AH452" s="37"/>
      <c r="AI452" s="29"/>
      <c r="AJ452" s="29" t="b">
        <v>0</v>
      </c>
      <c r="AK452" s="22" t="str">
        <f t="shared" si="9"/>
        <v/>
      </c>
      <c r="AL452" s="7">
        <f>IF(ISBLANK(AH452), 0, VLOOKUP(AH452, 'Price Sheet'!$A$2:$B1015, 2, false))</f>
        <v>0</v>
      </c>
      <c r="AM452" s="33" t="str">
        <f t="shared" si="10"/>
        <v/>
      </c>
      <c r="AN452" s="37"/>
      <c r="AO452" s="29"/>
      <c r="AP452" s="29" t="b">
        <v>0</v>
      </c>
      <c r="AQ452" s="22" t="str">
        <f t="shared" si="11"/>
        <v/>
      </c>
      <c r="AR452" s="7">
        <f>IF(ISBLANK(AN452), 0, VLOOKUP(AN452, 'Price Sheet'!$A$2:$B1015, 2, false))</f>
        <v>0</v>
      </c>
      <c r="AS452" s="33" t="str">
        <f t="shared" si="12"/>
        <v/>
      </c>
      <c r="AT452" s="37"/>
      <c r="AU452" s="29"/>
      <c r="AV452" s="29" t="b">
        <v>0</v>
      </c>
      <c r="AW452" s="22" t="str">
        <f t="shared" si="13"/>
        <v/>
      </c>
      <c r="AX452" s="7">
        <f>IF(ISBLANK(AT452), 0, VLOOKUP(AT452, 'Price Sheet'!$A$2:$B1015, 2, false))</f>
        <v>0</v>
      </c>
      <c r="AY452" s="33" t="str">
        <f t="shared" si="14"/>
        <v/>
      </c>
      <c r="AZ452" s="37"/>
      <c r="BA452" s="29"/>
      <c r="BB452" s="29" t="b">
        <v>0</v>
      </c>
      <c r="BC452" s="22" t="str">
        <f t="shared" si="15"/>
        <v/>
      </c>
      <c r="BD452" s="7">
        <f>IF(ISBLANK(AZ452), 0, VLOOKUP(AZ452, 'Price Sheet'!$A$2:$B1015, 2, false))</f>
        <v>0</v>
      </c>
      <c r="BE452" s="33" t="str">
        <f t="shared" si="16"/>
        <v/>
      </c>
      <c r="BF452" s="37"/>
      <c r="BG452" s="29"/>
      <c r="BH452" s="29" t="b">
        <v>0</v>
      </c>
      <c r="BI452" s="22" t="str">
        <f t="shared" si="17"/>
        <v/>
      </c>
      <c r="BJ452" s="7">
        <f>IF(ISBLANK(BF452), 0, VLOOKUP(BF452, 'Price Sheet'!$A$2:$B1015, 2, false))</f>
        <v>0</v>
      </c>
      <c r="BK452" s="33" t="str">
        <f t="shared" si="18"/>
        <v/>
      </c>
      <c r="BL452" s="37"/>
      <c r="BM452" s="29"/>
      <c r="BN452" s="29" t="b">
        <v>0</v>
      </c>
      <c r="BO452" s="22" t="str">
        <f t="shared" si="19"/>
        <v/>
      </c>
      <c r="BP452" s="7">
        <f>IF(ISBLANK(BL452), 0, VLOOKUP(BL452, 'Price Sheet'!$A$2:$B1015, 2, false))</f>
        <v>0</v>
      </c>
      <c r="BQ452" s="33" t="str">
        <f t="shared" si="20"/>
        <v/>
      </c>
    </row>
    <row r="453">
      <c r="B453" s="19"/>
      <c r="C453" s="29"/>
      <c r="D453" s="29"/>
      <c r="E453" s="7" t="str">
        <f>IF(ISBLANK(D453), "", VLOOKUP(D453,'Crafting Tables'!$A$2:$B1015, 2, false))</f>
        <v/>
      </c>
      <c r="F453" s="7" t="str">
        <f>IFERROR(IF(E453 = "None", 1, VLOOKUP(C453,General!$A$5:$L$35, SWITCH(E453, "Basic", 8, "Advanced", 10, "Modern", 12), false)),"")</f>
        <v/>
      </c>
      <c r="G453" s="29"/>
      <c r="H453" s="7">
        <f>IFERROR(VLOOKUP(C453, General!$A$5:$L$35, 6, false) * G453 / 1000, 0)</f>
        <v>0</v>
      </c>
      <c r="I453" s="29"/>
      <c r="J453" s="22" t="str">
        <f>IFERROR(I453*VLOOKUP(D453,'Crafting Tables'!$1:$1000, 4, false)*F453,"")</f>
        <v/>
      </c>
      <c r="K453" s="29" t="b">
        <v>0</v>
      </c>
      <c r="L453" s="37"/>
      <c r="M453" s="29"/>
      <c r="N453" s="21" t="str">
        <f t="shared" si="2"/>
        <v/>
      </c>
      <c r="P453" s="37"/>
      <c r="Q453" s="29"/>
      <c r="R453" s="29" t="b">
        <v>0</v>
      </c>
      <c r="S453" s="22" t="str">
        <f t="shared" si="3"/>
        <v/>
      </c>
      <c r="T453" s="7">
        <f>IF(ISBLANK(P453), 0, VLOOKUP(P453, 'Price Sheet'!$A$2:$B1015, 2, false))</f>
        <v>0</v>
      </c>
      <c r="U453" s="33" t="str">
        <f t="shared" si="4"/>
        <v/>
      </c>
      <c r="V453" s="37"/>
      <c r="W453" s="29"/>
      <c r="X453" s="29" t="b">
        <v>0</v>
      </c>
      <c r="Y453" s="22" t="str">
        <f t="shared" si="5"/>
        <v/>
      </c>
      <c r="Z453" s="7">
        <f>IF(ISBLANK(V453), 0, VLOOKUP(V453, 'Price Sheet'!$A$2:$B1015, 2, false))</f>
        <v>0</v>
      </c>
      <c r="AA453" s="33" t="str">
        <f t="shared" si="6"/>
        <v/>
      </c>
      <c r="AB453" s="37"/>
      <c r="AC453" s="29"/>
      <c r="AD453" s="29" t="b">
        <v>0</v>
      </c>
      <c r="AE453" s="22" t="str">
        <f t="shared" si="7"/>
        <v/>
      </c>
      <c r="AF453" s="7">
        <f>IF(ISBLANK(AB453), 0, VLOOKUP(AB453, 'Price Sheet'!$A$2:$B1015, 2, false))</f>
        <v>0</v>
      </c>
      <c r="AG453" s="33" t="str">
        <f t="shared" si="8"/>
        <v/>
      </c>
      <c r="AH453" s="37"/>
      <c r="AI453" s="29"/>
      <c r="AJ453" s="29" t="b">
        <v>0</v>
      </c>
      <c r="AK453" s="22" t="str">
        <f t="shared" si="9"/>
        <v/>
      </c>
      <c r="AL453" s="7">
        <f>IF(ISBLANK(AH453), 0, VLOOKUP(AH453, 'Price Sheet'!$A$2:$B1015, 2, false))</f>
        <v>0</v>
      </c>
      <c r="AM453" s="33" t="str">
        <f t="shared" si="10"/>
        <v/>
      </c>
      <c r="AN453" s="37"/>
      <c r="AO453" s="29"/>
      <c r="AP453" s="29" t="b">
        <v>0</v>
      </c>
      <c r="AQ453" s="22" t="str">
        <f t="shared" si="11"/>
        <v/>
      </c>
      <c r="AR453" s="7">
        <f>IF(ISBLANK(AN453), 0, VLOOKUP(AN453, 'Price Sheet'!$A$2:$B1015, 2, false))</f>
        <v>0</v>
      </c>
      <c r="AS453" s="33" t="str">
        <f t="shared" si="12"/>
        <v/>
      </c>
      <c r="AT453" s="37"/>
      <c r="AU453" s="29"/>
      <c r="AV453" s="29" t="b">
        <v>0</v>
      </c>
      <c r="AW453" s="22" t="str">
        <f t="shared" si="13"/>
        <v/>
      </c>
      <c r="AX453" s="7">
        <f>IF(ISBLANK(AT453), 0, VLOOKUP(AT453, 'Price Sheet'!$A$2:$B1015, 2, false))</f>
        <v>0</v>
      </c>
      <c r="AY453" s="33" t="str">
        <f t="shared" si="14"/>
        <v/>
      </c>
      <c r="AZ453" s="37"/>
      <c r="BA453" s="29"/>
      <c r="BB453" s="29" t="b">
        <v>0</v>
      </c>
      <c r="BC453" s="22" t="str">
        <f t="shared" si="15"/>
        <v/>
      </c>
      <c r="BD453" s="7">
        <f>IF(ISBLANK(AZ453), 0, VLOOKUP(AZ453, 'Price Sheet'!$A$2:$B1015, 2, false))</f>
        <v>0</v>
      </c>
      <c r="BE453" s="33" t="str">
        <f t="shared" si="16"/>
        <v/>
      </c>
      <c r="BF453" s="37"/>
      <c r="BG453" s="29"/>
      <c r="BH453" s="29" t="b">
        <v>0</v>
      </c>
      <c r="BI453" s="22" t="str">
        <f t="shared" si="17"/>
        <v/>
      </c>
      <c r="BJ453" s="7">
        <f>IF(ISBLANK(BF453), 0, VLOOKUP(BF453, 'Price Sheet'!$A$2:$B1015, 2, false))</f>
        <v>0</v>
      </c>
      <c r="BK453" s="33" t="str">
        <f t="shared" si="18"/>
        <v/>
      </c>
      <c r="BL453" s="37"/>
      <c r="BM453" s="29"/>
      <c r="BN453" s="29" t="b">
        <v>0</v>
      </c>
      <c r="BO453" s="22" t="str">
        <f t="shared" si="19"/>
        <v/>
      </c>
      <c r="BP453" s="7">
        <f>IF(ISBLANK(BL453), 0, VLOOKUP(BL453, 'Price Sheet'!$A$2:$B1015, 2, false))</f>
        <v>0</v>
      </c>
      <c r="BQ453" s="33" t="str">
        <f t="shared" si="20"/>
        <v/>
      </c>
    </row>
    <row r="454">
      <c r="B454" s="19"/>
      <c r="C454" s="29"/>
      <c r="D454" s="29"/>
      <c r="E454" s="7" t="str">
        <f>IF(ISBLANK(D454), "", VLOOKUP(D454,'Crafting Tables'!$A$2:$B1015, 2, false))</f>
        <v/>
      </c>
      <c r="F454" s="7" t="str">
        <f>IFERROR(IF(E454 = "None", 1, VLOOKUP(C454,General!$A$5:$L$35, SWITCH(E454, "Basic", 8, "Advanced", 10, "Modern", 12), false)),"")</f>
        <v/>
      </c>
      <c r="G454" s="29"/>
      <c r="H454" s="7">
        <f>IFERROR(VLOOKUP(C454, General!$A$5:$L$35, 6, false) * G454 / 1000, 0)</f>
        <v>0</v>
      </c>
      <c r="I454" s="29"/>
      <c r="J454" s="22" t="str">
        <f>IFERROR(I454*VLOOKUP(D454,'Crafting Tables'!$1:$1000, 4, false)*F454,"")</f>
        <v/>
      </c>
      <c r="K454" s="29" t="b">
        <v>0</v>
      </c>
      <c r="L454" s="37"/>
      <c r="M454" s="29"/>
      <c r="N454" s="21" t="str">
        <f t="shared" si="2"/>
        <v/>
      </c>
      <c r="P454" s="37"/>
      <c r="Q454" s="29"/>
      <c r="R454" s="29" t="b">
        <v>0</v>
      </c>
      <c r="S454" s="22" t="str">
        <f t="shared" si="3"/>
        <v/>
      </c>
      <c r="T454" s="7">
        <f>IF(ISBLANK(P454), 0, VLOOKUP(P454, 'Price Sheet'!$A$2:$B1015, 2, false))</f>
        <v>0</v>
      </c>
      <c r="U454" s="33" t="str">
        <f t="shared" si="4"/>
        <v/>
      </c>
      <c r="V454" s="37"/>
      <c r="W454" s="29"/>
      <c r="X454" s="29" t="b">
        <v>0</v>
      </c>
      <c r="Y454" s="22" t="str">
        <f t="shared" si="5"/>
        <v/>
      </c>
      <c r="Z454" s="7">
        <f>IF(ISBLANK(V454), 0, VLOOKUP(V454, 'Price Sheet'!$A$2:$B1015, 2, false))</f>
        <v>0</v>
      </c>
      <c r="AA454" s="33" t="str">
        <f t="shared" si="6"/>
        <v/>
      </c>
      <c r="AB454" s="37"/>
      <c r="AC454" s="29"/>
      <c r="AD454" s="29" t="b">
        <v>0</v>
      </c>
      <c r="AE454" s="22" t="str">
        <f t="shared" si="7"/>
        <v/>
      </c>
      <c r="AF454" s="7">
        <f>IF(ISBLANK(AB454), 0, VLOOKUP(AB454, 'Price Sheet'!$A$2:$B1015, 2, false))</f>
        <v>0</v>
      </c>
      <c r="AG454" s="33" t="str">
        <f t="shared" si="8"/>
        <v/>
      </c>
      <c r="AH454" s="37"/>
      <c r="AI454" s="29"/>
      <c r="AJ454" s="29" t="b">
        <v>0</v>
      </c>
      <c r="AK454" s="22" t="str">
        <f t="shared" si="9"/>
        <v/>
      </c>
      <c r="AL454" s="7">
        <f>IF(ISBLANK(AH454), 0, VLOOKUP(AH454, 'Price Sheet'!$A$2:$B1015, 2, false))</f>
        <v>0</v>
      </c>
      <c r="AM454" s="33" t="str">
        <f t="shared" si="10"/>
        <v/>
      </c>
      <c r="AN454" s="37"/>
      <c r="AO454" s="29"/>
      <c r="AP454" s="29" t="b">
        <v>0</v>
      </c>
      <c r="AQ454" s="22" t="str">
        <f t="shared" si="11"/>
        <v/>
      </c>
      <c r="AR454" s="7">
        <f>IF(ISBLANK(AN454), 0, VLOOKUP(AN454, 'Price Sheet'!$A$2:$B1015, 2, false))</f>
        <v>0</v>
      </c>
      <c r="AS454" s="33" t="str">
        <f t="shared" si="12"/>
        <v/>
      </c>
      <c r="AT454" s="37"/>
      <c r="AU454" s="29"/>
      <c r="AV454" s="29" t="b">
        <v>0</v>
      </c>
      <c r="AW454" s="22" t="str">
        <f t="shared" si="13"/>
        <v/>
      </c>
      <c r="AX454" s="7">
        <f>IF(ISBLANK(AT454), 0, VLOOKUP(AT454, 'Price Sheet'!$A$2:$B1015, 2, false))</f>
        <v>0</v>
      </c>
      <c r="AY454" s="33" t="str">
        <f t="shared" si="14"/>
        <v/>
      </c>
      <c r="AZ454" s="37"/>
      <c r="BA454" s="29"/>
      <c r="BB454" s="29" t="b">
        <v>0</v>
      </c>
      <c r="BC454" s="22" t="str">
        <f t="shared" si="15"/>
        <v/>
      </c>
      <c r="BD454" s="7">
        <f>IF(ISBLANK(AZ454), 0, VLOOKUP(AZ454, 'Price Sheet'!$A$2:$B1015, 2, false))</f>
        <v>0</v>
      </c>
      <c r="BE454" s="33" t="str">
        <f t="shared" si="16"/>
        <v/>
      </c>
      <c r="BF454" s="37"/>
      <c r="BG454" s="29"/>
      <c r="BH454" s="29" t="b">
        <v>0</v>
      </c>
      <c r="BI454" s="22" t="str">
        <f t="shared" si="17"/>
        <v/>
      </c>
      <c r="BJ454" s="7">
        <f>IF(ISBLANK(BF454), 0, VLOOKUP(BF454, 'Price Sheet'!$A$2:$B1015, 2, false))</f>
        <v>0</v>
      </c>
      <c r="BK454" s="33" t="str">
        <f t="shared" si="18"/>
        <v/>
      </c>
      <c r="BL454" s="37"/>
      <c r="BM454" s="29"/>
      <c r="BN454" s="29" t="b">
        <v>0</v>
      </c>
      <c r="BO454" s="22" t="str">
        <f t="shared" si="19"/>
        <v/>
      </c>
      <c r="BP454" s="7">
        <f>IF(ISBLANK(BL454), 0, VLOOKUP(BL454, 'Price Sheet'!$A$2:$B1015, 2, false))</f>
        <v>0</v>
      </c>
      <c r="BQ454" s="33" t="str">
        <f t="shared" si="20"/>
        <v/>
      </c>
    </row>
    <row r="455">
      <c r="B455" s="19"/>
      <c r="C455" s="29"/>
      <c r="D455" s="29"/>
      <c r="E455" s="7" t="str">
        <f>IF(ISBLANK(D455), "", VLOOKUP(D455,'Crafting Tables'!$A$2:$B1015, 2, false))</f>
        <v/>
      </c>
      <c r="F455" s="7" t="str">
        <f>IFERROR(IF(E455 = "None", 1, VLOOKUP(C455,General!$A$5:$L$35, SWITCH(E455, "Basic", 8, "Advanced", 10, "Modern", 12), false)),"")</f>
        <v/>
      </c>
      <c r="G455" s="29"/>
      <c r="H455" s="7">
        <f>IFERROR(VLOOKUP(C455, General!$A$5:$L$35, 6, false) * G455 / 1000, 0)</f>
        <v>0</v>
      </c>
      <c r="I455" s="29"/>
      <c r="J455" s="22" t="str">
        <f>IFERROR(I455*VLOOKUP(D455,'Crafting Tables'!$1:$1000, 4, false)*F455,"")</f>
        <v/>
      </c>
      <c r="K455" s="29" t="b">
        <v>0</v>
      </c>
      <c r="L455" s="37"/>
      <c r="M455" s="29"/>
      <c r="N455" s="21" t="str">
        <f t="shared" si="2"/>
        <v/>
      </c>
      <c r="P455" s="37"/>
      <c r="Q455" s="29"/>
      <c r="R455" s="29" t="b">
        <v>0</v>
      </c>
      <c r="S455" s="22" t="str">
        <f t="shared" si="3"/>
        <v/>
      </c>
      <c r="T455" s="7">
        <f>IF(ISBLANK(P455), 0, VLOOKUP(P455, 'Price Sheet'!$A$2:$B1015, 2, false))</f>
        <v>0</v>
      </c>
      <c r="U455" s="33" t="str">
        <f t="shared" si="4"/>
        <v/>
      </c>
      <c r="V455" s="37"/>
      <c r="W455" s="29"/>
      <c r="X455" s="29" t="b">
        <v>0</v>
      </c>
      <c r="Y455" s="22" t="str">
        <f t="shared" si="5"/>
        <v/>
      </c>
      <c r="Z455" s="7">
        <f>IF(ISBLANK(V455), 0, VLOOKUP(V455, 'Price Sheet'!$A$2:$B1015, 2, false))</f>
        <v>0</v>
      </c>
      <c r="AA455" s="33" t="str">
        <f t="shared" si="6"/>
        <v/>
      </c>
      <c r="AB455" s="37"/>
      <c r="AC455" s="29"/>
      <c r="AD455" s="29" t="b">
        <v>0</v>
      </c>
      <c r="AE455" s="22" t="str">
        <f t="shared" si="7"/>
        <v/>
      </c>
      <c r="AF455" s="7">
        <f>IF(ISBLANK(AB455), 0, VLOOKUP(AB455, 'Price Sheet'!$A$2:$B1015, 2, false))</f>
        <v>0</v>
      </c>
      <c r="AG455" s="33" t="str">
        <f t="shared" si="8"/>
        <v/>
      </c>
      <c r="AH455" s="37"/>
      <c r="AI455" s="29"/>
      <c r="AJ455" s="29" t="b">
        <v>0</v>
      </c>
      <c r="AK455" s="22" t="str">
        <f t="shared" si="9"/>
        <v/>
      </c>
      <c r="AL455" s="7">
        <f>IF(ISBLANK(AH455), 0, VLOOKUP(AH455, 'Price Sheet'!$A$2:$B1015, 2, false))</f>
        <v>0</v>
      </c>
      <c r="AM455" s="33" t="str">
        <f t="shared" si="10"/>
        <v/>
      </c>
      <c r="AN455" s="37"/>
      <c r="AO455" s="29"/>
      <c r="AP455" s="29" t="b">
        <v>0</v>
      </c>
      <c r="AQ455" s="22" t="str">
        <f t="shared" si="11"/>
        <v/>
      </c>
      <c r="AR455" s="7">
        <f>IF(ISBLANK(AN455), 0, VLOOKUP(AN455, 'Price Sheet'!$A$2:$B1015, 2, false))</f>
        <v>0</v>
      </c>
      <c r="AS455" s="33" t="str">
        <f t="shared" si="12"/>
        <v/>
      </c>
      <c r="AT455" s="37"/>
      <c r="AU455" s="29"/>
      <c r="AV455" s="29" t="b">
        <v>0</v>
      </c>
      <c r="AW455" s="22" t="str">
        <f t="shared" si="13"/>
        <v/>
      </c>
      <c r="AX455" s="7">
        <f>IF(ISBLANK(AT455), 0, VLOOKUP(AT455, 'Price Sheet'!$A$2:$B1015, 2, false))</f>
        <v>0</v>
      </c>
      <c r="AY455" s="33" t="str">
        <f t="shared" si="14"/>
        <v/>
      </c>
      <c r="AZ455" s="37"/>
      <c r="BA455" s="29"/>
      <c r="BB455" s="29" t="b">
        <v>0</v>
      </c>
      <c r="BC455" s="22" t="str">
        <f t="shared" si="15"/>
        <v/>
      </c>
      <c r="BD455" s="7">
        <f>IF(ISBLANK(AZ455), 0, VLOOKUP(AZ455, 'Price Sheet'!$A$2:$B1015, 2, false))</f>
        <v>0</v>
      </c>
      <c r="BE455" s="33" t="str">
        <f t="shared" si="16"/>
        <v/>
      </c>
      <c r="BF455" s="37"/>
      <c r="BG455" s="29"/>
      <c r="BH455" s="29" t="b">
        <v>0</v>
      </c>
      <c r="BI455" s="22" t="str">
        <f t="shared" si="17"/>
        <v/>
      </c>
      <c r="BJ455" s="7">
        <f>IF(ISBLANK(BF455), 0, VLOOKUP(BF455, 'Price Sheet'!$A$2:$B1015, 2, false))</f>
        <v>0</v>
      </c>
      <c r="BK455" s="33" t="str">
        <f t="shared" si="18"/>
        <v/>
      </c>
      <c r="BL455" s="37"/>
      <c r="BM455" s="29"/>
      <c r="BN455" s="29" t="b">
        <v>0</v>
      </c>
      <c r="BO455" s="22" t="str">
        <f t="shared" si="19"/>
        <v/>
      </c>
      <c r="BP455" s="7">
        <f>IF(ISBLANK(BL455), 0, VLOOKUP(BL455, 'Price Sheet'!$A$2:$B1015, 2, false))</f>
        <v>0</v>
      </c>
      <c r="BQ455" s="33" t="str">
        <f t="shared" si="20"/>
        <v/>
      </c>
    </row>
    <row r="456">
      <c r="B456" s="19"/>
      <c r="C456" s="29"/>
      <c r="D456" s="29"/>
      <c r="E456" s="7" t="str">
        <f>IF(ISBLANK(D456), "", VLOOKUP(D456,'Crafting Tables'!$A$2:$B1015, 2, false))</f>
        <v/>
      </c>
      <c r="F456" s="7" t="str">
        <f>IFERROR(IF(E456 = "None", 1, VLOOKUP(C456,General!$A$5:$L$35, SWITCH(E456, "Basic", 8, "Advanced", 10, "Modern", 12), false)),"")</f>
        <v/>
      </c>
      <c r="G456" s="29"/>
      <c r="H456" s="7">
        <f>IFERROR(VLOOKUP(C456, General!$A$5:$L$35, 6, false) * G456 / 1000, 0)</f>
        <v>0</v>
      </c>
      <c r="I456" s="29"/>
      <c r="J456" s="22" t="str">
        <f>IFERROR(I456*VLOOKUP(D456,'Crafting Tables'!$1:$1000, 4, false)*F456,"")</f>
        <v/>
      </c>
      <c r="K456" s="29" t="b">
        <v>0</v>
      </c>
      <c r="L456" s="37"/>
      <c r="M456" s="29"/>
      <c r="N456" s="21" t="str">
        <f t="shared" si="2"/>
        <v/>
      </c>
      <c r="P456" s="37"/>
      <c r="Q456" s="29"/>
      <c r="R456" s="29" t="b">
        <v>0</v>
      </c>
      <c r="S456" s="22" t="str">
        <f t="shared" si="3"/>
        <v/>
      </c>
      <c r="T456" s="7">
        <f>IF(ISBLANK(P456), 0, VLOOKUP(P456, 'Price Sheet'!$A$2:$B1015, 2, false))</f>
        <v>0</v>
      </c>
      <c r="U456" s="33" t="str">
        <f t="shared" si="4"/>
        <v/>
      </c>
      <c r="V456" s="37"/>
      <c r="W456" s="29"/>
      <c r="X456" s="29" t="b">
        <v>0</v>
      </c>
      <c r="Y456" s="22" t="str">
        <f t="shared" si="5"/>
        <v/>
      </c>
      <c r="Z456" s="7">
        <f>IF(ISBLANK(V456), 0, VLOOKUP(V456, 'Price Sheet'!$A$2:$B1015, 2, false))</f>
        <v>0</v>
      </c>
      <c r="AA456" s="33" t="str">
        <f t="shared" si="6"/>
        <v/>
      </c>
      <c r="AB456" s="37"/>
      <c r="AC456" s="29"/>
      <c r="AD456" s="29" t="b">
        <v>0</v>
      </c>
      <c r="AE456" s="22" t="str">
        <f t="shared" si="7"/>
        <v/>
      </c>
      <c r="AF456" s="7">
        <f>IF(ISBLANK(AB456), 0, VLOOKUP(AB456, 'Price Sheet'!$A$2:$B1015, 2, false))</f>
        <v>0</v>
      </c>
      <c r="AG456" s="33" t="str">
        <f t="shared" si="8"/>
        <v/>
      </c>
      <c r="AH456" s="37"/>
      <c r="AI456" s="29"/>
      <c r="AJ456" s="29" t="b">
        <v>0</v>
      </c>
      <c r="AK456" s="22" t="str">
        <f t="shared" si="9"/>
        <v/>
      </c>
      <c r="AL456" s="7">
        <f>IF(ISBLANK(AH456), 0, VLOOKUP(AH456, 'Price Sheet'!$A$2:$B1015, 2, false))</f>
        <v>0</v>
      </c>
      <c r="AM456" s="33" t="str">
        <f t="shared" si="10"/>
        <v/>
      </c>
      <c r="AN456" s="37"/>
      <c r="AO456" s="29"/>
      <c r="AP456" s="29" t="b">
        <v>0</v>
      </c>
      <c r="AQ456" s="22" t="str">
        <f t="shared" si="11"/>
        <v/>
      </c>
      <c r="AR456" s="7">
        <f>IF(ISBLANK(AN456), 0, VLOOKUP(AN456, 'Price Sheet'!$A$2:$B1015, 2, false))</f>
        <v>0</v>
      </c>
      <c r="AS456" s="33" t="str">
        <f t="shared" si="12"/>
        <v/>
      </c>
      <c r="AT456" s="37"/>
      <c r="AU456" s="29"/>
      <c r="AV456" s="29" t="b">
        <v>0</v>
      </c>
      <c r="AW456" s="22" t="str">
        <f t="shared" si="13"/>
        <v/>
      </c>
      <c r="AX456" s="7">
        <f>IF(ISBLANK(AT456), 0, VLOOKUP(AT456, 'Price Sheet'!$A$2:$B1015, 2, false))</f>
        <v>0</v>
      </c>
      <c r="AY456" s="33" t="str">
        <f t="shared" si="14"/>
        <v/>
      </c>
      <c r="AZ456" s="37"/>
      <c r="BA456" s="29"/>
      <c r="BB456" s="29" t="b">
        <v>0</v>
      </c>
      <c r="BC456" s="22" t="str">
        <f t="shared" si="15"/>
        <v/>
      </c>
      <c r="BD456" s="7">
        <f>IF(ISBLANK(AZ456), 0, VLOOKUP(AZ456, 'Price Sheet'!$A$2:$B1015, 2, false))</f>
        <v>0</v>
      </c>
      <c r="BE456" s="33" t="str">
        <f t="shared" si="16"/>
        <v/>
      </c>
      <c r="BF456" s="37"/>
      <c r="BG456" s="29"/>
      <c r="BH456" s="29" t="b">
        <v>0</v>
      </c>
      <c r="BI456" s="22" t="str">
        <f t="shared" si="17"/>
        <v/>
      </c>
      <c r="BJ456" s="7">
        <f>IF(ISBLANK(BF456), 0, VLOOKUP(BF456, 'Price Sheet'!$A$2:$B1015, 2, false))</f>
        <v>0</v>
      </c>
      <c r="BK456" s="33" t="str">
        <f t="shared" si="18"/>
        <v/>
      </c>
      <c r="BL456" s="37"/>
      <c r="BM456" s="29"/>
      <c r="BN456" s="29" t="b">
        <v>0</v>
      </c>
      <c r="BO456" s="22" t="str">
        <f t="shared" si="19"/>
        <v/>
      </c>
      <c r="BP456" s="7">
        <f>IF(ISBLANK(BL456), 0, VLOOKUP(BL456, 'Price Sheet'!$A$2:$B1015, 2, false))</f>
        <v>0</v>
      </c>
      <c r="BQ456" s="33" t="str">
        <f t="shared" si="20"/>
        <v/>
      </c>
    </row>
    <row r="457">
      <c r="B457" s="19"/>
      <c r="C457" s="29"/>
      <c r="D457" s="29"/>
      <c r="E457" s="7" t="str">
        <f>IF(ISBLANK(D457), "", VLOOKUP(D457,'Crafting Tables'!$A$2:$B1015, 2, false))</f>
        <v/>
      </c>
      <c r="F457" s="7" t="str">
        <f>IFERROR(IF(E457 = "None", 1, VLOOKUP(C457,General!$A$5:$L$35, SWITCH(E457, "Basic", 8, "Advanced", 10, "Modern", 12), false)),"")</f>
        <v/>
      </c>
      <c r="G457" s="29"/>
      <c r="H457" s="7">
        <f>IFERROR(VLOOKUP(C457, General!$A$5:$L$35, 6, false) * G457 / 1000, 0)</f>
        <v>0</v>
      </c>
      <c r="I457" s="29"/>
      <c r="J457" s="22" t="str">
        <f>IFERROR(I457*VLOOKUP(D457,'Crafting Tables'!$1:$1000, 4, false)*F457,"")</f>
        <v/>
      </c>
      <c r="K457" s="29" t="b">
        <v>0</v>
      </c>
      <c r="L457" s="37"/>
      <c r="M457" s="29"/>
      <c r="N457" s="21" t="str">
        <f t="shared" si="2"/>
        <v/>
      </c>
      <c r="P457" s="37"/>
      <c r="Q457" s="29"/>
      <c r="R457" s="29" t="b">
        <v>0</v>
      </c>
      <c r="S457" s="22" t="str">
        <f t="shared" si="3"/>
        <v/>
      </c>
      <c r="T457" s="7">
        <f>IF(ISBLANK(P457), 0, VLOOKUP(P457, 'Price Sheet'!$A$2:$B1015, 2, false))</f>
        <v>0</v>
      </c>
      <c r="U457" s="33" t="str">
        <f t="shared" si="4"/>
        <v/>
      </c>
      <c r="V457" s="37"/>
      <c r="W457" s="29"/>
      <c r="X457" s="29" t="b">
        <v>0</v>
      </c>
      <c r="Y457" s="22" t="str">
        <f t="shared" si="5"/>
        <v/>
      </c>
      <c r="Z457" s="7">
        <f>IF(ISBLANK(V457), 0, VLOOKUP(V457, 'Price Sheet'!$A$2:$B1015, 2, false))</f>
        <v>0</v>
      </c>
      <c r="AA457" s="33" t="str">
        <f t="shared" si="6"/>
        <v/>
      </c>
      <c r="AB457" s="37"/>
      <c r="AC457" s="29"/>
      <c r="AD457" s="29" t="b">
        <v>0</v>
      </c>
      <c r="AE457" s="22" t="str">
        <f t="shared" si="7"/>
        <v/>
      </c>
      <c r="AF457" s="7">
        <f>IF(ISBLANK(AB457), 0, VLOOKUP(AB457, 'Price Sheet'!$A$2:$B1015, 2, false))</f>
        <v>0</v>
      </c>
      <c r="AG457" s="33" t="str">
        <f t="shared" si="8"/>
        <v/>
      </c>
      <c r="AH457" s="37"/>
      <c r="AI457" s="29"/>
      <c r="AJ457" s="29" t="b">
        <v>0</v>
      </c>
      <c r="AK457" s="22" t="str">
        <f t="shared" si="9"/>
        <v/>
      </c>
      <c r="AL457" s="7">
        <f>IF(ISBLANK(AH457), 0, VLOOKUP(AH457, 'Price Sheet'!$A$2:$B1015, 2, false))</f>
        <v>0</v>
      </c>
      <c r="AM457" s="33" t="str">
        <f t="shared" si="10"/>
        <v/>
      </c>
      <c r="AN457" s="37"/>
      <c r="AO457" s="29"/>
      <c r="AP457" s="29" t="b">
        <v>0</v>
      </c>
      <c r="AQ457" s="22" t="str">
        <f t="shared" si="11"/>
        <v/>
      </c>
      <c r="AR457" s="7">
        <f>IF(ISBLANK(AN457), 0, VLOOKUP(AN457, 'Price Sheet'!$A$2:$B1015, 2, false))</f>
        <v>0</v>
      </c>
      <c r="AS457" s="33" t="str">
        <f t="shared" si="12"/>
        <v/>
      </c>
      <c r="AT457" s="37"/>
      <c r="AU457" s="29"/>
      <c r="AV457" s="29" t="b">
        <v>0</v>
      </c>
      <c r="AW457" s="22" t="str">
        <f t="shared" si="13"/>
        <v/>
      </c>
      <c r="AX457" s="7">
        <f>IF(ISBLANK(AT457), 0, VLOOKUP(AT457, 'Price Sheet'!$A$2:$B1015, 2, false))</f>
        <v>0</v>
      </c>
      <c r="AY457" s="33" t="str">
        <f t="shared" si="14"/>
        <v/>
      </c>
      <c r="AZ457" s="37"/>
      <c r="BA457" s="29"/>
      <c r="BB457" s="29" t="b">
        <v>0</v>
      </c>
      <c r="BC457" s="22" t="str">
        <f t="shared" si="15"/>
        <v/>
      </c>
      <c r="BD457" s="7">
        <f>IF(ISBLANK(AZ457), 0, VLOOKUP(AZ457, 'Price Sheet'!$A$2:$B1015, 2, false))</f>
        <v>0</v>
      </c>
      <c r="BE457" s="33" t="str">
        <f t="shared" si="16"/>
        <v/>
      </c>
      <c r="BF457" s="37"/>
      <c r="BG457" s="29"/>
      <c r="BH457" s="29" t="b">
        <v>0</v>
      </c>
      <c r="BI457" s="22" t="str">
        <f t="shared" si="17"/>
        <v/>
      </c>
      <c r="BJ457" s="7">
        <f>IF(ISBLANK(BF457), 0, VLOOKUP(BF457, 'Price Sheet'!$A$2:$B1015, 2, false))</f>
        <v>0</v>
      </c>
      <c r="BK457" s="33" t="str">
        <f t="shared" si="18"/>
        <v/>
      </c>
      <c r="BL457" s="37"/>
      <c r="BM457" s="29"/>
      <c r="BN457" s="29" t="b">
        <v>0</v>
      </c>
      <c r="BO457" s="22" t="str">
        <f t="shared" si="19"/>
        <v/>
      </c>
      <c r="BP457" s="7">
        <f>IF(ISBLANK(BL457), 0, VLOOKUP(BL457, 'Price Sheet'!$A$2:$B1015, 2, false))</f>
        <v>0</v>
      </c>
      <c r="BQ457" s="33" t="str">
        <f t="shared" si="20"/>
        <v/>
      </c>
    </row>
    <row r="458">
      <c r="B458" s="19"/>
      <c r="C458" s="29"/>
      <c r="D458" s="29"/>
      <c r="E458" s="7" t="str">
        <f>IF(ISBLANK(D458), "", VLOOKUP(D458,'Crafting Tables'!$A$2:$B1015, 2, false))</f>
        <v/>
      </c>
      <c r="F458" s="7" t="str">
        <f>IFERROR(IF(E458 = "None", 1, VLOOKUP(C458,General!$A$5:$L$35, SWITCH(E458, "Basic", 8, "Advanced", 10, "Modern", 12), false)),"")</f>
        <v/>
      </c>
      <c r="G458" s="29"/>
      <c r="H458" s="7">
        <f>IFERROR(VLOOKUP(C458, General!$A$5:$L$35, 6, false) * G458 / 1000, 0)</f>
        <v>0</v>
      </c>
      <c r="I458" s="29"/>
      <c r="J458" s="22" t="str">
        <f>IFERROR(I458*VLOOKUP(D458,'Crafting Tables'!$1:$1000, 4, false)*F458,"")</f>
        <v/>
      </c>
      <c r="K458" s="29" t="b">
        <v>0</v>
      </c>
      <c r="L458" s="37"/>
      <c r="M458" s="29"/>
      <c r="N458" s="21" t="str">
        <f t="shared" si="2"/>
        <v/>
      </c>
      <c r="P458" s="37"/>
      <c r="Q458" s="29"/>
      <c r="R458" s="29" t="b">
        <v>0</v>
      </c>
      <c r="S458" s="22" t="str">
        <f t="shared" si="3"/>
        <v/>
      </c>
      <c r="T458" s="7">
        <f>IF(ISBLANK(P458), 0, VLOOKUP(P458, 'Price Sheet'!$A$2:$B1015, 2, false))</f>
        <v>0</v>
      </c>
      <c r="U458" s="33" t="str">
        <f t="shared" si="4"/>
        <v/>
      </c>
      <c r="V458" s="37"/>
      <c r="W458" s="29"/>
      <c r="X458" s="29" t="b">
        <v>0</v>
      </c>
      <c r="Y458" s="22" t="str">
        <f t="shared" si="5"/>
        <v/>
      </c>
      <c r="Z458" s="7">
        <f>IF(ISBLANK(V458), 0, VLOOKUP(V458, 'Price Sheet'!$A$2:$B1015, 2, false))</f>
        <v>0</v>
      </c>
      <c r="AA458" s="33" t="str">
        <f t="shared" si="6"/>
        <v/>
      </c>
      <c r="AB458" s="37"/>
      <c r="AC458" s="29"/>
      <c r="AD458" s="29" t="b">
        <v>0</v>
      </c>
      <c r="AE458" s="22" t="str">
        <f t="shared" si="7"/>
        <v/>
      </c>
      <c r="AF458" s="7">
        <f>IF(ISBLANK(AB458), 0, VLOOKUP(AB458, 'Price Sheet'!$A$2:$B1015, 2, false))</f>
        <v>0</v>
      </c>
      <c r="AG458" s="33" t="str">
        <f t="shared" si="8"/>
        <v/>
      </c>
      <c r="AH458" s="37"/>
      <c r="AI458" s="29"/>
      <c r="AJ458" s="29" t="b">
        <v>0</v>
      </c>
      <c r="AK458" s="22" t="str">
        <f t="shared" si="9"/>
        <v/>
      </c>
      <c r="AL458" s="7">
        <f>IF(ISBLANK(AH458), 0, VLOOKUP(AH458, 'Price Sheet'!$A$2:$B1015, 2, false))</f>
        <v>0</v>
      </c>
      <c r="AM458" s="33" t="str">
        <f t="shared" si="10"/>
        <v/>
      </c>
      <c r="AN458" s="37"/>
      <c r="AO458" s="29"/>
      <c r="AP458" s="29" t="b">
        <v>0</v>
      </c>
      <c r="AQ458" s="22" t="str">
        <f t="shared" si="11"/>
        <v/>
      </c>
      <c r="AR458" s="7">
        <f>IF(ISBLANK(AN458), 0, VLOOKUP(AN458, 'Price Sheet'!$A$2:$B1015, 2, false))</f>
        <v>0</v>
      </c>
      <c r="AS458" s="33" t="str">
        <f t="shared" si="12"/>
        <v/>
      </c>
      <c r="AT458" s="37"/>
      <c r="AU458" s="29"/>
      <c r="AV458" s="29" t="b">
        <v>0</v>
      </c>
      <c r="AW458" s="22" t="str">
        <f t="shared" si="13"/>
        <v/>
      </c>
      <c r="AX458" s="7">
        <f>IF(ISBLANK(AT458), 0, VLOOKUP(AT458, 'Price Sheet'!$A$2:$B1015, 2, false))</f>
        <v>0</v>
      </c>
      <c r="AY458" s="33" t="str">
        <f t="shared" si="14"/>
        <v/>
      </c>
      <c r="AZ458" s="37"/>
      <c r="BA458" s="29"/>
      <c r="BB458" s="29" t="b">
        <v>0</v>
      </c>
      <c r="BC458" s="22" t="str">
        <f t="shared" si="15"/>
        <v/>
      </c>
      <c r="BD458" s="7">
        <f>IF(ISBLANK(AZ458), 0, VLOOKUP(AZ458, 'Price Sheet'!$A$2:$B1015, 2, false))</f>
        <v>0</v>
      </c>
      <c r="BE458" s="33" t="str">
        <f t="shared" si="16"/>
        <v/>
      </c>
      <c r="BF458" s="37"/>
      <c r="BG458" s="29"/>
      <c r="BH458" s="29" t="b">
        <v>0</v>
      </c>
      <c r="BI458" s="22" t="str">
        <f t="shared" si="17"/>
        <v/>
      </c>
      <c r="BJ458" s="7">
        <f>IF(ISBLANK(BF458), 0, VLOOKUP(BF458, 'Price Sheet'!$A$2:$B1015, 2, false))</f>
        <v>0</v>
      </c>
      <c r="BK458" s="33" t="str">
        <f t="shared" si="18"/>
        <v/>
      </c>
      <c r="BL458" s="37"/>
      <c r="BM458" s="29"/>
      <c r="BN458" s="29" t="b">
        <v>0</v>
      </c>
      <c r="BO458" s="22" t="str">
        <f t="shared" si="19"/>
        <v/>
      </c>
      <c r="BP458" s="7">
        <f>IF(ISBLANK(BL458), 0, VLOOKUP(BL458, 'Price Sheet'!$A$2:$B1015, 2, false))</f>
        <v>0</v>
      </c>
      <c r="BQ458" s="33" t="str">
        <f t="shared" si="20"/>
        <v/>
      </c>
    </row>
    <row r="459">
      <c r="B459" s="19"/>
      <c r="C459" s="29"/>
      <c r="D459" s="29"/>
      <c r="E459" s="7" t="str">
        <f>IF(ISBLANK(D459), "", VLOOKUP(D459,'Crafting Tables'!$A$2:$B1015, 2, false))</f>
        <v/>
      </c>
      <c r="F459" s="7" t="str">
        <f>IFERROR(IF(E459 = "None", 1, VLOOKUP(C459,General!$A$5:$L$35, SWITCH(E459, "Basic", 8, "Advanced", 10, "Modern", 12), false)),"")</f>
        <v/>
      </c>
      <c r="G459" s="29"/>
      <c r="H459" s="7">
        <f>IFERROR(VLOOKUP(C459, General!$A$5:$L$35, 6, false) * G459 / 1000, 0)</f>
        <v>0</v>
      </c>
      <c r="I459" s="29"/>
      <c r="J459" s="22" t="str">
        <f>IFERROR(I459*VLOOKUP(D459,'Crafting Tables'!$1:$1000, 4, false)*F459,"")</f>
        <v/>
      </c>
      <c r="K459" s="29" t="b">
        <v>0</v>
      </c>
      <c r="L459" s="37"/>
      <c r="M459" s="29"/>
      <c r="N459" s="21" t="str">
        <f t="shared" si="2"/>
        <v/>
      </c>
      <c r="P459" s="37"/>
      <c r="Q459" s="29"/>
      <c r="R459" s="29" t="b">
        <v>0</v>
      </c>
      <c r="S459" s="22" t="str">
        <f t="shared" si="3"/>
        <v/>
      </c>
      <c r="T459" s="7">
        <f>IF(ISBLANK(P459), 0, VLOOKUP(P459, 'Price Sheet'!$A$2:$B1015, 2, false))</f>
        <v>0</v>
      </c>
      <c r="U459" s="33" t="str">
        <f t="shared" si="4"/>
        <v/>
      </c>
      <c r="V459" s="37"/>
      <c r="W459" s="29"/>
      <c r="X459" s="29" t="b">
        <v>0</v>
      </c>
      <c r="Y459" s="22" t="str">
        <f t="shared" si="5"/>
        <v/>
      </c>
      <c r="Z459" s="7">
        <f>IF(ISBLANK(V459), 0, VLOOKUP(V459, 'Price Sheet'!$A$2:$B1015, 2, false))</f>
        <v>0</v>
      </c>
      <c r="AA459" s="33" t="str">
        <f t="shared" si="6"/>
        <v/>
      </c>
      <c r="AB459" s="37"/>
      <c r="AC459" s="29"/>
      <c r="AD459" s="29" t="b">
        <v>0</v>
      </c>
      <c r="AE459" s="22" t="str">
        <f t="shared" si="7"/>
        <v/>
      </c>
      <c r="AF459" s="7">
        <f>IF(ISBLANK(AB459), 0, VLOOKUP(AB459, 'Price Sheet'!$A$2:$B1015, 2, false))</f>
        <v>0</v>
      </c>
      <c r="AG459" s="33" t="str">
        <f t="shared" si="8"/>
        <v/>
      </c>
      <c r="AH459" s="37"/>
      <c r="AI459" s="29"/>
      <c r="AJ459" s="29" t="b">
        <v>0</v>
      </c>
      <c r="AK459" s="22" t="str">
        <f t="shared" si="9"/>
        <v/>
      </c>
      <c r="AL459" s="7">
        <f>IF(ISBLANK(AH459), 0, VLOOKUP(AH459, 'Price Sheet'!$A$2:$B1015, 2, false))</f>
        <v>0</v>
      </c>
      <c r="AM459" s="33" t="str">
        <f t="shared" si="10"/>
        <v/>
      </c>
      <c r="AN459" s="37"/>
      <c r="AO459" s="29"/>
      <c r="AP459" s="29" t="b">
        <v>0</v>
      </c>
      <c r="AQ459" s="22" t="str">
        <f t="shared" si="11"/>
        <v/>
      </c>
      <c r="AR459" s="7">
        <f>IF(ISBLANK(AN459), 0, VLOOKUP(AN459, 'Price Sheet'!$A$2:$B1015, 2, false))</f>
        <v>0</v>
      </c>
      <c r="AS459" s="33" t="str">
        <f t="shared" si="12"/>
        <v/>
      </c>
      <c r="AT459" s="37"/>
      <c r="AU459" s="29"/>
      <c r="AV459" s="29" t="b">
        <v>0</v>
      </c>
      <c r="AW459" s="22" t="str">
        <f t="shared" si="13"/>
        <v/>
      </c>
      <c r="AX459" s="7">
        <f>IF(ISBLANK(AT459), 0, VLOOKUP(AT459, 'Price Sheet'!$A$2:$B1015, 2, false))</f>
        <v>0</v>
      </c>
      <c r="AY459" s="33" t="str">
        <f t="shared" si="14"/>
        <v/>
      </c>
      <c r="AZ459" s="37"/>
      <c r="BA459" s="29"/>
      <c r="BB459" s="29" t="b">
        <v>0</v>
      </c>
      <c r="BC459" s="22" t="str">
        <f t="shared" si="15"/>
        <v/>
      </c>
      <c r="BD459" s="7">
        <f>IF(ISBLANK(AZ459), 0, VLOOKUP(AZ459, 'Price Sheet'!$A$2:$B1015, 2, false))</f>
        <v>0</v>
      </c>
      <c r="BE459" s="33" t="str">
        <f t="shared" si="16"/>
        <v/>
      </c>
      <c r="BF459" s="37"/>
      <c r="BG459" s="29"/>
      <c r="BH459" s="29" t="b">
        <v>0</v>
      </c>
      <c r="BI459" s="22" t="str">
        <f t="shared" si="17"/>
        <v/>
      </c>
      <c r="BJ459" s="7">
        <f>IF(ISBLANK(BF459), 0, VLOOKUP(BF459, 'Price Sheet'!$A$2:$B1015, 2, false))</f>
        <v>0</v>
      </c>
      <c r="BK459" s="33" t="str">
        <f t="shared" si="18"/>
        <v/>
      </c>
      <c r="BL459" s="37"/>
      <c r="BM459" s="29"/>
      <c r="BN459" s="29" t="b">
        <v>0</v>
      </c>
      <c r="BO459" s="22" t="str">
        <f t="shared" si="19"/>
        <v/>
      </c>
      <c r="BP459" s="7">
        <f>IF(ISBLANK(BL459), 0, VLOOKUP(BL459, 'Price Sheet'!$A$2:$B1015, 2, false))</f>
        <v>0</v>
      </c>
      <c r="BQ459" s="33" t="str">
        <f t="shared" si="20"/>
        <v/>
      </c>
    </row>
    <row r="460">
      <c r="B460" s="19"/>
      <c r="C460" s="29"/>
      <c r="D460" s="29"/>
      <c r="E460" s="7" t="str">
        <f>IF(ISBLANK(D460), "", VLOOKUP(D460,'Crafting Tables'!$A$2:$B1015, 2, false))</f>
        <v/>
      </c>
      <c r="F460" s="7" t="str">
        <f>IFERROR(IF(E460 = "None", 1, VLOOKUP(C460,General!$A$5:$L$35, SWITCH(E460, "Basic", 8, "Advanced", 10, "Modern", 12), false)),"")</f>
        <v/>
      </c>
      <c r="G460" s="29"/>
      <c r="H460" s="7">
        <f>IFERROR(VLOOKUP(C460, General!$A$5:$L$35, 6, false) * G460 / 1000, 0)</f>
        <v>0</v>
      </c>
      <c r="I460" s="29"/>
      <c r="J460" s="22" t="str">
        <f>IFERROR(I460*VLOOKUP(D460,'Crafting Tables'!$1:$1000, 4, false)*F460,"")</f>
        <v/>
      </c>
      <c r="K460" s="29" t="b">
        <v>0</v>
      </c>
      <c r="L460" s="37"/>
      <c r="M460" s="29"/>
      <c r="N460" s="21" t="str">
        <f t="shared" si="2"/>
        <v/>
      </c>
      <c r="P460" s="37"/>
      <c r="Q460" s="29"/>
      <c r="R460" s="29" t="b">
        <v>0</v>
      </c>
      <c r="S460" s="22" t="str">
        <f t="shared" si="3"/>
        <v/>
      </c>
      <c r="T460" s="7">
        <f>IF(ISBLANK(P460), 0, VLOOKUP(P460, 'Price Sheet'!$A$2:$B1015, 2, false))</f>
        <v>0</v>
      </c>
      <c r="U460" s="33" t="str">
        <f t="shared" si="4"/>
        <v/>
      </c>
      <c r="V460" s="37"/>
      <c r="W460" s="29"/>
      <c r="X460" s="29" t="b">
        <v>0</v>
      </c>
      <c r="Y460" s="22" t="str">
        <f t="shared" si="5"/>
        <v/>
      </c>
      <c r="Z460" s="7">
        <f>IF(ISBLANK(V460), 0, VLOOKUP(V460, 'Price Sheet'!$A$2:$B1015, 2, false))</f>
        <v>0</v>
      </c>
      <c r="AA460" s="33" t="str">
        <f t="shared" si="6"/>
        <v/>
      </c>
      <c r="AB460" s="37"/>
      <c r="AC460" s="29"/>
      <c r="AD460" s="29" t="b">
        <v>0</v>
      </c>
      <c r="AE460" s="22" t="str">
        <f t="shared" si="7"/>
        <v/>
      </c>
      <c r="AF460" s="7">
        <f>IF(ISBLANK(AB460), 0, VLOOKUP(AB460, 'Price Sheet'!$A$2:$B1015, 2, false))</f>
        <v>0</v>
      </c>
      <c r="AG460" s="33" t="str">
        <f t="shared" si="8"/>
        <v/>
      </c>
      <c r="AH460" s="37"/>
      <c r="AI460" s="29"/>
      <c r="AJ460" s="29" t="b">
        <v>0</v>
      </c>
      <c r="AK460" s="22" t="str">
        <f t="shared" si="9"/>
        <v/>
      </c>
      <c r="AL460" s="7">
        <f>IF(ISBLANK(AH460), 0, VLOOKUP(AH460, 'Price Sheet'!$A$2:$B1015, 2, false))</f>
        <v>0</v>
      </c>
      <c r="AM460" s="33" t="str">
        <f t="shared" si="10"/>
        <v/>
      </c>
      <c r="AN460" s="37"/>
      <c r="AO460" s="29"/>
      <c r="AP460" s="29" t="b">
        <v>0</v>
      </c>
      <c r="AQ460" s="22" t="str">
        <f t="shared" si="11"/>
        <v/>
      </c>
      <c r="AR460" s="7">
        <f>IF(ISBLANK(AN460), 0, VLOOKUP(AN460, 'Price Sheet'!$A$2:$B1015, 2, false))</f>
        <v>0</v>
      </c>
      <c r="AS460" s="33" t="str">
        <f t="shared" si="12"/>
        <v/>
      </c>
      <c r="AT460" s="37"/>
      <c r="AU460" s="29"/>
      <c r="AV460" s="29" t="b">
        <v>0</v>
      </c>
      <c r="AW460" s="22" t="str">
        <f t="shared" si="13"/>
        <v/>
      </c>
      <c r="AX460" s="7">
        <f>IF(ISBLANK(AT460), 0, VLOOKUP(AT460, 'Price Sheet'!$A$2:$B1015, 2, false))</f>
        <v>0</v>
      </c>
      <c r="AY460" s="33" t="str">
        <f t="shared" si="14"/>
        <v/>
      </c>
      <c r="AZ460" s="37"/>
      <c r="BA460" s="29"/>
      <c r="BB460" s="29" t="b">
        <v>0</v>
      </c>
      <c r="BC460" s="22" t="str">
        <f t="shared" si="15"/>
        <v/>
      </c>
      <c r="BD460" s="7">
        <f>IF(ISBLANK(AZ460), 0, VLOOKUP(AZ460, 'Price Sheet'!$A$2:$B1015, 2, false))</f>
        <v>0</v>
      </c>
      <c r="BE460" s="33" t="str">
        <f t="shared" si="16"/>
        <v/>
      </c>
      <c r="BF460" s="37"/>
      <c r="BG460" s="29"/>
      <c r="BH460" s="29" t="b">
        <v>0</v>
      </c>
      <c r="BI460" s="22" t="str">
        <f t="shared" si="17"/>
        <v/>
      </c>
      <c r="BJ460" s="7">
        <f>IF(ISBLANK(BF460), 0, VLOOKUP(BF460, 'Price Sheet'!$A$2:$B1015, 2, false))</f>
        <v>0</v>
      </c>
      <c r="BK460" s="33" t="str">
        <f t="shared" si="18"/>
        <v/>
      </c>
      <c r="BL460" s="37"/>
      <c r="BM460" s="29"/>
      <c r="BN460" s="29" t="b">
        <v>0</v>
      </c>
      <c r="BO460" s="22" t="str">
        <f t="shared" si="19"/>
        <v/>
      </c>
      <c r="BP460" s="7">
        <f>IF(ISBLANK(BL460), 0, VLOOKUP(BL460, 'Price Sheet'!$A$2:$B1015, 2, false))</f>
        <v>0</v>
      </c>
      <c r="BQ460" s="33" t="str">
        <f t="shared" si="20"/>
        <v/>
      </c>
    </row>
    <row r="461">
      <c r="B461" s="19"/>
      <c r="C461" s="29"/>
      <c r="D461" s="29"/>
      <c r="E461" s="7" t="str">
        <f>IF(ISBLANK(D461), "", VLOOKUP(D461,'Crafting Tables'!$A$2:$B1015, 2, false))</f>
        <v/>
      </c>
      <c r="F461" s="7" t="str">
        <f>IFERROR(IF(E461 = "None", 1, VLOOKUP(C461,General!$A$5:$L$35, SWITCH(E461, "Basic", 8, "Advanced", 10, "Modern", 12), false)),"")</f>
        <v/>
      </c>
      <c r="G461" s="29"/>
      <c r="H461" s="7">
        <f>IFERROR(VLOOKUP(C461, General!$A$5:$L$35, 6, false) * G461 / 1000, 0)</f>
        <v>0</v>
      </c>
      <c r="I461" s="29"/>
      <c r="J461" s="22" t="str">
        <f>IFERROR(I461*VLOOKUP(D461,'Crafting Tables'!$1:$1000, 4, false)*F461,"")</f>
        <v/>
      </c>
      <c r="K461" s="29" t="b">
        <v>0</v>
      </c>
      <c r="L461" s="37"/>
      <c r="M461" s="29"/>
      <c r="N461" s="21" t="str">
        <f t="shared" si="2"/>
        <v/>
      </c>
      <c r="P461" s="37"/>
      <c r="Q461" s="29"/>
      <c r="R461" s="29" t="b">
        <v>0</v>
      </c>
      <c r="S461" s="22" t="str">
        <f t="shared" si="3"/>
        <v/>
      </c>
      <c r="T461" s="7">
        <f>IF(ISBLANK(P461), 0, VLOOKUP(P461, 'Price Sheet'!$A$2:$B1015, 2, false))</f>
        <v>0</v>
      </c>
      <c r="U461" s="33" t="str">
        <f t="shared" si="4"/>
        <v/>
      </c>
      <c r="V461" s="37"/>
      <c r="W461" s="29"/>
      <c r="X461" s="29" t="b">
        <v>0</v>
      </c>
      <c r="Y461" s="22" t="str">
        <f t="shared" si="5"/>
        <v/>
      </c>
      <c r="Z461" s="7">
        <f>IF(ISBLANK(V461), 0, VLOOKUP(V461, 'Price Sheet'!$A$2:$B1015, 2, false))</f>
        <v>0</v>
      </c>
      <c r="AA461" s="33" t="str">
        <f t="shared" si="6"/>
        <v/>
      </c>
      <c r="AB461" s="37"/>
      <c r="AC461" s="29"/>
      <c r="AD461" s="29" t="b">
        <v>0</v>
      </c>
      <c r="AE461" s="22" t="str">
        <f t="shared" si="7"/>
        <v/>
      </c>
      <c r="AF461" s="7">
        <f>IF(ISBLANK(AB461), 0, VLOOKUP(AB461, 'Price Sheet'!$A$2:$B1015, 2, false))</f>
        <v>0</v>
      </c>
      <c r="AG461" s="33" t="str">
        <f t="shared" si="8"/>
        <v/>
      </c>
      <c r="AH461" s="37"/>
      <c r="AI461" s="29"/>
      <c r="AJ461" s="29" t="b">
        <v>0</v>
      </c>
      <c r="AK461" s="22" t="str">
        <f t="shared" si="9"/>
        <v/>
      </c>
      <c r="AL461" s="7">
        <f>IF(ISBLANK(AH461), 0, VLOOKUP(AH461, 'Price Sheet'!$A$2:$B1015, 2, false))</f>
        <v>0</v>
      </c>
      <c r="AM461" s="33" t="str">
        <f t="shared" si="10"/>
        <v/>
      </c>
      <c r="AN461" s="37"/>
      <c r="AO461" s="29"/>
      <c r="AP461" s="29" t="b">
        <v>0</v>
      </c>
      <c r="AQ461" s="22" t="str">
        <f t="shared" si="11"/>
        <v/>
      </c>
      <c r="AR461" s="7">
        <f>IF(ISBLANK(AN461), 0, VLOOKUP(AN461, 'Price Sheet'!$A$2:$B1015, 2, false))</f>
        <v>0</v>
      </c>
      <c r="AS461" s="33" t="str">
        <f t="shared" si="12"/>
        <v/>
      </c>
      <c r="AT461" s="37"/>
      <c r="AU461" s="29"/>
      <c r="AV461" s="29" t="b">
        <v>0</v>
      </c>
      <c r="AW461" s="22" t="str">
        <f t="shared" si="13"/>
        <v/>
      </c>
      <c r="AX461" s="7">
        <f>IF(ISBLANK(AT461), 0, VLOOKUP(AT461, 'Price Sheet'!$A$2:$B1015, 2, false))</f>
        <v>0</v>
      </c>
      <c r="AY461" s="33" t="str">
        <f t="shared" si="14"/>
        <v/>
      </c>
      <c r="AZ461" s="37"/>
      <c r="BA461" s="29"/>
      <c r="BB461" s="29" t="b">
        <v>0</v>
      </c>
      <c r="BC461" s="22" t="str">
        <f t="shared" si="15"/>
        <v/>
      </c>
      <c r="BD461" s="7">
        <f>IF(ISBLANK(AZ461), 0, VLOOKUP(AZ461, 'Price Sheet'!$A$2:$B1015, 2, false))</f>
        <v>0</v>
      </c>
      <c r="BE461" s="33" t="str">
        <f t="shared" si="16"/>
        <v/>
      </c>
      <c r="BF461" s="37"/>
      <c r="BG461" s="29"/>
      <c r="BH461" s="29" t="b">
        <v>0</v>
      </c>
      <c r="BI461" s="22" t="str">
        <f t="shared" si="17"/>
        <v/>
      </c>
      <c r="BJ461" s="7">
        <f>IF(ISBLANK(BF461), 0, VLOOKUP(BF461, 'Price Sheet'!$A$2:$B1015, 2, false))</f>
        <v>0</v>
      </c>
      <c r="BK461" s="33" t="str">
        <f t="shared" si="18"/>
        <v/>
      </c>
      <c r="BL461" s="37"/>
      <c r="BM461" s="29"/>
      <c r="BN461" s="29" t="b">
        <v>0</v>
      </c>
      <c r="BO461" s="22" t="str">
        <f t="shared" si="19"/>
        <v/>
      </c>
      <c r="BP461" s="7">
        <f>IF(ISBLANK(BL461), 0, VLOOKUP(BL461, 'Price Sheet'!$A$2:$B1015, 2, false))</f>
        <v>0</v>
      </c>
      <c r="BQ461" s="33" t="str">
        <f t="shared" si="20"/>
        <v/>
      </c>
    </row>
    <row r="462">
      <c r="B462" s="19"/>
      <c r="C462" s="29"/>
      <c r="D462" s="29"/>
      <c r="E462" s="7" t="str">
        <f>IF(ISBLANK(D462), "", VLOOKUP(D462,'Crafting Tables'!$A$2:$B1015, 2, false))</f>
        <v/>
      </c>
      <c r="F462" s="7" t="str">
        <f>IFERROR(IF(E462 = "None", 1, VLOOKUP(C462,General!$A$5:$L$35, SWITCH(E462, "Basic", 8, "Advanced", 10, "Modern", 12), false)),"")</f>
        <v/>
      </c>
      <c r="G462" s="29"/>
      <c r="H462" s="7">
        <f>IFERROR(VLOOKUP(C462, General!$A$5:$L$35, 6, false) * G462 / 1000, 0)</f>
        <v>0</v>
      </c>
      <c r="I462" s="29"/>
      <c r="J462" s="22" t="str">
        <f>IFERROR(I462*VLOOKUP(D462,'Crafting Tables'!$1:$1000, 4, false)*F462,"")</f>
        <v/>
      </c>
      <c r="K462" s="29" t="b">
        <v>0</v>
      </c>
      <c r="L462" s="37"/>
      <c r="M462" s="29"/>
      <c r="N462" s="21" t="str">
        <f t="shared" si="2"/>
        <v/>
      </c>
      <c r="P462" s="37"/>
      <c r="Q462" s="29"/>
      <c r="R462" s="29" t="b">
        <v>0</v>
      </c>
      <c r="S462" s="22" t="str">
        <f t="shared" si="3"/>
        <v/>
      </c>
      <c r="T462" s="7">
        <f>IF(ISBLANK(P462), 0, VLOOKUP(P462, 'Price Sheet'!$A$2:$B1015, 2, false))</f>
        <v>0</v>
      </c>
      <c r="U462" s="33" t="str">
        <f t="shared" si="4"/>
        <v/>
      </c>
      <c r="V462" s="37"/>
      <c r="W462" s="29"/>
      <c r="X462" s="29" t="b">
        <v>0</v>
      </c>
      <c r="Y462" s="22" t="str">
        <f t="shared" si="5"/>
        <v/>
      </c>
      <c r="Z462" s="7">
        <f>IF(ISBLANK(V462), 0, VLOOKUP(V462, 'Price Sheet'!$A$2:$B1015, 2, false))</f>
        <v>0</v>
      </c>
      <c r="AA462" s="33" t="str">
        <f t="shared" si="6"/>
        <v/>
      </c>
      <c r="AB462" s="37"/>
      <c r="AC462" s="29"/>
      <c r="AD462" s="29" t="b">
        <v>0</v>
      </c>
      <c r="AE462" s="22" t="str">
        <f t="shared" si="7"/>
        <v/>
      </c>
      <c r="AF462" s="7">
        <f>IF(ISBLANK(AB462), 0, VLOOKUP(AB462, 'Price Sheet'!$A$2:$B1015, 2, false))</f>
        <v>0</v>
      </c>
      <c r="AG462" s="33" t="str">
        <f t="shared" si="8"/>
        <v/>
      </c>
      <c r="AH462" s="37"/>
      <c r="AI462" s="29"/>
      <c r="AJ462" s="29" t="b">
        <v>0</v>
      </c>
      <c r="AK462" s="22" t="str">
        <f t="shared" si="9"/>
        <v/>
      </c>
      <c r="AL462" s="7">
        <f>IF(ISBLANK(AH462), 0, VLOOKUP(AH462, 'Price Sheet'!$A$2:$B1015, 2, false))</f>
        <v>0</v>
      </c>
      <c r="AM462" s="33" t="str">
        <f t="shared" si="10"/>
        <v/>
      </c>
      <c r="AN462" s="37"/>
      <c r="AO462" s="29"/>
      <c r="AP462" s="29" t="b">
        <v>0</v>
      </c>
      <c r="AQ462" s="22" t="str">
        <f t="shared" si="11"/>
        <v/>
      </c>
      <c r="AR462" s="7">
        <f>IF(ISBLANK(AN462), 0, VLOOKUP(AN462, 'Price Sheet'!$A$2:$B1015, 2, false))</f>
        <v>0</v>
      </c>
      <c r="AS462" s="33" t="str">
        <f t="shared" si="12"/>
        <v/>
      </c>
      <c r="AT462" s="37"/>
      <c r="AU462" s="29"/>
      <c r="AV462" s="29" t="b">
        <v>0</v>
      </c>
      <c r="AW462" s="22" t="str">
        <f t="shared" si="13"/>
        <v/>
      </c>
      <c r="AX462" s="7">
        <f>IF(ISBLANK(AT462), 0, VLOOKUP(AT462, 'Price Sheet'!$A$2:$B1015, 2, false))</f>
        <v>0</v>
      </c>
      <c r="AY462" s="33" t="str">
        <f t="shared" si="14"/>
        <v/>
      </c>
      <c r="AZ462" s="37"/>
      <c r="BA462" s="29"/>
      <c r="BB462" s="29" t="b">
        <v>0</v>
      </c>
      <c r="BC462" s="22" t="str">
        <f t="shared" si="15"/>
        <v/>
      </c>
      <c r="BD462" s="7">
        <f>IF(ISBLANK(AZ462), 0, VLOOKUP(AZ462, 'Price Sheet'!$A$2:$B1015, 2, false))</f>
        <v>0</v>
      </c>
      <c r="BE462" s="33" t="str">
        <f t="shared" si="16"/>
        <v/>
      </c>
      <c r="BF462" s="37"/>
      <c r="BG462" s="29"/>
      <c r="BH462" s="29" t="b">
        <v>0</v>
      </c>
      <c r="BI462" s="22" t="str">
        <f t="shared" si="17"/>
        <v/>
      </c>
      <c r="BJ462" s="7">
        <f>IF(ISBLANK(BF462), 0, VLOOKUP(BF462, 'Price Sheet'!$A$2:$B1015, 2, false))</f>
        <v>0</v>
      </c>
      <c r="BK462" s="33" t="str">
        <f t="shared" si="18"/>
        <v/>
      </c>
      <c r="BL462" s="37"/>
      <c r="BM462" s="29"/>
      <c r="BN462" s="29" t="b">
        <v>0</v>
      </c>
      <c r="BO462" s="22" t="str">
        <f t="shared" si="19"/>
        <v/>
      </c>
      <c r="BP462" s="7">
        <f>IF(ISBLANK(BL462), 0, VLOOKUP(BL462, 'Price Sheet'!$A$2:$B1015, 2, false))</f>
        <v>0</v>
      </c>
      <c r="BQ462" s="33" t="str">
        <f t="shared" si="20"/>
        <v/>
      </c>
    </row>
    <row r="463">
      <c r="B463" s="19"/>
      <c r="C463" s="29"/>
      <c r="D463" s="29"/>
      <c r="E463" s="7" t="str">
        <f>IF(ISBLANK(D463), "", VLOOKUP(D463,'Crafting Tables'!$A$2:$B1015, 2, false))</f>
        <v/>
      </c>
      <c r="F463" s="7" t="str">
        <f>IFERROR(IF(E463 = "None", 1, VLOOKUP(C463,General!$A$5:$L$35, SWITCH(E463, "Basic", 8, "Advanced", 10, "Modern", 12), false)),"")</f>
        <v/>
      </c>
      <c r="G463" s="29"/>
      <c r="H463" s="7">
        <f>IFERROR(VLOOKUP(C463, General!$A$5:$L$35, 6, false) * G463 / 1000, 0)</f>
        <v>0</v>
      </c>
      <c r="I463" s="29"/>
      <c r="J463" s="22" t="str">
        <f>IFERROR(I463*VLOOKUP(D463,'Crafting Tables'!$1:$1000, 4, false)*F463,"")</f>
        <v/>
      </c>
      <c r="K463" s="29" t="b">
        <v>0</v>
      </c>
      <c r="L463" s="37"/>
      <c r="M463" s="29"/>
      <c r="N463" s="21" t="str">
        <f t="shared" si="2"/>
        <v/>
      </c>
      <c r="P463" s="37"/>
      <c r="Q463" s="29"/>
      <c r="R463" s="29" t="b">
        <v>0</v>
      </c>
      <c r="S463" s="22" t="str">
        <f t="shared" si="3"/>
        <v/>
      </c>
      <c r="T463" s="7">
        <f>IF(ISBLANK(P463), 0, VLOOKUP(P463, 'Price Sheet'!$A$2:$B1015, 2, false))</f>
        <v>0</v>
      </c>
      <c r="U463" s="33" t="str">
        <f t="shared" si="4"/>
        <v/>
      </c>
      <c r="V463" s="37"/>
      <c r="W463" s="29"/>
      <c r="X463" s="29" t="b">
        <v>0</v>
      </c>
      <c r="Y463" s="22" t="str">
        <f t="shared" si="5"/>
        <v/>
      </c>
      <c r="Z463" s="7">
        <f>IF(ISBLANK(V463), 0, VLOOKUP(V463, 'Price Sheet'!$A$2:$B1015, 2, false))</f>
        <v>0</v>
      </c>
      <c r="AA463" s="33" t="str">
        <f t="shared" si="6"/>
        <v/>
      </c>
      <c r="AB463" s="37"/>
      <c r="AC463" s="29"/>
      <c r="AD463" s="29" t="b">
        <v>0</v>
      </c>
      <c r="AE463" s="22" t="str">
        <f t="shared" si="7"/>
        <v/>
      </c>
      <c r="AF463" s="7">
        <f>IF(ISBLANK(AB463), 0, VLOOKUP(AB463, 'Price Sheet'!$A$2:$B1015, 2, false))</f>
        <v>0</v>
      </c>
      <c r="AG463" s="33" t="str">
        <f t="shared" si="8"/>
        <v/>
      </c>
      <c r="AH463" s="37"/>
      <c r="AI463" s="29"/>
      <c r="AJ463" s="29" t="b">
        <v>0</v>
      </c>
      <c r="AK463" s="22" t="str">
        <f t="shared" si="9"/>
        <v/>
      </c>
      <c r="AL463" s="7">
        <f>IF(ISBLANK(AH463), 0, VLOOKUP(AH463, 'Price Sheet'!$A$2:$B1015, 2, false))</f>
        <v>0</v>
      </c>
      <c r="AM463" s="33" t="str">
        <f t="shared" si="10"/>
        <v/>
      </c>
      <c r="AN463" s="37"/>
      <c r="AO463" s="29"/>
      <c r="AP463" s="29" t="b">
        <v>0</v>
      </c>
      <c r="AQ463" s="22" t="str">
        <f t="shared" si="11"/>
        <v/>
      </c>
      <c r="AR463" s="7">
        <f>IF(ISBLANK(AN463), 0, VLOOKUP(AN463, 'Price Sheet'!$A$2:$B1015, 2, false))</f>
        <v>0</v>
      </c>
      <c r="AS463" s="33" t="str">
        <f t="shared" si="12"/>
        <v/>
      </c>
      <c r="AT463" s="37"/>
      <c r="AU463" s="29"/>
      <c r="AV463" s="29" t="b">
        <v>0</v>
      </c>
      <c r="AW463" s="22" t="str">
        <f t="shared" si="13"/>
        <v/>
      </c>
      <c r="AX463" s="7">
        <f>IF(ISBLANK(AT463), 0, VLOOKUP(AT463, 'Price Sheet'!$A$2:$B1015, 2, false))</f>
        <v>0</v>
      </c>
      <c r="AY463" s="33" t="str">
        <f t="shared" si="14"/>
        <v/>
      </c>
      <c r="AZ463" s="37"/>
      <c r="BA463" s="29"/>
      <c r="BB463" s="29" t="b">
        <v>0</v>
      </c>
      <c r="BC463" s="22" t="str">
        <f t="shared" si="15"/>
        <v/>
      </c>
      <c r="BD463" s="7">
        <f>IF(ISBLANK(AZ463), 0, VLOOKUP(AZ463, 'Price Sheet'!$A$2:$B1015, 2, false))</f>
        <v>0</v>
      </c>
      <c r="BE463" s="33" t="str">
        <f t="shared" si="16"/>
        <v/>
      </c>
      <c r="BF463" s="37"/>
      <c r="BG463" s="29"/>
      <c r="BH463" s="29" t="b">
        <v>0</v>
      </c>
      <c r="BI463" s="22" t="str">
        <f t="shared" si="17"/>
        <v/>
      </c>
      <c r="BJ463" s="7">
        <f>IF(ISBLANK(BF463), 0, VLOOKUP(BF463, 'Price Sheet'!$A$2:$B1015, 2, false))</f>
        <v>0</v>
      </c>
      <c r="BK463" s="33" t="str">
        <f t="shared" si="18"/>
        <v/>
      </c>
      <c r="BL463" s="37"/>
      <c r="BM463" s="29"/>
      <c r="BN463" s="29" t="b">
        <v>0</v>
      </c>
      <c r="BO463" s="22" t="str">
        <f t="shared" si="19"/>
        <v/>
      </c>
      <c r="BP463" s="7">
        <f>IF(ISBLANK(BL463), 0, VLOOKUP(BL463, 'Price Sheet'!$A$2:$B1015, 2, false))</f>
        <v>0</v>
      </c>
      <c r="BQ463" s="33" t="str">
        <f t="shared" si="20"/>
        <v/>
      </c>
    </row>
    <row r="464">
      <c r="B464" s="19"/>
      <c r="C464" s="29"/>
      <c r="D464" s="29"/>
      <c r="E464" s="7" t="str">
        <f>IF(ISBLANK(D464), "", VLOOKUP(D464,'Crafting Tables'!$A$2:$B1015, 2, false))</f>
        <v/>
      </c>
      <c r="F464" s="7" t="str">
        <f>IFERROR(IF(E464 = "None", 1, VLOOKUP(C464,General!$A$5:$L$35, SWITCH(E464, "Basic", 8, "Advanced", 10, "Modern", 12), false)),"")</f>
        <v/>
      </c>
      <c r="G464" s="29"/>
      <c r="H464" s="7">
        <f>IFERROR(VLOOKUP(C464, General!$A$5:$L$35, 6, false) * G464 / 1000, 0)</f>
        <v>0</v>
      </c>
      <c r="I464" s="29"/>
      <c r="J464" s="22" t="str">
        <f>IFERROR(I464*VLOOKUP(D464,'Crafting Tables'!$1:$1000, 4, false)*F464,"")</f>
        <v/>
      </c>
      <c r="K464" s="29" t="b">
        <v>0</v>
      </c>
      <c r="L464" s="37"/>
      <c r="M464" s="29"/>
      <c r="N464" s="21" t="str">
        <f t="shared" si="2"/>
        <v/>
      </c>
      <c r="P464" s="37"/>
      <c r="Q464" s="29"/>
      <c r="R464" s="29" t="b">
        <v>0</v>
      </c>
      <c r="S464" s="22" t="str">
        <f t="shared" si="3"/>
        <v/>
      </c>
      <c r="T464" s="7">
        <f>IF(ISBLANK(P464), 0, VLOOKUP(P464, 'Price Sheet'!$A$2:$B1015, 2, false))</f>
        <v>0</v>
      </c>
      <c r="U464" s="33" t="str">
        <f t="shared" si="4"/>
        <v/>
      </c>
      <c r="V464" s="37"/>
      <c r="W464" s="29"/>
      <c r="X464" s="29" t="b">
        <v>0</v>
      </c>
      <c r="Y464" s="22" t="str">
        <f t="shared" si="5"/>
        <v/>
      </c>
      <c r="Z464" s="7">
        <f>IF(ISBLANK(V464), 0, VLOOKUP(V464, 'Price Sheet'!$A$2:$B1015, 2, false))</f>
        <v>0</v>
      </c>
      <c r="AA464" s="33" t="str">
        <f t="shared" si="6"/>
        <v/>
      </c>
      <c r="AB464" s="37"/>
      <c r="AC464" s="29"/>
      <c r="AD464" s="29" t="b">
        <v>0</v>
      </c>
      <c r="AE464" s="22" t="str">
        <f t="shared" si="7"/>
        <v/>
      </c>
      <c r="AF464" s="7">
        <f>IF(ISBLANK(AB464), 0, VLOOKUP(AB464, 'Price Sheet'!$A$2:$B1015, 2, false))</f>
        <v>0</v>
      </c>
      <c r="AG464" s="33" t="str">
        <f t="shared" si="8"/>
        <v/>
      </c>
      <c r="AH464" s="37"/>
      <c r="AI464" s="29"/>
      <c r="AJ464" s="29" t="b">
        <v>0</v>
      </c>
      <c r="AK464" s="22" t="str">
        <f t="shared" si="9"/>
        <v/>
      </c>
      <c r="AL464" s="7">
        <f>IF(ISBLANK(AH464), 0, VLOOKUP(AH464, 'Price Sheet'!$A$2:$B1015, 2, false))</f>
        <v>0</v>
      </c>
      <c r="AM464" s="33" t="str">
        <f t="shared" si="10"/>
        <v/>
      </c>
      <c r="AN464" s="37"/>
      <c r="AO464" s="29"/>
      <c r="AP464" s="29" t="b">
        <v>0</v>
      </c>
      <c r="AQ464" s="22" t="str">
        <f t="shared" si="11"/>
        <v/>
      </c>
      <c r="AR464" s="7">
        <f>IF(ISBLANK(AN464), 0, VLOOKUP(AN464, 'Price Sheet'!$A$2:$B1015, 2, false))</f>
        <v>0</v>
      </c>
      <c r="AS464" s="33" t="str">
        <f t="shared" si="12"/>
        <v/>
      </c>
      <c r="AT464" s="37"/>
      <c r="AU464" s="29"/>
      <c r="AV464" s="29" t="b">
        <v>0</v>
      </c>
      <c r="AW464" s="22" t="str">
        <f t="shared" si="13"/>
        <v/>
      </c>
      <c r="AX464" s="7">
        <f>IF(ISBLANK(AT464), 0, VLOOKUP(AT464, 'Price Sheet'!$A$2:$B1015, 2, false))</f>
        <v>0</v>
      </c>
      <c r="AY464" s="33" t="str">
        <f t="shared" si="14"/>
        <v/>
      </c>
      <c r="AZ464" s="37"/>
      <c r="BA464" s="29"/>
      <c r="BB464" s="29" t="b">
        <v>0</v>
      </c>
      <c r="BC464" s="22" t="str">
        <f t="shared" si="15"/>
        <v/>
      </c>
      <c r="BD464" s="7">
        <f>IF(ISBLANK(AZ464), 0, VLOOKUP(AZ464, 'Price Sheet'!$A$2:$B1015, 2, false))</f>
        <v>0</v>
      </c>
      <c r="BE464" s="33" t="str">
        <f t="shared" si="16"/>
        <v/>
      </c>
      <c r="BF464" s="37"/>
      <c r="BG464" s="29"/>
      <c r="BH464" s="29" t="b">
        <v>0</v>
      </c>
      <c r="BI464" s="22" t="str">
        <f t="shared" si="17"/>
        <v/>
      </c>
      <c r="BJ464" s="7">
        <f>IF(ISBLANK(BF464), 0, VLOOKUP(BF464, 'Price Sheet'!$A$2:$B1015, 2, false))</f>
        <v>0</v>
      </c>
      <c r="BK464" s="33" t="str">
        <f t="shared" si="18"/>
        <v/>
      </c>
      <c r="BL464" s="37"/>
      <c r="BM464" s="29"/>
      <c r="BN464" s="29" t="b">
        <v>0</v>
      </c>
      <c r="BO464" s="22" t="str">
        <f t="shared" si="19"/>
        <v/>
      </c>
      <c r="BP464" s="7">
        <f>IF(ISBLANK(BL464), 0, VLOOKUP(BL464, 'Price Sheet'!$A$2:$B1015, 2, false))</f>
        <v>0</v>
      </c>
      <c r="BQ464" s="33" t="str">
        <f t="shared" si="20"/>
        <v/>
      </c>
    </row>
    <row r="465">
      <c r="B465" s="19"/>
      <c r="C465" s="29"/>
      <c r="D465" s="29"/>
      <c r="E465" s="7" t="str">
        <f>IF(ISBLANK(D465), "", VLOOKUP(D465,'Crafting Tables'!$A$2:$B1015, 2, false))</f>
        <v/>
      </c>
      <c r="F465" s="7" t="str">
        <f>IFERROR(IF(E465 = "None", 1, VLOOKUP(C465,General!$A$5:$L$35, SWITCH(E465, "Basic", 8, "Advanced", 10, "Modern", 12), false)),"")</f>
        <v/>
      </c>
      <c r="G465" s="29"/>
      <c r="H465" s="7">
        <f>IFERROR(VLOOKUP(C465, General!$A$5:$L$35, 6, false) * G465 / 1000, 0)</f>
        <v>0</v>
      </c>
      <c r="I465" s="29"/>
      <c r="J465" s="22" t="str">
        <f>IFERROR(I465*VLOOKUP(D465,'Crafting Tables'!$1:$1000, 4, false)*F465,"")</f>
        <v/>
      </c>
      <c r="K465" s="29" t="b">
        <v>0</v>
      </c>
      <c r="L465" s="37"/>
      <c r="M465" s="29"/>
      <c r="N465" s="21" t="str">
        <f t="shared" si="2"/>
        <v/>
      </c>
      <c r="P465" s="37"/>
      <c r="Q465" s="29"/>
      <c r="R465" s="29" t="b">
        <v>0</v>
      </c>
      <c r="S465" s="22" t="str">
        <f t="shared" si="3"/>
        <v/>
      </c>
      <c r="T465" s="7">
        <f>IF(ISBLANK(P465), 0, VLOOKUP(P465, 'Price Sheet'!$A$2:$B1015, 2, false))</f>
        <v>0</v>
      </c>
      <c r="U465" s="33" t="str">
        <f t="shared" si="4"/>
        <v/>
      </c>
      <c r="V465" s="37"/>
      <c r="W465" s="29"/>
      <c r="X465" s="29" t="b">
        <v>0</v>
      </c>
      <c r="Y465" s="22" t="str">
        <f t="shared" si="5"/>
        <v/>
      </c>
      <c r="Z465" s="7">
        <f>IF(ISBLANK(V465), 0, VLOOKUP(V465, 'Price Sheet'!$A$2:$B1015, 2, false))</f>
        <v>0</v>
      </c>
      <c r="AA465" s="33" t="str">
        <f t="shared" si="6"/>
        <v/>
      </c>
      <c r="AB465" s="37"/>
      <c r="AC465" s="29"/>
      <c r="AD465" s="29" t="b">
        <v>0</v>
      </c>
      <c r="AE465" s="22" t="str">
        <f t="shared" si="7"/>
        <v/>
      </c>
      <c r="AF465" s="7">
        <f>IF(ISBLANK(AB465), 0, VLOOKUP(AB465, 'Price Sheet'!$A$2:$B1015, 2, false))</f>
        <v>0</v>
      </c>
      <c r="AG465" s="33" t="str">
        <f t="shared" si="8"/>
        <v/>
      </c>
      <c r="AH465" s="37"/>
      <c r="AI465" s="29"/>
      <c r="AJ465" s="29" t="b">
        <v>0</v>
      </c>
      <c r="AK465" s="22" t="str">
        <f t="shared" si="9"/>
        <v/>
      </c>
      <c r="AL465" s="7">
        <f>IF(ISBLANK(AH465), 0, VLOOKUP(AH465, 'Price Sheet'!$A$2:$B1015, 2, false))</f>
        <v>0</v>
      </c>
      <c r="AM465" s="33" t="str">
        <f t="shared" si="10"/>
        <v/>
      </c>
      <c r="AN465" s="37"/>
      <c r="AO465" s="29"/>
      <c r="AP465" s="29" t="b">
        <v>0</v>
      </c>
      <c r="AQ465" s="22" t="str">
        <f t="shared" si="11"/>
        <v/>
      </c>
      <c r="AR465" s="7">
        <f>IF(ISBLANK(AN465), 0, VLOOKUP(AN465, 'Price Sheet'!$A$2:$B1015, 2, false))</f>
        <v>0</v>
      </c>
      <c r="AS465" s="33" t="str">
        <f t="shared" si="12"/>
        <v/>
      </c>
      <c r="AT465" s="37"/>
      <c r="AU465" s="29"/>
      <c r="AV465" s="29" t="b">
        <v>0</v>
      </c>
      <c r="AW465" s="22" t="str">
        <f t="shared" si="13"/>
        <v/>
      </c>
      <c r="AX465" s="7">
        <f>IF(ISBLANK(AT465), 0, VLOOKUP(AT465, 'Price Sheet'!$A$2:$B1015, 2, false))</f>
        <v>0</v>
      </c>
      <c r="AY465" s="33" t="str">
        <f t="shared" si="14"/>
        <v/>
      </c>
      <c r="AZ465" s="37"/>
      <c r="BA465" s="29"/>
      <c r="BB465" s="29" t="b">
        <v>0</v>
      </c>
      <c r="BC465" s="22" t="str">
        <f t="shared" si="15"/>
        <v/>
      </c>
      <c r="BD465" s="7">
        <f>IF(ISBLANK(AZ465), 0, VLOOKUP(AZ465, 'Price Sheet'!$A$2:$B1015, 2, false))</f>
        <v>0</v>
      </c>
      <c r="BE465" s="33" t="str">
        <f t="shared" si="16"/>
        <v/>
      </c>
      <c r="BF465" s="37"/>
      <c r="BG465" s="29"/>
      <c r="BH465" s="29" t="b">
        <v>0</v>
      </c>
      <c r="BI465" s="22" t="str">
        <f t="shared" si="17"/>
        <v/>
      </c>
      <c r="BJ465" s="7">
        <f>IF(ISBLANK(BF465), 0, VLOOKUP(BF465, 'Price Sheet'!$A$2:$B1015, 2, false))</f>
        <v>0</v>
      </c>
      <c r="BK465" s="33" t="str">
        <f t="shared" si="18"/>
        <v/>
      </c>
      <c r="BL465" s="37"/>
      <c r="BM465" s="29"/>
      <c r="BN465" s="29" t="b">
        <v>0</v>
      </c>
      <c r="BO465" s="22" t="str">
        <f t="shared" si="19"/>
        <v/>
      </c>
      <c r="BP465" s="7">
        <f>IF(ISBLANK(BL465), 0, VLOOKUP(BL465, 'Price Sheet'!$A$2:$B1015, 2, false))</f>
        <v>0</v>
      </c>
      <c r="BQ465" s="33" t="str">
        <f t="shared" si="20"/>
        <v/>
      </c>
    </row>
    <row r="466">
      <c r="B466" s="19"/>
      <c r="C466" s="29"/>
      <c r="D466" s="29"/>
      <c r="E466" s="7" t="str">
        <f>IF(ISBLANK(D466), "", VLOOKUP(D466,'Crafting Tables'!$A$2:$B1015, 2, false))</f>
        <v/>
      </c>
      <c r="F466" s="7" t="str">
        <f>IFERROR(IF(E466 = "None", 1, VLOOKUP(C466,General!$A$5:$L$35, SWITCH(E466, "Basic", 8, "Advanced", 10, "Modern", 12), false)),"")</f>
        <v/>
      </c>
      <c r="G466" s="29"/>
      <c r="H466" s="7">
        <f>IFERROR(VLOOKUP(C466, General!$A$5:$L$35, 6, false) * G466 / 1000, 0)</f>
        <v>0</v>
      </c>
      <c r="I466" s="29"/>
      <c r="J466" s="22" t="str">
        <f>IFERROR(I466*VLOOKUP(D466,'Crafting Tables'!$1:$1000, 4, false)*F466,"")</f>
        <v/>
      </c>
      <c r="K466" s="29" t="b">
        <v>0</v>
      </c>
      <c r="L466" s="37"/>
      <c r="M466" s="29"/>
      <c r="N466" s="21" t="str">
        <f t="shared" si="2"/>
        <v/>
      </c>
      <c r="P466" s="37"/>
      <c r="Q466" s="29"/>
      <c r="R466" s="29" t="b">
        <v>0</v>
      </c>
      <c r="S466" s="22" t="str">
        <f t="shared" si="3"/>
        <v/>
      </c>
      <c r="T466" s="7">
        <f>IF(ISBLANK(P466), 0, VLOOKUP(P466, 'Price Sheet'!$A$2:$B1015, 2, false))</f>
        <v>0</v>
      </c>
      <c r="U466" s="33" t="str">
        <f t="shared" si="4"/>
        <v/>
      </c>
      <c r="V466" s="37"/>
      <c r="W466" s="29"/>
      <c r="X466" s="29" t="b">
        <v>0</v>
      </c>
      <c r="Y466" s="22" t="str">
        <f t="shared" si="5"/>
        <v/>
      </c>
      <c r="Z466" s="7">
        <f>IF(ISBLANK(V466), 0, VLOOKUP(V466, 'Price Sheet'!$A$2:$B1015, 2, false))</f>
        <v>0</v>
      </c>
      <c r="AA466" s="33" t="str">
        <f t="shared" si="6"/>
        <v/>
      </c>
      <c r="AB466" s="37"/>
      <c r="AC466" s="29"/>
      <c r="AD466" s="29" t="b">
        <v>0</v>
      </c>
      <c r="AE466" s="22" t="str">
        <f t="shared" si="7"/>
        <v/>
      </c>
      <c r="AF466" s="7">
        <f>IF(ISBLANK(AB466), 0, VLOOKUP(AB466, 'Price Sheet'!$A$2:$B1015, 2, false))</f>
        <v>0</v>
      </c>
      <c r="AG466" s="33" t="str">
        <f t="shared" si="8"/>
        <v/>
      </c>
      <c r="AH466" s="37"/>
      <c r="AI466" s="29"/>
      <c r="AJ466" s="29" t="b">
        <v>0</v>
      </c>
      <c r="AK466" s="22" t="str">
        <f t="shared" si="9"/>
        <v/>
      </c>
      <c r="AL466" s="7">
        <f>IF(ISBLANK(AH466), 0, VLOOKUP(AH466, 'Price Sheet'!$A$2:$B1015, 2, false))</f>
        <v>0</v>
      </c>
      <c r="AM466" s="33" t="str">
        <f t="shared" si="10"/>
        <v/>
      </c>
      <c r="AN466" s="37"/>
      <c r="AO466" s="29"/>
      <c r="AP466" s="29" t="b">
        <v>0</v>
      </c>
      <c r="AQ466" s="22" t="str">
        <f t="shared" si="11"/>
        <v/>
      </c>
      <c r="AR466" s="7">
        <f>IF(ISBLANK(AN466), 0, VLOOKUP(AN466, 'Price Sheet'!$A$2:$B1015, 2, false))</f>
        <v>0</v>
      </c>
      <c r="AS466" s="33" t="str">
        <f t="shared" si="12"/>
        <v/>
      </c>
      <c r="AT466" s="37"/>
      <c r="AU466" s="29"/>
      <c r="AV466" s="29" t="b">
        <v>0</v>
      </c>
      <c r="AW466" s="22" t="str">
        <f t="shared" si="13"/>
        <v/>
      </c>
      <c r="AX466" s="7">
        <f>IF(ISBLANK(AT466), 0, VLOOKUP(AT466, 'Price Sheet'!$A$2:$B1015, 2, false))</f>
        <v>0</v>
      </c>
      <c r="AY466" s="33" t="str">
        <f t="shared" si="14"/>
        <v/>
      </c>
      <c r="AZ466" s="37"/>
      <c r="BA466" s="29"/>
      <c r="BB466" s="29" t="b">
        <v>0</v>
      </c>
      <c r="BC466" s="22" t="str">
        <f t="shared" si="15"/>
        <v/>
      </c>
      <c r="BD466" s="7">
        <f>IF(ISBLANK(AZ466), 0, VLOOKUP(AZ466, 'Price Sheet'!$A$2:$B1015, 2, false))</f>
        <v>0</v>
      </c>
      <c r="BE466" s="33" t="str">
        <f t="shared" si="16"/>
        <v/>
      </c>
      <c r="BF466" s="37"/>
      <c r="BG466" s="29"/>
      <c r="BH466" s="29" t="b">
        <v>0</v>
      </c>
      <c r="BI466" s="22" t="str">
        <f t="shared" si="17"/>
        <v/>
      </c>
      <c r="BJ466" s="7">
        <f>IF(ISBLANK(BF466), 0, VLOOKUP(BF466, 'Price Sheet'!$A$2:$B1015, 2, false))</f>
        <v>0</v>
      </c>
      <c r="BK466" s="33" t="str">
        <f t="shared" si="18"/>
        <v/>
      </c>
      <c r="BL466" s="37"/>
      <c r="BM466" s="29"/>
      <c r="BN466" s="29" t="b">
        <v>0</v>
      </c>
      <c r="BO466" s="22" t="str">
        <f t="shared" si="19"/>
        <v/>
      </c>
      <c r="BP466" s="7">
        <f>IF(ISBLANK(BL466), 0, VLOOKUP(BL466, 'Price Sheet'!$A$2:$B1015, 2, false))</f>
        <v>0</v>
      </c>
      <c r="BQ466" s="33" t="str">
        <f t="shared" si="20"/>
        <v/>
      </c>
    </row>
    <row r="467">
      <c r="B467" s="19"/>
      <c r="C467" s="29"/>
      <c r="D467" s="29"/>
      <c r="E467" s="7" t="str">
        <f>IF(ISBLANK(D467), "", VLOOKUP(D467,'Crafting Tables'!$A$2:$B1015, 2, false))</f>
        <v/>
      </c>
      <c r="F467" s="7" t="str">
        <f>IFERROR(IF(E467 = "None", 1, VLOOKUP(C467,General!$A$5:$L$35, SWITCH(E467, "Basic", 8, "Advanced", 10, "Modern", 12), false)),"")</f>
        <v/>
      </c>
      <c r="G467" s="29"/>
      <c r="H467" s="7">
        <f>IFERROR(VLOOKUP(C467, General!$A$5:$L$35, 6, false) * G467 / 1000, 0)</f>
        <v>0</v>
      </c>
      <c r="I467" s="29"/>
      <c r="J467" s="22" t="str">
        <f>IFERROR(I467*VLOOKUP(D467,'Crafting Tables'!$1:$1000, 4, false)*F467,"")</f>
        <v/>
      </c>
      <c r="K467" s="29" t="b">
        <v>0</v>
      </c>
      <c r="L467" s="37"/>
      <c r="M467" s="29"/>
      <c r="N467" s="21" t="str">
        <f t="shared" si="2"/>
        <v/>
      </c>
      <c r="P467" s="37"/>
      <c r="Q467" s="29"/>
      <c r="R467" s="29" t="b">
        <v>0</v>
      </c>
      <c r="S467" s="22" t="str">
        <f t="shared" si="3"/>
        <v/>
      </c>
      <c r="T467" s="7">
        <f>IF(ISBLANK(P467), 0, VLOOKUP(P467, 'Price Sheet'!$A$2:$B1015, 2, false))</f>
        <v>0</v>
      </c>
      <c r="U467" s="33" t="str">
        <f t="shared" si="4"/>
        <v/>
      </c>
      <c r="V467" s="37"/>
      <c r="W467" s="29"/>
      <c r="X467" s="29" t="b">
        <v>0</v>
      </c>
      <c r="Y467" s="22" t="str">
        <f t="shared" si="5"/>
        <v/>
      </c>
      <c r="Z467" s="7">
        <f>IF(ISBLANK(V467), 0, VLOOKUP(V467, 'Price Sheet'!$A$2:$B1015, 2, false))</f>
        <v>0</v>
      </c>
      <c r="AA467" s="33" t="str">
        <f t="shared" si="6"/>
        <v/>
      </c>
      <c r="AB467" s="37"/>
      <c r="AC467" s="29"/>
      <c r="AD467" s="29" t="b">
        <v>0</v>
      </c>
      <c r="AE467" s="22" t="str">
        <f t="shared" si="7"/>
        <v/>
      </c>
      <c r="AF467" s="7">
        <f>IF(ISBLANK(AB467), 0, VLOOKUP(AB467, 'Price Sheet'!$A$2:$B1015, 2, false))</f>
        <v>0</v>
      </c>
      <c r="AG467" s="33" t="str">
        <f t="shared" si="8"/>
        <v/>
      </c>
      <c r="AH467" s="37"/>
      <c r="AI467" s="29"/>
      <c r="AJ467" s="29" t="b">
        <v>0</v>
      </c>
      <c r="AK467" s="22" t="str">
        <f t="shared" si="9"/>
        <v/>
      </c>
      <c r="AL467" s="7">
        <f>IF(ISBLANK(AH467), 0, VLOOKUP(AH467, 'Price Sheet'!$A$2:$B1015, 2, false))</f>
        <v>0</v>
      </c>
      <c r="AM467" s="33" t="str">
        <f t="shared" si="10"/>
        <v/>
      </c>
      <c r="AN467" s="37"/>
      <c r="AO467" s="29"/>
      <c r="AP467" s="29" t="b">
        <v>0</v>
      </c>
      <c r="AQ467" s="22" t="str">
        <f t="shared" si="11"/>
        <v/>
      </c>
      <c r="AR467" s="7">
        <f>IF(ISBLANK(AN467), 0, VLOOKUP(AN467, 'Price Sheet'!$A$2:$B1015, 2, false))</f>
        <v>0</v>
      </c>
      <c r="AS467" s="33" t="str">
        <f t="shared" si="12"/>
        <v/>
      </c>
      <c r="AT467" s="37"/>
      <c r="AU467" s="29"/>
      <c r="AV467" s="29" t="b">
        <v>0</v>
      </c>
      <c r="AW467" s="22" t="str">
        <f t="shared" si="13"/>
        <v/>
      </c>
      <c r="AX467" s="7">
        <f>IF(ISBLANK(AT467), 0, VLOOKUP(AT467, 'Price Sheet'!$A$2:$B1015, 2, false))</f>
        <v>0</v>
      </c>
      <c r="AY467" s="33" t="str">
        <f t="shared" si="14"/>
        <v/>
      </c>
      <c r="AZ467" s="37"/>
      <c r="BA467" s="29"/>
      <c r="BB467" s="29" t="b">
        <v>0</v>
      </c>
      <c r="BC467" s="22" t="str">
        <f t="shared" si="15"/>
        <v/>
      </c>
      <c r="BD467" s="7">
        <f>IF(ISBLANK(AZ467), 0, VLOOKUP(AZ467, 'Price Sheet'!$A$2:$B1015, 2, false))</f>
        <v>0</v>
      </c>
      <c r="BE467" s="33" t="str">
        <f t="shared" si="16"/>
        <v/>
      </c>
      <c r="BF467" s="37"/>
      <c r="BG467" s="29"/>
      <c r="BH467" s="29" t="b">
        <v>0</v>
      </c>
      <c r="BI467" s="22" t="str">
        <f t="shared" si="17"/>
        <v/>
      </c>
      <c r="BJ467" s="7">
        <f>IF(ISBLANK(BF467), 0, VLOOKUP(BF467, 'Price Sheet'!$A$2:$B1015, 2, false))</f>
        <v>0</v>
      </c>
      <c r="BK467" s="33" t="str">
        <f t="shared" si="18"/>
        <v/>
      </c>
      <c r="BL467" s="37"/>
      <c r="BM467" s="29"/>
      <c r="BN467" s="29" t="b">
        <v>0</v>
      </c>
      <c r="BO467" s="22" t="str">
        <f t="shared" si="19"/>
        <v/>
      </c>
      <c r="BP467" s="7">
        <f>IF(ISBLANK(BL467), 0, VLOOKUP(BL467, 'Price Sheet'!$A$2:$B1015, 2, false))</f>
        <v>0</v>
      </c>
      <c r="BQ467" s="33" t="str">
        <f t="shared" si="20"/>
        <v/>
      </c>
    </row>
    <row r="468">
      <c r="B468" s="19"/>
      <c r="C468" s="29"/>
      <c r="D468" s="29"/>
      <c r="E468" s="7" t="str">
        <f>IF(ISBLANK(D468), "", VLOOKUP(D468,'Crafting Tables'!$A$2:$B1015, 2, false))</f>
        <v/>
      </c>
      <c r="F468" s="7" t="str">
        <f>IFERROR(IF(E468 = "None", 1, VLOOKUP(C468,General!$A$5:$L$35, SWITCH(E468, "Basic", 8, "Advanced", 10, "Modern", 12), false)),"")</f>
        <v/>
      </c>
      <c r="G468" s="29"/>
      <c r="H468" s="7">
        <f>IFERROR(VLOOKUP(C468, General!$A$5:$L$35, 6, false) * G468 / 1000, 0)</f>
        <v>0</v>
      </c>
      <c r="I468" s="29"/>
      <c r="J468" s="22" t="str">
        <f>IFERROR(I468*VLOOKUP(D468,'Crafting Tables'!$1:$1000, 4, false)*F468,"")</f>
        <v/>
      </c>
      <c r="K468" s="29" t="b">
        <v>0</v>
      </c>
      <c r="L468" s="37"/>
      <c r="M468" s="29"/>
      <c r="N468" s="21" t="str">
        <f t="shared" si="2"/>
        <v/>
      </c>
      <c r="P468" s="37"/>
      <c r="Q468" s="29"/>
      <c r="R468" s="29" t="b">
        <v>0</v>
      </c>
      <c r="S468" s="22" t="str">
        <f t="shared" si="3"/>
        <v/>
      </c>
      <c r="T468" s="7">
        <f>IF(ISBLANK(P468), 0, VLOOKUP(P468, 'Price Sheet'!$A$2:$B1015, 2, false))</f>
        <v>0</v>
      </c>
      <c r="U468" s="33" t="str">
        <f t="shared" si="4"/>
        <v/>
      </c>
      <c r="V468" s="37"/>
      <c r="W468" s="29"/>
      <c r="X468" s="29" t="b">
        <v>0</v>
      </c>
      <c r="Y468" s="22" t="str">
        <f t="shared" si="5"/>
        <v/>
      </c>
      <c r="Z468" s="7">
        <f>IF(ISBLANK(V468), 0, VLOOKUP(V468, 'Price Sheet'!$A$2:$B1015, 2, false))</f>
        <v>0</v>
      </c>
      <c r="AA468" s="33" t="str">
        <f t="shared" si="6"/>
        <v/>
      </c>
      <c r="AB468" s="37"/>
      <c r="AC468" s="29"/>
      <c r="AD468" s="29" t="b">
        <v>0</v>
      </c>
      <c r="AE468" s="22" t="str">
        <f t="shared" si="7"/>
        <v/>
      </c>
      <c r="AF468" s="7">
        <f>IF(ISBLANK(AB468), 0, VLOOKUP(AB468, 'Price Sheet'!$A$2:$B1015, 2, false))</f>
        <v>0</v>
      </c>
      <c r="AG468" s="33" t="str">
        <f t="shared" si="8"/>
        <v/>
      </c>
      <c r="AH468" s="37"/>
      <c r="AI468" s="29"/>
      <c r="AJ468" s="29" t="b">
        <v>0</v>
      </c>
      <c r="AK468" s="22" t="str">
        <f t="shared" si="9"/>
        <v/>
      </c>
      <c r="AL468" s="7">
        <f>IF(ISBLANK(AH468), 0, VLOOKUP(AH468, 'Price Sheet'!$A$2:$B1015, 2, false))</f>
        <v>0</v>
      </c>
      <c r="AM468" s="33" t="str">
        <f t="shared" si="10"/>
        <v/>
      </c>
      <c r="AN468" s="37"/>
      <c r="AO468" s="29"/>
      <c r="AP468" s="29" t="b">
        <v>0</v>
      </c>
      <c r="AQ468" s="22" t="str">
        <f t="shared" si="11"/>
        <v/>
      </c>
      <c r="AR468" s="7">
        <f>IF(ISBLANK(AN468), 0, VLOOKUP(AN468, 'Price Sheet'!$A$2:$B1015, 2, false))</f>
        <v>0</v>
      </c>
      <c r="AS468" s="33" t="str">
        <f t="shared" si="12"/>
        <v/>
      </c>
      <c r="AT468" s="37"/>
      <c r="AU468" s="29"/>
      <c r="AV468" s="29" t="b">
        <v>0</v>
      </c>
      <c r="AW468" s="22" t="str">
        <f t="shared" si="13"/>
        <v/>
      </c>
      <c r="AX468" s="7">
        <f>IF(ISBLANK(AT468), 0, VLOOKUP(AT468, 'Price Sheet'!$A$2:$B1015, 2, false))</f>
        <v>0</v>
      </c>
      <c r="AY468" s="33" t="str">
        <f t="shared" si="14"/>
        <v/>
      </c>
      <c r="AZ468" s="37"/>
      <c r="BA468" s="29"/>
      <c r="BB468" s="29" t="b">
        <v>0</v>
      </c>
      <c r="BC468" s="22" t="str">
        <f t="shared" si="15"/>
        <v/>
      </c>
      <c r="BD468" s="7">
        <f>IF(ISBLANK(AZ468), 0, VLOOKUP(AZ468, 'Price Sheet'!$A$2:$B1015, 2, false))</f>
        <v>0</v>
      </c>
      <c r="BE468" s="33" t="str">
        <f t="shared" si="16"/>
        <v/>
      </c>
      <c r="BF468" s="37"/>
      <c r="BG468" s="29"/>
      <c r="BH468" s="29" t="b">
        <v>0</v>
      </c>
      <c r="BI468" s="22" t="str">
        <f t="shared" si="17"/>
        <v/>
      </c>
      <c r="BJ468" s="7">
        <f>IF(ISBLANK(BF468), 0, VLOOKUP(BF468, 'Price Sheet'!$A$2:$B1015, 2, false))</f>
        <v>0</v>
      </c>
      <c r="BK468" s="33" t="str">
        <f t="shared" si="18"/>
        <v/>
      </c>
      <c r="BL468" s="37"/>
      <c r="BM468" s="29"/>
      <c r="BN468" s="29" t="b">
        <v>0</v>
      </c>
      <c r="BO468" s="22" t="str">
        <f t="shared" si="19"/>
        <v/>
      </c>
      <c r="BP468" s="7">
        <f>IF(ISBLANK(BL468), 0, VLOOKUP(BL468, 'Price Sheet'!$A$2:$B1015, 2, false))</f>
        <v>0</v>
      </c>
      <c r="BQ468" s="33" t="str">
        <f t="shared" si="20"/>
        <v/>
      </c>
    </row>
    <row r="469">
      <c r="B469" s="19"/>
      <c r="C469" s="29"/>
      <c r="D469" s="29"/>
      <c r="E469" s="7" t="str">
        <f>IF(ISBLANK(D469), "", VLOOKUP(D469,'Crafting Tables'!$A$2:$B1015, 2, false))</f>
        <v/>
      </c>
      <c r="F469" s="7" t="str">
        <f>IFERROR(IF(E469 = "None", 1, VLOOKUP(C469,General!$A$5:$L$35, SWITCH(E469, "Basic", 8, "Advanced", 10, "Modern", 12), false)),"")</f>
        <v/>
      </c>
      <c r="G469" s="29"/>
      <c r="H469" s="7">
        <f>IFERROR(VLOOKUP(C469, General!$A$5:$L$35, 6, false) * G469 / 1000, 0)</f>
        <v>0</v>
      </c>
      <c r="I469" s="29"/>
      <c r="J469" s="22" t="str">
        <f>IFERROR(I469*VLOOKUP(D469,'Crafting Tables'!$1:$1000, 4, false)*F469,"")</f>
        <v/>
      </c>
      <c r="K469" s="29" t="b">
        <v>0</v>
      </c>
      <c r="L469" s="37"/>
      <c r="M469" s="29"/>
      <c r="N469" s="21" t="str">
        <f t="shared" si="2"/>
        <v/>
      </c>
      <c r="P469" s="37"/>
      <c r="Q469" s="29"/>
      <c r="R469" s="29" t="b">
        <v>0</v>
      </c>
      <c r="S469" s="22" t="str">
        <f t="shared" si="3"/>
        <v/>
      </c>
      <c r="T469" s="7">
        <f>IF(ISBLANK(P469), 0, VLOOKUP(P469, 'Price Sheet'!$A$2:$B1015, 2, false))</f>
        <v>0</v>
      </c>
      <c r="U469" s="33" t="str">
        <f t="shared" si="4"/>
        <v/>
      </c>
      <c r="V469" s="37"/>
      <c r="W469" s="29"/>
      <c r="X469" s="29" t="b">
        <v>0</v>
      </c>
      <c r="Y469" s="22" t="str">
        <f t="shared" si="5"/>
        <v/>
      </c>
      <c r="Z469" s="7">
        <f>IF(ISBLANK(V469), 0, VLOOKUP(V469, 'Price Sheet'!$A$2:$B1015, 2, false))</f>
        <v>0</v>
      </c>
      <c r="AA469" s="33" t="str">
        <f t="shared" si="6"/>
        <v/>
      </c>
      <c r="AB469" s="37"/>
      <c r="AC469" s="29"/>
      <c r="AD469" s="29" t="b">
        <v>0</v>
      </c>
      <c r="AE469" s="22" t="str">
        <f t="shared" si="7"/>
        <v/>
      </c>
      <c r="AF469" s="7">
        <f>IF(ISBLANK(AB469), 0, VLOOKUP(AB469, 'Price Sheet'!$A$2:$B1015, 2, false))</f>
        <v>0</v>
      </c>
      <c r="AG469" s="33" t="str">
        <f t="shared" si="8"/>
        <v/>
      </c>
      <c r="AH469" s="37"/>
      <c r="AI469" s="29"/>
      <c r="AJ469" s="29" t="b">
        <v>0</v>
      </c>
      <c r="AK469" s="22" t="str">
        <f t="shared" si="9"/>
        <v/>
      </c>
      <c r="AL469" s="7">
        <f>IF(ISBLANK(AH469), 0, VLOOKUP(AH469, 'Price Sheet'!$A$2:$B1015, 2, false))</f>
        <v>0</v>
      </c>
      <c r="AM469" s="33" t="str">
        <f t="shared" si="10"/>
        <v/>
      </c>
      <c r="AN469" s="37"/>
      <c r="AO469" s="29"/>
      <c r="AP469" s="29" t="b">
        <v>0</v>
      </c>
      <c r="AQ469" s="22" t="str">
        <f t="shared" si="11"/>
        <v/>
      </c>
      <c r="AR469" s="7">
        <f>IF(ISBLANK(AN469), 0, VLOOKUP(AN469, 'Price Sheet'!$A$2:$B1015, 2, false))</f>
        <v>0</v>
      </c>
      <c r="AS469" s="33" t="str">
        <f t="shared" si="12"/>
        <v/>
      </c>
      <c r="AT469" s="37"/>
      <c r="AU469" s="29"/>
      <c r="AV469" s="29" t="b">
        <v>0</v>
      </c>
      <c r="AW469" s="22" t="str">
        <f t="shared" si="13"/>
        <v/>
      </c>
      <c r="AX469" s="7">
        <f>IF(ISBLANK(AT469), 0, VLOOKUP(AT469, 'Price Sheet'!$A$2:$B1015, 2, false))</f>
        <v>0</v>
      </c>
      <c r="AY469" s="33" t="str">
        <f t="shared" si="14"/>
        <v/>
      </c>
      <c r="AZ469" s="37"/>
      <c r="BA469" s="29"/>
      <c r="BB469" s="29" t="b">
        <v>0</v>
      </c>
      <c r="BC469" s="22" t="str">
        <f t="shared" si="15"/>
        <v/>
      </c>
      <c r="BD469" s="7">
        <f>IF(ISBLANK(AZ469), 0, VLOOKUP(AZ469, 'Price Sheet'!$A$2:$B1015, 2, false))</f>
        <v>0</v>
      </c>
      <c r="BE469" s="33" t="str">
        <f t="shared" si="16"/>
        <v/>
      </c>
      <c r="BF469" s="37"/>
      <c r="BG469" s="29"/>
      <c r="BH469" s="29" t="b">
        <v>0</v>
      </c>
      <c r="BI469" s="22" t="str">
        <f t="shared" si="17"/>
        <v/>
      </c>
      <c r="BJ469" s="7">
        <f>IF(ISBLANK(BF469), 0, VLOOKUP(BF469, 'Price Sheet'!$A$2:$B1015, 2, false))</f>
        <v>0</v>
      </c>
      <c r="BK469" s="33" t="str">
        <f t="shared" si="18"/>
        <v/>
      </c>
      <c r="BL469" s="37"/>
      <c r="BM469" s="29"/>
      <c r="BN469" s="29" t="b">
        <v>0</v>
      </c>
      <c r="BO469" s="22" t="str">
        <f t="shared" si="19"/>
        <v/>
      </c>
      <c r="BP469" s="7">
        <f>IF(ISBLANK(BL469), 0, VLOOKUP(BL469, 'Price Sheet'!$A$2:$B1015, 2, false))</f>
        <v>0</v>
      </c>
      <c r="BQ469" s="33" t="str">
        <f t="shared" si="20"/>
        <v/>
      </c>
    </row>
    <row r="470">
      <c r="B470" s="19"/>
      <c r="C470" s="29"/>
      <c r="D470" s="29"/>
      <c r="E470" s="7" t="str">
        <f>IF(ISBLANK(D470), "", VLOOKUP(D470,'Crafting Tables'!$A$2:$B1015, 2, false))</f>
        <v/>
      </c>
      <c r="F470" s="7" t="str">
        <f>IFERROR(IF(E470 = "None", 1, VLOOKUP(C470,General!$A$5:$L$35, SWITCH(E470, "Basic", 8, "Advanced", 10, "Modern", 12), false)),"")</f>
        <v/>
      </c>
      <c r="G470" s="29"/>
      <c r="H470" s="7">
        <f>IFERROR(VLOOKUP(C470, General!$A$5:$L$35, 6, false) * G470 / 1000, 0)</f>
        <v>0</v>
      </c>
      <c r="I470" s="29"/>
      <c r="J470" s="22" t="str">
        <f>IFERROR(I470*VLOOKUP(D470,'Crafting Tables'!$1:$1000, 4, false)*F470,"")</f>
        <v/>
      </c>
      <c r="K470" s="29" t="b">
        <v>0</v>
      </c>
      <c r="L470" s="37"/>
      <c r="M470" s="29"/>
      <c r="N470" s="21" t="str">
        <f t="shared" si="2"/>
        <v/>
      </c>
      <c r="P470" s="37"/>
      <c r="Q470" s="29"/>
      <c r="R470" s="29" t="b">
        <v>0</v>
      </c>
      <c r="S470" s="22" t="str">
        <f t="shared" si="3"/>
        <v/>
      </c>
      <c r="T470" s="7">
        <f>IF(ISBLANK(P470), 0, VLOOKUP(P470, 'Price Sheet'!$A$2:$B1015, 2, false))</f>
        <v>0</v>
      </c>
      <c r="U470" s="33" t="str">
        <f t="shared" si="4"/>
        <v/>
      </c>
      <c r="V470" s="37"/>
      <c r="W470" s="29"/>
      <c r="X470" s="29" t="b">
        <v>0</v>
      </c>
      <c r="Y470" s="22" t="str">
        <f t="shared" si="5"/>
        <v/>
      </c>
      <c r="Z470" s="7">
        <f>IF(ISBLANK(V470), 0, VLOOKUP(V470, 'Price Sheet'!$A$2:$B1015, 2, false))</f>
        <v>0</v>
      </c>
      <c r="AA470" s="33" t="str">
        <f t="shared" si="6"/>
        <v/>
      </c>
      <c r="AB470" s="37"/>
      <c r="AC470" s="29"/>
      <c r="AD470" s="29" t="b">
        <v>0</v>
      </c>
      <c r="AE470" s="22" t="str">
        <f t="shared" si="7"/>
        <v/>
      </c>
      <c r="AF470" s="7">
        <f>IF(ISBLANK(AB470), 0, VLOOKUP(AB470, 'Price Sheet'!$A$2:$B1015, 2, false))</f>
        <v>0</v>
      </c>
      <c r="AG470" s="33" t="str">
        <f t="shared" si="8"/>
        <v/>
      </c>
      <c r="AH470" s="37"/>
      <c r="AI470" s="29"/>
      <c r="AJ470" s="29" t="b">
        <v>0</v>
      </c>
      <c r="AK470" s="22" t="str">
        <f t="shared" si="9"/>
        <v/>
      </c>
      <c r="AL470" s="7">
        <f>IF(ISBLANK(AH470), 0, VLOOKUP(AH470, 'Price Sheet'!$A$2:$B1015, 2, false))</f>
        <v>0</v>
      </c>
      <c r="AM470" s="33" t="str">
        <f t="shared" si="10"/>
        <v/>
      </c>
      <c r="AN470" s="37"/>
      <c r="AO470" s="29"/>
      <c r="AP470" s="29" t="b">
        <v>0</v>
      </c>
      <c r="AQ470" s="22" t="str">
        <f t="shared" si="11"/>
        <v/>
      </c>
      <c r="AR470" s="7">
        <f>IF(ISBLANK(AN470), 0, VLOOKUP(AN470, 'Price Sheet'!$A$2:$B1015, 2, false))</f>
        <v>0</v>
      </c>
      <c r="AS470" s="33" t="str">
        <f t="shared" si="12"/>
        <v/>
      </c>
      <c r="AT470" s="37"/>
      <c r="AU470" s="29"/>
      <c r="AV470" s="29" t="b">
        <v>0</v>
      </c>
      <c r="AW470" s="22" t="str">
        <f t="shared" si="13"/>
        <v/>
      </c>
      <c r="AX470" s="7">
        <f>IF(ISBLANK(AT470), 0, VLOOKUP(AT470, 'Price Sheet'!$A$2:$B1015, 2, false))</f>
        <v>0</v>
      </c>
      <c r="AY470" s="33" t="str">
        <f t="shared" si="14"/>
        <v/>
      </c>
      <c r="AZ470" s="37"/>
      <c r="BA470" s="29"/>
      <c r="BB470" s="29" t="b">
        <v>0</v>
      </c>
      <c r="BC470" s="22" t="str">
        <f t="shared" si="15"/>
        <v/>
      </c>
      <c r="BD470" s="7">
        <f>IF(ISBLANK(AZ470), 0, VLOOKUP(AZ470, 'Price Sheet'!$A$2:$B1015, 2, false))</f>
        <v>0</v>
      </c>
      <c r="BE470" s="33" t="str">
        <f t="shared" si="16"/>
        <v/>
      </c>
      <c r="BF470" s="37"/>
      <c r="BG470" s="29"/>
      <c r="BH470" s="29" t="b">
        <v>0</v>
      </c>
      <c r="BI470" s="22" t="str">
        <f t="shared" si="17"/>
        <v/>
      </c>
      <c r="BJ470" s="7">
        <f>IF(ISBLANK(BF470), 0, VLOOKUP(BF470, 'Price Sheet'!$A$2:$B1015, 2, false))</f>
        <v>0</v>
      </c>
      <c r="BK470" s="33" t="str">
        <f t="shared" si="18"/>
        <v/>
      </c>
      <c r="BL470" s="37"/>
      <c r="BM470" s="29"/>
      <c r="BN470" s="29" t="b">
        <v>0</v>
      </c>
      <c r="BO470" s="22" t="str">
        <f t="shared" si="19"/>
        <v/>
      </c>
      <c r="BP470" s="7">
        <f>IF(ISBLANK(BL470), 0, VLOOKUP(BL470, 'Price Sheet'!$A$2:$B1015, 2, false))</f>
        <v>0</v>
      </c>
      <c r="BQ470" s="33" t="str">
        <f t="shared" si="20"/>
        <v/>
      </c>
    </row>
    <row r="471">
      <c r="B471" s="19"/>
      <c r="C471" s="29"/>
      <c r="D471" s="29"/>
      <c r="E471" s="7" t="str">
        <f>IF(ISBLANK(D471), "", VLOOKUP(D471,'Crafting Tables'!$A$2:$B1015, 2, false))</f>
        <v/>
      </c>
      <c r="F471" s="7" t="str">
        <f>IFERROR(IF(E471 = "None", 1, VLOOKUP(C471,General!$A$5:$L$35, SWITCH(E471, "Basic", 8, "Advanced", 10, "Modern", 12), false)),"")</f>
        <v/>
      </c>
      <c r="G471" s="29"/>
      <c r="H471" s="7">
        <f>IFERROR(VLOOKUP(C471, General!$A$5:$L$35, 6, false) * G471 / 1000, 0)</f>
        <v>0</v>
      </c>
      <c r="I471" s="29"/>
      <c r="J471" s="22" t="str">
        <f>IFERROR(I471*VLOOKUP(D471,'Crafting Tables'!$1:$1000, 4, false)*F471,"")</f>
        <v/>
      </c>
      <c r="K471" s="29" t="b">
        <v>0</v>
      </c>
      <c r="L471" s="37"/>
      <c r="M471" s="29"/>
      <c r="N471" s="21" t="str">
        <f t="shared" si="2"/>
        <v/>
      </c>
      <c r="P471" s="37"/>
      <c r="Q471" s="29"/>
      <c r="R471" s="29" t="b">
        <v>0</v>
      </c>
      <c r="S471" s="22" t="str">
        <f t="shared" si="3"/>
        <v/>
      </c>
      <c r="T471" s="7">
        <f>IF(ISBLANK(P471), 0, VLOOKUP(P471, 'Price Sheet'!$A$2:$B1015, 2, false))</f>
        <v>0</v>
      </c>
      <c r="U471" s="33" t="str">
        <f t="shared" si="4"/>
        <v/>
      </c>
      <c r="V471" s="37"/>
      <c r="W471" s="29"/>
      <c r="X471" s="29" t="b">
        <v>0</v>
      </c>
      <c r="Y471" s="22" t="str">
        <f t="shared" si="5"/>
        <v/>
      </c>
      <c r="Z471" s="7">
        <f>IF(ISBLANK(V471), 0, VLOOKUP(V471, 'Price Sheet'!$A$2:$B1015, 2, false))</f>
        <v>0</v>
      </c>
      <c r="AA471" s="33" t="str">
        <f t="shared" si="6"/>
        <v/>
      </c>
      <c r="AB471" s="37"/>
      <c r="AC471" s="29"/>
      <c r="AD471" s="29" t="b">
        <v>0</v>
      </c>
      <c r="AE471" s="22" t="str">
        <f t="shared" si="7"/>
        <v/>
      </c>
      <c r="AF471" s="7">
        <f>IF(ISBLANK(AB471), 0, VLOOKUP(AB471, 'Price Sheet'!$A$2:$B1015, 2, false))</f>
        <v>0</v>
      </c>
      <c r="AG471" s="33" t="str">
        <f t="shared" si="8"/>
        <v/>
      </c>
      <c r="AH471" s="37"/>
      <c r="AI471" s="29"/>
      <c r="AJ471" s="29" t="b">
        <v>0</v>
      </c>
      <c r="AK471" s="22" t="str">
        <f t="shared" si="9"/>
        <v/>
      </c>
      <c r="AL471" s="7">
        <f>IF(ISBLANK(AH471), 0, VLOOKUP(AH471, 'Price Sheet'!$A$2:$B1015, 2, false))</f>
        <v>0</v>
      </c>
      <c r="AM471" s="33" t="str">
        <f t="shared" si="10"/>
        <v/>
      </c>
      <c r="AN471" s="37"/>
      <c r="AO471" s="29"/>
      <c r="AP471" s="29" t="b">
        <v>0</v>
      </c>
      <c r="AQ471" s="22" t="str">
        <f t="shared" si="11"/>
        <v/>
      </c>
      <c r="AR471" s="7">
        <f>IF(ISBLANK(AN471), 0, VLOOKUP(AN471, 'Price Sheet'!$A$2:$B1015, 2, false))</f>
        <v>0</v>
      </c>
      <c r="AS471" s="33" t="str">
        <f t="shared" si="12"/>
        <v/>
      </c>
      <c r="AT471" s="37"/>
      <c r="AU471" s="29"/>
      <c r="AV471" s="29" t="b">
        <v>0</v>
      </c>
      <c r="AW471" s="22" t="str">
        <f t="shared" si="13"/>
        <v/>
      </c>
      <c r="AX471" s="7">
        <f>IF(ISBLANK(AT471), 0, VLOOKUP(AT471, 'Price Sheet'!$A$2:$B1015, 2, false))</f>
        <v>0</v>
      </c>
      <c r="AY471" s="33" t="str">
        <f t="shared" si="14"/>
        <v/>
      </c>
      <c r="AZ471" s="37"/>
      <c r="BA471" s="29"/>
      <c r="BB471" s="29" t="b">
        <v>0</v>
      </c>
      <c r="BC471" s="22" t="str">
        <f t="shared" si="15"/>
        <v/>
      </c>
      <c r="BD471" s="7">
        <f>IF(ISBLANK(AZ471), 0, VLOOKUP(AZ471, 'Price Sheet'!$A$2:$B1015, 2, false))</f>
        <v>0</v>
      </c>
      <c r="BE471" s="33" t="str">
        <f t="shared" si="16"/>
        <v/>
      </c>
      <c r="BF471" s="37"/>
      <c r="BG471" s="29"/>
      <c r="BH471" s="29" t="b">
        <v>0</v>
      </c>
      <c r="BI471" s="22" t="str">
        <f t="shared" si="17"/>
        <v/>
      </c>
      <c r="BJ471" s="7">
        <f>IF(ISBLANK(BF471), 0, VLOOKUP(BF471, 'Price Sheet'!$A$2:$B1015, 2, false))</f>
        <v>0</v>
      </c>
      <c r="BK471" s="33" t="str">
        <f t="shared" si="18"/>
        <v/>
      </c>
      <c r="BL471" s="37"/>
      <c r="BM471" s="29"/>
      <c r="BN471" s="29" t="b">
        <v>0</v>
      </c>
      <c r="BO471" s="22" t="str">
        <f t="shared" si="19"/>
        <v/>
      </c>
      <c r="BP471" s="7">
        <f>IF(ISBLANK(BL471), 0, VLOOKUP(BL471, 'Price Sheet'!$A$2:$B1015, 2, false))</f>
        <v>0</v>
      </c>
      <c r="BQ471" s="33" t="str">
        <f t="shared" si="20"/>
        <v/>
      </c>
    </row>
    <row r="472">
      <c r="B472" s="19"/>
      <c r="C472" s="29"/>
      <c r="D472" s="29"/>
      <c r="E472" s="7" t="str">
        <f>IF(ISBLANK(D472), "", VLOOKUP(D472,'Crafting Tables'!$A$2:$B1015, 2, false))</f>
        <v/>
      </c>
      <c r="F472" s="7" t="str">
        <f>IFERROR(IF(E472 = "None", 1, VLOOKUP(C472,General!$A$5:$L$35, SWITCH(E472, "Basic", 8, "Advanced", 10, "Modern", 12), false)),"")</f>
        <v/>
      </c>
      <c r="G472" s="29"/>
      <c r="H472" s="7">
        <f>IFERROR(VLOOKUP(C472, General!$A$5:$L$35, 6, false) * G472 / 1000, 0)</f>
        <v>0</v>
      </c>
      <c r="I472" s="29"/>
      <c r="J472" s="22" t="str">
        <f>IFERROR(I472*VLOOKUP(D472,'Crafting Tables'!$1:$1000, 4, false)*F472,"")</f>
        <v/>
      </c>
      <c r="K472" s="29" t="b">
        <v>0</v>
      </c>
      <c r="L472" s="37"/>
      <c r="M472" s="29"/>
      <c r="N472" s="21" t="str">
        <f t="shared" si="2"/>
        <v/>
      </c>
      <c r="P472" s="37"/>
      <c r="Q472" s="29"/>
      <c r="R472" s="29" t="b">
        <v>0</v>
      </c>
      <c r="S472" s="22" t="str">
        <f t="shared" si="3"/>
        <v/>
      </c>
      <c r="T472" s="7">
        <f>IF(ISBLANK(P472), 0, VLOOKUP(P472, 'Price Sheet'!$A$2:$B1015, 2, false))</f>
        <v>0</v>
      </c>
      <c r="U472" s="33" t="str">
        <f t="shared" si="4"/>
        <v/>
      </c>
      <c r="V472" s="37"/>
      <c r="W472" s="29"/>
      <c r="X472" s="29" t="b">
        <v>0</v>
      </c>
      <c r="Y472" s="22" t="str">
        <f t="shared" si="5"/>
        <v/>
      </c>
      <c r="Z472" s="7">
        <f>IF(ISBLANK(V472), 0, VLOOKUP(V472, 'Price Sheet'!$A$2:$B1015, 2, false))</f>
        <v>0</v>
      </c>
      <c r="AA472" s="33" t="str">
        <f t="shared" si="6"/>
        <v/>
      </c>
      <c r="AB472" s="37"/>
      <c r="AC472" s="29"/>
      <c r="AD472" s="29" t="b">
        <v>0</v>
      </c>
      <c r="AE472" s="22" t="str">
        <f t="shared" si="7"/>
        <v/>
      </c>
      <c r="AF472" s="7">
        <f>IF(ISBLANK(AB472), 0, VLOOKUP(AB472, 'Price Sheet'!$A$2:$B1015, 2, false))</f>
        <v>0</v>
      </c>
      <c r="AG472" s="33" t="str">
        <f t="shared" si="8"/>
        <v/>
      </c>
      <c r="AH472" s="37"/>
      <c r="AI472" s="29"/>
      <c r="AJ472" s="29" t="b">
        <v>0</v>
      </c>
      <c r="AK472" s="22" t="str">
        <f t="shared" si="9"/>
        <v/>
      </c>
      <c r="AL472" s="7">
        <f>IF(ISBLANK(AH472), 0, VLOOKUP(AH472, 'Price Sheet'!$A$2:$B1015, 2, false))</f>
        <v>0</v>
      </c>
      <c r="AM472" s="33" t="str">
        <f t="shared" si="10"/>
        <v/>
      </c>
      <c r="AN472" s="37"/>
      <c r="AO472" s="29"/>
      <c r="AP472" s="29" t="b">
        <v>0</v>
      </c>
      <c r="AQ472" s="22" t="str">
        <f t="shared" si="11"/>
        <v/>
      </c>
      <c r="AR472" s="7">
        <f>IF(ISBLANK(AN472), 0, VLOOKUP(AN472, 'Price Sheet'!$A$2:$B1015, 2, false))</f>
        <v>0</v>
      </c>
      <c r="AS472" s="33" t="str">
        <f t="shared" si="12"/>
        <v/>
      </c>
      <c r="AT472" s="37"/>
      <c r="AU472" s="29"/>
      <c r="AV472" s="29" t="b">
        <v>0</v>
      </c>
      <c r="AW472" s="22" t="str">
        <f t="shared" si="13"/>
        <v/>
      </c>
      <c r="AX472" s="7">
        <f>IF(ISBLANK(AT472), 0, VLOOKUP(AT472, 'Price Sheet'!$A$2:$B1015, 2, false))</f>
        <v>0</v>
      </c>
      <c r="AY472" s="33" t="str">
        <f t="shared" si="14"/>
        <v/>
      </c>
      <c r="AZ472" s="37"/>
      <c r="BA472" s="29"/>
      <c r="BB472" s="29" t="b">
        <v>0</v>
      </c>
      <c r="BC472" s="22" t="str">
        <f t="shared" si="15"/>
        <v/>
      </c>
      <c r="BD472" s="7">
        <f>IF(ISBLANK(AZ472), 0, VLOOKUP(AZ472, 'Price Sheet'!$A$2:$B1015, 2, false))</f>
        <v>0</v>
      </c>
      <c r="BE472" s="33" t="str">
        <f t="shared" si="16"/>
        <v/>
      </c>
      <c r="BF472" s="37"/>
      <c r="BG472" s="29"/>
      <c r="BH472" s="29" t="b">
        <v>0</v>
      </c>
      <c r="BI472" s="22" t="str">
        <f t="shared" si="17"/>
        <v/>
      </c>
      <c r="BJ472" s="7">
        <f>IF(ISBLANK(BF472), 0, VLOOKUP(BF472, 'Price Sheet'!$A$2:$B1015, 2, false))</f>
        <v>0</v>
      </c>
      <c r="BK472" s="33" t="str">
        <f t="shared" si="18"/>
        <v/>
      </c>
      <c r="BL472" s="37"/>
      <c r="BM472" s="29"/>
      <c r="BN472" s="29" t="b">
        <v>0</v>
      </c>
      <c r="BO472" s="22" t="str">
        <f t="shared" si="19"/>
        <v/>
      </c>
      <c r="BP472" s="7">
        <f>IF(ISBLANK(BL472), 0, VLOOKUP(BL472, 'Price Sheet'!$A$2:$B1015, 2, false))</f>
        <v>0</v>
      </c>
      <c r="BQ472" s="33" t="str">
        <f t="shared" si="20"/>
        <v/>
      </c>
    </row>
    <row r="473">
      <c r="B473" s="19"/>
      <c r="C473" s="29"/>
      <c r="D473" s="29"/>
      <c r="E473" s="7" t="str">
        <f>IF(ISBLANK(D473), "", VLOOKUP(D473,'Crafting Tables'!$A$2:$B1015, 2, false))</f>
        <v/>
      </c>
      <c r="F473" s="7" t="str">
        <f>IFERROR(IF(E473 = "None", 1, VLOOKUP(C473,General!$A$5:$L$35, SWITCH(E473, "Basic", 8, "Advanced", 10, "Modern", 12), false)),"")</f>
        <v/>
      </c>
      <c r="G473" s="29"/>
      <c r="H473" s="7">
        <f>IFERROR(VLOOKUP(C473, General!$A$5:$L$35, 6, false) * G473 / 1000, 0)</f>
        <v>0</v>
      </c>
      <c r="I473" s="29"/>
      <c r="J473" s="22" t="str">
        <f>IFERROR(I473*VLOOKUP(D473,'Crafting Tables'!$1:$1000, 4, false)*F473,"")</f>
        <v/>
      </c>
      <c r="K473" s="29" t="b">
        <v>0</v>
      </c>
      <c r="L473" s="37"/>
      <c r="M473" s="29"/>
      <c r="N473" s="21" t="str">
        <f t="shared" si="2"/>
        <v/>
      </c>
      <c r="P473" s="37"/>
      <c r="Q473" s="29"/>
      <c r="R473" s="29" t="b">
        <v>0</v>
      </c>
      <c r="S473" s="22" t="str">
        <f t="shared" si="3"/>
        <v/>
      </c>
      <c r="T473" s="7">
        <f>IF(ISBLANK(P473), 0, VLOOKUP(P473, 'Price Sheet'!$A$2:$B1015, 2, false))</f>
        <v>0</v>
      </c>
      <c r="U473" s="33" t="str">
        <f t="shared" si="4"/>
        <v/>
      </c>
      <c r="V473" s="37"/>
      <c r="W473" s="29"/>
      <c r="X473" s="29" t="b">
        <v>0</v>
      </c>
      <c r="Y473" s="22" t="str">
        <f t="shared" si="5"/>
        <v/>
      </c>
      <c r="Z473" s="7">
        <f>IF(ISBLANK(V473), 0, VLOOKUP(V473, 'Price Sheet'!$A$2:$B1015, 2, false))</f>
        <v>0</v>
      </c>
      <c r="AA473" s="33" t="str">
        <f t="shared" si="6"/>
        <v/>
      </c>
      <c r="AB473" s="37"/>
      <c r="AC473" s="29"/>
      <c r="AD473" s="29" t="b">
        <v>0</v>
      </c>
      <c r="AE473" s="22" t="str">
        <f t="shared" si="7"/>
        <v/>
      </c>
      <c r="AF473" s="7">
        <f>IF(ISBLANK(AB473), 0, VLOOKUP(AB473, 'Price Sheet'!$A$2:$B1015, 2, false))</f>
        <v>0</v>
      </c>
      <c r="AG473" s="33" t="str">
        <f t="shared" si="8"/>
        <v/>
      </c>
      <c r="AH473" s="37"/>
      <c r="AI473" s="29"/>
      <c r="AJ473" s="29" t="b">
        <v>0</v>
      </c>
      <c r="AK473" s="22" t="str">
        <f t="shared" si="9"/>
        <v/>
      </c>
      <c r="AL473" s="7">
        <f>IF(ISBLANK(AH473), 0, VLOOKUP(AH473, 'Price Sheet'!$A$2:$B1015, 2, false))</f>
        <v>0</v>
      </c>
      <c r="AM473" s="33" t="str">
        <f t="shared" si="10"/>
        <v/>
      </c>
      <c r="AN473" s="37"/>
      <c r="AO473" s="29"/>
      <c r="AP473" s="29" t="b">
        <v>0</v>
      </c>
      <c r="AQ473" s="22" t="str">
        <f t="shared" si="11"/>
        <v/>
      </c>
      <c r="AR473" s="7">
        <f>IF(ISBLANK(AN473), 0, VLOOKUP(AN473, 'Price Sheet'!$A$2:$B1015, 2, false))</f>
        <v>0</v>
      </c>
      <c r="AS473" s="33" t="str">
        <f t="shared" si="12"/>
        <v/>
      </c>
      <c r="AT473" s="37"/>
      <c r="AU473" s="29"/>
      <c r="AV473" s="29" t="b">
        <v>0</v>
      </c>
      <c r="AW473" s="22" t="str">
        <f t="shared" si="13"/>
        <v/>
      </c>
      <c r="AX473" s="7">
        <f>IF(ISBLANK(AT473), 0, VLOOKUP(AT473, 'Price Sheet'!$A$2:$B1015, 2, false))</f>
        <v>0</v>
      </c>
      <c r="AY473" s="33" t="str">
        <f t="shared" si="14"/>
        <v/>
      </c>
      <c r="AZ473" s="37"/>
      <c r="BA473" s="29"/>
      <c r="BB473" s="29" t="b">
        <v>0</v>
      </c>
      <c r="BC473" s="22" t="str">
        <f t="shared" si="15"/>
        <v/>
      </c>
      <c r="BD473" s="7">
        <f>IF(ISBLANK(AZ473), 0, VLOOKUP(AZ473, 'Price Sheet'!$A$2:$B1015, 2, false))</f>
        <v>0</v>
      </c>
      <c r="BE473" s="33" t="str">
        <f t="shared" si="16"/>
        <v/>
      </c>
      <c r="BF473" s="37"/>
      <c r="BG473" s="29"/>
      <c r="BH473" s="29" t="b">
        <v>0</v>
      </c>
      <c r="BI473" s="22" t="str">
        <f t="shared" si="17"/>
        <v/>
      </c>
      <c r="BJ473" s="7">
        <f>IF(ISBLANK(BF473), 0, VLOOKUP(BF473, 'Price Sheet'!$A$2:$B1015, 2, false))</f>
        <v>0</v>
      </c>
      <c r="BK473" s="33" t="str">
        <f t="shared" si="18"/>
        <v/>
      </c>
      <c r="BL473" s="37"/>
      <c r="BM473" s="29"/>
      <c r="BN473" s="29" t="b">
        <v>0</v>
      </c>
      <c r="BO473" s="22" t="str">
        <f t="shared" si="19"/>
        <v/>
      </c>
      <c r="BP473" s="7">
        <f>IF(ISBLANK(BL473), 0, VLOOKUP(BL473, 'Price Sheet'!$A$2:$B1015, 2, false))</f>
        <v>0</v>
      </c>
      <c r="BQ473" s="33" t="str">
        <f t="shared" si="20"/>
        <v/>
      </c>
    </row>
    <row r="474">
      <c r="B474" s="19"/>
      <c r="C474" s="29"/>
      <c r="D474" s="29"/>
      <c r="E474" s="7" t="str">
        <f>IF(ISBLANK(D474), "", VLOOKUP(D474,'Crafting Tables'!$A$2:$B1015, 2, false))</f>
        <v/>
      </c>
      <c r="F474" s="7" t="str">
        <f>IFERROR(IF(E474 = "None", 1, VLOOKUP(C474,General!$A$5:$L$35, SWITCH(E474, "Basic", 8, "Advanced", 10, "Modern", 12), false)),"")</f>
        <v/>
      </c>
      <c r="G474" s="29"/>
      <c r="H474" s="7">
        <f>IFERROR(VLOOKUP(C474, General!$A$5:$L$35, 6, false) * G474 / 1000, 0)</f>
        <v>0</v>
      </c>
      <c r="I474" s="29"/>
      <c r="J474" s="22" t="str">
        <f>IFERROR(I474*VLOOKUP(D474,'Crafting Tables'!$1:$1000, 4, false)*F474,"")</f>
        <v/>
      </c>
      <c r="K474" s="29" t="b">
        <v>0</v>
      </c>
      <c r="L474" s="37"/>
      <c r="M474" s="29"/>
      <c r="N474" s="21" t="str">
        <f t="shared" si="2"/>
        <v/>
      </c>
      <c r="P474" s="37"/>
      <c r="Q474" s="29"/>
      <c r="R474" s="29" t="b">
        <v>0</v>
      </c>
      <c r="S474" s="22" t="str">
        <f t="shared" si="3"/>
        <v/>
      </c>
      <c r="T474" s="7">
        <f>IF(ISBLANK(P474), 0, VLOOKUP(P474, 'Price Sheet'!$A$2:$B1015, 2, false))</f>
        <v>0</v>
      </c>
      <c r="U474" s="33" t="str">
        <f t="shared" si="4"/>
        <v/>
      </c>
      <c r="V474" s="37"/>
      <c r="W474" s="29"/>
      <c r="X474" s="29" t="b">
        <v>0</v>
      </c>
      <c r="Y474" s="22" t="str">
        <f t="shared" si="5"/>
        <v/>
      </c>
      <c r="Z474" s="7">
        <f>IF(ISBLANK(V474), 0, VLOOKUP(V474, 'Price Sheet'!$A$2:$B1015, 2, false))</f>
        <v>0</v>
      </c>
      <c r="AA474" s="33" t="str">
        <f t="shared" si="6"/>
        <v/>
      </c>
      <c r="AB474" s="37"/>
      <c r="AC474" s="29"/>
      <c r="AD474" s="29" t="b">
        <v>0</v>
      </c>
      <c r="AE474" s="22" t="str">
        <f t="shared" si="7"/>
        <v/>
      </c>
      <c r="AF474" s="7">
        <f>IF(ISBLANK(AB474), 0, VLOOKUP(AB474, 'Price Sheet'!$A$2:$B1015, 2, false))</f>
        <v>0</v>
      </c>
      <c r="AG474" s="33" t="str">
        <f t="shared" si="8"/>
        <v/>
      </c>
      <c r="AH474" s="37"/>
      <c r="AI474" s="29"/>
      <c r="AJ474" s="29" t="b">
        <v>0</v>
      </c>
      <c r="AK474" s="22" t="str">
        <f t="shared" si="9"/>
        <v/>
      </c>
      <c r="AL474" s="7">
        <f>IF(ISBLANK(AH474), 0, VLOOKUP(AH474, 'Price Sheet'!$A$2:$B1015, 2, false))</f>
        <v>0</v>
      </c>
      <c r="AM474" s="33" t="str">
        <f t="shared" si="10"/>
        <v/>
      </c>
      <c r="AN474" s="37"/>
      <c r="AO474" s="29"/>
      <c r="AP474" s="29" t="b">
        <v>0</v>
      </c>
      <c r="AQ474" s="22" t="str">
        <f t="shared" si="11"/>
        <v/>
      </c>
      <c r="AR474" s="7">
        <f>IF(ISBLANK(AN474), 0, VLOOKUP(AN474, 'Price Sheet'!$A$2:$B1015, 2, false))</f>
        <v>0</v>
      </c>
      <c r="AS474" s="33" t="str">
        <f t="shared" si="12"/>
        <v/>
      </c>
      <c r="AT474" s="37"/>
      <c r="AU474" s="29"/>
      <c r="AV474" s="29" t="b">
        <v>0</v>
      </c>
      <c r="AW474" s="22" t="str">
        <f t="shared" si="13"/>
        <v/>
      </c>
      <c r="AX474" s="7">
        <f>IF(ISBLANK(AT474), 0, VLOOKUP(AT474, 'Price Sheet'!$A$2:$B1015, 2, false))</f>
        <v>0</v>
      </c>
      <c r="AY474" s="33" t="str">
        <f t="shared" si="14"/>
        <v/>
      </c>
      <c r="AZ474" s="37"/>
      <c r="BA474" s="29"/>
      <c r="BB474" s="29" t="b">
        <v>0</v>
      </c>
      <c r="BC474" s="22" t="str">
        <f t="shared" si="15"/>
        <v/>
      </c>
      <c r="BD474" s="7">
        <f>IF(ISBLANK(AZ474), 0, VLOOKUP(AZ474, 'Price Sheet'!$A$2:$B1015, 2, false))</f>
        <v>0</v>
      </c>
      <c r="BE474" s="33" t="str">
        <f t="shared" si="16"/>
        <v/>
      </c>
      <c r="BF474" s="37"/>
      <c r="BG474" s="29"/>
      <c r="BH474" s="29" t="b">
        <v>0</v>
      </c>
      <c r="BI474" s="22" t="str">
        <f t="shared" si="17"/>
        <v/>
      </c>
      <c r="BJ474" s="7">
        <f>IF(ISBLANK(BF474), 0, VLOOKUP(BF474, 'Price Sheet'!$A$2:$B1015, 2, false))</f>
        <v>0</v>
      </c>
      <c r="BK474" s="33" t="str">
        <f t="shared" si="18"/>
        <v/>
      </c>
      <c r="BL474" s="37"/>
      <c r="BM474" s="29"/>
      <c r="BN474" s="29" t="b">
        <v>0</v>
      </c>
      <c r="BO474" s="22" t="str">
        <f t="shared" si="19"/>
        <v/>
      </c>
      <c r="BP474" s="7">
        <f>IF(ISBLANK(BL474), 0, VLOOKUP(BL474, 'Price Sheet'!$A$2:$B1015, 2, false))</f>
        <v>0</v>
      </c>
      <c r="BQ474" s="33" t="str">
        <f t="shared" si="20"/>
        <v/>
      </c>
    </row>
    <row r="475">
      <c r="B475" s="19"/>
      <c r="C475" s="29"/>
      <c r="D475" s="29"/>
      <c r="E475" s="7" t="str">
        <f>IF(ISBLANK(D475), "", VLOOKUP(D475,'Crafting Tables'!$A$2:$B1015, 2, false))</f>
        <v/>
      </c>
      <c r="F475" s="7" t="str">
        <f>IFERROR(IF(E475 = "None", 1, VLOOKUP(C475,General!$A$5:$L$35, SWITCH(E475, "Basic", 8, "Advanced", 10, "Modern", 12), false)),"")</f>
        <v/>
      </c>
      <c r="G475" s="29"/>
      <c r="H475" s="7">
        <f>IFERROR(VLOOKUP(C475, General!$A$5:$L$35, 6, false) * G475 / 1000, 0)</f>
        <v>0</v>
      </c>
      <c r="I475" s="29"/>
      <c r="J475" s="22" t="str">
        <f>IFERROR(I475*VLOOKUP(D475,'Crafting Tables'!$1:$1000, 4, false)*F475,"")</f>
        <v/>
      </c>
      <c r="K475" s="29" t="b">
        <v>0</v>
      </c>
      <c r="L475" s="37"/>
      <c r="M475" s="29"/>
      <c r="N475" s="21" t="str">
        <f t="shared" si="2"/>
        <v/>
      </c>
      <c r="P475" s="37"/>
      <c r="Q475" s="29"/>
      <c r="R475" s="29" t="b">
        <v>0</v>
      </c>
      <c r="S475" s="22" t="str">
        <f t="shared" si="3"/>
        <v/>
      </c>
      <c r="T475" s="7">
        <f>IF(ISBLANK(P475), 0, VLOOKUP(P475, 'Price Sheet'!$A$2:$B1015, 2, false))</f>
        <v>0</v>
      </c>
      <c r="U475" s="33" t="str">
        <f t="shared" si="4"/>
        <v/>
      </c>
      <c r="V475" s="37"/>
      <c r="W475" s="29"/>
      <c r="X475" s="29" t="b">
        <v>0</v>
      </c>
      <c r="Y475" s="22" t="str">
        <f t="shared" si="5"/>
        <v/>
      </c>
      <c r="Z475" s="7">
        <f>IF(ISBLANK(V475), 0, VLOOKUP(V475, 'Price Sheet'!$A$2:$B1015, 2, false))</f>
        <v>0</v>
      </c>
      <c r="AA475" s="33" t="str">
        <f t="shared" si="6"/>
        <v/>
      </c>
      <c r="AB475" s="37"/>
      <c r="AC475" s="29"/>
      <c r="AD475" s="29" t="b">
        <v>0</v>
      </c>
      <c r="AE475" s="22" t="str">
        <f t="shared" si="7"/>
        <v/>
      </c>
      <c r="AF475" s="7">
        <f>IF(ISBLANK(AB475), 0, VLOOKUP(AB475, 'Price Sheet'!$A$2:$B1015, 2, false))</f>
        <v>0</v>
      </c>
      <c r="AG475" s="33" t="str">
        <f t="shared" si="8"/>
        <v/>
      </c>
      <c r="AH475" s="37"/>
      <c r="AI475" s="29"/>
      <c r="AJ475" s="29" t="b">
        <v>0</v>
      </c>
      <c r="AK475" s="22" t="str">
        <f t="shared" si="9"/>
        <v/>
      </c>
      <c r="AL475" s="7">
        <f>IF(ISBLANK(AH475), 0, VLOOKUP(AH475, 'Price Sheet'!$A$2:$B1015, 2, false))</f>
        <v>0</v>
      </c>
      <c r="AM475" s="33" t="str">
        <f t="shared" si="10"/>
        <v/>
      </c>
      <c r="AN475" s="37"/>
      <c r="AO475" s="29"/>
      <c r="AP475" s="29" t="b">
        <v>0</v>
      </c>
      <c r="AQ475" s="22" t="str">
        <f t="shared" si="11"/>
        <v/>
      </c>
      <c r="AR475" s="7">
        <f>IF(ISBLANK(AN475), 0, VLOOKUP(AN475, 'Price Sheet'!$A$2:$B1015, 2, false))</f>
        <v>0</v>
      </c>
      <c r="AS475" s="33" t="str">
        <f t="shared" si="12"/>
        <v/>
      </c>
      <c r="AT475" s="37"/>
      <c r="AU475" s="29"/>
      <c r="AV475" s="29" t="b">
        <v>0</v>
      </c>
      <c r="AW475" s="22" t="str">
        <f t="shared" si="13"/>
        <v/>
      </c>
      <c r="AX475" s="7">
        <f>IF(ISBLANK(AT475), 0, VLOOKUP(AT475, 'Price Sheet'!$A$2:$B1015, 2, false))</f>
        <v>0</v>
      </c>
      <c r="AY475" s="33" t="str">
        <f t="shared" si="14"/>
        <v/>
      </c>
      <c r="AZ475" s="37"/>
      <c r="BA475" s="29"/>
      <c r="BB475" s="29" t="b">
        <v>0</v>
      </c>
      <c r="BC475" s="22" t="str">
        <f t="shared" si="15"/>
        <v/>
      </c>
      <c r="BD475" s="7">
        <f>IF(ISBLANK(AZ475), 0, VLOOKUP(AZ475, 'Price Sheet'!$A$2:$B1015, 2, false))</f>
        <v>0</v>
      </c>
      <c r="BE475" s="33" t="str">
        <f t="shared" si="16"/>
        <v/>
      </c>
      <c r="BF475" s="37"/>
      <c r="BG475" s="29"/>
      <c r="BH475" s="29" t="b">
        <v>0</v>
      </c>
      <c r="BI475" s="22" t="str">
        <f t="shared" si="17"/>
        <v/>
      </c>
      <c r="BJ475" s="7">
        <f>IF(ISBLANK(BF475), 0, VLOOKUP(BF475, 'Price Sheet'!$A$2:$B1015, 2, false))</f>
        <v>0</v>
      </c>
      <c r="BK475" s="33" t="str">
        <f t="shared" si="18"/>
        <v/>
      </c>
      <c r="BL475" s="37"/>
      <c r="BM475" s="29"/>
      <c r="BN475" s="29" t="b">
        <v>0</v>
      </c>
      <c r="BO475" s="22" t="str">
        <f t="shared" si="19"/>
        <v/>
      </c>
      <c r="BP475" s="7">
        <f>IF(ISBLANK(BL475), 0, VLOOKUP(BL475, 'Price Sheet'!$A$2:$B1015, 2, false))</f>
        <v>0</v>
      </c>
      <c r="BQ475" s="33" t="str">
        <f t="shared" si="20"/>
        <v/>
      </c>
    </row>
    <row r="476">
      <c r="B476" s="19"/>
      <c r="C476" s="29"/>
      <c r="D476" s="29"/>
      <c r="E476" s="7" t="str">
        <f>IF(ISBLANK(D476), "", VLOOKUP(D476,'Crafting Tables'!$A$2:$B1015, 2, false))</f>
        <v/>
      </c>
      <c r="F476" s="7" t="str">
        <f>IFERROR(IF(E476 = "None", 1, VLOOKUP(C476,General!$A$5:$L$35, SWITCH(E476, "Basic", 8, "Advanced", 10, "Modern", 12), false)),"")</f>
        <v/>
      </c>
      <c r="G476" s="29"/>
      <c r="H476" s="7">
        <f>IFERROR(VLOOKUP(C476, General!$A$5:$L$35, 6, false) * G476 / 1000, 0)</f>
        <v>0</v>
      </c>
      <c r="I476" s="29"/>
      <c r="J476" s="22" t="str">
        <f>IFERROR(I476*VLOOKUP(D476,'Crafting Tables'!$1:$1000, 4, false)*F476,"")</f>
        <v/>
      </c>
      <c r="K476" s="29" t="b">
        <v>0</v>
      </c>
      <c r="L476" s="37"/>
      <c r="M476" s="29"/>
      <c r="N476" s="21" t="str">
        <f t="shared" si="2"/>
        <v/>
      </c>
      <c r="P476" s="37"/>
      <c r="Q476" s="29"/>
      <c r="R476" s="29" t="b">
        <v>0</v>
      </c>
      <c r="S476" s="22" t="str">
        <f t="shared" si="3"/>
        <v/>
      </c>
      <c r="T476" s="7">
        <f>IF(ISBLANK(P476), 0, VLOOKUP(P476, 'Price Sheet'!$A$2:$B1015, 2, false))</f>
        <v>0</v>
      </c>
      <c r="U476" s="33" t="str">
        <f t="shared" si="4"/>
        <v/>
      </c>
      <c r="V476" s="37"/>
      <c r="W476" s="29"/>
      <c r="X476" s="29" t="b">
        <v>0</v>
      </c>
      <c r="Y476" s="22" t="str">
        <f t="shared" si="5"/>
        <v/>
      </c>
      <c r="Z476" s="7">
        <f>IF(ISBLANK(V476), 0, VLOOKUP(V476, 'Price Sheet'!$A$2:$B1015, 2, false))</f>
        <v>0</v>
      </c>
      <c r="AA476" s="33" t="str">
        <f t="shared" si="6"/>
        <v/>
      </c>
      <c r="AB476" s="37"/>
      <c r="AC476" s="29"/>
      <c r="AD476" s="29" t="b">
        <v>0</v>
      </c>
      <c r="AE476" s="22" t="str">
        <f t="shared" si="7"/>
        <v/>
      </c>
      <c r="AF476" s="7">
        <f>IF(ISBLANK(AB476), 0, VLOOKUP(AB476, 'Price Sheet'!$A$2:$B1015, 2, false))</f>
        <v>0</v>
      </c>
      <c r="AG476" s="33" t="str">
        <f t="shared" si="8"/>
        <v/>
      </c>
      <c r="AH476" s="37"/>
      <c r="AI476" s="29"/>
      <c r="AJ476" s="29" t="b">
        <v>0</v>
      </c>
      <c r="AK476" s="22" t="str">
        <f t="shared" si="9"/>
        <v/>
      </c>
      <c r="AL476" s="7">
        <f>IF(ISBLANK(AH476), 0, VLOOKUP(AH476, 'Price Sheet'!$A$2:$B1015, 2, false))</f>
        <v>0</v>
      </c>
      <c r="AM476" s="33" t="str">
        <f t="shared" si="10"/>
        <v/>
      </c>
      <c r="AN476" s="37"/>
      <c r="AO476" s="29"/>
      <c r="AP476" s="29" t="b">
        <v>0</v>
      </c>
      <c r="AQ476" s="22" t="str">
        <f t="shared" si="11"/>
        <v/>
      </c>
      <c r="AR476" s="7">
        <f>IF(ISBLANK(AN476), 0, VLOOKUP(AN476, 'Price Sheet'!$A$2:$B1015, 2, false))</f>
        <v>0</v>
      </c>
      <c r="AS476" s="33" t="str">
        <f t="shared" si="12"/>
        <v/>
      </c>
      <c r="AT476" s="37"/>
      <c r="AU476" s="29"/>
      <c r="AV476" s="29" t="b">
        <v>0</v>
      </c>
      <c r="AW476" s="22" t="str">
        <f t="shared" si="13"/>
        <v/>
      </c>
      <c r="AX476" s="7">
        <f>IF(ISBLANK(AT476), 0, VLOOKUP(AT476, 'Price Sheet'!$A$2:$B1015, 2, false))</f>
        <v>0</v>
      </c>
      <c r="AY476" s="33" t="str">
        <f t="shared" si="14"/>
        <v/>
      </c>
      <c r="AZ476" s="37"/>
      <c r="BA476" s="29"/>
      <c r="BB476" s="29" t="b">
        <v>0</v>
      </c>
      <c r="BC476" s="22" t="str">
        <f t="shared" si="15"/>
        <v/>
      </c>
      <c r="BD476" s="7">
        <f>IF(ISBLANK(AZ476), 0, VLOOKUP(AZ476, 'Price Sheet'!$A$2:$B1015, 2, false))</f>
        <v>0</v>
      </c>
      <c r="BE476" s="33" t="str">
        <f t="shared" si="16"/>
        <v/>
      </c>
      <c r="BF476" s="37"/>
      <c r="BG476" s="29"/>
      <c r="BH476" s="29" t="b">
        <v>0</v>
      </c>
      <c r="BI476" s="22" t="str">
        <f t="shared" si="17"/>
        <v/>
      </c>
      <c r="BJ476" s="7">
        <f>IF(ISBLANK(BF476), 0, VLOOKUP(BF476, 'Price Sheet'!$A$2:$B1015, 2, false))</f>
        <v>0</v>
      </c>
      <c r="BK476" s="33" t="str">
        <f t="shared" si="18"/>
        <v/>
      </c>
      <c r="BL476" s="37"/>
      <c r="BM476" s="29"/>
      <c r="BN476" s="29" t="b">
        <v>0</v>
      </c>
      <c r="BO476" s="22" t="str">
        <f t="shared" si="19"/>
        <v/>
      </c>
      <c r="BP476" s="7">
        <f>IF(ISBLANK(BL476), 0, VLOOKUP(BL476, 'Price Sheet'!$A$2:$B1015, 2, false))</f>
        <v>0</v>
      </c>
      <c r="BQ476" s="33" t="str">
        <f t="shared" si="20"/>
        <v/>
      </c>
    </row>
    <row r="477">
      <c r="B477" s="19"/>
      <c r="C477" s="29"/>
      <c r="D477" s="29"/>
      <c r="E477" s="7" t="str">
        <f>IF(ISBLANK(D477), "", VLOOKUP(D477,'Crafting Tables'!$A$2:$B1015, 2, false))</f>
        <v/>
      </c>
      <c r="F477" s="7" t="str">
        <f>IFERROR(IF(E477 = "None", 1, VLOOKUP(C477,General!$A$5:$L$35, SWITCH(E477, "Basic", 8, "Advanced", 10, "Modern", 12), false)),"")</f>
        <v/>
      </c>
      <c r="G477" s="29"/>
      <c r="H477" s="7">
        <f>IFERROR(VLOOKUP(C477, General!$A$5:$L$35, 6, false) * G477 / 1000, 0)</f>
        <v>0</v>
      </c>
      <c r="I477" s="29"/>
      <c r="J477" s="22" t="str">
        <f>IFERROR(I477*VLOOKUP(D477,'Crafting Tables'!$1:$1000, 4, false)*F477,"")</f>
        <v/>
      </c>
      <c r="K477" s="29" t="b">
        <v>0</v>
      </c>
      <c r="L477" s="37"/>
      <c r="M477" s="29"/>
      <c r="N477" s="21" t="str">
        <f t="shared" si="2"/>
        <v/>
      </c>
      <c r="P477" s="37"/>
      <c r="Q477" s="29"/>
      <c r="R477" s="29" t="b">
        <v>0</v>
      </c>
      <c r="S477" s="22" t="str">
        <f t="shared" si="3"/>
        <v/>
      </c>
      <c r="T477" s="7">
        <f>IF(ISBLANK(P477), 0, VLOOKUP(P477, 'Price Sheet'!$A$2:$B1015, 2, false))</f>
        <v>0</v>
      </c>
      <c r="U477" s="33" t="str">
        <f t="shared" si="4"/>
        <v/>
      </c>
      <c r="V477" s="37"/>
      <c r="W477" s="29"/>
      <c r="X477" s="29" t="b">
        <v>0</v>
      </c>
      <c r="Y477" s="22" t="str">
        <f t="shared" si="5"/>
        <v/>
      </c>
      <c r="Z477" s="7">
        <f>IF(ISBLANK(V477), 0, VLOOKUP(V477, 'Price Sheet'!$A$2:$B1015, 2, false))</f>
        <v>0</v>
      </c>
      <c r="AA477" s="33" t="str">
        <f t="shared" si="6"/>
        <v/>
      </c>
      <c r="AB477" s="37"/>
      <c r="AC477" s="29"/>
      <c r="AD477" s="29" t="b">
        <v>0</v>
      </c>
      <c r="AE477" s="22" t="str">
        <f t="shared" si="7"/>
        <v/>
      </c>
      <c r="AF477" s="7">
        <f>IF(ISBLANK(AB477), 0, VLOOKUP(AB477, 'Price Sheet'!$A$2:$B1015, 2, false))</f>
        <v>0</v>
      </c>
      <c r="AG477" s="33" t="str">
        <f t="shared" si="8"/>
        <v/>
      </c>
      <c r="AH477" s="37"/>
      <c r="AI477" s="29"/>
      <c r="AJ477" s="29" t="b">
        <v>0</v>
      </c>
      <c r="AK477" s="22" t="str">
        <f t="shared" si="9"/>
        <v/>
      </c>
      <c r="AL477" s="7">
        <f>IF(ISBLANK(AH477), 0, VLOOKUP(AH477, 'Price Sheet'!$A$2:$B1015, 2, false))</f>
        <v>0</v>
      </c>
      <c r="AM477" s="33" t="str">
        <f t="shared" si="10"/>
        <v/>
      </c>
      <c r="AN477" s="37"/>
      <c r="AO477" s="29"/>
      <c r="AP477" s="29" t="b">
        <v>0</v>
      </c>
      <c r="AQ477" s="22" t="str">
        <f t="shared" si="11"/>
        <v/>
      </c>
      <c r="AR477" s="7">
        <f>IF(ISBLANK(AN477), 0, VLOOKUP(AN477, 'Price Sheet'!$A$2:$B1015, 2, false))</f>
        <v>0</v>
      </c>
      <c r="AS477" s="33" t="str">
        <f t="shared" si="12"/>
        <v/>
      </c>
      <c r="AT477" s="37"/>
      <c r="AU477" s="29"/>
      <c r="AV477" s="29" t="b">
        <v>0</v>
      </c>
      <c r="AW477" s="22" t="str">
        <f t="shared" si="13"/>
        <v/>
      </c>
      <c r="AX477" s="7">
        <f>IF(ISBLANK(AT477), 0, VLOOKUP(AT477, 'Price Sheet'!$A$2:$B1015, 2, false))</f>
        <v>0</v>
      </c>
      <c r="AY477" s="33" t="str">
        <f t="shared" si="14"/>
        <v/>
      </c>
      <c r="AZ477" s="37"/>
      <c r="BA477" s="29"/>
      <c r="BB477" s="29" t="b">
        <v>0</v>
      </c>
      <c r="BC477" s="22" t="str">
        <f t="shared" si="15"/>
        <v/>
      </c>
      <c r="BD477" s="7">
        <f>IF(ISBLANK(AZ477), 0, VLOOKUP(AZ477, 'Price Sheet'!$A$2:$B1015, 2, false))</f>
        <v>0</v>
      </c>
      <c r="BE477" s="33" t="str">
        <f t="shared" si="16"/>
        <v/>
      </c>
      <c r="BF477" s="37"/>
      <c r="BG477" s="29"/>
      <c r="BH477" s="29" t="b">
        <v>0</v>
      </c>
      <c r="BI477" s="22" t="str">
        <f t="shared" si="17"/>
        <v/>
      </c>
      <c r="BJ477" s="7">
        <f>IF(ISBLANK(BF477), 0, VLOOKUP(BF477, 'Price Sheet'!$A$2:$B1015, 2, false))</f>
        <v>0</v>
      </c>
      <c r="BK477" s="33" t="str">
        <f t="shared" si="18"/>
        <v/>
      </c>
      <c r="BL477" s="37"/>
      <c r="BM477" s="29"/>
      <c r="BN477" s="29" t="b">
        <v>0</v>
      </c>
      <c r="BO477" s="22" t="str">
        <f t="shared" si="19"/>
        <v/>
      </c>
      <c r="BP477" s="7">
        <f>IF(ISBLANK(BL477), 0, VLOOKUP(BL477, 'Price Sheet'!$A$2:$B1015, 2, false))</f>
        <v>0</v>
      </c>
      <c r="BQ477" s="33" t="str">
        <f t="shared" si="20"/>
        <v/>
      </c>
    </row>
    <row r="478">
      <c r="B478" s="19"/>
      <c r="C478" s="29"/>
      <c r="D478" s="29"/>
      <c r="E478" s="7" t="str">
        <f>IF(ISBLANK(D478), "", VLOOKUP(D478,'Crafting Tables'!$A$2:$B1015, 2, false))</f>
        <v/>
      </c>
      <c r="F478" s="7" t="str">
        <f>IFERROR(IF(E478 = "None", 1, VLOOKUP(C478,General!$A$5:$L$35, SWITCH(E478, "Basic", 8, "Advanced", 10, "Modern", 12), false)),"")</f>
        <v/>
      </c>
      <c r="G478" s="29"/>
      <c r="H478" s="7">
        <f>IFERROR(VLOOKUP(C478, General!$A$5:$L$35, 6, false) * G478 / 1000, 0)</f>
        <v>0</v>
      </c>
      <c r="I478" s="29"/>
      <c r="J478" s="22" t="str">
        <f>IFERROR(I478*VLOOKUP(D478,'Crafting Tables'!$1:$1000, 4, false)*F478,"")</f>
        <v/>
      </c>
      <c r="K478" s="29" t="b">
        <v>0</v>
      </c>
      <c r="L478" s="37"/>
      <c r="M478" s="29"/>
      <c r="N478" s="21" t="str">
        <f t="shared" si="2"/>
        <v/>
      </c>
      <c r="P478" s="37"/>
      <c r="Q478" s="29"/>
      <c r="R478" s="29" t="b">
        <v>0</v>
      </c>
      <c r="S478" s="22" t="str">
        <f t="shared" si="3"/>
        <v/>
      </c>
      <c r="T478" s="7">
        <f>IF(ISBLANK(P478), 0, VLOOKUP(P478, 'Price Sheet'!$A$2:$B1015, 2, false))</f>
        <v>0</v>
      </c>
      <c r="U478" s="33" t="str">
        <f t="shared" si="4"/>
        <v/>
      </c>
      <c r="V478" s="37"/>
      <c r="W478" s="29"/>
      <c r="X478" s="29" t="b">
        <v>0</v>
      </c>
      <c r="Y478" s="22" t="str">
        <f t="shared" si="5"/>
        <v/>
      </c>
      <c r="Z478" s="7">
        <f>IF(ISBLANK(V478), 0, VLOOKUP(V478, 'Price Sheet'!$A$2:$B1015, 2, false))</f>
        <v>0</v>
      </c>
      <c r="AA478" s="33" t="str">
        <f t="shared" si="6"/>
        <v/>
      </c>
      <c r="AB478" s="37"/>
      <c r="AC478" s="29"/>
      <c r="AD478" s="29" t="b">
        <v>0</v>
      </c>
      <c r="AE478" s="22" t="str">
        <f t="shared" si="7"/>
        <v/>
      </c>
      <c r="AF478" s="7">
        <f>IF(ISBLANK(AB478), 0, VLOOKUP(AB478, 'Price Sheet'!$A$2:$B1015, 2, false))</f>
        <v>0</v>
      </c>
      <c r="AG478" s="33" t="str">
        <f t="shared" si="8"/>
        <v/>
      </c>
      <c r="AH478" s="37"/>
      <c r="AI478" s="29"/>
      <c r="AJ478" s="29" t="b">
        <v>0</v>
      </c>
      <c r="AK478" s="22" t="str">
        <f t="shared" si="9"/>
        <v/>
      </c>
      <c r="AL478" s="7">
        <f>IF(ISBLANK(AH478), 0, VLOOKUP(AH478, 'Price Sheet'!$A$2:$B1015, 2, false))</f>
        <v>0</v>
      </c>
      <c r="AM478" s="33" t="str">
        <f t="shared" si="10"/>
        <v/>
      </c>
      <c r="AN478" s="37"/>
      <c r="AO478" s="29"/>
      <c r="AP478" s="29" t="b">
        <v>0</v>
      </c>
      <c r="AQ478" s="22" t="str">
        <f t="shared" si="11"/>
        <v/>
      </c>
      <c r="AR478" s="7">
        <f>IF(ISBLANK(AN478), 0, VLOOKUP(AN478, 'Price Sheet'!$A$2:$B1015, 2, false))</f>
        <v>0</v>
      </c>
      <c r="AS478" s="33" t="str">
        <f t="shared" si="12"/>
        <v/>
      </c>
      <c r="AT478" s="37"/>
      <c r="AU478" s="29"/>
      <c r="AV478" s="29" t="b">
        <v>0</v>
      </c>
      <c r="AW478" s="22" t="str">
        <f t="shared" si="13"/>
        <v/>
      </c>
      <c r="AX478" s="7">
        <f>IF(ISBLANK(AT478), 0, VLOOKUP(AT478, 'Price Sheet'!$A$2:$B1015, 2, false))</f>
        <v>0</v>
      </c>
      <c r="AY478" s="33" t="str">
        <f t="shared" si="14"/>
        <v/>
      </c>
      <c r="AZ478" s="37"/>
      <c r="BA478" s="29"/>
      <c r="BB478" s="29" t="b">
        <v>0</v>
      </c>
      <c r="BC478" s="22" t="str">
        <f t="shared" si="15"/>
        <v/>
      </c>
      <c r="BD478" s="7">
        <f>IF(ISBLANK(AZ478), 0, VLOOKUP(AZ478, 'Price Sheet'!$A$2:$B1015, 2, false))</f>
        <v>0</v>
      </c>
      <c r="BE478" s="33" t="str">
        <f t="shared" si="16"/>
        <v/>
      </c>
      <c r="BF478" s="37"/>
      <c r="BG478" s="29"/>
      <c r="BH478" s="29" t="b">
        <v>0</v>
      </c>
      <c r="BI478" s="22" t="str">
        <f t="shared" si="17"/>
        <v/>
      </c>
      <c r="BJ478" s="7">
        <f>IF(ISBLANK(BF478), 0, VLOOKUP(BF478, 'Price Sheet'!$A$2:$B1015, 2, false))</f>
        <v>0</v>
      </c>
      <c r="BK478" s="33" t="str">
        <f t="shared" si="18"/>
        <v/>
      </c>
      <c r="BL478" s="37"/>
      <c r="BM478" s="29"/>
      <c r="BN478" s="29" t="b">
        <v>0</v>
      </c>
      <c r="BO478" s="22" t="str">
        <f t="shared" si="19"/>
        <v/>
      </c>
      <c r="BP478" s="7">
        <f>IF(ISBLANK(BL478), 0, VLOOKUP(BL478, 'Price Sheet'!$A$2:$B1015, 2, false))</f>
        <v>0</v>
      </c>
      <c r="BQ478" s="33" t="str">
        <f t="shared" si="20"/>
        <v/>
      </c>
    </row>
    <row r="479">
      <c r="B479" s="19"/>
      <c r="C479" s="29"/>
      <c r="D479" s="29"/>
      <c r="E479" s="7" t="str">
        <f>IF(ISBLANK(D479), "", VLOOKUP(D479,'Crafting Tables'!$A$2:$B1015, 2, false))</f>
        <v/>
      </c>
      <c r="F479" s="7" t="str">
        <f>IFERROR(IF(E479 = "None", 1, VLOOKUP(C479,General!$A$5:$L$35, SWITCH(E479, "Basic", 8, "Advanced", 10, "Modern", 12), false)),"")</f>
        <v/>
      </c>
      <c r="G479" s="29"/>
      <c r="H479" s="7">
        <f>IFERROR(VLOOKUP(C479, General!$A$5:$L$35, 6, false) * G479 / 1000, 0)</f>
        <v>0</v>
      </c>
      <c r="I479" s="29"/>
      <c r="J479" s="22" t="str">
        <f>IFERROR(I479*VLOOKUP(D479,'Crafting Tables'!$1:$1000, 4, false)*F479,"")</f>
        <v/>
      </c>
      <c r="K479" s="29" t="b">
        <v>0</v>
      </c>
      <c r="L479" s="37"/>
      <c r="M479" s="29"/>
      <c r="N479" s="21" t="str">
        <f t="shared" si="2"/>
        <v/>
      </c>
      <c r="P479" s="37"/>
      <c r="Q479" s="29"/>
      <c r="R479" s="29" t="b">
        <v>0</v>
      </c>
      <c r="S479" s="22" t="str">
        <f t="shared" si="3"/>
        <v/>
      </c>
      <c r="T479" s="7">
        <f>IF(ISBLANK(P479), 0, VLOOKUP(P479, 'Price Sheet'!$A$2:$B1015, 2, false))</f>
        <v>0</v>
      </c>
      <c r="U479" s="33" t="str">
        <f t="shared" si="4"/>
        <v/>
      </c>
      <c r="V479" s="37"/>
      <c r="W479" s="29"/>
      <c r="X479" s="29" t="b">
        <v>0</v>
      </c>
      <c r="Y479" s="22" t="str">
        <f t="shared" si="5"/>
        <v/>
      </c>
      <c r="Z479" s="7">
        <f>IF(ISBLANK(V479), 0, VLOOKUP(V479, 'Price Sheet'!$A$2:$B1015, 2, false))</f>
        <v>0</v>
      </c>
      <c r="AA479" s="33" t="str">
        <f t="shared" si="6"/>
        <v/>
      </c>
      <c r="AB479" s="37"/>
      <c r="AC479" s="29"/>
      <c r="AD479" s="29" t="b">
        <v>0</v>
      </c>
      <c r="AE479" s="22" t="str">
        <f t="shared" si="7"/>
        <v/>
      </c>
      <c r="AF479" s="7">
        <f>IF(ISBLANK(AB479), 0, VLOOKUP(AB479, 'Price Sheet'!$A$2:$B1015, 2, false))</f>
        <v>0</v>
      </c>
      <c r="AG479" s="33" t="str">
        <f t="shared" si="8"/>
        <v/>
      </c>
      <c r="AH479" s="37"/>
      <c r="AI479" s="29"/>
      <c r="AJ479" s="29" t="b">
        <v>0</v>
      </c>
      <c r="AK479" s="22" t="str">
        <f t="shared" si="9"/>
        <v/>
      </c>
      <c r="AL479" s="7">
        <f>IF(ISBLANK(AH479), 0, VLOOKUP(AH479, 'Price Sheet'!$A$2:$B1015, 2, false))</f>
        <v>0</v>
      </c>
      <c r="AM479" s="33" t="str">
        <f t="shared" si="10"/>
        <v/>
      </c>
      <c r="AN479" s="37"/>
      <c r="AO479" s="29"/>
      <c r="AP479" s="29" t="b">
        <v>0</v>
      </c>
      <c r="AQ479" s="22" t="str">
        <f t="shared" si="11"/>
        <v/>
      </c>
      <c r="AR479" s="7">
        <f>IF(ISBLANK(AN479), 0, VLOOKUP(AN479, 'Price Sheet'!$A$2:$B1015, 2, false))</f>
        <v>0</v>
      </c>
      <c r="AS479" s="33" t="str">
        <f t="shared" si="12"/>
        <v/>
      </c>
      <c r="AT479" s="37"/>
      <c r="AU479" s="29"/>
      <c r="AV479" s="29" t="b">
        <v>0</v>
      </c>
      <c r="AW479" s="22" t="str">
        <f t="shared" si="13"/>
        <v/>
      </c>
      <c r="AX479" s="7">
        <f>IF(ISBLANK(AT479), 0, VLOOKUP(AT479, 'Price Sheet'!$A$2:$B1015, 2, false))</f>
        <v>0</v>
      </c>
      <c r="AY479" s="33" t="str">
        <f t="shared" si="14"/>
        <v/>
      </c>
      <c r="AZ479" s="37"/>
      <c r="BA479" s="29"/>
      <c r="BB479" s="29" t="b">
        <v>0</v>
      </c>
      <c r="BC479" s="22" t="str">
        <f t="shared" si="15"/>
        <v/>
      </c>
      <c r="BD479" s="7">
        <f>IF(ISBLANK(AZ479), 0, VLOOKUP(AZ479, 'Price Sheet'!$A$2:$B1015, 2, false))</f>
        <v>0</v>
      </c>
      <c r="BE479" s="33" t="str">
        <f t="shared" si="16"/>
        <v/>
      </c>
      <c r="BF479" s="37"/>
      <c r="BG479" s="29"/>
      <c r="BH479" s="29" t="b">
        <v>0</v>
      </c>
      <c r="BI479" s="22" t="str">
        <f t="shared" si="17"/>
        <v/>
      </c>
      <c r="BJ479" s="7">
        <f>IF(ISBLANK(BF479), 0, VLOOKUP(BF479, 'Price Sheet'!$A$2:$B1015, 2, false))</f>
        <v>0</v>
      </c>
      <c r="BK479" s="33" t="str">
        <f t="shared" si="18"/>
        <v/>
      </c>
      <c r="BL479" s="37"/>
      <c r="BM479" s="29"/>
      <c r="BN479" s="29" t="b">
        <v>0</v>
      </c>
      <c r="BO479" s="22" t="str">
        <f t="shared" si="19"/>
        <v/>
      </c>
      <c r="BP479" s="7">
        <f>IF(ISBLANK(BL479), 0, VLOOKUP(BL479, 'Price Sheet'!$A$2:$B1015, 2, false))</f>
        <v>0</v>
      </c>
      <c r="BQ479" s="33" t="str">
        <f t="shared" si="20"/>
        <v/>
      </c>
    </row>
    <row r="480">
      <c r="B480" s="19"/>
      <c r="C480" s="29"/>
      <c r="D480" s="29"/>
      <c r="E480" s="7" t="str">
        <f>IF(ISBLANK(D480), "", VLOOKUP(D480,'Crafting Tables'!$A$2:$B1015, 2, false))</f>
        <v/>
      </c>
      <c r="F480" s="7" t="str">
        <f>IFERROR(IF(E480 = "None", 1, VLOOKUP(C480,General!$A$5:$L$35, SWITCH(E480, "Basic", 8, "Advanced", 10, "Modern", 12), false)),"")</f>
        <v/>
      </c>
      <c r="G480" s="29"/>
      <c r="H480" s="7">
        <f>IFERROR(VLOOKUP(C480, General!$A$5:$L$35, 6, false) * G480 / 1000, 0)</f>
        <v>0</v>
      </c>
      <c r="I480" s="29"/>
      <c r="J480" s="22" t="str">
        <f>IFERROR(I480*VLOOKUP(D480,'Crafting Tables'!$1:$1000, 4, false)*F480,"")</f>
        <v/>
      </c>
      <c r="K480" s="29" t="b">
        <v>0</v>
      </c>
      <c r="L480" s="37"/>
      <c r="M480" s="29"/>
      <c r="N480" s="21" t="str">
        <f t="shared" si="2"/>
        <v/>
      </c>
      <c r="P480" s="37"/>
      <c r="Q480" s="29"/>
      <c r="R480" s="29" t="b">
        <v>0</v>
      </c>
      <c r="S480" s="22" t="str">
        <f t="shared" si="3"/>
        <v/>
      </c>
      <c r="T480" s="7">
        <f>IF(ISBLANK(P480), 0, VLOOKUP(P480, 'Price Sheet'!$A$2:$B1015, 2, false))</f>
        <v>0</v>
      </c>
      <c r="U480" s="33" t="str">
        <f t="shared" si="4"/>
        <v/>
      </c>
      <c r="V480" s="37"/>
      <c r="W480" s="29"/>
      <c r="X480" s="29" t="b">
        <v>0</v>
      </c>
      <c r="Y480" s="22" t="str">
        <f t="shared" si="5"/>
        <v/>
      </c>
      <c r="Z480" s="7">
        <f>IF(ISBLANK(V480), 0, VLOOKUP(V480, 'Price Sheet'!$A$2:$B1015, 2, false))</f>
        <v>0</v>
      </c>
      <c r="AA480" s="33" t="str">
        <f t="shared" si="6"/>
        <v/>
      </c>
      <c r="AB480" s="37"/>
      <c r="AC480" s="29"/>
      <c r="AD480" s="29" t="b">
        <v>0</v>
      </c>
      <c r="AE480" s="22" t="str">
        <f t="shared" si="7"/>
        <v/>
      </c>
      <c r="AF480" s="7">
        <f>IF(ISBLANK(AB480), 0, VLOOKUP(AB480, 'Price Sheet'!$A$2:$B1015, 2, false))</f>
        <v>0</v>
      </c>
      <c r="AG480" s="33" t="str">
        <f t="shared" si="8"/>
        <v/>
      </c>
      <c r="AH480" s="37"/>
      <c r="AI480" s="29"/>
      <c r="AJ480" s="29" t="b">
        <v>0</v>
      </c>
      <c r="AK480" s="22" t="str">
        <f t="shared" si="9"/>
        <v/>
      </c>
      <c r="AL480" s="7">
        <f>IF(ISBLANK(AH480), 0, VLOOKUP(AH480, 'Price Sheet'!$A$2:$B1015, 2, false))</f>
        <v>0</v>
      </c>
      <c r="AM480" s="33" t="str">
        <f t="shared" si="10"/>
        <v/>
      </c>
      <c r="AN480" s="37"/>
      <c r="AO480" s="29"/>
      <c r="AP480" s="29" t="b">
        <v>0</v>
      </c>
      <c r="AQ480" s="22" t="str">
        <f t="shared" si="11"/>
        <v/>
      </c>
      <c r="AR480" s="7">
        <f>IF(ISBLANK(AN480), 0, VLOOKUP(AN480, 'Price Sheet'!$A$2:$B1015, 2, false))</f>
        <v>0</v>
      </c>
      <c r="AS480" s="33" t="str">
        <f t="shared" si="12"/>
        <v/>
      </c>
      <c r="AT480" s="37"/>
      <c r="AU480" s="29"/>
      <c r="AV480" s="29" t="b">
        <v>0</v>
      </c>
      <c r="AW480" s="22" t="str">
        <f t="shared" si="13"/>
        <v/>
      </c>
      <c r="AX480" s="7">
        <f>IF(ISBLANK(AT480), 0, VLOOKUP(AT480, 'Price Sheet'!$A$2:$B1015, 2, false))</f>
        <v>0</v>
      </c>
      <c r="AY480" s="33" t="str">
        <f t="shared" si="14"/>
        <v/>
      </c>
      <c r="AZ480" s="37"/>
      <c r="BA480" s="29"/>
      <c r="BB480" s="29" t="b">
        <v>0</v>
      </c>
      <c r="BC480" s="22" t="str">
        <f t="shared" si="15"/>
        <v/>
      </c>
      <c r="BD480" s="7">
        <f>IF(ISBLANK(AZ480), 0, VLOOKUP(AZ480, 'Price Sheet'!$A$2:$B1015, 2, false))</f>
        <v>0</v>
      </c>
      <c r="BE480" s="33" t="str">
        <f t="shared" si="16"/>
        <v/>
      </c>
      <c r="BF480" s="37"/>
      <c r="BG480" s="29"/>
      <c r="BH480" s="29" t="b">
        <v>0</v>
      </c>
      <c r="BI480" s="22" t="str">
        <f t="shared" si="17"/>
        <v/>
      </c>
      <c r="BJ480" s="7">
        <f>IF(ISBLANK(BF480), 0, VLOOKUP(BF480, 'Price Sheet'!$A$2:$B1015, 2, false))</f>
        <v>0</v>
      </c>
      <c r="BK480" s="33" t="str">
        <f t="shared" si="18"/>
        <v/>
      </c>
      <c r="BL480" s="37"/>
      <c r="BM480" s="29"/>
      <c r="BN480" s="29" t="b">
        <v>0</v>
      </c>
      <c r="BO480" s="22" t="str">
        <f t="shared" si="19"/>
        <v/>
      </c>
      <c r="BP480" s="7">
        <f>IF(ISBLANK(BL480), 0, VLOOKUP(BL480, 'Price Sheet'!$A$2:$B1015, 2, false))</f>
        <v>0</v>
      </c>
      <c r="BQ480" s="33" t="str">
        <f t="shared" si="20"/>
        <v/>
      </c>
    </row>
    <row r="481">
      <c r="B481" s="19"/>
      <c r="C481" s="29"/>
      <c r="D481" s="29"/>
      <c r="E481" s="7" t="str">
        <f>IF(ISBLANK(D481), "", VLOOKUP(D481,'Crafting Tables'!$A$2:$B1015, 2, false))</f>
        <v/>
      </c>
      <c r="F481" s="7" t="str">
        <f>IFERROR(IF(E481 = "None", 1, VLOOKUP(C481,General!$A$5:$L$35, SWITCH(E481, "Basic", 8, "Advanced", 10, "Modern", 12), false)),"")</f>
        <v/>
      </c>
      <c r="G481" s="29"/>
      <c r="H481" s="7">
        <f>IFERROR(VLOOKUP(C481, General!$A$5:$L$35, 6, false) * G481 / 1000, 0)</f>
        <v>0</v>
      </c>
      <c r="I481" s="29"/>
      <c r="J481" s="22" t="str">
        <f>IFERROR(I481*VLOOKUP(D481,'Crafting Tables'!$1:$1000, 4, false)*F481,"")</f>
        <v/>
      </c>
      <c r="K481" s="29" t="b">
        <v>0</v>
      </c>
      <c r="L481" s="37"/>
      <c r="M481" s="29"/>
      <c r="N481" s="21" t="str">
        <f t="shared" si="2"/>
        <v/>
      </c>
      <c r="P481" s="37"/>
      <c r="Q481" s="29"/>
      <c r="R481" s="29" t="b">
        <v>0</v>
      </c>
      <c r="S481" s="22" t="str">
        <f t="shared" si="3"/>
        <v/>
      </c>
      <c r="T481" s="7">
        <f>IF(ISBLANK(P481), 0, VLOOKUP(P481, 'Price Sheet'!$A$2:$B1015, 2, false))</f>
        <v>0</v>
      </c>
      <c r="U481" s="33" t="str">
        <f t="shared" si="4"/>
        <v/>
      </c>
      <c r="V481" s="37"/>
      <c r="W481" s="29"/>
      <c r="X481" s="29" t="b">
        <v>0</v>
      </c>
      <c r="Y481" s="22" t="str">
        <f t="shared" si="5"/>
        <v/>
      </c>
      <c r="Z481" s="7">
        <f>IF(ISBLANK(V481), 0, VLOOKUP(V481, 'Price Sheet'!$A$2:$B1015, 2, false))</f>
        <v>0</v>
      </c>
      <c r="AA481" s="33" t="str">
        <f t="shared" si="6"/>
        <v/>
      </c>
      <c r="AB481" s="37"/>
      <c r="AC481" s="29"/>
      <c r="AD481" s="29" t="b">
        <v>0</v>
      </c>
      <c r="AE481" s="22" t="str">
        <f t="shared" si="7"/>
        <v/>
      </c>
      <c r="AF481" s="7">
        <f>IF(ISBLANK(AB481), 0, VLOOKUP(AB481, 'Price Sheet'!$A$2:$B1015, 2, false))</f>
        <v>0</v>
      </c>
      <c r="AG481" s="33" t="str">
        <f t="shared" si="8"/>
        <v/>
      </c>
      <c r="AH481" s="37"/>
      <c r="AI481" s="29"/>
      <c r="AJ481" s="29" t="b">
        <v>0</v>
      </c>
      <c r="AK481" s="22" t="str">
        <f t="shared" si="9"/>
        <v/>
      </c>
      <c r="AL481" s="7">
        <f>IF(ISBLANK(AH481), 0, VLOOKUP(AH481, 'Price Sheet'!$A$2:$B1015, 2, false))</f>
        <v>0</v>
      </c>
      <c r="AM481" s="33" t="str">
        <f t="shared" si="10"/>
        <v/>
      </c>
      <c r="AN481" s="37"/>
      <c r="AO481" s="29"/>
      <c r="AP481" s="29" t="b">
        <v>0</v>
      </c>
      <c r="AQ481" s="22" t="str">
        <f t="shared" si="11"/>
        <v/>
      </c>
      <c r="AR481" s="7">
        <f>IF(ISBLANK(AN481), 0, VLOOKUP(AN481, 'Price Sheet'!$A$2:$B1015, 2, false))</f>
        <v>0</v>
      </c>
      <c r="AS481" s="33" t="str">
        <f t="shared" si="12"/>
        <v/>
      </c>
      <c r="AT481" s="37"/>
      <c r="AU481" s="29"/>
      <c r="AV481" s="29" t="b">
        <v>0</v>
      </c>
      <c r="AW481" s="22" t="str">
        <f t="shared" si="13"/>
        <v/>
      </c>
      <c r="AX481" s="7">
        <f>IF(ISBLANK(AT481), 0, VLOOKUP(AT481, 'Price Sheet'!$A$2:$B1015, 2, false))</f>
        <v>0</v>
      </c>
      <c r="AY481" s="33" t="str">
        <f t="shared" si="14"/>
        <v/>
      </c>
      <c r="AZ481" s="37"/>
      <c r="BA481" s="29"/>
      <c r="BB481" s="29" t="b">
        <v>0</v>
      </c>
      <c r="BC481" s="22" t="str">
        <f t="shared" si="15"/>
        <v/>
      </c>
      <c r="BD481" s="7">
        <f>IF(ISBLANK(AZ481), 0, VLOOKUP(AZ481, 'Price Sheet'!$A$2:$B1015, 2, false))</f>
        <v>0</v>
      </c>
      <c r="BE481" s="33" t="str">
        <f t="shared" si="16"/>
        <v/>
      </c>
      <c r="BF481" s="37"/>
      <c r="BG481" s="29"/>
      <c r="BH481" s="29" t="b">
        <v>0</v>
      </c>
      <c r="BI481" s="22" t="str">
        <f t="shared" si="17"/>
        <v/>
      </c>
      <c r="BJ481" s="7">
        <f>IF(ISBLANK(BF481), 0, VLOOKUP(BF481, 'Price Sheet'!$A$2:$B1015, 2, false))</f>
        <v>0</v>
      </c>
      <c r="BK481" s="33" t="str">
        <f t="shared" si="18"/>
        <v/>
      </c>
      <c r="BL481" s="37"/>
      <c r="BM481" s="29"/>
      <c r="BN481" s="29" t="b">
        <v>0</v>
      </c>
      <c r="BO481" s="22" t="str">
        <f t="shared" si="19"/>
        <v/>
      </c>
      <c r="BP481" s="7">
        <f>IF(ISBLANK(BL481), 0, VLOOKUP(BL481, 'Price Sheet'!$A$2:$B1015, 2, false))</f>
        <v>0</v>
      </c>
      <c r="BQ481" s="33" t="str">
        <f t="shared" si="20"/>
        <v/>
      </c>
    </row>
    <row r="482">
      <c r="B482" s="19"/>
      <c r="C482" s="29"/>
      <c r="D482" s="29"/>
      <c r="E482" s="7" t="str">
        <f>IF(ISBLANK(D482), "", VLOOKUP(D482,'Crafting Tables'!$A$2:$B1015, 2, false))</f>
        <v/>
      </c>
      <c r="F482" s="7" t="str">
        <f>IFERROR(IF(E482 = "None", 1, VLOOKUP(C482,General!$A$5:$L$35, SWITCH(E482, "Basic", 8, "Advanced", 10, "Modern", 12), false)),"")</f>
        <v/>
      </c>
      <c r="G482" s="29"/>
      <c r="H482" s="7">
        <f>IFERROR(VLOOKUP(C482, General!$A$5:$L$35, 6, false) * G482 / 1000, 0)</f>
        <v>0</v>
      </c>
      <c r="I482" s="29"/>
      <c r="J482" s="22" t="str">
        <f>IFERROR(I482*VLOOKUP(D482,'Crafting Tables'!$1:$1000, 4, false)*F482,"")</f>
        <v/>
      </c>
      <c r="K482" s="29" t="b">
        <v>0</v>
      </c>
      <c r="L482" s="37"/>
      <c r="M482" s="29"/>
      <c r="N482" s="21" t="str">
        <f t="shared" si="2"/>
        <v/>
      </c>
      <c r="P482" s="37"/>
      <c r="Q482" s="29"/>
      <c r="R482" s="29" t="b">
        <v>0</v>
      </c>
      <c r="S482" s="22" t="str">
        <f t="shared" si="3"/>
        <v/>
      </c>
      <c r="T482" s="7">
        <f>IF(ISBLANK(P482), 0, VLOOKUP(P482, 'Price Sheet'!$A$2:$B1015, 2, false))</f>
        <v>0</v>
      </c>
      <c r="U482" s="33" t="str">
        <f t="shared" si="4"/>
        <v/>
      </c>
      <c r="V482" s="37"/>
      <c r="W482" s="29"/>
      <c r="X482" s="29" t="b">
        <v>0</v>
      </c>
      <c r="Y482" s="22" t="str">
        <f t="shared" si="5"/>
        <v/>
      </c>
      <c r="Z482" s="7">
        <f>IF(ISBLANK(V482), 0, VLOOKUP(V482, 'Price Sheet'!$A$2:$B1015, 2, false))</f>
        <v>0</v>
      </c>
      <c r="AA482" s="33" t="str">
        <f t="shared" si="6"/>
        <v/>
      </c>
      <c r="AB482" s="37"/>
      <c r="AC482" s="29"/>
      <c r="AD482" s="29" t="b">
        <v>0</v>
      </c>
      <c r="AE482" s="22" t="str">
        <f t="shared" si="7"/>
        <v/>
      </c>
      <c r="AF482" s="7">
        <f>IF(ISBLANK(AB482), 0, VLOOKUP(AB482, 'Price Sheet'!$A$2:$B1015, 2, false))</f>
        <v>0</v>
      </c>
      <c r="AG482" s="33" t="str">
        <f t="shared" si="8"/>
        <v/>
      </c>
      <c r="AH482" s="37"/>
      <c r="AI482" s="29"/>
      <c r="AJ482" s="29" t="b">
        <v>0</v>
      </c>
      <c r="AK482" s="22" t="str">
        <f t="shared" si="9"/>
        <v/>
      </c>
      <c r="AL482" s="7">
        <f>IF(ISBLANK(AH482), 0, VLOOKUP(AH482, 'Price Sheet'!$A$2:$B1015, 2, false))</f>
        <v>0</v>
      </c>
      <c r="AM482" s="33" t="str">
        <f t="shared" si="10"/>
        <v/>
      </c>
      <c r="AN482" s="37"/>
      <c r="AO482" s="29"/>
      <c r="AP482" s="29" t="b">
        <v>0</v>
      </c>
      <c r="AQ482" s="22" t="str">
        <f t="shared" si="11"/>
        <v/>
      </c>
      <c r="AR482" s="7">
        <f>IF(ISBLANK(AN482), 0, VLOOKUP(AN482, 'Price Sheet'!$A$2:$B1015, 2, false))</f>
        <v>0</v>
      </c>
      <c r="AS482" s="33" t="str">
        <f t="shared" si="12"/>
        <v/>
      </c>
      <c r="AT482" s="37"/>
      <c r="AU482" s="29"/>
      <c r="AV482" s="29" t="b">
        <v>0</v>
      </c>
      <c r="AW482" s="22" t="str">
        <f t="shared" si="13"/>
        <v/>
      </c>
      <c r="AX482" s="7">
        <f>IF(ISBLANK(AT482), 0, VLOOKUP(AT482, 'Price Sheet'!$A$2:$B1015, 2, false))</f>
        <v>0</v>
      </c>
      <c r="AY482" s="33" t="str">
        <f t="shared" si="14"/>
        <v/>
      </c>
      <c r="AZ482" s="37"/>
      <c r="BA482" s="29"/>
      <c r="BB482" s="29" t="b">
        <v>0</v>
      </c>
      <c r="BC482" s="22" t="str">
        <f t="shared" si="15"/>
        <v/>
      </c>
      <c r="BD482" s="7">
        <f>IF(ISBLANK(AZ482), 0, VLOOKUP(AZ482, 'Price Sheet'!$A$2:$B1015, 2, false))</f>
        <v>0</v>
      </c>
      <c r="BE482" s="33" t="str">
        <f t="shared" si="16"/>
        <v/>
      </c>
      <c r="BF482" s="37"/>
      <c r="BG482" s="29"/>
      <c r="BH482" s="29" t="b">
        <v>0</v>
      </c>
      <c r="BI482" s="22" t="str">
        <f t="shared" si="17"/>
        <v/>
      </c>
      <c r="BJ482" s="7">
        <f>IF(ISBLANK(BF482), 0, VLOOKUP(BF482, 'Price Sheet'!$A$2:$B1015, 2, false))</f>
        <v>0</v>
      </c>
      <c r="BK482" s="33" t="str">
        <f t="shared" si="18"/>
        <v/>
      </c>
      <c r="BL482" s="37"/>
      <c r="BM482" s="29"/>
      <c r="BN482" s="29" t="b">
        <v>0</v>
      </c>
      <c r="BO482" s="22" t="str">
        <f t="shared" si="19"/>
        <v/>
      </c>
      <c r="BP482" s="7">
        <f>IF(ISBLANK(BL482), 0, VLOOKUP(BL482, 'Price Sheet'!$A$2:$B1015, 2, false))</f>
        <v>0</v>
      </c>
      <c r="BQ482" s="33" t="str">
        <f t="shared" si="20"/>
        <v/>
      </c>
    </row>
    <row r="483">
      <c r="B483" s="19"/>
      <c r="C483" s="29"/>
      <c r="D483" s="29"/>
      <c r="E483" s="7" t="str">
        <f>IF(ISBLANK(D483), "", VLOOKUP(D483,'Crafting Tables'!$A$2:$B1015, 2, false))</f>
        <v/>
      </c>
      <c r="F483" s="7" t="str">
        <f>IFERROR(IF(E483 = "None", 1, VLOOKUP(C483,General!$A$5:$L$35, SWITCH(E483, "Basic", 8, "Advanced", 10, "Modern", 12), false)),"")</f>
        <v/>
      </c>
      <c r="G483" s="29"/>
      <c r="H483" s="7">
        <f>IFERROR(VLOOKUP(C483, General!$A$5:$L$35, 6, false) * G483 / 1000, 0)</f>
        <v>0</v>
      </c>
      <c r="I483" s="29"/>
      <c r="J483" s="22" t="str">
        <f>IFERROR(I483*VLOOKUP(D483,'Crafting Tables'!$1:$1000, 4, false)*F483,"")</f>
        <v/>
      </c>
      <c r="K483" s="29" t="b">
        <v>0</v>
      </c>
      <c r="L483" s="37"/>
      <c r="M483" s="29"/>
      <c r="N483" s="21" t="str">
        <f t="shared" si="2"/>
        <v/>
      </c>
      <c r="P483" s="37"/>
      <c r="Q483" s="29"/>
      <c r="R483" s="29" t="b">
        <v>0</v>
      </c>
      <c r="S483" s="22" t="str">
        <f t="shared" si="3"/>
        <v/>
      </c>
      <c r="T483" s="7">
        <f>IF(ISBLANK(P483), 0, VLOOKUP(P483, 'Price Sheet'!$A$2:$B1015, 2, false))</f>
        <v>0</v>
      </c>
      <c r="U483" s="33" t="str">
        <f t="shared" si="4"/>
        <v/>
      </c>
      <c r="V483" s="37"/>
      <c r="W483" s="29"/>
      <c r="X483" s="29" t="b">
        <v>0</v>
      </c>
      <c r="Y483" s="22" t="str">
        <f t="shared" si="5"/>
        <v/>
      </c>
      <c r="Z483" s="7">
        <f>IF(ISBLANK(V483), 0, VLOOKUP(V483, 'Price Sheet'!$A$2:$B1015, 2, false))</f>
        <v>0</v>
      </c>
      <c r="AA483" s="33" t="str">
        <f t="shared" si="6"/>
        <v/>
      </c>
      <c r="AB483" s="37"/>
      <c r="AC483" s="29"/>
      <c r="AD483" s="29" t="b">
        <v>0</v>
      </c>
      <c r="AE483" s="22" t="str">
        <f t="shared" si="7"/>
        <v/>
      </c>
      <c r="AF483" s="7">
        <f>IF(ISBLANK(AB483), 0, VLOOKUP(AB483, 'Price Sheet'!$A$2:$B1015, 2, false))</f>
        <v>0</v>
      </c>
      <c r="AG483" s="33" t="str">
        <f t="shared" si="8"/>
        <v/>
      </c>
      <c r="AH483" s="37"/>
      <c r="AI483" s="29"/>
      <c r="AJ483" s="29" t="b">
        <v>0</v>
      </c>
      <c r="AK483" s="22" t="str">
        <f t="shared" si="9"/>
        <v/>
      </c>
      <c r="AL483" s="7">
        <f>IF(ISBLANK(AH483), 0, VLOOKUP(AH483, 'Price Sheet'!$A$2:$B1015, 2, false))</f>
        <v>0</v>
      </c>
      <c r="AM483" s="33" t="str">
        <f t="shared" si="10"/>
        <v/>
      </c>
      <c r="AN483" s="37"/>
      <c r="AO483" s="29"/>
      <c r="AP483" s="29" t="b">
        <v>0</v>
      </c>
      <c r="AQ483" s="22" t="str">
        <f t="shared" si="11"/>
        <v/>
      </c>
      <c r="AR483" s="7">
        <f>IF(ISBLANK(AN483), 0, VLOOKUP(AN483, 'Price Sheet'!$A$2:$B1015, 2, false))</f>
        <v>0</v>
      </c>
      <c r="AS483" s="33" t="str">
        <f t="shared" si="12"/>
        <v/>
      </c>
      <c r="AT483" s="37"/>
      <c r="AU483" s="29"/>
      <c r="AV483" s="29" t="b">
        <v>0</v>
      </c>
      <c r="AW483" s="22" t="str">
        <f t="shared" si="13"/>
        <v/>
      </c>
      <c r="AX483" s="7">
        <f>IF(ISBLANK(AT483), 0, VLOOKUP(AT483, 'Price Sheet'!$A$2:$B1015, 2, false))</f>
        <v>0</v>
      </c>
      <c r="AY483" s="33" t="str">
        <f t="shared" si="14"/>
        <v/>
      </c>
      <c r="AZ483" s="37"/>
      <c r="BA483" s="29"/>
      <c r="BB483" s="29" t="b">
        <v>0</v>
      </c>
      <c r="BC483" s="22" t="str">
        <f t="shared" si="15"/>
        <v/>
      </c>
      <c r="BD483" s="7">
        <f>IF(ISBLANK(AZ483), 0, VLOOKUP(AZ483, 'Price Sheet'!$A$2:$B1015, 2, false))</f>
        <v>0</v>
      </c>
      <c r="BE483" s="33" t="str">
        <f t="shared" si="16"/>
        <v/>
      </c>
      <c r="BF483" s="37"/>
      <c r="BG483" s="29"/>
      <c r="BH483" s="29" t="b">
        <v>0</v>
      </c>
      <c r="BI483" s="22" t="str">
        <f t="shared" si="17"/>
        <v/>
      </c>
      <c r="BJ483" s="7">
        <f>IF(ISBLANK(BF483), 0, VLOOKUP(BF483, 'Price Sheet'!$A$2:$B1015, 2, false))</f>
        <v>0</v>
      </c>
      <c r="BK483" s="33" t="str">
        <f t="shared" si="18"/>
        <v/>
      </c>
      <c r="BL483" s="37"/>
      <c r="BM483" s="29"/>
      <c r="BN483" s="29" t="b">
        <v>0</v>
      </c>
      <c r="BO483" s="22" t="str">
        <f t="shared" si="19"/>
        <v/>
      </c>
      <c r="BP483" s="7">
        <f>IF(ISBLANK(BL483), 0, VLOOKUP(BL483, 'Price Sheet'!$A$2:$B1015, 2, false))</f>
        <v>0</v>
      </c>
      <c r="BQ483" s="33" t="str">
        <f t="shared" si="20"/>
        <v/>
      </c>
    </row>
    <row r="484">
      <c r="B484" s="19"/>
      <c r="C484" s="29"/>
      <c r="D484" s="29"/>
      <c r="E484" s="7" t="str">
        <f>IF(ISBLANK(D484), "", VLOOKUP(D484,'Crafting Tables'!$A$2:$B1015, 2, false))</f>
        <v/>
      </c>
      <c r="F484" s="7" t="str">
        <f>IFERROR(IF(E484 = "None", 1, VLOOKUP(C484,General!$A$5:$L$35, SWITCH(E484, "Basic", 8, "Advanced", 10, "Modern", 12), false)),"")</f>
        <v/>
      </c>
      <c r="G484" s="29"/>
      <c r="H484" s="7">
        <f>IFERROR(VLOOKUP(C484, General!$A$5:$L$35, 6, false) * G484 / 1000, 0)</f>
        <v>0</v>
      </c>
      <c r="I484" s="29"/>
      <c r="J484" s="22" t="str">
        <f>IFERROR(I484*VLOOKUP(D484,'Crafting Tables'!$1:$1000, 4, false)*F484,"")</f>
        <v/>
      </c>
      <c r="K484" s="29" t="b">
        <v>0</v>
      </c>
      <c r="L484" s="37"/>
      <c r="M484" s="29"/>
      <c r="N484" s="21" t="str">
        <f t="shared" si="2"/>
        <v/>
      </c>
      <c r="P484" s="37"/>
      <c r="Q484" s="29"/>
      <c r="R484" s="29" t="b">
        <v>0</v>
      </c>
      <c r="S484" s="22" t="str">
        <f t="shared" si="3"/>
        <v/>
      </c>
      <c r="T484" s="7">
        <f>IF(ISBLANK(P484), 0, VLOOKUP(P484, 'Price Sheet'!$A$2:$B1015, 2, false))</f>
        <v>0</v>
      </c>
      <c r="U484" s="33" t="str">
        <f t="shared" si="4"/>
        <v/>
      </c>
      <c r="V484" s="37"/>
      <c r="W484" s="29"/>
      <c r="X484" s="29" t="b">
        <v>0</v>
      </c>
      <c r="Y484" s="22" t="str">
        <f t="shared" si="5"/>
        <v/>
      </c>
      <c r="Z484" s="7">
        <f>IF(ISBLANK(V484), 0, VLOOKUP(V484, 'Price Sheet'!$A$2:$B1015, 2, false))</f>
        <v>0</v>
      </c>
      <c r="AA484" s="33" t="str">
        <f t="shared" si="6"/>
        <v/>
      </c>
      <c r="AB484" s="37"/>
      <c r="AC484" s="29"/>
      <c r="AD484" s="29" t="b">
        <v>0</v>
      </c>
      <c r="AE484" s="22" t="str">
        <f t="shared" si="7"/>
        <v/>
      </c>
      <c r="AF484" s="7">
        <f>IF(ISBLANK(AB484), 0, VLOOKUP(AB484, 'Price Sheet'!$A$2:$B1015, 2, false))</f>
        <v>0</v>
      </c>
      <c r="AG484" s="33" t="str">
        <f t="shared" si="8"/>
        <v/>
      </c>
      <c r="AH484" s="37"/>
      <c r="AI484" s="29"/>
      <c r="AJ484" s="29" t="b">
        <v>0</v>
      </c>
      <c r="AK484" s="22" t="str">
        <f t="shared" si="9"/>
        <v/>
      </c>
      <c r="AL484" s="7">
        <f>IF(ISBLANK(AH484), 0, VLOOKUP(AH484, 'Price Sheet'!$A$2:$B1015, 2, false))</f>
        <v>0</v>
      </c>
      <c r="AM484" s="33" t="str">
        <f t="shared" si="10"/>
        <v/>
      </c>
      <c r="AN484" s="37"/>
      <c r="AO484" s="29"/>
      <c r="AP484" s="29" t="b">
        <v>0</v>
      </c>
      <c r="AQ484" s="22" t="str">
        <f t="shared" si="11"/>
        <v/>
      </c>
      <c r="AR484" s="7">
        <f>IF(ISBLANK(AN484), 0, VLOOKUP(AN484, 'Price Sheet'!$A$2:$B1015, 2, false))</f>
        <v>0</v>
      </c>
      <c r="AS484" s="33" t="str">
        <f t="shared" si="12"/>
        <v/>
      </c>
      <c r="AT484" s="37"/>
      <c r="AU484" s="29"/>
      <c r="AV484" s="29" t="b">
        <v>0</v>
      </c>
      <c r="AW484" s="22" t="str">
        <f t="shared" si="13"/>
        <v/>
      </c>
      <c r="AX484" s="7">
        <f>IF(ISBLANK(AT484), 0, VLOOKUP(AT484, 'Price Sheet'!$A$2:$B1015, 2, false))</f>
        <v>0</v>
      </c>
      <c r="AY484" s="33" t="str">
        <f t="shared" si="14"/>
        <v/>
      </c>
      <c r="AZ484" s="37"/>
      <c r="BA484" s="29"/>
      <c r="BB484" s="29" t="b">
        <v>0</v>
      </c>
      <c r="BC484" s="22" t="str">
        <f t="shared" si="15"/>
        <v/>
      </c>
      <c r="BD484" s="7">
        <f>IF(ISBLANK(AZ484), 0, VLOOKUP(AZ484, 'Price Sheet'!$A$2:$B1015, 2, false))</f>
        <v>0</v>
      </c>
      <c r="BE484" s="33" t="str">
        <f t="shared" si="16"/>
        <v/>
      </c>
      <c r="BF484" s="37"/>
      <c r="BG484" s="29"/>
      <c r="BH484" s="29" t="b">
        <v>0</v>
      </c>
      <c r="BI484" s="22" t="str">
        <f t="shared" si="17"/>
        <v/>
      </c>
      <c r="BJ484" s="7">
        <f>IF(ISBLANK(BF484), 0, VLOOKUP(BF484, 'Price Sheet'!$A$2:$B1015, 2, false))</f>
        <v>0</v>
      </c>
      <c r="BK484" s="33" t="str">
        <f t="shared" si="18"/>
        <v/>
      </c>
      <c r="BL484" s="37"/>
      <c r="BM484" s="29"/>
      <c r="BN484" s="29" t="b">
        <v>0</v>
      </c>
      <c r="BO484" s="22" t="str">
        <f t="shared" si="19"/>
        <v/>
      </c>
      <c r="BP484" s="7">
        <f>IF(ISBLANK(BL484), 0, VLOOKUP(BL484, 'Price Sheet'!$A$2:$B1015, 2, false))</f>
        <v>0</v>
      </c>
      <c r="BQ484" s="33" t="str">
        <f t="shared" si="20"/>
        <v/>
      </c>
    </row>
    <row r="485">
      <c r="B485" s="19"/>
      <c r="C485" s="29"/>
      <c r="D485" s="29"/>
      <c r="E485" s="7" t="str">
        <f>IF(ISBLANK(D485), "", VLOOKUP(D485,'Crafting Tables'!$A$2:$B1015, 2, false))</f>
        <v/>
      </c>
      <c r="F485" s="7" t="str">
        <f>IFERROR(IF(E485 = "None", 1, VLOOKUP(C485,General!$A$5:$L$35, SWITCH(E485, "Basic", 8, "Advanced", 10, "Modern", 12), false)),"")</f>
        <v/>
      </c>
      <c r="G485" s="29"/>
      <c r="H485" s="7">
        <f>IFERROR(VLOOKUP(C485, General!$A$5:$L$35, 6, false) * G485 / 1000, 0)</f>
        <v>0</v>
      </c>
      <c r="I485" s="29"/>
      <c r="J485" s="22" t="str">
        <f>IFERROR(I485*VLOOKUP(D485,'Crafting Tables'!$1:$1000, 4, false)*F485,"")</f>
        <v/>
      </c>
      <c r="K485" s="29" t="b">
        <v>0</v>
      </c>
      <c r="L485" s="37"/>
      <c r="M485" s="29"/>
      <c r="N485" s="21" t="str">
        <f t="shared" si="2"/>
        <v/>
      </c>
      <c r="P485" s="37"/>
      <c r="Q485" s="29"/>
      <c r="R485" s="29" t="b">
        <v>0</v>
      </c>
      <c r="S485" s="22" t="str">
        <f t="shared" si="3"/>
        <v/>
      </c>
      <c r="T485" s="7">
        <f>IF(ISBLANK(P485), 0, VLOOKUP(P485, 'Price Sheet'!$A$2:$B1015, 2, false))</f>
        <v>0</v>
      </c>
      <c r="U485" s="33" t="str">
        <f t="shared" si="4"/>
        <v/>
      </c>
      <c r="V485" s="37"/>
      <c r="W485" s="29"/>
      <c r="X485" s="29" t="b">
        <v>0</v>
      </c>
      <c r="Y485" s="22" t="str">
        <f t="shared" si="5"/>
        <v/>
      </c>
      <c r="Z485" s="7">
        <f>IF(ISBLANK(V485), 0, VLOOKUP(V485, 'Price Sheet'!$A$2:$B1015, 2, false))</f>
        <v>0</v>
      </c>
      <c r="AA485" s="33" t="str">
        <f t="shared" si="6"/>
        <v/>
      </c>
      <c r="AB485" s="37"/>
      <c r="AC485" s="29"/>
      <c r="AD485" s="29" t="b">
        <v>0</v>
      </c>
      <c r="AE485" s="22" t="str">
        <f t="shared" si="7"/>
        <v/>
      </c>
      <c r="AF485" s="7">
        <f>IF(ISBLANK(AB485), 0, VLOOKUP(AB485, 'Price Sheet'!$A$2:$B1015, 2, false))</f>
        <v>0</v>
      </c>
      <c r="AG485" s="33" t="str">
        <f t="shared" si="8"/>
        <v/>
      </c>
      <c r="AH485" s="37"/>
      <c r="AI485" s="29"/>
      <c r="AJ485" s="29" t="b">
        <v>0</v>
      </c>
      <c r="AK485" s="22" t="str">
        <f t="shared" si="9"/>
        <v/>
      </c>
      <c r="AL485" s="7">
        <f>IF(ISBLANK(AH485), 0, VLOOKUP(AH485, 'Price Sheet'!$A$2:$B1015, 2, false))</f>
        <v>0</v>
      </c>
      <c r="AM485" s="33" t="str">
        <f t="shared" si="10"/>
        <v/>
      </c>
      <c r="AN485" s="37"/>
      <c r="AO485" s="29"/>
      <c r="AP485" s="29" t="b">
        <v>0</v>
      </c>
      <c r="AQ485" s="22" t="str">
        <f t="shared" si="11"/>
        <v/>
      </c>
      <c r="AR485" s="7">
        <f>IF(ISBLANK(AN485), 0, VLOOKUP(AN485, 'Price Sheet'!$A$2:$B1015, 2, false))</f>
        <v>0</v>
      </c>
      <c r="AS485" s="33" t="str">
        <f t="shared" si="12"/>
        <v/>
      </c>
      <c r="AT485" s="37"/>
      <c r="AU485" s="29"/>
      <c r="AV485" s="29" t="b">
        <v>0</v>
      </c>
      <c r="AW485" s="22" t="str">
        <f t="shared" si="13"/>
        <v/>
      </c>
      <c r="AX485" s="7">
        <f>IF(ISBLANK(AT485), 0, VLOOKUP(AT485, 'Price Sheet'!$A$2:$B1015, 2, false))</f>
        <v>0</v>
      </c>
      <c r="AY485" s="33" t="str">
        <f t="shared" si="14"/>
        <v/>
      </c>
      <c r="AZ485" s="37"/>
      <c r="BA485" s="29"/>
      <c r="BB485" s="29" t="b">
        <v>0</v>
      </c>
      <c r="BC485" s="22" t="str">
        <f t="shared" si="15"/>
        <v/>
      </c>
      <c r="BD485" s="7">
        <f>IF(ISBLANK(AZ485), 0, VLOOKUP(AZ485, 'Price Sheet'!$A$2:$B1015, 2, false))</f>
        <v>0</v>
      </c>
      <c r="BE485" s="33" t="str">
        <f t="shared" si="16"/>
        <v/>
      </c>
      <c r="BF485" s="37"/>
      <c r="BG485" s="29"/>
      <c r="BH485" s="29" t="b">
        <v>0</v>
      </c>
      <c r="BI485" s="22" t="str">
        <f t="shared" si="17"/>
        <v/>
      </c>
      <c r="BJ485" s="7">
        <f>IF(ISBLANK(BF485), 0, VLOOKUP(BF485, 'Price Sheet'!$A$2:$B1015, 2, false))</f>
        <v>0</v>
      </c>
      <c r="BK485" s="33" t="str">
        <f t="shared" si="18"/>
        <v/>
      </c>
      <c r="BL485" s="37"/>
      <c r="BM485" s="29"/>
      <c r="BN485" s="29" t="b">
        <v>0</v>
      </c>
      <c r="BO485" s="22" t="str">
        <f t="shared" si="19"/>
        <v/>
      </c>
      <c r="BP485" s="7">
        <f>IF(ISBLANK(BL485), 0, VLOOKUP(BL485, 'Price Sheet'!$A$2:$B1015, 2, false))</f>
        <v>0</v>
      </c>
      <c r="BQ485" s="33" t="str">
        <f t="shared" si="20"/>
        <v/>
      </c>
    </row>
    <row r="486">
      <c r="B486" s="19"/>
      <c r="C486" s="29"/>
      <c r="D486" s="29"/>
      <c r="E486" s="7" t="str">
        <f>IF(ISBLANK(D486), "", VLOOKUP(D486,'Crafting Tables'!$A$2:$B1015, 2, false))</f>
        <v/>
      </c>
      <c r="F486" s="7" t="str">
        <f>IFERROR(IF(E486 = "None", 1, VLOOKUP(C486,General!$A$5:$L$35, SWITCH(E486, "Basic", 8, "Advanced", 10, "Modern", 12), false)),"")</f>
        <v/>
      </c>
      <c r="G486" s="29"/>
      <c r="H486" s="7">
        <f>IFERROR(VLOOKUP(C486, General!$A$5:$L$35, 6, false) * G486 / 1000, 0)</f>
        <v>0</v>
      </c>
      <c r="I486" s="29"/>
      <c r="J486" s="22" t="str">
        <f>IFERROR(I486*VLOOKUP(D486,'Crafting Tables'!$1:$1000, 4, false)*F486,"")</f>
        <v/>
      </c>
      <c r="K486" s="29" t="b">
        <v>0</v>
      </c>
      <c r="L486" s="37"/>
      <c r="M486" s="29"/>
      <c r="N486" s="21" t="str">
        <f t="shared" si="2"/>
        <v/>
      </c>
      <c r="P486" s="37"/>
      <c r="Q486" s="29"/>
      <c r="R486" s="29" t="b">
        <v>0</v>
      </c>
      <c r="S486" s="22" t="str">
        <f t="shared" si="3"/>
        <v/>
      </c>
      <c r="T486" s="7">
        <f>IF(ISBLANK(P486), 0, VLOOKUP(P486, 'Price Sheet'!$A$2:$B1015, 2, false))</f>
        <v>0</v>
      </c>
      <c r="U486" s="33" t="str">
        <f t="shared" si="4"/>
        <v/>
      </c>
      <c r="V486" s="37"/>
      <c r="W486" s="29"/>
      <c r="X486" s="29" t="b">
        <v>0</v>
      </c>
      <c r="Y486" s="22" t="str">
        <f t="shared" si="5"/>
        <v/>
      </c>
      <c r="Z486" s="7">
        <f>IF(ISBLANK(V486), 0, VLOOKUP(V486, 'Price Sheet'!$A$2:$B1015, 2, false))</f>
        <v>0</v>
      </c>
      <c r="AA486" s="33" t="str">
        <f t="shared" si="6"/>
        <v/>
      </c>
      <c r="AB486" s="37"/>
      <c r="AC486" s="29"/>
      <c r="AD486" s="29" t="b">
        <v>0</v>
      </c>
      <c r="AE486" s="22" t="str">
        <f t="shared" si="7"/>
        <v/>
      </c>
      <c r="AF486" s="7">
        <f>IF(ISBLANK(AB486), 0, VLOOKUP(AB486, 'Price Sheet'!$A$2:$B1015, 2, false))</f>
        <v>0</v>
      </c>
      <c r="AG486" s="33" t="str">
        <f t="shared" si="8"/>
        <v/>
      </c>
      <c r="AH486" s="37"/>
      <c r="AI486" s="29"/>
      <c r="AJ486" s="29" t="b">
        <v>0</v>
      </c>
      <c r="AK486" s="22" t="str">
        <f t="shared" si="9"/>
        <v/>
      </c>
      <c r="AL486" s="7">
        <f>IF(ISBLANK(AH486), 0, VLOOKUP(AH486, 'Price Sheet'!$A$2:$B1015, 2, false))</f>
        <v>0</v>
      </c>
      <c r="AM486" s="33" t="str">
        <f t="shared" si="10"/>
        <v/>
      </c>
      <c r="AN486" s="37"/>
      <c r="AO486" s="29"/>
      <c r="AP486" s="29" t="b">
        <v>0</v>
      </c>
      <c r="AQ486" s="22" t="str">
        <f t="shared" si="11"/>
        <v/>
      </c>
      <c r="AR486" s="7">
        <f>IF(ISBLANK(AN486), 0, VLOOKUP(AN486, 'Price Sheet'!$A$2:$B1015, 2, false))</f>
        <v>0</v>
      </c>
      <c r="AS486" s="33" t="str">
        <f t="shared" si="12"/>
        <v/>
      </c>
      <c r="AT486" s="37"/>
      <c r="AU486" s="29"/>
      <c r="AV486" s="29" t="b">
        <v>0</v>
      </c>
      <c r="AW486" s="22" t="str">
        <f t="shared" si="13"/>
        <v/>
      </c>
      <c r="AX486" s="7">
        <f>IF(ISBLANK(AT486), 0, VLOOKUP(AT486, 'Price Sheet'!$A$2:$B1015, 2, false))</f>
        <v>0</v>
      </c>
      <c r="AY486" s="33" t="str">
        <f t="shared" si="14"/>
        <v/>
      </c>
      <c r="AZ486" s="37"/>
      <c r="BA486" s="29"/>
      <c r="BB486" s="29" t="b">
        <v>0</v>
      </c>
      <c r="BC486" s="22" t="str">
        <f t="shared" si="15"/>
        <v/>
      </c>
      <c r="BD486" s="7">
        <f>IF(ISBLANK(AZ486), 0, VLOOKUP(AZ486, 'Price Sheet'!$A$2:$B1015, 2, false))</f>
        <v>0</v>
      </c>
      <c r="BE486" s="33" t="str">
        <f t="shared" si="16"/>
        <v/>
      </c>
      <c r="BF486" s="37"/>
      <c r="BG486" s="29"/>
      <c r="BH486" s="29" t="b">
        <v>0</v>
      </c>
      <c r="BI486" s="22" t="str">
        <f t="shared" si="17"/>
        <v/>
      </c>
      <c r="BJ486" s="7">
        <f>IF(ISBLANK(BF486), 0, VLOOKUP(BF486, 'Price Sheet'!$A$2:$B1015, 2, false))</f>
        <v>0</v>
      </c>
      <c r="BK486" s="33" t="str">
        <f t="shared" si="18"/>
        <v/>
      </c>
      <c r="BL486" s="37"/>
      <c r="BM486" s="29"/>
      <c r="BN486" s="29" t="b">
        <v>0</v>
      </c>
      <c r="BO486" s="22" t="str">
        <f t="shared" si="19"/>
        <v/>
      </c>
      <c r="BP486" s="7">
        <f>IF(ISBLANK(BL486), 0, VLOOKUP(BL486, 'Price Sheet'!$A$2:$B1015, 2, false))</f>
        <v>0</v>
      </c>
      <c r="BQ486" s="33" t="str">
        <f t="shared" si="20"/>
        <v/>
      </c>
    </row>
    <row r="487">
      <c r="B487" s="19"/>
      <c r="C487" s="29"/>
      <c r="D487" s="29"/>
      <c r="E487" s="7" t="str">
        <f>IF(ISBLANK(D487), "", VLOOKUP(D487,'Crafting Tables'!$A$2:$B1015, 2, false))</f>
        <v/>
      </c>
      <c r="F487" s="7" t="str">
        <f>IFERROR(IF(E487 = "None", 1, VLOOKUP(C487,General!$A$5:$L$35, SWITCH(E487, "Basic", 8, "Advanced", 10, "Modern", 12), false)),"")</f>
        <v/>
      </c>
      <c r="G487" s="29"/>
      <c r="H487" s="7">
        <f>IFERROR(VLOOKUP(C487, General!$A$5:$L$35, 6, false) * G487 / 1000, 0)</f>
        <v>0</v>
      </c>
      <c r="I487" s="29"/>
      <c r="J487" s="22" t="str">
        <f>IFERROR(I487*VLOOKUP(D487,'Crafting Tables'!$1:$1000, 4, false)*F487,"")</f>
        <v/>
      </c>
      <c r="K487" s="29" t="b">
        <v>0</v>
      </c>
      <c r="L487" s="37"/>
      <c r="M487" s="29"/>
      <c r="N487" s="21" t="str">
        <f t="shared" si="2"/>
        <v/>
      </c>
      <c r="P487" s="37"/>
      <c r="Q487" s="29"/>
      <c r="R487" s="29" t="b">
        <v>0</v>
      </c>
      <c r="S487" s="22" t="str">
        <f t="shared" si="3"/>
        <v/>
      </c>
      <c r="T487" s="7">
        <f>IF(ISBLANK(P487), 0, VLOOKUP(P487, 'Price Sheet'!$A$2:$B1015, 2, false))</f>
        <v>0</v>
      </c>
      <c r="U487" s="33" t="str">
        <f t="shared" si="4"/>
        <v/>
      </c>
      <c r="V487" s="37"/>
      <c r="W487" s="29"/>
      <c r="X487" s="29" t="b">
        <v>0</v>
      </c>
      <c r="Y487" s="22" t="str">
        <f t="shared" si="5"/>
        <v/>
      </c>
      <c r="Z487" s="7">
        <f>IF(ISBLANK(V487), 0, VLOOKUP(V487, 'Price Sheet'!$A$2:$B1015, 2, false))</f>
        <v>0</v>
      </c>
      <c r="AA487" s="33" t="str">
        <f t="shared" si="6"/>
        <v/>
      </c>
      <c r="AB487" s="37"/>
      <c r="AC487" s="29"/>
      <c r="AD487" s="29" t="b">
        <v>0</v>
      </c>
      <c r="AE487" s="22" t="str">
        <f t="shared" si="7"/>
        <v/>
      </c>
      <c r="AF487" s="7">
        <f>IF(ISBLANK(AB487), 0, VLOOKUP(AB487, 'Price Sheet'!$A$2:$B1015, 2, false))</f>
        <v>0</v>
      </c>
      <c r="AG487" s="33" t="str">
        <f t="shared" si="8"/>
        <v/>
      </c>
      <c r="AH487" s="37"/>
      <c r="AI487" s="29"/>
      <c r="AJ487" s="29" t="b">
        <v>0</v>
      </c>
      <c r="AK487" s="22" t="str">
        <f t="shared" si="9"/>
        <v/>
      </c>
      <c r="AL487" s="7">
        <f>IF(ISBLANK(AH487), 0, VLOOKUP(AH487, 'Price Sheet'!$A$2:$B1015, 2, false))</f>
        <v>0</v>
      </c>
      <c r="AM487" s="33" t="str">
        <f t="shared" si="10"/>
        <v/>
      </c>
      <c r="AN487" s="37"/>
      <c r="AO487" s="29"/>
      <c r="AP487" s="29" t="b">
        <v>0</v>
      </c>
      <c r="AQ487" s="22" t="str">
        <f t="shared" si="11"/>
        <v/>
      </c>
      <c r="AR487" s="7">
        <f>IF(ISBLANK(AN487), 0, VLOOKUP(AN487, 'Price Sheet'!$A$2:$B1015, 2, false))</f>
        <v>0</v>
      </c>
      <c r="AS487" s="33" t="str">
        <f t="shared" si="12"/>
        <v/>
      </c>
      <c r="AT487" s="37"/>
      <c r="AU487" s="29"/>
      <c r="AV487" s="29" t="b">
        <v>0</v>
      </c>
      <c r="AW487" s="22" t="str">
        <f t="shared" si="13"/>
        <v/>
      </c>
      <c r="AX487" s="7">
        <f>IF(ISBLANK(AT487), 0, VLOOKUP(AT487, 'Price Sheet'!$A$2:$B1015, 2, false))</f>
        <v>0</v>
      </c>
      <c r="AY487" s="33" t="str">
        <f t="shared" si="14"/>
        <v/>
      </c>
      <c r="AZ487" s="37"/>
      <c r="BA487" s="29"/>
      <c r="BB487" s="29" t="b">
        <v>0</v>
      </c>
      <c r="BC487" s="22" t="str">
        <f t="shared" si="15"/>
        <v/>
      </c>
      <c r="BD487" s="7">
        <f>IF(ISBLANK(AZ487), 0, VLOOKUP(AZ487, 'Price Sheet'!$A$2:$B1015, 2, false))</f>
        <v>0</v>
      </c>
      <c r="BE487" s="33" t="str">
        <f t="shared" si="16"/>
        <v/>
      </c>
      <c r="BF487" s="37"/>
      <c r="BG487" s="29"/>
      <c r="BH487" s="29" t="b">
        <v>0</v>
      </c>
      <c r="BI487" s="22" t="str">
        <f t="shared" si="17"/>
        <v/>
      </c>
      <c r="BJ487" s="7">
        <f>IF(ISBLANK(BF487), 0, VLOOKUP(BF487, 'Price Sheet'!$A$2:$B1015, 2, false))</f>
        <v>0</v>
      </c>
      <c r="BK487" s="33" t="str">
        <f t="shared" si="18"/>
        <v/>
      </c>
      <c r="BL487" s="37"/>
      <c r="BM487" s="29"/>
      <c r="BN487" s="29" t="b">
        <v>0</v>
      </c>
      <c r="BO487" s="22" t="str">
        <f t="shared" si="19"/>
        <v/>
      </c>
      <c r="BP487" s="7">
        <f>IF(ISBLANK(BL487), 0, VLOOKUP(BL487, 'Price Sheet'!$A$2:$B1015, 2, false))</f>
        <v>0</v>
      </c>
      <c r="BQ487" s="33" t="str">
        <f t="shared" si="20"/>
        <v/>
      </c>
    </row>
    <row r="488">
      <c r="B488" s="19"/>
      <c r="C488" s="29"/>
      <c r="D488" s="29"/>
      <c r="E488" s="7" t="str">
        <f>IF(ISBLANK(D488), "", VLOOKUP(D488,'Crafting Tables'!$A$2:$B1015, 2, false))</f>
        <v/>
      </c>
      <c r="F488" s="7" t="str">
        <f>IFERROR(IF(E488 = "None", 1, VLOOKUP(C488,General!$A$5:$L$35, SWITCH(E488, "Basic", 8, "Advanced", 10, "Modern", 12), false)),"")</f>
        <v/>
      </c>
      <c r="G488" s="29"/>
      <c r="H488" s="7">
        <f>IFERROR(VLOOKUP(C488, General!$A$5:$L$35, 6, false) * G488 / 1000, 0)</f>
        <v>0</v>
      </c>
      <c r="I488" s="29"/>
      <c r="J488" s="22" t="str">
        <f>IFERROR(I488*VLOOKUP(D488,'Crafting Tables'!$1:$1000, 4, false)*F488,"")</f>
        <v/>
      </c>
      <c r="K488" s="29" t="b">
        <v>0</v>
      </c>
      <c r="L488" s="37"/>
      <c r="M488" s="29"/>
      <c r="N488" s="21" t="str">
        <f t="shared" si="2"/>
        <v/>
      </c>
      <c r="P488" s="37"/>
      <c r="Q488" s="29"/>
      <c r="R488" s="29" t="b">
        <v>0</v>
      </c>
      <c r="S488" s="22" t="str">
        <f t="shared" si="3"/>
        <v/>
      </c>
      <c r="T488" s="7">
        <f>IF(ISBLANK(P488), 0, VLOOKUP(P488, 'Price Sheet'!$A$2:$B1015, 2, false))</f>
        <v>0</v>
      </c>
      <c r="U488" s="33" t="str">
        <f t="shared" si="4"/>
        <v/>
      </c>
      <c r="V488" s="37"/>
      <c r="W488" s="29"/>
      <c r="X488" s="29" t="b">
        <v>0</v>
      </c>
      <c r="Y488" s="22" t="str">
        <f t="shared" si="5"/>
        <v/>
      </c>
      <c r="Z488" s="7">
        <f>IF(ISBLANK(V488), 0, VLOOKUP(V488, 'Price Sheet'!$A$2:$B1015, 2, false))</f>
        <v>0</v>
      </c>
      <c r="AA488" s="33" t="str">
        <f t="shared" si="6"/>
        <v/>
      </c>
      <c r="AB488" s="37"/>
      <c r="AC488" s="29"/>
      <c r="AD488" s="29" t="b">
        <v>0</v>
      </c>
      <c r="AE488" s="22" t="str">
        <f t="shared" si="7"/>
        <v/>
      </c>
      <c r="AF488" s="7">
        <f>IF(ISBLANK(AB488), 0, VLOOKUP(AB488, 'Price Sheet'!$A$2:$B1015, 2, false))</f>
        <v>0</v>
      </c>
      <c r="AG488" s="33" t="str">
        <f t="shared" si="8"/>
        <v/>
      </c>
      <c r="AH488" s="37"/>
      <c r="AI488" s="29"/>
      <c r="AJ488" s="29" t="b">
        <v>0</v>
      </c>
      <c r="AK488" s="22" t="str">
        <f t="shared" si="9"/>
        <v/>
      </c>
      <c r="AL488" s="7">
        <f>IF(ISBLANK(AH488), 0, VLOOKUP(AH488, 'Price Sheet'!$A$2:$B1015, 2, false))</f>
        <v>0</v>
      </c>
      <c r="AM488" s="33" t="str">
        <f t="shared" si="10"/>
        <v/>
      </c>
      <c r="AN488" s="37"/>
      <c r="AO488" s="29"/>
      <c r="AP488" s="29" t="b">
        <v>0</v>
      </c>
      <c r="AQ488" s="22" t="str">
        <f t="shared" si="11"/>
        <v/>
      </c>
      <c r="AR488" s="7">
        <f>IF(ISBLANK(AN488), 0, VLOOKUP(AN488, 'Price Sheet'!$A$2:$B1015, 2, false))</f>
        <v>0</v>
      </c>
      <c r="AS488" s="33" t="str">
        <f t="shared" si="12"/>
        <v/>
      </c>
      <c r="AT488" s="37"/>
      <c r="AU488" s="29"/>
      <c r="AV488" s="29" t="b">
        <v>0</v>
      </c>
      <c r="AW488" s="22" t="str">
        <f t="shared" si="13"/>
        <v/>
      </c>
      <c r="AX488" s="7">
        <f>IF(ISBLANK(AT488), 0, VLOOKUP(AT488, 'Price Sheet'!$A$2:$B1015, 2, false))</f>
        <v>0</v>
      </c>
      <c r="AY488" s="33" t="str">
        <f t="shared" si="14"/>
        <v/>
      </c>
      <c r="AZ488" s="37"/>
      <c r="BA488" s="29"/>
      <c r="BB488" s="29" t="b">
        <v>0</v>
      </c>
      <c r="BC488" s="22" t="str">
        <f t="shared" si="15"/>
        <v/>
      </c>
      <c r="BD488" s="7">
        <f>IF(ISBLANK(AZ488), 0, VLOOKUP(AZ488, 'Price Sheet'!$A$2:$B1015, 2, false))</f>
        <v>0</v>
      </c>
      <c r="BE488" s="33" t="str">
        <f t="shared" si="16"/>
        <v/>
      </c>
      <c r="BF488" s="37"/>
      <c r="BG488" s="29"/>
      <c r="BH488" s="29" t="b">
        <v>0</v>
      </c>
      <c r="BI488" s="22" t="str">
        <f t="shared" si="17"/>
        <v/>
      </c>
      <c r="BJ488" s="7">
        <f>IF(ISBLANK(BF488), 0, VLOOKUP(BF488, 'Price Sheet'!$A$2:$B1015, 2, false))</f>
        <v>0</v>
      </c>
      <c r="BK488" s="33" t="str">
        <f t="shared" si="18"/>
        <v/>
      </c>
      <c r="BL488" s="37"/>
      <c r="BM488" s="29"/>
      <c r="BN488" s="29" t="b">
        <v>0</v>
      </c>
      <c r="BO488" s="22" t="str">
        <f t="shared" si="19"/>
        <v/>
      </c>
      <c r="BP488" s="7">
        <f>IF(ISBLANK(BL488), 0, VLOOKUP(BL488, 'Price Sheet'!$A$2:$B1015, 2, false))</f>
        <v>0</v>
      </c>
      <c r="BQ488" s="33" t="str">
        <f t="shared" si="20"/>
        <v/>
      </c>
    </row>
    <row r="489">
      <c r="B489" s="19"/>
      <c r="C489" s="29"/>
      <c r="D489" s="29"/>
      <c r="E489" s="7" t="str">
        <f>IF(ISBLANK(D489), "", VLOOKUP(D489,'Crafting Tables'!$A$2:$B1015, 2, false))</f>
        <v/>
      </c>
      <c r="F489" s="7" t="str">
        <f>IFERROR(IF(E489 = "None", 1, VLOOKUP(C489,General!$A$5:$L$35, SWITCH(E489, "Basic", 8, "Advanced", 10, "Modern", 12), false)),"")</f>
        <v/>
      </c>
      <c r="G489" s="29"/>
      <c r="H489" s="7">
        <f>IFERROR(VLOOKUP(C489, General!$A$5:$L$35, 6, false) * G489 / 1000, 0)</f>
        <v>0</v>
      </c>
      <c r="I489" s="29"/>
      <c r="J489" s="22" t="str">
        <f>IFERROR(I489*VLOOKUP(D489,'Crafting Tables'!$1:$1000, 4, false)*F489,"")</f>
        <v/>
      </c>
      <c r="K489" s="29" t="b">
        <v>0</v>
      </c>
      <c r="L489" s="37"/>
      <c r="M489" s="29"/>
      <c r="N489" s="21" t="str">
        <f t="shared" si="2"/>
        <v/>
      </c>
      <c r="P489" s="37"/>
      <c r="Q489" s="29"/>
      <c r="R489" s="29" t="b">
        <v>0</v>
      </c>
      <c r="S489" s="22" t="str">
        <f t="shared" si="3"/>
        <v/>
      </c>
      <c r="T489" s="7">
        <f>IF(ISBLANK(P489), 0, VLOOKUP(P489, 'Price Sheet'!$A$2:$B1015, 2, false))</f>
        <v>0</v>
      </c>
      <c r="U489" s="33" t="str">
        <f t="shared" si="4"/>
        <v/>
      </c>
      <c r="V489" s="37"/>
      <c r="W489" s="29"/>
      <c r="X489" s="29" t="b">
        <v>0</v>
      </c>
      <c r="Y489" s="22" t="str">
        <f t="shared" si="5"/>
        <v/>
      </c>
      <c r="Z489" s="7">
        <f>IF(ISBLANK(V489), 0, VLOOKUP(V489, 'Price Sheet'!$A$2:$B1015, 2, false))</f>
        <v>0</v>
      </c>
      <c r="AA489" s="33" t="str">
        <f t="shared" si="6"/>
        <v/>
      </c>
      <c r="AB489" s="37"/>
      <c r="AC489" s="29"/>
      <c r="AD489" s="29" t="b">
        <v>0</v>
      </c>
      <c r="AE489" s="22" t="str">
        <f t="shared" si="7"/>
        <v/>
      </c>
      <c r="AF489" s="7">
        <f>IF(ISBLANK(AB489), 0, VLOOKUP(AB489, 'Price Sheet'!$A$2:$B1015, 2, false))</f>
        <v>0</v>
      </c>
      <c r="AG489" s="33" t="str">
        <f t="shared" si="8"/>
        <v/>
      </c>
      <c r="AH489" s="37"/>
      <c r="AI489" s="29"/>
      <c r="AJ489" s="29" t="b">
        <v>0</v>
      </c>
      <c r="AK489" s="22" t="str">
        <f t="shared" si="9"/>
        <v/>
      </c>
      <c r="AL489" s="7">
        <f>IF(ISBLANK(AH489), 0, VLOOKUP(AH489, 'Price Sheet'!$A$2:$B1015, 2, false))</f>
        <v>0</v>
      </c>
      <c r="AM489" s="33" t="str">
        <f t="shared" si="10"/>
        <v/>
      </c>
      <c r="AN489" s="37"/>
      <c r="AO489" s="29"/>
      <c r="AP489" s="29" t="b">
        <v>0</v>
      </c>
      <c r="AQ489" s="22" t="str">
        <f t="shared" si="11"/>
        <v/>
      </c>
      <c r="AR489" s="7">
        <f>IF(ISBLANK(AN489), 0, VLOOKUP(AN489, 'Price Sheet'!$A$2:$B1015, 2, false))</f>
        <v>0</v>
      </c>
      <c r="AS489" s="33" t="str">
        <f t="shared" si="12"/>
        <v/>
      </c>
      <c r="AT489" s="37"/>
      <c r="AU489" s="29"/>
      <c r="AV489" s="29" t="b">
        <v>0</v>
      </c>
      <c r="AW489" s="22" t="str">
        <f t="shared" si="13"/>
        <v/>
      </c>
      <c r="AX489" s="7">
        <f>IF(ISBLANK(AT489), 0, VLOOKUP(AT489, 'Price Sheet'!$A$2:$B1015, 2, false))</f>
        <v>0</v>
      </c>
      <c r="AY489" s="33" t="str">
        <f t="shared" si="14"/>
        <v/>
      </c>
      <c r="AZ489" s="37"/>
      <c r="BA489" s="29"/>
      <c r="BB489" s="29" t="b">
        <v>0</v>
      </c>
      <c r="BC489" s="22" t="str">
        <f t="shared" si="15"/>
        <v/>
      </c>
      <c r="BD489" s="7">
        <f>IF(ISBLANK(AZ489), 0, VLOOKUP(AZ489, 'Price Sheet'!$A$2:$B1015, 2, false))</f>
        <v>0</v>
      </c>
      <c r="BE489" s="33" t="str">
        <f t="shared" si="16"/>
        <v/>
      </c>
      <c r="BF489" s="37"/>
      <c r="BG489" s="29"/>
      <c r="BH489" s="29" t="b">
        <v>0</v>
      </c>
      <c r="BI489" s="22" t="str">
        <f t="shared" si="17"/>
        <v/>
      </c>
      <c r="BJ489" s="7">
        <f>IF(ISBLANK(BF489), 0, VLOOKUP(BF489, 'Price Sheet'!$A$2:$B1015, 2, false))</f>
        <v>0</v>
      </c>
      <c r="BK489" s="33" t="str">
        <f t="shared" si="18"/>
        <v/>
      </c>
      <c r="BL489" s="37"/>
      <c r="BM489" s="29"/>
      <c r="BN489" s="29" t="b">
        <v>0</v>
      </c>
      <c r="BO489" s="22" t="str">
        <f t="shared" si="19"/>
        <v/>
      </c>
      <c r="BP489" s="7">
        <f>IF(ISBLANK(BL489), 0, VLOOKUP(BL489, 'Price Sheet'!$A$2:$B1015, 2, false))</f>
        <v>0</v>
      </c>
      <c r="BQ489" s="33" t="str">
        <f t="shared" si="20"/>
        <v/>
      </c>
    </row>
    <row r="490">
      <c r="B490" s="19"/>
      <c r="C490" s="29"/>
      <c r="D490" s="29"/>
      <c r="E490" s="7" t="str">
        <f>IF(ISBLANK(D490), "", VLOOKUP(D490,'Crafting Tables'!$A$2:$B1015, 2, false))</f>
        <v/>
      </c>
      <c r="F490" s="7" t="str">
        <f>IFERROR(IF(E490 = "None", 1, VLOOKUP(C490,General!$A$5:$L$35, SWITCH(E490, "Basic", 8, "Advanced", 10, "Modern", 12), false)),"")</f>
        <v/>
      </c>
      <c r="G490" s="29"/>
      <c r="H490" s="7">
        <f>IFERROR(VLOOKUP(C490, General!$A$5:$L$35, 6, false) * G490 / 1000, 0)</f>
        <v>0</v>
      </c>
      <c r="I490" s="29"/>
      <c r="J490" s="22" t="str">
        <f>IFERROR(I490*VLOOKUP(D490,'Crafting Tables'!$1:$1000, 4, false)*F490,"")</f>
        <v/>
      </c>
      <c r="K490" s="29" t="b">
        <v>0</v>
      </c>
      <c r="L490" s="37"/>
      <c r="M490" s="29"/>
      <c r="N490" s="21" t="str">
        <f t="shared" si="2"/>
        <v/>
      </c>
      <c r="P490" s="37"/>
      <c r="Q490" s="29"/>
      <c r="R490" s="29" t="b">
        <v>0</v>
      </c>
      <c r="S490" s="22" t="str">
        <f t="shared" si="3"/>
        <v/>
      </c>
      <c r="T490" s="7">
        <f>IF(ISBLANK(P490), 0, VLOOKUP(P490, 'Price Sheet'!$A$2:$B1015, 2, false))</f>
        <v>0</v>
      </c>
      <c r="U490" s="33" t="str">
        <f t="shared" si="4"/>
        <v/>
      </c>
      <c r="V490" s="37"/>
      <c r="W490" s="29"/>
      <c r="X490" s="29" t="b">
        <v>0</v>
      </c>
      <c r="Y490" s="22" t="str">
        <f t="shared" si="5"/>
        <v/>
      </c>
      <c r="Z490" s="7">
        <f>IF(ISBLANK(V490), 0, VLOOKUP(V490, 'Price Sheet'!$A$2:$B1015, 2, false))</f>
        <v>0</v>
      </c>
      <c r="AA490" s="33" t="str">
        <f t="shared" si="6"/>
        <v/>
      </c>
      <c r="AB490" s="37"/>
      <c r="AC490" s="29"/>
      <c r="AD490" s="29" t="b">
        <v>0</v>
      </c>
      <c r="AE490" s="22" t="str">
        <f t="shared" si="7"/>
        <v/>
      </c>
      <c r="AF490" s="7">
        <f>IF(ISBLANK(AB490), 0, VLOOKUP(AB490, 'Price Sheet'!$A$2:$B1015, 2, false))</f>
        <v>0</v>
      </c>
      <c r="AG490" s="33" t="str">
        <f t="shared" si="8"/>
        <v/>
      </c>
      <c r="AH490" s="37"/>
      <c r="AI490" s="29"/>
      <c r="AJ490" s="29" t="b">
        <v>0</v>
      </c>
      <c r="AK490" s="22" t="str">
        <f t="shared" si="9"/>
        <v/>
      </c>
      <c r="AL490" s="7">
        <f>IF(ISBLANK(AH490), 0, VLOOKUP(AH490, 'Price Sheet'!$A$2:$B1015, 2, false))</f>
        <v>0</v>
      </c>
      <c r="AM490" s="33" t="str">
        <f t="shared" si="10"/>
        <v/>
      </c>
      <c r="AN490" s="37"/>
      <c r="AO490" s="29"/>
      <c r="AP490" s="29" t="b">
        <v>0</v>
      </c>
      <c r="AQ490" s="22" t="str">
        <f t="shared" si="11"/>
        <v/>
      </c>
      <c r="AR490" s="7">
        <f>IF(ISBLANK(AN490), 0, VLOOKUP(AN490, 'Price Sheet'!$A$2:$B1015, 2, false))</f>
        <v>0</v>
      </c>
      <c r="AS490" s="33" t="str">
        <f t="shared" si="12"/>
        <v/>
      </c>
      <c r="AT490" s="37"/>
      <c r="AU490" s="29"/>
      <c r="AV490" s="29" t="b">
        <v>0</v>
      </c>
      <c r="AW490" s="22" t="str">
        <f t="shared" si="13"/>
        <v/>
      </c>
      <c r="AX490" s="7">
        <f>IF(ISBLANK(AT490), 0, VLOOKUP(AT490, 'Price Sheet'!$A$2:$B1015, 2, false))</f>
        <v>0</v>
      </c>
      <c r="AY490" s="33" t="str">
        <f t="shared" si="14"/>
        <v/>
      </c>
      <c r="AZ490" s="37"/>
      <c r="BA490" s="29"/>
      <c r="BB490" s="29" t="b">
        <v>0</v>
      </c>
      <c r="BC490" s="22" t="str">
        <f t="shared" si="15"/>
        <v/>
      </c>
      <c r="BD490" s="7">
        <f>IF(ISBLANK(AZ490), 0, VLOOKUP(AZ490, 'Price Sheet'!$A$2:$B1015, 2, false))</f>
        <v>0</v>
      </c>
      <c r="BE490" s="33" t="str">
        <f t="shared" si="16"/>
        <v/>
      </c>
      <c r="BF490" s="37"/>
      <c r="BG490" s="29"/>
      <c r="BH490" s="29" t="b">
        <v>0</v>
      </c>
      <c r="BI490" s="22" t="str">
        <f t="shared" si="17"/>
        <v/>
      </c>
      <c r="BJ490" s="7">
        <f>IF(ISBLANK(BF490), 0, VLOOKUP(BF490, 'Price Sheet'!$A$2:$B1015, 2, false))</f>
        <v>0</v>
      </c>
      <c r="BK490" s="33" t="str">
        <f t="shared" si="18"/>
        <v/>
      </c>
      <c r="BL490" s="37"/>
      <c r="BM490" s="29"/>
      <c r="BN490" s="29" t="b">
        <v>0</v>
      </c>
      <c r="BO490" s="22" t="str">
        <f t="shared" si="19"/>
        <v/>
      </c>
      <c r="BP490" s="7">
        <f>IF(ISBLANK(BL490), 0, VLOOKUP(BL490, 'Price Sheet'!$A$2:$B1015, 2, false))</f>
        <v>0</v>
      </c>
      <c r="BQ490" s="33" t="str">
        <f t="shared" si="20"/>
        <v/>
      </c>
    </row>
    <row r="491">
      <c r="B491" s="19"/>
      <c r="C491" s="29"/>
      <c r="D491" s="29"/>
      <c r="E491" s="7" t="str">
        <f>IF(ISBLANK(D491), "", VLOOKUP(D491,'Crafting Tables'!$A$2:$B1015, 2, false))</f>
        <v/>
      </c>
      <c r="F491" s="7" t="str">
        <f>IFERROR(IF(E491 = "None", 1, VLOOKUP(C491,General!$A$5:$L$35, SWITCH(E491, "Basic", 8, "Advanced", 10, "Modern", 12), false)),"")</f>
        <v/>
      </c>
      <c r="G491" s="29"/>
      <c r="H491" s="7">
        <f>IFERROR(VLOOKUP(C491, General!$A$5:$L$35, 6, false) * G491 / 1000, 0)</f>
        <v>0</v>
      </c>
      <c r="I491" s="29"/>
      <c r="J491" s="22" t="str">
        <f>IFERROR(I491*VLOOKUP(D491,'Crafting Tables'!$1:$1000, 4, false)*F491,"")</f>
        <v/>
      </c>
      <c r="K491" s="29" t="b">
        <v>0</v>
      </c>
      <c r="L491" s="37"/>
      <c r="M491" s="29"/>
      <c r="N491" s="21" t="str">
        <f t="shared" si="2"/>
        <v/>
      </c>
      <c r="P491" s="37"/>
      <c r="Q491" s="29"/>
      <c r="R491" s="29" t="b">
        <v>0</v>
      </c>
      <c r="S491" s="22" t="str">
        <f t="shared" si="3"/>
        <v/>
      </c>
      <c r="T491" s="7">
        <f>IF(ISBLANK(P491), 0, VLOOKUP(P491, 'Price Sheet'!$A$2:$B1015, 2, false))</f>
        <v>0</v>
      </c>
      <c r="U491" s="33" t="str">
        <f t="shared" si="4"/>
        <v/>
      </c>
      <c r="V491" s="37"/>
      <c r="W491" s="29"/>
      <c r="X491" s="29" t="b">
        <v>0</v>
      </c>
      <c r="Y491" s="22" t="str">
        <f t="shared" si="5"/>
        <v/>
      </c>
      <c r="Z491" s="7">
        <f>IF(ISBLANK(V491), 0, VLOOKUP(V491, 'Price Sheet'!$A$2:$B1015, 2, false))</f>
        <v>0</v>
      </c>
      <c r="AA491" s="33" t="str">
        <f t="shared" si="6"/>
        <v/>
      </c>
      <c r="AB491" s="37"/>
      <c r="AC491" s="29"/>
      <c r="AD491" s="29" t="b">
        <v>0</v>
      </c>
      <c r="AE491" s="22" t="str">
        <f t="shared" si="7"/>
        <v/>
      </c>
      <c r="AF491" s="7">
        <f>IF(ISBLANK(AB491), 0, VLOOKUP(AB491, 'Price Sheet'!$A$2:$B1015, 2, false))</f>
        <v>0</v>
      </c>
      <c r="AG491" s="33" t="str">
        <f t="shared" si="8"/>
        <v/>
      </c>
      <c r="AH491" s="37"/>
      <c r="AI491" s="29"/>
      <c r="AJ491" s="29" t="b">
        <v>0</v>
      </c>
      <c r="AK491" s="22" t="str">
        <f t="shared" si="9"/>
        <v/>
      </c>
      <c r="AL491" s="7">
        <f>IF(ISBLANK(AH491), 0, VLOOKUP(AH491, 'Price Sheet'!$A$2:$B1015, 2, false))</f>
        <v>0</v>
      </c>
      <c r="AM491" s="33" t="str">
        <f t="shared" si="10"/>
        <v/>
      </c>
      <c r="AN491" s="37"/>
      <c r="AO491" s="29"/>
      <c r="AP491" s="29" t="b">
        <v>0</v>
      </c>
      <c r="AQ491" s="22" t="str">
        <f t="shared" si="11"/>
        <v/>
      </c>
      <c r="AR491" s="7">
        <f>IF(ISBLANK(AN491), 0, VLOOKUP(AN491, 'Price Sheet'!$A$2:$B1015, 2, false))</f>
        <v>0</v>
      </c>
      <c r="AS491" s="33" t="str">
        <f t="shared" si="12"/>
        <v/>
      </c>
      <c r="AT491" s="37"/>
      <c r="AU491" s="29"/>
      <c r="AV491" s="29" t="b">
        <v>0</v>
      </c>
      <c r="AW491" s="22" t="str">
        <f t="shared" si="13"/>
        <v/>
      </c>
      <c r="AX491" s="7">
        <f>IF(ISBLANK(AT491), 0, VLOOKUP(AT491, 'Price Sheet'!$A$2:$B1015, 2, false))</f>
        <v>0</v>
      </c>
      <c r="AY491" s="33" t="str">
        <f t="shared" si="14"/>
        <v/>
      </c>
      <c r="AZ491" s="37"/>
      <c r="BA491" s="29"/>
      <c r="BB491" s="29" t="b">
        <v>0</v>
      </c>
      <c r="BC491" s="22" t="str">
        <f t="shared" si="15"/>
        <v/>
      </c>
      <c r="BD491" s="7">
        <f>IF(ISBLANK(AZ491), 0, VLOOKUP(AZ491, 'Price Sheet'!$A$2:$B1015, 2, false))</f>
        <v>0</v>
      </c>
      <c r="BE491" s="33" t="str">
        <f t="shared" si="16"/>
        <v/>
      </c>
      <c r="BF491" s="37"/>
      <c r="BG491" s="29"/>
      <c r="BH491" s="29" t="b">
        <v>0</v>
      </c>
      <c r="BI491" s="22" t="str">
        <f t="shared" si="17"/>
        <v/>
      </c>
      <c r="BJ491" s="7">
        <f>IF(ISBLANK(BF491), 0, VLOOKUP(BF491, 'Price Sheet'!$A$2:$B1015, 2, false))</f>
        <v>0</v>
      </c>
      <c r="BK491" s="33" t="str">
        <f t="shared" si="18"/>
        <v/>
      </c>
      <c r="BL491" s="37"/>
      <c r="BM491" s="29"/>
      <c r="BN491" s="29" t="b">
        <v>0</v>
      </c>
      <c r="BO491" s="22" t="str">
        <f t="shared" si="19"/>
        <v/>
      </c>
      <c r="BP491" s="7">
        <f>IF(ISBLANK(BL491), 0, VLOOKUP(BL491, 'Price Sheet'!$A$2:$B1015, 2, false))</f>
        <v>0</v>
      </c>
      <c r="BQ491" s="33" t="str">
        <f t="shared" si="20"/>
        <v/>
      </c>
    </row>
    <row r="492">
      <c r="B492" s="19"/>
      <c r="C492" s="29"/>
      <c r="D492" s="29"/>
      <c r="E492" s="7" t="str">
        <f>IF(ISBLANK(D492), "", VLOOKUP(D492,'Crafting Tables'!$A$2:$B1015, 2, false))</f>
        <v/>
      </c>
      <c r="F492" s="7" t="str">
        <f>IFERROR(IF(E492 = "None", 1, VLOOKUP(C492,General!$A$5:$L$35, SWITCH(E492, "Basic", 8, "Advanced", 10, "Modern", 12), false)),"")</f>
        <v/>
      </c>
      <c r="G492" s="29"/>
      <c r="H492" s="7">
        <f>IFERROR(VLOOKUP(C492, General!$A$5:$L$35, 6, false) * G492 / 1000, 0)</f>
        <v>0</v>
      </c>
      <c r="I492" s="29"/>
      <c r="J492" s="22" t="str">
        <f>IFERROR(I492*VLOOKUP(D492,'Crafting Tables'!$1:$1000, 4, false)*F492,"")</f>
        <v/>
      </c>
      <c r="K492" s="29" t="b">
        <v>0</v>
      </c>
      <c r="L492" s="37"/>
      <c r="M492" s="29"/>
      <c r="N492" s="21" t="str">
        <f t="shared" si="2"/>
        <v/>
      </c>
      <c r="P492" s="37"/>
      <c r="Q492" s="29"/>
      <c r="R492" s="29" t="b">
        <v>0</v>
      </c>
      <c r="S492" s="22" t="str">
        <f t="shared" si="3"/>
        <v/>
      </c>
      <c r="T492" s="7">
        <f>IF(ISBLANK(P492), 0, VLOOKUP(P492, 'Price Sheet'!$A$2:$B1015, 2, false))</f>
        <v>0</v>
      </c>
      <c r="U492" s="33" t="str">
        <f t="shared" si="4"/>
        <v/>
      </c>
      <c r="V492" s="37"/>
      <c r="W492" s="29"/>
      <c r="X492" s="29" t="b">
        <v>0</v>
      </c>
      <c r="Y492" s="22" t="str">
        <f t="shared" si="5"/>
        <v/>
      </c>
      <c r="Z492" s="7">
        <f>IF(ISBLANK(V492), 0, VLOOKUP(V492, 'Price Sheet'!$A$2:$B1015, 2, false))</f>
        <v>0</v>
      </c>
      <c r="AA492" s="33" t="str">
        <f t="shared" si="6"/>
        <v/>
      </c>
      <c r="AB492" s="37"/>
      <c r="AC492" s="29"/>
      <c r="AD492" s="29" t="b">
        <v>0</v>
      </c>
      <c r="AE492" s="22" t="str">
        <f t="shared" si="7"/>
        <v/>
      </c>
      <c r="AF492" s="7">
        <f>IF(ISBLANK(AB492), 0, VLOOKUP(AB492, 'Price Sheet'!$A$2:$B1015, 2, false))</f>
        <v>0</v>
      </c>
      <c r="AG492" s="33" t="str">
        <f t="shared" si="8"/>
        <v/>
      </c>
      <c r="AH492" s="37"/>
      <c r="AI492" s="29"/>
      <c r="AJ492" s="29" t="b">
        <v>0</v>
      </c>
      <c r="AK492" s="22" t="str">
        <f t="shared" si="9"/>
        <v/>
      </c>
      <c r="AL492" s="7">
        <f>IF(ISBLANK(AH492), 0, VLOOKUP(AH492, 'Price Sheet'!$A$2:$B1015, 2, false))</f>
        <v>0</v>
      </c>
      <c r="AM492" s="33" t="str">
        <f t="shared" si="10"/>
        <v/>
      </c>
      <c r="AN492" s="37"/>
      <c r="AO492" s="29"/>
      <c r="AP492" s="29" t="b">
        <v>0</v>
      </c>
      <c r="AQ492" s="22" t="str">
        <f t="shared" si="11"/>
        <v/>
      </c>
      <c r="AR492" s="7">
        <f>IF(ISBLANK(AN492), 0, VLOOKUP(AN492, 'Price Sheet'!$A$2:$B1015, 2, false))</f>
        <v>0</v>
      </c>
      <c r="AS492" s="33" t="str">
        <f t="shared" si="12"/>
        <v/>
      </c>
      <c r="AT492" s="37"/>
      <c r="AU492" s="29"/>
      <c r="AV492" s="29" t="b">
        <v>0</v>
      </c>
      <c r="AW492" s="22" t="str">
        <f t="shared" si="13"/>
        <v/>
      </c>
      <c r="AX492" s="7">
        <f>IF(ISBLANK(AT492), 0, VLOOKUP(AT492, 'Price Sheet'!$A$2:$B1015, 2, false))</f>
        <v>0</v>
      </c>
      <c r="AY492" s="33" t="str">
        <f t="shared" si="14"/>
        <v/>
      </c>
      <c r="AZ492" s="37"/>
      <c r="BA492" s="29"/>
      <c r="BB492" s="29" t="b">
        <v>0</v>
      </c>
      <c r="BC492" s="22" t="str">
        <f t="shared" si="15"/>
        <v/>
      </c>
      <c r="BD492" s="7">
        <f>IF(ISBLANK(AZ492), 0, VLOOKUP(AZ492, 'Price Sheet'!$A$2:$B1015, 2, false))</f>
        <v>0</v>
      </c>
      <c r="BE492" s="33" t="str">
        <f t="shared" si="16"/>
        <v/>
      </c>
      <c r="BF492" s="37"/>
      <c r="BG492" s="29"/>
      <c r="BH492" s="29" t="b">
        <v>0</v>
      </c>
      <c r="BI492" s="22" t="str">
        <f t="shared" si="17"/>
        <v/>
      </c>
      <c r="BJ492" s="7">
        <f>IF(ISBLANK(BF492), 0, VLOOKUP(BF492, 'Price Sheet'!$A$2:$B1015, 2, false))</f>
        <v>0</v>
      </c>
      <c r="BK492" s="33" t="str">
        <f t="shared" si="18"/>
        <v/>
      </c>
      <c r="BL492" s="37"/>
      <c r="BM492" s="29"/>
      <c r="BN492" s="29" t="b">
        <v>0</v>
      </c>
      <c r="BO492" s="22" t="str">
        <f t="shared" si="19"/>
        <v/>
      </c>
      <c r="BP492" s="7">
        <f>IF(ISBLANK(BL492), 0, VLOOKUP(BL492, 'Price Sheet'!$A$2:$B1015, 2, false))</f>
        <v>0</v>
      </c>
      <c r="BQ492" s="33" t="str">
        <f t="shared" si="20"/>
        <v/>
      </c>
    </row>
    <row r="493">
      <c r="B493" s="19"/>
      <c r="C493" s="29"/>
      <c r="D493" s="29"/>
      <c r="E493" s="7" t="str">
        <f>IF(ISBLANK(D493), "", VLOOKUP(D493,'Crafting Tables'!$A$2:$B1015, 2, false))</f>
        <v/>
      </c>
      <c r="F493" s="7" t="str">
        <f>IFERROR(IF(E493 = "None", 1, VLOOKUP(C493,General!$A$5:$L$35, SWITCH(E493, "Basic", 8, "Advanced", 10, "Modern", 12), false)),"")</f>
        <v/>
      </c>
      <c r="G493" s="29"/>
      <c r="H493" s="7">
        <f>IFERROR(VLOOKUP(C493, General!$A$5:$L$35, 6, false) * G493 / 1000, 0)</f>
        <v>0</v>
      </c>
      <c r="I493" s="29"/>
      <c r="J493" s="22" t="str">
        <f>IFERROR(I493*VLOOKUP(D493,'Crafting Tables'!$1:$1000, 4, false)*F493,"")</f>
        <v/>
      </c>
      <c r="K493" s="29" t="b">
        <v>0</v>
      </c>
      <c r="L493" s="37"/>
      <c r="M493" s="29"/>
      <c r="N493" s="21" t="str">
        <f t="shared" si="2"/>
        <v/>
      </c>
      <c r="P493" s="37"/>
      <c r="Q493" s="29"/>
      <c r="R493" s="29" t="b">
        <v>0</v>
      </c>
      <c r="S493" s="22" t="str">
        <f t="shared" si="3"/>
        <v/>
      </c>
      <c r="T493" s="7">
        <f>IF(ISBLANK(P493), 0, VLOOKUP(P493, 'Price Sheet'!$A$2:$B1015, 2, false))</f>
        <v>0</v>
      </c>
      <c r="U493" s="33" t="str">
        <f t="shared" si="4"/>
        <v/>
      </c>
      <c r="V493" s="37"/>
      <c r="W493" s="29"/>
      <c r="X493" s="29" t="b">
        <v>0</v>
      </c>
      <c r="Y493" s="22" t="str">
        <f t="shared" si="5"/>
        <v/>
      </c>
      <c r="Z493" s="7">
        <f>IF(ISBLANK(V493), 0, VLOOKUP(V493, 'Price Sheet'!$A$2:$B1015, 2, false))</f>
        <v>0</v>
      </c>
      <c r="AA493" s="33" t="str">
        <f t="shared" si="6"/>
        <v/>
      </c>
      <c r="AB493" s="37"/>
      <c r="AC493" s="29"/>
      <c r="AD493" s="29" t="b">
        <v>0</v>
      </c>
      <c r="AE493" s="22" t="str">
        <f t="shared" si="7"/>
        <v/>
      </c>
      <c r="AF493" s="7">
        <f>IF(ISBLANK(AB493), 0, VLOOKUP(AB493, 'Price Sheet'!$A$2:$B1015, 2, false))</f>
        <v>0</v>
      </c>
      <c r="AG493" s="33" t="str">
        <f t="shared" si="8"/>
        <v/>
      </c>
      <c r="AH493" s="37"/>
      <c r="AI493" s="29"/>
      <c r="AJ493" s="29" t="b">
        <v>0</v>
      </c>
      <c r="AK493" s="22" t="str">
        <f t="shared" si="9"/>
        <v/>
      </c>
      <c r="AL493" s="7">
        <f>IF(ISBLANK(AH493), 0, VLOOKUP(AH493, 'Price Sheet'!$A$2:$B1015, 2, false))</f>
        <v>0</v>
      </c>
      <c r="AM493" s="33" t="str">
        <f t="shared" si="10"/>
        <v/>
      </c>
      <c r="AN493" s="37"/>
      <c r="AO493" s="29"/>
      <c r="AP493" s="29" t="b">
        <v>0</v>
      </c>
      <c r="AQ493" s="22" t="str">
        <f t="shared" si="11"/>
        <v/>
      </c>
      <c r="AR493" s="7">
        <f>IF(ISBLANK(AN493), 0, VLOOKUP(AN493, 'Price Sheet'!$A$2:$B1015, 2, false))</f>
        <v>0</v>
      </c>
      <c r="AS493" s="33" t="str">
        <f t="shared" si="12"/>
        <v/>
      </c>
      <c r="AT493" s="37"/>
      <c r="AU493" s="29"/>
      <c r="AV493" s="29" t="b">
        <v>0</v>
      </c>
      <c r="AW493" s="22" t="str">
        <f t="shared" si="13"/>
        <v/>
      </c>
      <c r="AX493" s="7">
        <f>IF(ISBLANK(AT493), 0, VLOOKUP(AT493, 'Price Sheet'!$A$2:$B1015, 2, false))</f>
        <v>0</v>
      </c>
      <c r="AY493" s="33" t="str">
        <f t="shared" si="14"/>
        <v/>
      </c>
      <c r="AZ493" s="37"/>
      <c r="BA493" s="29"/>
      <c r="BB493" s="29" t="b">
        <v>0</v>
      </c>
      <c r="BC493" s="22" t="str">
        <f t="shared" si="15"/>
        <v/>
      </c>
      <c r="BD493" s="7">
        <f>IF(ISBLANK(AZ493), 0, VLOOKUP(AZ493, 'Price Sheet'!$A$2:$B1015, 2, false))</f>
        <v>0</v>
      </c>
      <c r="BE493" s="33" t="str">
        <f t="shared" si="16"/>
        <v/>
      </c>
      <c r="BF493" s="37"/>
      <c r="BG493" s="29"/>
      <c r="BH493" s="29" t="b">
        <v>0</v>
      </c>
      <c r="BI493" s="22" t="str">
        <f t="shared" si="17"/>
        <v/>
      </c>
      <c r="BJ493" s="7">
        <f>IF(ISBLANK(BF493), 0, VLOOKUP(BF493, 'Price Sheet'!$A$2:$B1015, 2, false))</f>
        <v>0</v>
      </c>
      <c r="BK493" s="33" t="str">
        <f t="shared" si="18"/>
        <v/>
      </c>
      <c r="BL493" s="37"/>
      <c r="BM493" s="29"/>
      <c r="BN493" s="29" t="b">
        <v>0</v>
      </c>
      <c r="BO493" s="22" t="str">
        <f t="shared" si="19"/>
        <v/>
      </c>
      <c r="BP493" s="7">
        <f>IF(ISBLANK(BL493), 0, VLOOKUP(BL493, 'Price Sheet'!$A$2:$B1015, 2, false))</f>
        <v>0</v>
      </c>
      <c r="BQ493" s="33" t="str">
        <f t="shared" si="20"/>
        <v/>
      </c>
    </row>
    <row r="494">
      <c r="B494" s="19"/>
      <c r="C494" s="29"/>
      <c r="D494" s="29"/>
      <c r="E494" s="7" t="str">
        <f>IF(ISBLANK(D494), "", VLOOKUP(D494,'Crafting Tables'!$A$2:$B1015, 2, false))</f>
        <v/>
      </c>
      <c r="F494" s="7" t="str">
        <f>IFERROR(IF(E494 = "None", 1, VLOOKUP(C494,General!$A$5:$L$35, SWITCH(E494, "Basic", 8, "Advanced", 10, "Modern", 12), false)),"")</f>
        <v/>
      </c>
      <c r="G494" s="29"/>
      <c r="H494" s="7">
        <f>IFERROR(VLOOKUP(C494, General!$A$5:$L$35, 6, false) * G494 / 1000, 0)</f>
        <v>0</v>
      </c>
      <c r="I494" s="29"/>
      <c r="J494" s="22" t="str">
        <f>IFERROR(I494*VLOOKUP(D494,'Crafting Tables'!$1:$1000, 4, false)*F494,"")</f>
        <v/>
      </c>
      <c r="K494" s="29" t="b">
        <v>0</v>
      </c>
      <c r="L494" s="37"/>
      <c r="M494" s="29"/>
      <c r="N494" s="21" t="str">
        <f t="shared" si="2"/>
        <v/>
      </c>
      <c r="P494" s="37"/>
      <c r="Q494" s="29"/>
      <c r="R494" s="29" t="b">
        <v>0</v>
      </c>
      <c r="S494" s="22" t="str">
        <f t="shared" si="3"/>
        <v/>
      </c>
      <c r="T494" s="7">
        <f>IF(ISBLANK(P494), 0, VLOOKUP(P494, 'Price Sheet'!$A$2:$B1015, 2, false))</f>
        <v>0</v>
      </c>
      <c r="U494" s="33" t="str">
        <f t="shared" si="4"/>
        <v/>
      </c>
      <c r="V494" s="37"/>
      <c r="W494" s="29"/>
      <c r="X494" s="29" t="b">
        <v>0</v>
      </c>
      <c r="Y494" s="22" t="str">
        <f t="shared" si="5"/>
        <v/>
      </c>
      <c r="Z494" s="7">
        <f>IF(ISBLANK(V494), 0, VLOOKUP(V494, 'Price Sheet'!$A$2:$B1015, 2, false))</f>
        <v>0</v>
      </c>
      <c r="AA494" s="33" t="str">
        <f t="shared" si="6"/>
        <v/>
      </c>
      <c r="AB494" s="37"/>
      <c r="AC494" s="29"/>
      <c r="AD494" s="29" t="b">
        <v>0</v>
      </c>
      <c r="AE494" s="22" t="str">
        <f t="shared" si="7"/>
        <v/>
      </c>
      <c r="AF494" s="7">
        <f>IF(ISBLANK(AB494), 0, VLOOKUP(AB494, 'Price Sheet'!$A$2:$B1015, 2, false))</f>
        <v>0</v>
      </c>
      <c r="AG494" s="33" t="str">
        <f t="shared" si="8"/>
        <v/>
      </c>
      <c r="AH494" s="37"/>
      <c r="AI494" s="29"/>
      <c r="AJ494" s="29" t="b">
        <v>0</v>
      </c>
      <c r="AK494" s="22" t="str">
        <f t="shared" si="9"/>
        <v/>
      </c>
      <c r="AL494" s="7">
        <f>IF(ISBLANK(AH494), 0, VLOOKUP(AH494, 'Price Sheet'!$A$2:$B1015, 2, false))</f>
        <v>0</v>
      </c>
      <c r="AM494" s="33" t="str">
        <f t="shared" si="10"/>
        <v/>
      </c>
      <c r="AN494" s="37"/>
      <c r="AO494" s="29"/>
      <c r="AP494" s="29" t="b">
        <v>0</v>
      </c>
      <c r="AQ494" s="22" t="str">
        <f t="shared" si="11"/>
        <v/>
      </c>
      <c r="AR494" s="7">
        <f>IF(ISBLANK(AN494), 0, VLOOKUP(AN494, 'Price Sheet'!$A$2:$B1015, 2, false))</f>
        <v>0</v>
      </c>
      <c r="AS494" s="33" t="str">
        <f t="shared" si="12"/>
        <v/>
      </c>
      <c r="AT494" s="37"/>
      <c r="AU494" s="29"/>
      <c r="AV494" s="29" t="b">
        <v>0</v>
      </c>
      <c r="AW494" s="22" t="str">
        <f t="shared" si="13"/>
        <v/>
      </c>
      <c r="AX494" s="7">
        <f>IF(ISBLANK(AT494), 0, VLOOKUP(AT494, 'Price Sheet'!$A$2:$B1015, 2, false))</f>
        <v>0</v>
      </c>
      <c r="AY494" s="33" t="str">
        <f t="shared" si="14"/>
        <v/>
      </c>
      <c r="AZ494" s="37"/>
      <c r="BA494" s="29"/>
      <c r="BB494" s="29" t="b">
        <v>0</v>
      </c>
      <c r="BC494" s="22" t="str">
        <f t="shared" si="15"/>
        <v/>
      </c>
      <c r="BD494" s="7">
        <f>IF(ISBLANK(AZ494), 0, VLOOKUP(AZ494, 'Price Sheet'!$A$2:$B1015, 2, false))</f>
        <v>0</v>
      </c>
      <c r="BE494" s="33" t="str">
        <f t="shared" si="16"/>
        <v/>
      </c>
      <c r="BF494" s="37"/>
      <c r="BG494" s="29"/>
      <c r="BH494" s="29" t="b">
        <v>0</v>
      </c>
      <c r="BI494" s="22" t="str">
        <f t="shared" si="17"/>
        <v/>
      </c>
      <c r="BJ494" s="7">
        <f>IF(ISBLANK(BF494), 0, VLOOKUP(BF494, 'Price Sheet'!$A$2:$B1015, 2, false))</f>
        <v>0</v>
      </c>
      <c r="BK494" s="33" t="str">
        <f t="shared" si="18"/>
        <v/>
      </c>
      <c r="BL494" s="37"/>
      <c r="BM494" s="29"/>
      <c r="BN494" s="29" t="b">
        <v>0</v>
      </c>
      <c r="BO494" s="22" t="str">
        <f t="shared" si="19"/>
        <v/>
      </c>
      <c r="BP494" s="7">
        <f>IF(ISBLANK(BL494), 0, VLOOKUP(BL494, 'Price Sheet'!$A$2:$B1015, 2, false))</f>
        <v>0</v>
      </c>
      <c r="BQ494" s="33" t="str">
        <f t="shared" si="20"/>
        <v/>
      </c>
    </row>
    <row r="495">
      <c r="B495" s="19"/>
      <c r="C495" s="29"/>
      <c r="D495" s="29"/>
      <c r="E495" s="7" t="str">
        <f>IF(ISBLANK(D495), "", VLOOKUP(D495,'Crafting Tables'!$A$2:$B1015, 2, false))</f>
        <v/>
      </c>
      <c r="F495" s="7" t="str">
        <f>IFERROR(IF(E495 = "None", 1, VLOOKUP(C495,General!$A$5:$L$35, SWITCH(E495, "Basic", 8, "Advanced", 10, "Modern", 12), false)),"")</f>
        <v/>
      </c>
      <c r="G495" s="29"/>
      <c r="H495" s="7">
        <f>IFERROR(VLOOKUP(C495, General!$A$5:$L$35, 6, false) * G495 / 1000, 0)</f>
        <v>0</v>
      </c>
      <c r="I495" s="29"/>
      <c r="J495" s="22" t="str">
        <f>IFERROR(I495*VLOOKUP(D495,'Crafting Tables'!$1:$1000, 4, false)*F495,"")</f>
        <v/>
      </c>
      <c r="K495" s="29" t="b">
        <v>0</v>
      </c>
      <c r="L495" s="37"/>
      <c r="M495" s="29"/>
      <c r="N495" s="21" t="str">
        <f t="shared" si="2"/>
        <v/>
      </c>
      <c r="P495" s="37"/>
      <c r="Q495" s="29"/>
      <c r="R495" s="29" t="b">
        <v>0</v>
      </c>
      <c r="S495" s="22" t="str">
        <f t="shared" si="3"/>
        <v/>
      </c>
      <c r="T495" s="7">
        <f>IF(ISBLANK(P495), 0, VLOOKUP(P495, 'Price Sheet'!$A$2:$B1015, 2, false))</f>
        <v>0</v>
      </c>
      <c r="U495" s="33" t="str">
        <f t="shared" si="4"/>
        <v/>
      </c>
      <c r="V495" s="37"/>
      <c r="W495" s="29"/>
      <c r="X495" s="29" t="b">
        <v>0</v>
      </c>
      <c r="Y495" s="22" t="str">
        <f t="shared" si="5"/>
        <v/>
      </c>
      <c r="Z495" s="7">
        <f>IF(ISBLANK(V495), 0, VLOOKUP(V495, 'Price Sheet'!$A$2:$B1015, 2, false))</f>
        <v>0</v>
      </c>
      <c r="AA495" s="33" t="str">
        <f t="shared" si="6"/>
        <v/>
      </c>
      <c r="AB495" s="37"/>
      <c r="AC495" s="29"/>
      <c r="AD495" s="29" t="b">
        <v>0</v>
      </c>
      <c r="AE495" s="22" t="str">
        <f t="shared" si="7"/>
        <v/>
      </c>
      <c r="AF495" s="7">
        <f>IF(ISBLANK(AB495), 0, VLOOKUP(AB495, 'Price Sheet'!$A$2:$B1015, 2, false))</f>
        <v>0</v>
      </c>
      <c r="AG495" s="33" t="str">
        <f t="shared" si="8"/>
        <v/>
      </c>
      <c r="AH495" s="37"/>
      <c r="AI495" s="29"/>
      <c r="AJ495" s="29" t="b">
        <v>0</v>
      </c>
      <c r="AK495" s="22" t="str">
        <f t="shared" si="9"/>
        <v/>
      </c>
      <c r="AL495" s="7">
        <f>IF(ISBLANK(AH495), 0, VLOOKUP(AH495, 'Price Sheet'!$A$2:$B1015, 2, false))</f>
        <v>0</v>
      </c>
      <c r="AM495" s="33" t="str">
        <f t="shared" si="10"/>
        <v/>
      </c>
      <c r="AN495" s="37"/>
      <c r="AO495" s="29"/>
      <c r="AP495" s="29" t="b">
        <v>0</v>
      </c>
      <c r="AQ495" s="22" t="str">
        <f t="shared" si="11"/>
        <v/>
      </c>
      <c r="AR495" s="7">
        <f>IF(ISBLANK(AN495), 0, VLOOKUP(AN495, 'Price Sheet'!$A$2:$B1015, 2, false))</f>
        <v>0</v>
      </c>
      <c r="AS495" s="33" t="str">
        <f t="shared" si="12"/>
        <v/>
      </c>
      <c r="AT495" s="37"/>
      <c r="AU495" s="29"/>
      <c r="AV495" s="29" t="b">
        <v>0</v>
      </c>
      <c r="AW495" s="22" t="str">
        <f t="shared" si="13"/>
        <v/>
      </c>
      <c r="AX495" s="7">
        <f>IF(ISBLANK(AT495), 0, VLOOKUP(AT495, 'Price Sheet'!$A$2:$B1015, 2, false))</f>
        <v>0</v>
      </c>
      <c r="AY495" s="33" t="str">
        <f t="shared" si="14"/>
        <v/>
      </c>
      <c r="AZ495" s="37"/>
      <c r="BA495" s="29"/>
      <c r="BB495" s="29" t="b">
        <v>0</v>
      </c>
      <c r="BC495" s="22" t="str">
        <f t="shared" si="15"/>
        <v/>
      </c>
      <c r="BD495" s="7">
        <f>IF(ISBLANK(AZ495), 0, VLOOKUP(AZ495, 'Price Sheet'!$A$2:$B1015, 2, false))</f>
        <v>0</v>
      </c>
      <c r="BE495" s="33" t="str">
        <f t="shared" si="16"/>
        <v/>
      </c>
      <c r="BF495" s="37"/>
      <c r="BG495" s="29"/>
      <c r="BH495" s="29" t="b">
        <v>0</v>
      </c>
      <c r="BI495" s="22" t="str">
        <f t="shared" si="17"/>
        <v/>
      </c>
      <c r="BJ495" s="7">
        <f>IF(ISBLANK(BF495), 0, VLOOKUP(BF495, 'Price Sheet'!$A$2:$B1015, 2, false))</f>
        <v>0</v>
      </c>
      <c r="BK495" s="33" t="str">
        <f t="shared" si="18"/>
        <v/>
      </c>
      <c r="BL495" s="37"/>
      <c r="BM495" s="29"/>
      <c r="BN495" s="29" t="b">
        <v>0</v>
      </c>
      <c r="BO495" s="22" t="str">
        <f t="shared" si="19"/>
        <v/>
      </c>
      <c r="BP495" s="7">
        <f>IF(ISBLANK(BL495), 0, VLOOKUP(BL495, 'Price Sheet'!$A$2:$B1015, 2, false))</f>
        <v>0</v>
      </c>
      <c r="BQ495" s="33" t="str">
        <f t="shared" si="20"/>
        <v/>
      </c>
    </row>
    <row r="496">
      <c r="B496" s="19"/>
      <c r="C496" s="29"/>
      <c r="D496" s="29"/>
      <c r="E496" s="7" t="str">
        <f>IF(ISBLANK(D496), "", VLOOKUP(D496,'Crafting Tables'!$A$2:$B1015, 2, false))</f>
        <v/>
      </c>
      <c r="F496" s="7" t="str">
        <f>IFERROR(IF(E496 = "None", 1, VLOOKUP(C496,General!$A$5:$L$35, SWITCH(E496, "Basic", 8, "Advanced", 10, "Modern", 12), false)),"")</f>
        <v/>
      </c>
      <c r="G496" s="29"/>
      <c r="H496" s="7">
        <f>IFERROR(VLOOKUP(C496, General!$A$5:$L$35, 6, false) * G496 / 1000, 0)</f>
        <v>0</v>
      </c>
      <c r="I496" s="29"/>
      <c r="J496" s="22" t="str">
        <f>IFERROR(I496*VLOOKUP(D496,'Crafting Tables'!$1:$1000, 4, false)*F496,"")</f>
        <v/>
      </c>
      <c r="K496" s="29" t="b">
        <v>0</v>
      </c>
      <c r="L496" s="37"/>
      <c r="M496" s="29"/>
      <c r="N496" s="21" t="str">
        <f t="shared" si="2"/>
        <v/>
      </c>
      <c r="P496" s="37"/>
      <c r="Q496" s="29"/>
      <c r="R496" s="29" t="b">
        <v>0</v>
      </c>
      <c r="S496" s="22" t="str">
        <f t="shared" si="3"/>
        <v/>
      </c>
      <c r="T496" s="7">
        <f>IF(ISBLANK(P496), 0, VLOOKUP(P496, 'Price Sheet'!$A$2:$B1015, 2, false))</f>
        <v>0</v>
      </c>
      <c r="U496" s="33" t="str">
        <f t="shared" si="4"/>
        <v/>
      </c>
      <c r="V496" s="37"/>
      <c r="W496" s="29"/>
      <c r="X496" s="29" t="b">
        <v>0</v>
      </c>
      <c r="Y496" s="22" t="str">
        <f t="shared" si="5"/>
        <v/>
      </c>
      <c r="Z496" s="7">
        <f>IF(ISBLANK(V496), 0, VLOOKUP(V496, 'Price Sheet'!$A$2:$B1015, 2, false))</f>
        <v>0</v>
      </c>
      <c r="AA496" s="33" t="str">
        <f t="shared" si="6"/>
        <v/>
      </c>
      <c r="AB496" s="37"/>
      <c r="AC496" s="29"/>
      <c r="AD496" s="29" t="b">
        <v>0</v>
      </c>
      <c r="AE496" s="22" t="str">
        <f t="shared" si="7"/>
        <v/>
      </c>
      <c r="AF496" s="7">
        <f>IF(ISBLANK(AB496), 0, VLOOKUP(AB496, 'Price Sheet'!$A$2:$B1015, 2, false))</f>
        <v>0</v>
      </c>
      <c r="AG496" s="33" t="str">
        <f t="shared" si="8"/>
        <v/>
      </c>
      <c r="AH496" s="37"/>
      <c r="AI496" s="29"/>
      <c r="AJ496" s="29" t="b">
        <v>0</v>
      </c>
      <c r="AK496" s="22" t="str">
        <f t="shared" si="9"/>
        <v/>
      </c>
      <c r="AL496" s="7">
        <f>IF(ISBLANK(AH496), 0, VLOOKUP(AH496, 'Price Sheet'!$A$2:$B1015, 2, false))</f>
        <v>0</v>
      </c>
      <c r="AM496" s="33" t="str">
        <f t="shared" si="10"/>
        <v/>
      </c>
      <c r="AN496" s="37"/>
      <c r="AO496" s="29"/>
      <c r="AP496" s="29" t="b">
        <v>0</v>
      </c>
      <c r="AQ496" s="22" t="str">
        <f t="shared" si="11"/>
        <v/>
      </c>
      <c r="AR496" s="7">
        <f>IF(ISBLANK(AN496), 0, VLOOKUP(AN496, 'Price Sheet'!$A$2:$B1015, 2, false))</f>
        <v>0</v>
      </c>
      <c r="AS496" s="33" t="str">
        <f t="shared" si="12"/>
        <v/>
      </c>
      <c r="AT496" s="37"/>
      <c r="AU496" s="29"/>
      <c r="AV496" s="29" t="b">
        <v>0</v>
      </c>
      <c r="AW496" s="22" t="str">
        <f t="shared" si="13"/>
        <v/>
      </c>
      <c r="AX496" s="7">
        <f>IF(ISBLANK(AT496), 0, VLOOKUP(AT496, 'Price Sheet'!$A$2:$B1015, 2, false))</f>
        <v>0</v>
      </c>
      <c r="AY496" s="33" t="str">
        <f t="shared" si="14"/>
        <v/>
      </c>
      <c r="AZ496" s="37"/>
      <c r="BA496" s="29"/>
      <c r="BB496" s="29" t="b">
        <v>0</v>
      </c>
      <c r="BC496" s="22" t="str">
        <f t="shared" si="15"/>
        <v/>
      </c>
      <c r="BD496" s="7">
        <f>IF(ISBLANK(AZ496), 0, VLOOKUP(AZ496, 'Price Sheet'!$A$2:$B1015, 2, false))</f>
        <v>0</v>
      </c>
      <c r="BE496" s="33" t="str">
        <f t="shared" si="16"/>
        <v/>
      </c>
      <c r="BF496" s="37"/>
      <c r="BG496" s="29"/>
      <c r="BH496" s="29" t="b">
        <v>0</v>
      </c>
      <c r="BI496" s="22" t="str">
        <f t="shared" si="17"/>
        <v/>
      </c>
      <c r="BJ496" s="7">
        <f>IF(ISBLANK(BF496), 0, VLOOKUP(BF496, 'Price Sheet'!$A$2:$B1015, 2, false))</f>
        <v>0</v>
      </c>
      <c r="BK496" s="33" t="str">
        <f t="shared" si="18"/>
        <v/>
      </c>
      <c r="BL496" s="37"/>
      <c r="BM496" s="29"/>
      <c r="BN496" s="29" t="b">
        <v>0</v>
      </c>
      <c r="BO496" s="22" t="str">
        <f t="shared" si="19"/>
        <v/>
      </c>
      <c r="BP496" s="7">
        <f>IF(ISBLANK(BL496), 0, VLOOKUP(BL496, 'Price Sheet'!$A$2:$B1015, 2, false))</f>
        <v>0</v>
      </c>
      <c r="BQ496" s="33" t="str">
        <f t="shared" si="20"/>
        <v/>
      </c>
    </row>
    <row r="497">
      <c r="B497" s="19"/>
      <c r="C497" s="29"/>
      <c r="D497" s="29"/>
      <c r="E497" s="7" t="str">
        <f>IF(ISBLANK(D497), "", VLOOKUP(D497,'Crafting Tables'!$A$2:$B1015, 2, false))</f>
        <v/>
      </c>
      <c r="F497" s="7" t="str">
        <f>IFERROR(IF(E497 = "None", 1, VLOOKUP(C497,General!$A$5:$L$35, SWITCH(E497, "Basic", 8, "Advanced", 10, "Modern", 12), false)),"")</f>
        <v/>
      </c>
      <c r="G497" s="29"/>
      <c r="H497" s="7">
        <f>IFERROR(VLOOKUP(C497, General!$A$5:$L$35, 6, false) * G497 / 1000, 0)</f>
        <v>0</v>
      </c>
      <c r="I497" s="29"/>
      <c r="J497" s="22" t="str">
        <f>IFERROR(I497*VLOOKUP(D497,'Crafting Tables'!$1:$1000, 4, false)*F497,"")</f>
        <v/>
      </c>
      <c r="K497" s="29" t="b">
        <v>0</v>
      </c>
      <c r="L497" s="37"/>
      <c r="M497" s="29"/>
      <c r="N497" s="21" t="str">
        <f t="shared" si="2"/>
        <v/>
      </c>
      <c r="P497" s="37"/>
      <c r="Q497" s="29"/>
      <c r="R497" s="29" t="b">
        <v>0</v>
      </c>
      <c r="S497" s="22" t="str">
        <f t="shared" si="3"/>
        <v/>
      </c>
      <c r="T497" s="7">
        <f>IF(ISBLANK(P497), 0, VLOOKUP(P497, 'Price Sheet'!$A$2:$B1015, 2, false))</f>
        <v>0</v>
      </c>
      <c r="U497" s="33" t="str">
        <f t="shared" si="4"/>
        <v/>
      </c>
      <c r="V497" s="37"/>
      <c r="W497" s="29"/>
      <c r="X497" s="29" t="b">
        <v>0</v>
      </c>
      <c r="Y497" s="22" t="str">
        <f t="shared" si="5"/>
        <v/>
      </c>
      <c r="Z497" s="7">
        <f>IF(ISBLANK(V497), 0, VLOOKUP(V497, 'Price Sheet'!$A$2:$B1015, 2, false))</f>
        <v>0</v>
      </c>
      <c r="AA497" s="33" t="str">
        <f t="shared" si="6"/>
        <v/>
      </c>
      <c r="AB497" s="37"/>
      <c r="AC497" s="29"/>
      <c r="AD497" s="29" t="b">
        <v>0</v>
      </c>
      <c r="AE497" s="22" t="str">
        <f t="shared" si="7"/>
        <v/>
      </c>
      <c r="AF497" s="7">
        <f>IF(ISBLANK(AB497), 0, VLOOKUP(AB497, 'Price Sheet'!$A$2:$B1015, 2, false))</f>
        <v>0</v>
      </c>
      <c r="AG497" s="33" t="str">
        <f t="shared" si="8"/>
        <v/>
      </c>
      <c r="AH497" s="37"/>
      <c r="AI497" s="29"/>
      <c r="AJ497" s="29" t="b">
        <v>0</v>
      </c>
      <c r="AK497" s="22" t="str">
        <f t="shared" si="9"/>
        <v/>
      </c>
      <c r="AL497" s="7">
        <f>IF(ISBLANK(AH497), 0, VLOOKUP(AH497, 'Price Sheet'!$A$2:$B1015, 2, false))</f>
        <v>0</v>
      </c>
      <c r="AM497" s="33" t="str">
        <f t="shared" si="10"/>
        <v/>
      </c>
      <c r="AN497" s="37"/>
      <c r="AO497" s="29"/>
      <c r="AP497" s="29" t="b">
        <v>0</v>
      </c>
      <c r="AQ497" s="22" t="str">
        <f t="shared" si="11"/>
        <v/>
      </c>
      <c r="AR497" s="7">
        <f>IF(ISBLANK(AN497), 0, VLOOKUP(AN497, 'Price Sheet'!$A$2:$B1015, 2, false))</f>
        <v>0</v>
      </c>
      <c r="AS497" s="33" t="str">
        <f t="shared" si="12"/>
        <v/>
      </c>
      <c r="AT497" s="37"/>
      <c r="AU497" s="29"/>
      <c r="AV497" s="29" t="b">
        <v>0</v>
      </c>
      <c r="AW497" s="22" t="str">
        <f t="shared" si="13"/>
        <v/>
      </c>
      <c r="AX497" s="7">
        <f>IF(ISBLANK(AT497), 0, VLOOKUP(AT497, 'Price Sheet'!$A$2:$B1015, 2, false))</f>
        <v>0</v>
      </c>
      <c r="AY497" s="33" t="str">
        <f t="shared" si="14"/>
        <v/>
      </c>
      <c r="AZ497" s="37"/>
      <c r="BA497" s="29"/>
      <c r="BB497" s="29" t="b">
        <v>0</v>
      </c>
      <c r="BC497" s="22" t="str">
        <f t="shared" si="15"/>
        <v/>
      </c>
      <c r="BD497" s="7">
        <f>IF(ISBLANK(AZ497), 0, VLOOKUP(AZ497, 'Price Sheet'!$A$2:$B1015, 2, false))</f>
        <v>0</v>
      </c>
      <c r="BE497" s="33" t="str">
        <f t="shared" si="16"/>
        <v/>
      </c>
      <c r="BF497" s="37"/>
      <c r="BG497" s="29"/>
      <c r="BH497" s="29" t="b">
        <v>0</v>
      </c>
      <c r="BI497" s="22" t="str">
        <f t="shared" si="17"/>
        <v/>
      </c>
      <c r="BJ497" s="7">
        <f>IF(ISBLANK(BF497), 0, VLOOKUP(BF497, 'Price Sheet'!$A$2:$B1015, 2, false))</f>
        <v>0</v>
      </c>
      <c r="BK497" s="33" t="str">
        <f t="shared" si="18"/>
        <v/>
      </c>
      <c r="BL497" s="37"/>
      <c r="BM497" s="29"/>
      <c r="BN497" s="29" t="b">
        <v>0</v>
      </c>
      <c r="BO497" s="22" t="str">
        <f t="shared" si="19"/>
        <v/>
      </c>
      <c r="BP497" s="7">
        <f>IF(ISBLANK(BL497), 0, VLOOKUP(BL497, 'Price Sheet'!$A$2:$B1015, 2, false))</f>
        <v>0</v>
      </c>
      <c r="BQ497" s="33" t="str">
        <f t="shared" si="20"/>
        <v/>
      </c>
    </row>
    <row r="498">
      <c r="B498" s="19"/>
      <c r="C498" s="29"/>
      <c r="D498" s="29"/>
      <c r="E498" s="7" t="str">
        <f>IF(ISBLANK(D498), "", VLOOKUP(D498,'Crafting Tables'!$A$2:$B1015, 2, false))</f>
        <v/>
      </c>
      <c r="F498" s="7" t="str">
        <f>IFERROR(IF(E498 = "None", 1, VLOOKUP(C498,General!$A$5:$L$35, SWITCH(E498, "Basic", 8, "Advanced", 10, "Modern", 12), false)),"")</f>
        <v/>
      </c>
      <c r="G498" s="29"/>
      <c r="H498" s="7">
        <f>IFERROR(VLOOKUP(C498, General!$A$5:$L$35, 6, false) * G498 / 1000, 0)</f>
        <v>0</v>
      </c>
      <c r="I498" s="29"/>
      <c r="J498" s="22" t="str">
        <f>IFERROR(I498*VLOOKUP(D498,'Crafting Tables'!$1:$1000, 4, false)*F498,"")</f>
        <v/>
      </c>
      <c r="K498" s="29" t="b">
        <v>0</v>
      </c>
      <c r="L498" s="37"/>
      <c r="M498" s="29"/>
      <c r="N498" s="21" t="str">
        <f t="shared" si="2"/>
        <v/>
      </c>
      <c r="P498" s="37"/>
      <c r="Q498" s="29"/>
      <c r="R498" s="29" t="b">
        <v>0</v>
      </c>
      <c r="S498" s="22" t="str">
        <f t="shared" si="3"/>
        <v/>
      </c>
      <c r="T498" s="7">
        <f>IF(ISBLANK(P498), 0, VLOOKUP(P498, 'Price Sheet'!$A$2:$B1015, 2, false))</f>
        <v>0</v>
      </c>
      <c r="U498" s="33" t="str">
        <f t="shared" si="4"/>
        <v/>
      </c>
      <c r="V498" s="37"/>
      <c r="W498" s="29"/>
      <c r="X498" s="29" t="b">
        <v>0</v>
      </c>
      <c r="Y498" s="22" t="str">
        <f t="shared" si="5"/>
        <v/>
      </c>
      <c r="Z498" s="7">
        <f>IF(ISBLANK(V498), 0, VLOOKUP(V498, 'Price Sheet'!$A$2:$B1015, 2, false))</f>
        <v>0</v>
      </c>
      <c r="AA498" s="33" t="str">
        <f t="shared" si="6"/>
        <v/>
      </c>
      <c r="AB498" s="37"/>
      <c r="AC498" s="29"/>
      <c r="AD498" s="29" t="b">
        <v>0</v>
      </c>
      <c r="AE498" s="22" t="str">
        <f t="shared" si="7"/>
        <v/>
      </c>
      <c r="AF498" s="7">
        <f>IF(ISBLANK(AB498), 0, VLOOKUP(AB498, 'Price Sheet'!$A$2:$B1015, 2, false))</f>
        <v>0</v>
      </c>
      <c r="AG498" s="33" t="str">
        <f t="shared" si="8"/>
        <v/>
      </c>
      <c r="AH498" s="37"/>
      <c r="AI498" s="29"/>
      <c r="AJ498" s="29" t="b">
        <v>0</v>
      </c>
      <c r="AK498" s="22" t="str">
        <f t="shared" si="9"/>
        <v/>
      </c>
      <c r="AL498" s="7">
        <f>IF(ISBLANK(AH498), 0, VLOOKUP(AH498, 'Price Sheet'!$A$2:$B1015, 2, false))</f>
        <v>0</v>
      </c>
      <c r="AM498" s="33" t="str">
        <f t="shared" si="10"/>
        <v/>
      </c>
      <c r="AN498" s="37"/>
      <c r="AO498" s="29"/>
      <c r="AP498" s="29" t="b">
        <v>0</v>
      </c>
      <c r="AQ498" s="22" t="str">
        <f t="shared" si="11"/>
        <v/>
      </c>
      <c r="AR498" s="7">
        <f>IF(ISBLANK(AN498), 0, VLOOKUP(AN498, 'Price Sheet'!$A$2:$B1015, 2, false))</f>
        <v>0</v>
      </c>
      <c r="AS498" s="33" t="str">
        <f t="shared" si="12"/>
        <v/>
      </c>
      <c r="AT498" s="37"/>
      <c r="AU498" s="29"/>
      <c r="AV498" s="29" t="b">
        <v>0</v>
      </c>
      <c r="AW498" s="22" t="str">
        <f t="shared" si="13"/>
        <v/>
      </c>
      <c r="AX498" s="7">
        <f>IF(ISBLANK(AT498), 0, VLOOKUP(AT498, 'Price Sheet'!$A$2:$B1015, 2, false))</f>
        <v>0</v>
      </c>
      <c r="AY498" s="33" t="str">
        <f t="shared" si="14"/>
        <v/>
      </c>
      <c r="AZ498" s="37"/>
      <c r="BA498" s="29"/>
      <c r="BB498" s="29" t="b">
        <v>0</v>
      </c>
      <c r="BC498" s="22" t="str">
        <f t="shared" si="15"/>
        <v/>
      </c>
      <c r="BD498" s="7">
        <f>IF(ISBLANK(AZ498), 0, VLOOKUP(AZ498, 'Price Sheet'!$A$2:$B1015, 2, false))</f>
        <v>0</v>
      </c>
      <c r="BE498" s="33" t="str">
        <f t="shared" si="16"/>
        <v/>
      </c>
      <c r="BF498" s="37"/>
      <c r="BG498" s="29"/>
      <c r="BH498" s="29" t="b">
        <v>0</v>
      </c>
      <c r="BI498" s="22" t="str">
        <f t="shared" si="17"/>
        <v/>
      </c>
      <c r="BJ498" s="7">
        <f>IF(ISBLANK(BF498), 0, VLOOKUP(BF498, 'Price Sheet'!$A$2:$B1015, 2, false))</f>
        <v>0</v>
      </c>
      <c r="BK498" s="33" t="str">
        <f t="shared" si="18"/>
        <v/>
      </c>
      <c r="BL498" s="37"/>
      <c r="BM498" s="29"/>
      <c r="BN498" s="29" t="b">
        <v>0</v>
      </c>
      <c r="BO498" s="22" t="str">
        <f t="shared" si="19"/>
        <v/>
      </c>
      <c r="BP498" s="7">
        <f>IF(ISBLANK(BL498), 0, VLOOKUP(BL498, 'Price Sheet'!$A$2:$B1015, 2, false))</f>
        <v>0</v>
      </c>
      <c r="BQ498" s="33" t="str">
        <f t="shared" si="20"/>
        <v/>
      </c>
    </row>
    <row r="499">
      <c r="B499" s="19"/>
      <c r="C499" s="29"/>
      <c r="D499" s="29"/>
      <c r="E499" s="7" t="str">
        <f>IF(ISBLANK(D499), "", VLOOKUP(D499,'Crafting Tables'!$A$2:$B1015, 2, false))</f>
        <v/>
      </c>
      <c r="F499" s="7" t="str">
        <f>IFERROR(IF(E499 = "None", 1, VLOOKUP(C499,General!$A$5:$L$35, SWITCH(E499, "Basic", 8, "Advanced", 10, "Modern", 12), false)),"")</f>
        <v/>
      </c>
      <c r="G499" s="29"/>
      <c r="H499" s="7">
        <f>IFERROR(VLOOKUP(C499, General!$A$5:$L$35, 6, false) * G499 / 1000, 0)</f>
        <v>0</v>
      </c>
      <c r="I499" s="29"/>
      <c r="J499" s="22" t="str">
        <f>IFERROR(I499*VLOOKUP(D499,'Crafting Tables'!$1:$1000, 4, false)*F499,"")</f>
        <v/>
      </c>
      <c r="K499" s="29" t="b">
        <v>0</v>
      </c>
      <c r="L499" s="37"/>
      <c r="M499" s="29"/>
      <c r="N499" s="21" t="str">
        <f t="shared" si="2"/>
        <v/>
      </c>
      <c r="P499" s="37"/>
      <c r="Q499" s="29"/>
      <c r="R499" s="29" t="b">
        <v>0</v>
      </c>
      <c r="S499" s="22" t="str">
        <f t="shared" si="3"/>
        <v/>
      </c>
      <c r="T499" s="7">
        <f>IF(ISBLANK(P499), 0, VLOOKUP(P499, 'Price Sheet'!$A$2:$B1015, 2, false))</f>
        <v>0</v>
      </c>
      <c r="U499" s="33" t="str">
        <f t="shared" si="4"/>
        <v/>
      </c>
      <c r="V499" s="37"/>
      <c r="W499" s="29"/>
      <c r="X499" s="29" t="b">
        <v>0</v>
      </c>
      <c r="Y499" s="22" t="str">
        <f t="shared" si="5"/>
        <v/>
      </c>
      <c r="Z499" s="7">
        <f>IF(ISBLANK(V499), 0, VLOOKUP(V499, 'Price Sheet'!$A$2:$B1015, 2, false))</f>
        <v>0</v>
      </c>
      <c r="AA499" s="33" t="str">
        <f t="shared" si="6"/>
        <v/>
      </c>
      <c r="AB499" s="37"/>
      <c r="AC499" s="29"/>
      <c r="AD499" s="29" t="b">
        <v>0</v>
      </c>
      <c r="AE499" s="22" t="str">
        <f t="shared" si="7"/>
        <v/>
      </c>
      <c r="AF499" s="7">
        <f>IF(ISBLANK(AB499), 0, VLOOKUP(AB499, 'Price Sheet'!$A$2:$B1015, 2, false))</f>
        <v>0</v>
      </c>
      <c r="AG499" s="33" t="str">
        <f t="shared" si="8"/>
        <v/>
      </c>
      <c r="AH499" s="37"/>
      <c r="AI499" s="29"/>
      <c r="AJ499" s="29" t="b">
        <v>0</v>
      </c>
      <c r="AK499" s="22" t="str">
        <f t="shared" si="9"/>
        <v/>
      </c>
      <c r="AL499" s="7">
        <f>IF(ISBLANK(AH499), 0, VLOOKUP(AH499, 'Price Sheet'!$A$2:$B1015, 2, false))</f>
        <v>0</v>
      </c>
      <c r="AM499" s="33" t="str">
        <f t="shared" si="10"/>
        <v/>
      </c>
      <c r="AN499" s="37"/>
      <c r="AO499" s="29"/>
      <c r="AP499" s="29" t="b">
        <v>0</v>
      </c>
      <c r="AQ499" s="22" t="str">
        <f t="shared" si="11"/>
        <v/>
      </c>
      <c r="AR499" s="7">
        <f>IF(ISBLANK(AN499), 0, VLOOKUP(AN499, 'Price Sheet'!$A$2:$B1015, 2, false))</f>
        <v>0</v>
      </c>
      <c r="AS499" s="33" t="str">
        <f t="shared" si="12"/>
        <v/>
      </c>
      <c r="AT499" s="37"/>
      <c r="AU499" s="29"/>
      <c r="AV499" s="29" t="b">
        <v>0</v>
      </c>
      <c r="AW499" s="22" t="str">
        <f t="shared" si="13"/>
        <v/>
      </c>
      <c r="AX499" s="7">
        <f>IF(ISBLANK(AT499), 0, VLOOKUP(AT499, 'Price Sheet'!$A$2:$B1015, 2, false))</f>
        <v>0</v>
      </c>
      <c r="AY499" s="33" t="str">
        <f t="shared" si="14"/>
        <v/>
      </c>
      <c r="AZ499" s="37"/>
      <c r="BA499" s="29"/>
      <c r="BB499" s="29" t="b">
        <v>0</v>
      </c>
      <c r="BC499" s="22" t="str">
        <f t="shared" si="15"/>
        <v/>
      </c>
      <c r="BD499" s="7">
        <f>IF(ISBLANK(AZ499), 0, VLOOKUP(AZ499, 'Price Sheet'!$A$2:$B1015, 2, false))</f>
        <v>0</v>
      </c>
      <c r="BE499" s="33" t="str">
        <f t="shared" si="16"/>
        <v/>
      </c>
      <c r="BF499" s="37"/>
      <c r="BG499" s="29"/>
      <c r="BH499" s="29" t="b">
        <v>0</v>
      </c>
      <c r="BI499" s="22" t="str">
        <f t="shared" si="17"/>
        <v/>
      </c>
      <c r="BJ499" s="7">
        <f>IF(ISBLANK(BF499), 0, VLOOKUP(BF499, 'Price Sheet'!$A$2:$B1015, 2, false))</f>
        <v>0</v>
      </c>
      <c r="BK499" s="33" t="str">
        <f t="shared" si="18"/>
        <v/>
      </c>
      <c r="BL499" s="37"/>
      <c r="BM499" s="29"/>
      <c r="BN499" s="29" t="b">
        <v>0</v>
      </c>
      <c r="BO499" s="22" t="str">
        <f t="shared" si="19"/>
        <v/>
      </c>
      <c r="BP499" s="7">
        <f>IF(ISBLANK(BL499), 0, VLOOKUP(BL499, 'Price Sheet'!$A$2:$B1015, 2, false))</f>
        <v>0</v>
      </c>
      <c r="BQ499" s="33" t="str">
        <f t="shared" si="20"/>
        <v/>
      </c>
    </row>
    <row r="500">
      <c r="B500" s="19"/>
      <c r="C500" s="29"/>
      <c r="D500" s="29"/>
      <c r="E500" s="7" t="str">
        <f>IF(ISBLANK(D500), "", VLOOKUP(D500,'Crafting Tables'!$A$2:$B1015, 2, false))</f>
        <v/>
      </c>
      <c r="F500" s="7" t="str">
        <f>IFERROR(IF(E500 = "None", 1, VLOOKUP(C500,General!$A$5:$L$35, SWITCH(E500, "Basic", 8, "Advanced", 10, "Modern", 12), false)),"")</f>
        <v/>
      </c>
      <c r="G500" s="29"/>
      <c r="H500" s="7">
        <f>IFERROR(VLOOKUP(C500, General!$A$5:$L$35, 6, false) * G500 / 1000, 0)</f>
        <v>0</v>
      </c>
      <c r="I500" s="29"/>
      <c r="J500" s="22" t="str">
        <f>IFERROR(I500*VLOOKUP(D500,'Crafting Tables'!$1:$1000, 4, false)*F500,"")</f>
        <v/>
      </c>
      <c r="K500" s="29" t="b">
        <v>0</v>
      </c>
      <c r="L500" s="37"/>
      <c r="M500" s="29"/>
      <c r="N500" s="21" t="str">
        <f t="shared" si="2"/>
        <v/>
      </c>
      <c r="P500" s="37"/>
      <c r="Q500" s="29"/>
      <c r="R500" s="29" t="b">
        <v>0</v>
      </c>
      <c r="S500" s="22" t="str">
        <f t="shared" si="3"/>
        <v/>
      </c>
      <c r="T500" s="7">
        <f>IF(ISBLANK(P500), 0, VLOOKUP(P500, 'Price Sheet'!$A$2:$B1015, 2, false))</f>
        <v>0</v>
      </c>
      <c r="U500" s="33" t="str">
        <f t="shared" si="4"/>
        <v/>
      </c>
      <c r="V500" s="37"/>
      <c r="W500" s="29"/>
      <c r="X500" s="29" t="b">
        <v>0</v>
      </c>
      <c r="Y500" s="22" t="str">
        <f t="shared" si="5"/>
        <v/>
      </c>
      <c r="Z500" s="7">
        <f>IF(ISBLANK(V500), 0, VLOOKUP(V500, 'Price Sheet'!$A$2:$B1015, 2, false))</f>
        <v>0</v>
      </c>
      <c r="AA500" s="33" t="str">
        <f t="shared" si="6"/>
        <v/>
      </c>
      <c r="AB500" s="37"/>
      <c r="AC500" s="29"/>
      <c r="AD500" s="29" t="b">
        <v>0</v>
      </c>
      <c r="AE500" s="22" t="str">
        <f t="shared" si="7"/>
        <v/>
      </c>
      <c r="AF500" s="7">
        <f>IF(ISBLANK(AB500), 0, VLOOKUP(AB500, 'Price Sheet'!$A$2:$B1015, 2, false))</f>
        <v>0</v>
      </c>
      <c r="AG500" s="33" t="str">
        <f t="shared" si="8"/>
        <v/>
      </c>
      <c r="AH500" s="37"/>
      <c r="AI500" s="29"/>
      <c r="AJ500" s="29" t="b">
        <v>0</v>
      </c>
      <c r="AK500" s="22" t="str">
        <f t="shared" si="9"/>
        <v/>
      </c>
      <c r="AL500" s="7">
        <f>IF(ISBLANK(AH500), 0, VLOOKUP(AH500, 'Price Sheet'!$A$2:$B1015, 2, false))</f>
        <v>0</v>
      </c>
      <c r="AM500" s="33" t="str">
        <f t="shared" si="10"/>
        <v/>
      </c>
      <c r="AN500" s="37"/>
      <c r="AO500" s="29"/>
      <c r="AP500" s="29" t="b">
        <v>0</v>
      </c>
      <c r="AQ500" s="22" t="str">
        <f t="shared" si="11"/>
        <v/>
      </c>
      <c r="AR500" s="7">
        <f>IF(ISBLANK(AN500), 0, VLOOKUP(AN500, 'Price Sheet'!$A$2:$B1015, 2, false))</f>
        <v>0</v>
      </c>
      <c r="AS500" s="33" t="str">
        <f t="shared" si="12"/>
        <v/>
      </c>
      <c r="AT500" s="37"/>
      <c r="AU500" s="29"/>
      <c r="AV500" s="29" t="b">
        <v>0</v>
      </c>
      <c r="AW500" s="22" t="str">
        <f t="shared" si="13"/>
        <v/>
      </c>
      <c r="AX500" s="7">
        <f>IF(ISBLANK(AT500), 0, VLOOKUP(AT500, 'Price Sheet'!$A$2:$B1015, 2, false))</f>
        <v>0</v>
      </c>
      <c r="AY500" s="33" t="str">
        <f t="shared" si="14"/>
        <v/>
      </c>
      <c r="AZ500" s="37"/>
      <c r="BA500" s="29"/>
      <c r="BB500" s="29" t="b">
        <v>0</v>
      </c>
      <c r="BC500" s="22" t="str">
        <f t="shared" si="15"/>
        <v/>
      </c>
      <c r="BD500" s="7">
        <f>IF(ISBLANK(AZ500), 0, VLOOKUP(AZ500, 'Price Sheet'!$A$2:$B1015, 2, false))</f>
        <v>0</v>
      </c>
      <c r="BE500" s="33" t="str">
        <f t="shared" si="16"/>
        <v/>
      </c>
      <c r="BF500" s="37"/>
      <c r="BG500" s="29"/>
      <c r="BH500" s="29" t="b">
        <v>0</v>
      </c>
      <c r="BI500" s="22" t="str">
        <f t="shared" si="17"/>
        <v/>
      </c>
      <c r="BJ500" s="7">
        <f>IF(ISBLANK(BF500), 0, VLOOKUP(BF500, 'Price Sheet'!$A$2:$B1015, 2, false))</f>
        <v>0</v>
      </c>
      <c r="BK500" s="33" t="str">
        <f t="shared" si="18"/>
        <v/>
      </c>
      <c r="BL500" s="37"/>
      <c r="BM500" s="29"/>
      <c r="BN500" s="29" t="b">
        <v>0</v>
      </c>
      <c r="BO500" s="22" t="str">
        <f t="shared" si="19"/>
        <v/>
      </c>
      <c r="BP500" s="7">
        <f>IF(ISBLANK(BL500), 0, VLOOKUP(BL500, 'Price Sheet'!$A$2:$B1015, 2, false))</f>
        <v>0</v>
      </c>
      <c r="BQ500" s="33" t="str">
        <f t="shared" si="20"/>
        <v/>
      </c>
    </row>
    <row r="501">
      <c r="B501" s="19"/>
      <c r="C501" s="29"/>
      <c r="D501" s="29"/>
      <c r="E501" s="7" t="str">
        <f>IF(ISBLANK(D501), "", VLOOKUP(D501,'Crafting Tables'!$A$2:$B1015, 2, false))</f>
        <v/>
      </c>
      <c r="F501" s="7" t="str">
        <f>IFERROR(IF(E501 = "None", 1, VLOOKUP(C501,General!$A$5:$L$35, SWITCH(E501, "Basic", 8, "Advanced", 10, "Modern", 12), false)),"")</f>
        <v/>
      </c>
      <c r="G501" s="29"/>
      <c r="H501" s="7">
        <f>IFERROR(VLOOKUP(C501, General!$A$5:$L$35, 6, false) * G501 / 1000, 0)</f>
        <v>0</v>
      </c>
      <c r="I501" s="29"/>
      <c r="J501" s="22" t="str">
        <f>IFERROR(I501*VLOOKUP(D501,'Crafting Tables'!$1:$1000, 4, false)*F501,"")</f>
        <v/>
      </c>
      <c r="K501" s="29" t="b">
        <v>0</v>
      </c>
      <c r="L501" s="37"/>
      <c r="M501" s="29"/>
      <c r="N501" s="21" t="str">
        <f t="shared" si="2"/>
        <v/>
      </c>
      <c r="P501" s="37"/>
      <c r="Q501" s="29"/>
      <c r="R501" s="29" t="b">
        <v>0</v>
      </c>
      <c r="S501" s="22" t="str">
        <f t="shared" si="3"/>
        <v/>
      </c>
      <c r="T501" s="7">
        <f>IF(ISBLANK(P501), 0, VLOOKUP(P501, 'Price Sheet'!$A$2:$B1015, 2, false))</f>
        <v>0</v>
      </c>
      <c r="U501" s="33" t="str">
        <f t="shared" si="4"/>
        <v/>
      </c>
      <c r="V501" s="37"/>
      <c r="W501" s="29"/>
      <c r="X501" s="29" t="b">
        <v>0</v>
      </c>
      <c r="Y501" s="22" t="str">
        <f t="shared" si="5"/>
        <v/>
      </c>
      <c r="Z501" s="7">
        <f>IF(ISBLANK(V501), 0, VLOOKUP(V501, 'Price Sheet'!$A$2:$B1015, 2, false))</f>
        <v>0</v>
      </c>
      <c r="AA501" s="33" t="str">
        <f t="shared" si="6"/>
        <v/>
      </c>
      <c r="AB501" s="37"/>
      <c r="AC501" s="29"/>
      <c r="AD501" s="29" t="b">
        <v>0</v>
      </c>
      <c r="AE501" s="22" t="str">
        <f t="shared" si="7"/>
        <v/>
      </c>
      <c r="AF501" s="7">
        <f>IF(ISBLANK(AB501), 0, VLOOKUP(AB501, 'Price Sheet'!$A$2:$B1015, 2, false))</f>
        <v>0</v>
      </c>
      <c r="AG501" s="33" t="str">
        <f t="shared" si="8"/>
        <v/>
      </c>
      <c r="AH501" s="37"/>
      <c r="AI501" s="29"/>
      <c r="AJ501" s="29" t="b">
        <v>0</v>
      </c>
      <c r="AK501" s="22" t="str">
        <f t="shared" si="9"/>
        <v/>
      </c>
      <c r="AL501" s="7">
        <f>IF(ISBLANK(AH501), 0, VLOOKUP(AH501, 'Price Sheet'!$A$2:$B1015, 2, false))</f>
        <v>0</v>
      </c>
      <c r="AM501" s="33" t="str">
        <f t="shared" si="10"/>
        <v/>
      </c>
      <c r="AN501" s="37"/>
      <c r="AO501" s="29"/>
      <c r="AP501" s="29" t="b">
        <v>0</v>
      </c>
      <c r="AQ501" s="22" t="str">
        <f t="shared" si="11"/>
        <v/>
      </c>
      <c r="AR501" s="7">
        <f>IF(ISBLANK(AN501), 0, VLOOKUP(AN501, 'Price Sheet'!$A$2:$B1015, 2, false))</f>
        <v>0</v>
      </c>
      <c r="AS501" s="33" t="str">
        <f t="shared" si="12"/>
        <v/>
      </c>
      <c r="AT501" s="37"/>
      <c r="AU501" s="29"/>
      <c r="AV501" s="29" t="b">
        <v>0</v>
      </c>
      <c r="AW501" s="22" t="str">
        <f t="shared" si="13"/>
        <v/>
      </c>
      <c r="AX501" s="7">
        <f>IF(ISBLANK(AT501), 0, VLOOKUP(AT501, 'Price Sheet'!$A$2:$B1015, 2, false))</f>
        <v>0</v>
      </c>
      <c r="AY501" s="33" t="str">
        <f t="shared" si="14"/>
        <v/>
      </c>
      <c r="AZ501" s="37"/>
      <c r="BA501" s="29"/>
      <c r="BB501" s="29" t="b">
        <v>0</v>
      </c>
      <c r="BC501" s="22" t="str">
        <f t="shared" si="15"/>
        <v/>
      </c>
      <c r="BD501" s="7">
        <f>IF(ISBLANK(AZ501), 0, VLOOKUP(AZ501, 'Price Sheet'!$A$2:$B1015, 2, false))</f>
        <v>0</v>
      </c>
      <c r="BE501" s="33" t="str">
        <f t="shared" si="16"/>
        <v/>
      </c>
      <c r="BF501" s="37"/>
      <c r="BG501" s="29"/>
      <c r="BH501" s="29" t="b">
        <v>0</v>
      </c>
      <c r="BI501" s="22" t="str">
        <f t="shared" si="17"/>
        <v/>
      </c>
      <c r="BJ501" s="7">
        <f>IF(ISBLANK(BF501), 0, VLOOKUP(BF501, 'Price Sheet'!$A$2:$B1015, 2, false))</f>
        <v>0</v>
      </c>
      <c r="BK501" s="33" t="str">
        <f t="shared" si="18"/>
        <v/>
      </c>
      <c r="BL501" s="37"/>
      <c r="BM501" s="29"/>
      <c r="BN501" s="29" t="b">
        <v>0</v>
      </c>
      <c r="BO501" s="22" t="str">
        <f t="shared" si="19"/>
        <v/>
      </c>
      <c r="BP501" s="7">
        <f>IF(ISBLANK(BL501), 0, VLOOKUP(BL501, 'Price Sheet'!$A$2:$B1015, 2, false))</f>
        <v>0</v>
      </c>
      <c r="BQ501" s="33" t="str">
        <f t="shared" si="20"/>
        <v/>
      </c>
    </row>
    <row r="502">
      <c r="B502" s="19"/>
      <c r="C502" s="29"/>
      <c r="D502" s="29"/>
      <c r="E502" s="7" t="str">
        <f>IF(ISBLANK(D502), "", VLOOKUP(D502,'Crafting Tables'!$A$2:$B1015, 2, false))</f>
        <v/>
      </c>
      <c r="F502" s="7" t="str">
        <f>IFERROR(IF(E502 = "None", 1, VLOOKUP(C502,General!$A$5:$L$35, SWITCH(E502, "Basic", 8, "Advanced", 10, "Modern", 12), false)),"")</f>
        <v/>
      </c>
      <c r="G502" s="29"/>
      <c r="H502" s="7">
        <f>IFERROR(VLOOKUP(C502, General!$A$5:$L$35, 6, false) * G502 / 1000, 0)</f>
        <v>0</v>
      </c>
      <c r="I502" s="29"/>
      <c r="J502" s="22" t="str">
        <f>IFERROR(I502*VLOOKUP(D502,'Crafting Tables'!$1:$1000, 4, false)*F502,"")</f>
        <v/>
      </c>
      <c r="K502" s="29" t="b">
        <v>0</v>
      </c>
      <c r="L502" s="37"/>
      <c r="M502" s="29"/>
      <c r="N502" s="21" t="str">
        <f t="shared" si="2"/>
        <v/>
      </c>
      <c r="P502" s="37"/>
      <c r="Q502" s="29"/>
      <c r="R502" s="29" t="b">
        <v>0</v>
      </c>
      <c r="S502" s="22" t="str">
        <f t="shared" si="3"/>
        <v/>
      </c>
      <c r="T502" s="7">
        <f>IF(ISBLANK(P502), 0, VLOOKUP(P502, 'Price Sheet'!$A$2:$B1015, 2, false))</f>
        <v>0</v>
      </c>
      <c r="U502" s="33" t="str">
        <f t="shared" si="4"/>
        <v/>
      </c>
      <c r="V502" s="37"/>
      <c r="W502" s="29"/>
      <c r="X502" s="29" t="b">
        <v>0</v>
      </c>
      <c r="Y502" s="22" t="str">
        <f t="shared" si="5"/>
        <v/>
      </c>
      <c r="Z502" s="7">
        <f>IF(ISBLANK(V502), 0, VLOOKUP(V502, 'Price Sheet'!$A$2:$B1015, 2, false))</f>
        <v>0</v>
      </c>
      <c r="AA502" s="33" t="str">
        <f t="shared" si="6"/>
        <v/>
      </c>
      <c r="AB502" s="37"/>
      <c r="AC502" s="29"/>
      <c r="AD502" s="29" t="b">
        <v>0</v>
      </c>
      <c r="AE502" s="22" t="str">
        <f t="shared" si="7"/>
        <v/>
      </c>
      <c r="AF502" s="7">
        <f>IF(ISBLANK(AB502), 0, VLOOKUP(AB502, 'Price Sheet'!$A$2:$B1015, 2, false))</f>
        <v>0</v>
      </c>
      <c r="AG502" s="33" t="str">
        <f t="shared" si="8"/>
        <v/>
      </c>
      <c r="AH502" s="37"/>
      <c r="AI502" s="29"/>
      <c r="AJ502" s="29" t="b">
        <v>0</v>
      </c>
      <c r="AK502" s="22" t="str">
        <f t="shared" si="9"/>
        <v/>
      </c>
      <c r="AL502" s="7">
        <f>IF(ISBLANK(AH502), 0, VLOOKUP(AH502, 'Price Sheet'!$A$2:$B1015, 2, false))</f>
        <v>0</v>
      </c>
      <c r="AM502" s="33" t="str">
        <f t="shared" si="10"/>
        <v/>
      </c>
      <c r="AN502" s="37"/>
      <c r="AO502" s="29"/>
      <c r="AP502" s="29" t="b">
        <v>0</v>
      </c>
      <c r="AQ502" s="22" t="str">
        <f t="shared" si="11"/>
        <v/>
      </c>
      <c r="AR502" s="7">
        <f>IF(ISBLANK(AN502), 0, VLOOKUP(AN502, 'Price Sheet'!$A$2:$B1015, 2, false))</f>
        <v>0</v>
      </c>
      <c r="AS502" s="33" t="str">
        <f t="shared" si="12"/>
        <v/>
      </c>
      <c r="AT502" s="37"/>
      <c r="AU502" s="29"/>
      <c r="AV502" s="29" t="b">
        <v>0</v>
      </c>
      <c r="AW502" s="22" t="str">
        <f t="shared" si="13"/>
        <v/>
      </c>
      <c r="AX502" s="7">
        <f>IF(ISBLANK(AT502), 0, VLOOKUP(AT502, 'Price Sheet'!$A$2:$B1015, 2, false))</f>
        <v>0</v>
      </c>
      <c r="AY502" s="33" t="str">
        <f t="shared" si="14"/>
        <v/>
      </c>
      <c r="AZ502" s="37"/>
      <c r="BA502" s="29"/>
      <c r="BB502" s="29" t="b">
        <v>0</v>
      </c>
      <c r="BC502" s="22" t="str">
        <f t="shared" si="15"/>
        <v/>
      </c>
      <c r="BD502" s="7">
        <f>IF(ISBLANK(AZ502), 0, VLOOKUP(AZ502, 'Price Sheet'!$A$2:$B1015, 2, false))</f>
        <v>0</v>
      </c>
      <c r="BE502" s="33" t="str">
        <f t="shared" si="16"/>
        <v/>
      </c>
      <c r="BF502" s="37"/>
      <c r="BG502" s="29"/>
      <c r="BH502" s="29" t="b">
        <v>0</v>
      </c>
      <c r="BI502" s="22" t="str">
        <f t="shared" si="17"/>
        <v/>
      </c>
      <c r="BJ502" s="7">
        <f>IF(ISBLANK(BF502), 0, VLOOKUP(BF502, 'Price Sheet'!$A$2:$B1015, 2, false))</f>
        <v>0</v>
      </c>
      <c r="BK502" s="33" t="str">
        <f t="shared" si="18"/>
        <v/>
      </c>
      <c r="BL502" s="37"/>
      <c r="BM502" s="29"/>
      <c r="BN502" s="29" t="b">
        <v>0</v>
      </c>
      <c r="BO502" s="22" t="str">
        <f t="shared" si="19"/>
        <v/>
      </c>
      <c r="BP502" s="7">
        <f>IF(ISBLANK(BL502), 0, VLOOKUP(BL502, 'Price Sheet'!$A$2:$B1015, 2, false))</f>
        <v>0</v>
      </c>
      <c r="BQ502" s="33" t="str">
        <f t="shared" si="20"/>
        <v/>
      </c>
    </row>
    <row r="503">
      <c r="B503" s="19"/>
      <c r="C503" s="29"/>
      <c r="D503" s="29"/>
      <c r="E503" s="7" t="str">
        <f>IF(ISBLANK(D503), "", VLOOKUP(D503,'Crafting Tables'!$A$2:$B1015, 2, false))</f>
        <v/>
      </c>
      <c r="F503" s="7" t="str">
        <f>IFERROR(IF(E503 = "None", 1, VLOOKUP(C503,General!$A$5:$L$35, SWITCH(E503, "Basic", 8, "Advanced", 10, "Modern", 12), false)),"")</f>
        <v/>
      </c>
      <c r="G503" s="29"/>
      <c r="H503" s="7">
        <f>IFERROR(VLOOKUP(C503, General!$A$5:$L$35, 6, false) * G503 / 1000, 0)</f>
        <v>0</v>
      </c>
      <c r="I503" s="29"/>
      <c r="J503" s="22" t="str">
        <f>IFERROR(I503*VLOOKUP(D503,'Crafting Tables'!$1:$1000, 4, false)*F503,"")</f>
        <v/>
      </c>
      <c r="K503" s="29" t="b">
        <v>0</v>
      </c>
      <c r="L503" s="37"/>
      <c r="M503" s="29"/>
      <c r="N503" s="21" t="str">
        <f t="shared" si="2"/>
        <v/>
      </c>
      <c r="P503" s="37"/>
      <c r="Q503" s="29"/>
      <c r="R503" s="29" t="b">
        <v>0</v>
      </c>
      <c r="S503" s="22" t="str">
        <f t="shared" si="3"/>
        <v/>
      </c>
      <c r="T503" s="7">
        <f>IF(ISBLANK(P503), 0, VLOOKUP(P503, 'Price Sheet'!$A$2:$B1015, 2, false))</f>
        <v>0</v>
      </c>
      <c r="U503" s="33" t="str">
        <f t="shared" si="4"/>
        <v/>
      </c>
      <c r="V503" s="37"/>
      <c r="W503" s="29"/>
      <c r="X503" s="29" t="b">
        <v>0</v>
      </c>
      <c r="Y503" s="22" t="str">
        <f t="shared" si="5"/>
        <v/>
      </c>
      <c r="Z503" s="7">
        <f>IF(ISBLANK(V503), 0, VLOOKUP(V503, 'Price Sheet'!$A$2:$B1015, 2, false))</f>
        <v>0</v>
      </c>
      <c r="AA503" s="33" t="str">
        <f t="shared" si="6"/>
        <v/>
      </c>
      <c r="AB503" s="37"/>
      <c r="AC503" s="29"/>
      <c r="AD503" s="29" t="b">
        <v>0</v>
      </c>
      <c r="AE503" s="22" t="str">
        <f t="shared" si="7"/>
        <v/>
      </c>
      <c r="AF503" s="7">
        <f>IF(ISBLANK(AB503), 0, VLOOKUP(AB503, 'Price Sheet'!$A$2:$B1015, 2, false))</f>
        <v>0</v>
      </c>
      <c r="AG503" s="33" t="str">
        <f t="shared" si="8"/>
        <v/>
      </c>
      <c r="AH503" s="37"/>
      <c r="AI503" s="29"/>
      <c r="AJ503" s="29" t="b">
        <v>0</v>
      </c>
      <c r="AK503" s="22" t="str">
        <f t="shared" si="9"/>
        <v/>
      </c>
      <c r="AL503" s="7">
        <f>IF(ISBLANK(AH503), 0, VLOOKUP(AH503, 'Price Sheet'!$A$2:$B1015, 2, false))</f>
        <v>0</v>
      </c>
      <c r="AM503" s="33" t="str">
        <f t="shared" si="10"/>
        <v/>
      </c>
      <c r="AN503" s="37"/>
      <c r="AO503" s="29"/>
      <c r="AP503" s="29" t="b">
        <v>0</v>
      </c>
      <c r="AQ503" s="22" t="str">
        <f t="shared" si="11"/>
        <v/>
      </c>
      <c r="AR503" s="7">
        <f>IF(ISBLANK(AN503), 0, VLOOKUP(AN503, 'Price Sheet'!$A$2:$B1015, 2, false))</f>
        <v>0</v>
      </c>
      <c r="AS503" s="33" t="str">
        <f t="shared" si="12"/>
        <v/>
      </c>
      <c r="AT503" s="37"/>
      <c r="AU503" s="29"/>
      <c r="AV503" s="29" t="b">
        <v>0</v>
      </c>
      <c r="AW503" s="22" t="str">
        <f t="shared" si="13"/>
        <v/>
      </c>
      <c r="AX503" s="7">
        <f>IF(ISBLANK(AT503), 0, VLOOKUP(AT503, 'Price Sheet'!$A$2:$B1015, 2, false))</f>
        <v>0</v>
      </c>
      <c r="AY503" s="33" t="str">
        <f t="shared" si="14"/>
        <v/>
      </c>
      <c r="AZ503" s="37"/>
      <c r="BA503" s="29"/>
      <c r="BB503" s="29" t="b">
        <v>0</v>
      </c>
      <c r="BC503" s="22" t="str">
        <f t="shared" si="15"/>
        <v/>
      </c>
      <c r="BD503" s="7">
        <f>IF(ISBLANK(AZ503), 0, VLOOKUP(AZ503, 'Price Sheet'!$A$2:$B1015, 2, false))</f>
        <v>0</v>
      </c>
      <c r="BE503" s="33" t="str">
        <f t="shared" si="16"/>
        <v/>
      </c>
      <c r="BF503" s="37"/>
      <c r="BG503" s="29"/>
      <c r="BH503" s="29" t="b">
        <v>0</v>
      </c>
      <c r="BI503" s="22" t="str">
        <f t="shared" si="17"/>
        <v/>
      </c>
      <c r="BJ503" s="7">
        <f>IF(ISBLANK(BF503), 0, VLOOKUP(BF503, 'Price Sheet'!$A$2:$B1015, 2, false))</f>
        <v>0</v>
      </c>
      <c r="BK503" s="33" t="str">
        <f t="shared" si="18"/>
        <v/>
      </c>
      <c r="BL503" s="37"/>
      <c r="BM503" s="29"/>
      <c r="BN503" s="29" t="b">
        <v>0</v>
      </c>
      <c r="BO503" s="22" t="str">
        <f t="shared" si="19"/>
        <v/>
      </c>
      <c r="BP503" s="7">
        <f>IF(ISBLANK(BL503), 0, VLOOKUP(BL503, 'Price Sheet'!$A$2:$B1015, 2, false))</f>
        <v>0</v>
      </c>
      <c r="BQ503" s="33" t="str">
        <f t="shared" si="20"/>
        <v/>
      </c>
    </row>
    <row r="504">
      <c r="B504" s="19"/>
      <c r="C504" s="29"/>
      <c r="D504" s="29"/>
      <c r="E504" s="7" t="str">
        <f>IF(ISBLANK(D504), "", VLOOKUP(D504,'Crafting Tables'!$A$2:$B1015, 2, false))</f>
        <v/>
      </c>
      <c r="F504" s="7" t="str">
        <f>IFERROR(IF(E504 = "None", 1, VLOOKUP(C504,General!$A$5:$L$35, SWITCH(E504, "Basic", 8, "Advanced", 10, "Modern", 12), false)),"")</f>
        <v/>
      </c>
      <c r="G504" s="29"/>
      <c r="H504" s="7">
        <f>IFERROR(VLOOKUP(C504, General!$A$5:$L$35, 6, false) * G504 / 1000, 0)</f>
        <v>0</v>
      </c>
      <c r="I504" s="29"/>
      <c r="J504" s="22" t="str">
        <f>IFERROR(I504*VLOOKUP(D504,'Crafting Tables'!$1:$1000, 4, false)*F504,"")</f>
        <v/>
      </c>
      <c r="K504" s="29" t="b">
        <v>0</v>
      </c>
      <c r="L504" s="37"/>
      <c r="M504" s="29"/>
      <c r="N504" s="21" t="str">
        <f t="shared" si="2"/>
        <v/>
      </c>
      <c r="P504" s="37"/>
      <c r="Q504" s="29"/>
      <c r="R504" s="29" t="b">
        <v>0</v>
      </c>
      <c r="S504" s="22" t="str">
        <f t="shared" si="3"/>
        <v/>
      </c>
      <c r="T504" s="7">
        <f>IF(ISBLANK(P504), 0, VLOOKUP(P504, 'Price Sheet'!$A$2:$B1015, 2, false))</f>
        <v>0</v>
      </c>
      <c r="U504" s="33" t="str">
        <f t="shared" si="4"/>
        <v/>
      </c>
      <c r="V504" s="37"/>
      <c r="W504" s="29"/>
      <c r="X504" s="29" t="b">
        <v>0</v>
      </c>
      <c r="Y504" s="22" t="str">
        <f t="shared" si="5"/>
        <v/>
      </c>
      <c r="Z504" s="7">
        <f>IF(ISBLANK(V504), 0, VLOOKUP(V504, 'Price Sheet'!$A$2:$B1015, 2, false))</f>
        <v>0</v>
      </c>
      <c r="AA504" s="33" t="str">
        <f t="shared" si="6"/>
        <v/>
      </c>
      <c r="AB504" s="37"/>
      <c r="AC504" s="29"/>
      <c r="AD504" s="29" t="b">
        <v>0</v>
      </c>
      <c r="AE504" s="22" t="str">
        <f t="shared" si="7"/>
        <v/>
      </c>
      <c r="AF504" s="7">
        <f>IF(ISBLANK(AB504), 0, VLOOKUP(AB504, 'Price Sheet'!$A$2:$B1015, 2, false))</f>
        <v>0</v>
      </c>
      <c r="AG504" s="33" t="str">
        <f t="shared" si="8"/>
        <v/>
      </c>
      <c r="AH504" s="37"/>
      <c r="AI504" s="29"/>
      <c r="AJ504" s="29" t="b">
        <v>0</v>
      </c>
      <c r="AK504" s="22" t="str">
        <f t="shared" si="9"/>
        <v/>
      </c>
      <c r="AL504" s="7">
        <f>IF(ISBLANK(AH504), 0, VLOOKUP(AH504, 'Price Sheet'!$A$2:$B1015, 2, false))</f>
        <v>0</v>
      </c>
      <c r="AM504" s="33" t="str">
        <f t="shared" si="10"/>
        <v/>
      </c>
      <c r="AN504" s="37"/>
      <c r="AO504" s="29"/>
      <c r="AP504" s="29" t="b">
        <v>0</v>
      </c>
      <c r="AQ504" s="22" t="str">
        <f t="shared" si="11"/>
        <v/>
      </c>
      <c r="AR504" s="7">
        <f>IF(ISBLANK(AN504), 0, VLOOKUP(AN504, 'Price Sheet'!$A$2:$B1015, 2, false))</f>
        <v>0</v>
      </c>
      <c r="AS504" s="33" t="str">
        <f t="shared" si="12"/>
        <v/>
      </c>
      <c r="AT504" s="37"/>
      <c r="AU504" s="29"/>
      <c r="AV504" s="29" t="b">
        <v>0</v>
      </c>
      <c r="AW504" s="22" t="str">
        <f t="shared" si="13"/>
        <v/>
      </c>
      <c r="AX504" s="7">
        <f>IF(ISBLANK(AT504), 0, VLOOKUP(AT504, 'Price Sheet'!$A$2:$B1015, 2, false))</f>
        <v>0</v>
      </c>
      <c r="AY504" s="33" t="str">
        <f t="shared" si="14"/>
        <v/>
      </c>
      <c r="AZ504" s="37"/>
      <c r="BA504" s="29"/>
      <c r="BB504" s="29" t="b">
        <v>0</v>
      </c>
      <c r="BC504" s="22" t="str">
        <f t="shared" si="15"/>
        <v/>
      </c>
      <c r="BD504" s="7">
        <f>IF(ISBLANK(AZ504), 0, VLOOKUP(AZ504, 'Price Sheet'!$A$2:$B1015, 2, false))</f>
        <v>0</v>
      </c>
      <c r="BE504" s="33" t="str">
        <f t="shared" si="16"/>
        <v/>
      </c>
      <c r="BF504" s="37"/>
      <c r="BG504" s="29"/>
      <c r="BH504" s="29" t="b">
        <v>0</v>
      </c>
      <c r="BI504" s="22" t="str">
        <f t="shared" si="17"/>
        <v/>
      </c>
      <c r="BJ504" s="7">
        <f>IF(ISBLANK(BF504), 0, VLOOKUP(BF504, 'Price Sheet'!$A$2:$B1015, 2, false))</f>
        <v>0</v>
      </c>
      <c r="BK504" s="33" t="str">
        <f t="shared" si="18"/>
        <v/>
      </c>
      <c r="BL504" s="37"/>
      <c r="BM504" s="29"/>
      <c r="BN504" s="29" t="b">
        <v>0</v>
      </c>
      <c r="BO504" s="22" t="str">
        <f t="shared" si="19"/>
        <v/>
      </c>
      <c r="BP504" s="7">
        <f>IF(ISBLANK(BL504), 0, VLOOKUP(BL504, 'Price Sheet'!$A$2:$B1015, 2, false))</f>
        <v>0</v>
      </c>
      <c r="BQ504" s="33" t="str">
        <f t="shared" si="20"/>
        <v/>
      </c>
    </row>
    <row r="505">
      <c r="B505" s="19"/>
      <c r="C505" s="29"/>
      <c r="D505" s="29"/>
      <c r="E505" s="7" t="str">
        <f>IF(ISBLANK(D505), "", VLOOKUP(D505,'Crafting Tables'!$A$2:$B1015, 2, false))</f>
        <v/>
      </c>
      <c r="F505" s="7" t="str">
        <f>IFERROR(IF(E505 = "None", 1, VLOOKUP(C505,General!$A$5:$L$35, SWITCH(E505, "Basic", 8, "Advanced", 10, "Modern", 12), false)),"")</f>
        <v/>
      </c>
      <c r="G505" s="29"/>
      <c r="H505" s="7">
        <f>IFERROR(VLOOKUP(C505, General!$A$5:$L$35, 6, false) * G505 / 1000, 0)</f>
        <v>0</v>
      </c>
      <c r="I505" s="29"/>
      <c r="J505" s="22" t="str">
        <f>IFERROR(I505*VLOOKUP(D505,'Crafting Tables'!$1:$1000, 4, false)*F505,"")</f>
        <v/>
      </c>
      <c r="K505" s="29" t="b">
        <v>0</v>
      </c>
      <c r="L505" s="37"/>
      <c r="M505" s="29"/>
      <c r="N505" s="21" t="str">
        <f t="shared" si="2"/>
        <v/>
      </c>
      <c r="P505" s="37"/>
      <c r="Q505" s="29"/>
      <c r="R505" s="29" t="b">
        <v>0</v>
      </c>
      <c r="S505" s="22" t="str">
        <f t="shared" si="3"/>
        <v/>
      </c>
      <c r="T505" s="7">
        <f>IF(ISBLANK(P505), 0, VLOOKUP(P505, 'Price Sheet'!$A$2:$B1015, 2, false))</f>
        <v>0</v>
      </c>
      <c r="U505" s="33" t="str">
        <f t="shared" si="4"/>
        <v/>
      </c>
      <c r="V505" s="37"/>
      <c r="W505" s="29"/>
      <c r="X505" s="29" t="b">
        <v>0</v>
      </c>
      <c r="Y505" s="22" t="str">
        <f t="shared" si="5"/>
        <v/>
      </c>
      <c r="Z505" s="7">
        <f>IF(ISBLANK(V505), 0, VLOOKUP(V505, 'Price Sheet'!$A$2:$B1015, 2, false))</f>
        <v>0</v>
      </c>
      <c r="AA505" s="33" t="str">
        <f t="shared" si="6"/>
        <v/>
      </c>
      <c r="AB505" s="37"/>
      <c r="AC505" s="29"/>
      <c r="AD505" s="29" t="b">
        <v>0</v>
      </c>
      <c r="AE505" s="22" t="str">
        <f t="shared" si="7"/>
        <v/>
      </c>
      <c r="AF505" s="7">
        <f>IF(ISBLANK(AB505), 0, VLOOKUP(AB505, 'Price Sheet'!$A$2:$B1015, 2, false))</f>
        <v>0</v>
      </c>
      <c r="AG505" s="33" t="str">
        <f t="shared" si="8"/>
        <v/>
      </c>
      <c r="AH505" s="37"/>
      <c r="AI505" s="29"/>
      <c r="AJ505" s="29" t="b">
        <v>0</v>
      </c>
      <c r="AK505" s="22" t="str">
        <f t="shared" si="9"/>
        <v/>
      </c>
      <c r="AL505" s="7">
        <f>IF(ISBLANK(AH505), 0, VLOOKUP(AH505, 'Price Sheet'!$A$2:$B1015, 2, false))</f>
        <v>0</v>
      </c>
      <c r="AM505" s="33" t="str">
        <f t="shared" si="10"/>
        <v/>
      </c>
      <c r="AN505" s="37"/>
      <c r="AO505" s="29"/>
      <c r="AP505" s="29" t="b">
        <v>0</v>
      </c>
      <c r="AQ505" s="22" t="str">
        <f t="shared" si="11"/>
        <v/>
      </c>
      <c r="AR505" s="7">
        <f>IF(ISBLANK(AN505), 0, VLOOKUP(AN505, 'Price Sheet'!$A$2:$B1015, 2, false))</f>
        <v>0</v>
      </c>
      <c r="AS505" s="33" t="str">
        <f t="shared" si="12"/>
        <v/>
      </c>
      <c r="AT505" s="37"/>
      <c r="AU505" s="29"/>
      <c r="AV505" s="29" t="b">
        <v>0</v>
      </c>
      <c r="AW505" s="22" t="str">
        <f t="shared" si="13"/>
        <v/>
      </c>
      <c r="AX505" s="7">
        <f>IF(ISBLANK(AT505), 0, VLOOKUP(AT505, 'Price Sheet'!$A$2:$B1015, 2, false))</f>
        <v>0</v>
      </c>
      <c r="AY505" s="33" t="str">
        <f t="shared" si="14"/>
        <v/>
      </c>
      <c r="AZ505" s="37"/>
      <c r="BA505" s="29"/>
      <c r="BB505" s="29" t="b">
        <v>0</v>
      </c>
      <c r="BC505" s="22" t="str">
        <f t="shared" si="15"/>
        <v/>
      </c>
      <c r="BD505" s="7">
        <f>IF(ISBLANK(AZ505), 0, VLOOKUP(AZ505, 'Price Sheet'!$A$2:$B1015, 2, false))</f>
        <v>0</v>
      </c>
      <c r="BE505" s="33" t="str">
        <f t="shared" si="16"/>
        <v/>
      </c>
      <c r="BF505" s="37"/>
      <c r="BG505" s="29"/>
      <c r="BH505" s="29" t="b">
        <v>0</v>
      </c>
      <c r="BI505" s="22" t="str">
        <f t="shared" si="17"/>
        <v/>
      </c>
      <c r="BJ505" s="7">
        <f>IF(ISBLANK(BF505), 0, VLOOKUP(BF505, 'Price Sheet'!$A$2:$B1015, 2, false))</f>
        <v>0</v>
      </c>
      <c r="BK505" s="33" t="str">
        <f t="shared" si="18"/>
        <v/>
      </c>
      <c r="BL505" s="37"/>
      <c r="BM505" s="29"/>
      <c r="BN505" s="29" t="b">
        <v>0</v>
      </c>
      <c r="BO505" s="22" t="str">
        <f t="shared" si="19"/>
        <v/>
      </c>
      <c r="BP505" s="7">
        <f>IF(ISBLANK(BL505), 0, VLOOKUP(BL505, 'Price Sheet'!$A$2:$B1015, 2, false))</f>
        <v>0</v>
      </c>
      <c r="BQ505" s="33" t="str">
        <f t="shared" si="20"/>
        <v/>
      </c>
    </row>
    <row r="506">
      <c r="B506" s="19"/>
      <c r="C506" s="29"/>
      <c r="D506" s="29"/>
      <c r="E506" s="7" t="str">
        <f>IF(ISBLANK(D506), "", VLOOKUP(D506,'Crafting Tables'!$A$2:$B1015, 2, false))</f>
        <v/>
      </c>
      <c r="F506" s="7" t="str">
        <f>IFERROR(IF(E506 = "None", 1, VLOOKUP(C506,General!$A$5:$L$35, SWITCH(E506, "Basic", 8, "Advanced", 10, "Modern", 12), false)),"")</f>
        <v/>
      </c>
      <c r="G506" s="29"/>
      <c r="H506" s="7">
        <f>IFERROR(VLOOKUP(C506, General!$A$5:$L$35, 6, false) * G506 / 1000, 0)</f>
        <v>0</v>
      </c>
      <c r="I506" s="29"/>
      <c r="J506" s="22" t="str">
        <f>IFERROR(I506*VLOOKUP(D506,'Crafting Tables'!$1:$1000, 4, false)*F506,"")</f>
        <v/>
      </c>
      <c r="K506" s="29" t="b">
        <v>0</v>
      </c>
      <c r="L506" s="37"/>
      <c r="M506" s="29"/>
      <c r="N506" s="21" t="str">
        <f t="shared" si="2"/>
        <v/>
      </c>
      <c r="P506" s="37"/>
      <c r="Q506" s="29"/>
      <c r="R506" s="29" t="b">
        <v>0</v>
      </c>
      <c r="S506" s="22" t="str">
        <f t="shared" si="3"/>
        <v/>
      </c>
      <c r="T506" s="7">
        <f>IF(ISBLANK(P506), 0, VLOOKUP(P506, 'Price Sheet'!$A$2:$B1015, 2, false))</f>
        <v>0</v>
      </c>
      <c r="U506" s="33" t="str">
        <f t="shared" si="4"/>
        <v/>
      </c>
      <c r="V506" s="37"/>
      <c r="W506" s="29"/>
      <c r="X506" s="29" t="b">
        <v>0</v>
      </c>
      <c r="Y506" s="22" t="str">
        <f t="shared" si="5"/>
        <v/>
      </c>
      <c r="Z506" s="7">
        <f>IF(ISBLANK(V506), 0, VLOOKUP(V506, 'Price Sheet'!$A$2:$B1015, 2, false))</f>
        <v>0</v>
      </c>
      <c r="AA506" s="33" t="str">
        <f t="shared" si="6"/>
        <v/>
      </c>
      <c r="AB506" s="37"/>
      <c r="AC506" s="29"/>
      <c r="AD506" s="29" t="b">
        <v>0</v>
      </c>
      <c r="AE506" s="22" t="str">
        <f t="shared" si="7"/>
        <v/>
      </c>
      <c r="AF506" s="7">
        <f>IF(ISBLANK(AB506), 0, VLOOKUP(AB506, 'Price Sheet'!$A$2:$B1015, 2, false))</f>
        <v>0</v>
      </c>
      <c r="AG506" s="33" t="str">
        <f t="shared" si="8"/>
        <v/>
      </c>
      <c r="AH506" s="37"/>
      <c r="AI506" s="29"/>
      <c r="AJ506" s="29" t="b">
        <v>0</v>
      </c>
      <c r="AK506" s="22" t="str">
        <f t="shared" si="9"/>
        <v/>
      </c>
      <c r="AL506" s="7">
        <f>IF(ISBLANK(AH506), 0, VLOOKUP(AH506, 'Price Sheet'!$A$2:$B1015, 2, false))</f>
        <v>0</v>
      </c>
      <c r="AM506" s="33" t="str">
        <f t="shared" si="10"/>
        <v/>
      </c>
      <c r="AN506" s="37"/>
      <c r="AO506" s="29"/>
      <c r="AP506" s="29" t="b">
        <v>0</v>
      </c>
      <c r="AQ506" s="22" t="str">
        <f t="shared" si="11"/>
        <v/>
      </c>
      <c r="AR506" s="7">
        <f>IF(ISBLANK(AN506), 0, VLOOKUP(AN506, 'Price Sheet'!$A$2:$B1015, 2, false))</f>
        <v>0</v>
      </c>
      <c r="AS506" s="33" t="str">
        <f t="shared" si="12"/>
        <v/>
      </c>
      <c r="AT506" s="37"/>
      <c r="AU506" s="29"/>
      <c r="AV506" s="29" t="b">
        <v>0</v>
      </c>
      <c r="AW506" s="22" t="str">
        <f t="shared" si="13"/>
        <v/>
      </c>
      <c r="AX506" s="7">
        <f>IF(ISBLANK(AT506), 0, VLOOKUP(AT506, 'Price Sheet'!$A$2:$B1015, 2, false))</f>
        <v>0</v>
      </c>
      <c r="AY506" s="33" t="str">
        <f t="shared" si="14"/>
        <v/>
      </c>
      <c r="AZ506" s="37"/>
      <c r="BA506" s="29"/>
      <c r="BB506" s="29" t="b">
        <v>0</v>
      </c>
      <c r="BC506" s="22" t="str">
        <f t="shared" si="15"/>
        <v/>
      </c>
      <c r="BD506" s="7">
        <f>IF(ISBLANK(AZ506), 0, VLOOKUP(AZ506, 'Price Sheet'!$A$2:$B1015, 2, false))</f>
        <v>0</v>
      </c>
      <c r="BE506" s="33" t="str">
        <f t="shared" si="16"/>
        <v/>
      </c>
      <c r="BF506" s="37"/>
      <c r="BG506" s="29"/>
      <c r="BH506" s="29" t="b">
        <v>0</v>
      </c>
      <c r="BI506" s="22" t="str">
        <f t="shared" si="17"/>
        <v/>
      </c>
      <c r="BJ506" s="7">
        <f>IF(ISBLANK(BF506), 0, VLOOKUP(BF506, 'Price Sheet'!$A$2:$B1015, 2, false))</f>
        <v>0</v>
      </c>
      <c r="BK506" s="33" t="str">
        <f t="shared" si="18"/>
        <v/>
      </c>
      <c r="BL506" s="37"/>
      <c r="BM506" s="29"/>
      <c r="BN506" s="29" t="b">
        <v>0</v>
      </c>
      <c r="BO506" s="22" t="str">
        <f t="shared" si="19"/>
        <v/>
      </c>
      <c r="BP506" s="7">
        <f>IF(ISBLANK(BL506), 0, VLOOKUP(BL506, 'Price Sheet'!$A$2:$B1015, 2, false))</f>
        <v>0</v>
      </c>
      <c r="BQ506" s="33" t="str">
        <f t="shared" si="20"/>
        <v/>
      </c>
    </row>
    <row r="507">
      <c r="B507" s="19"/>
      <c r="C507" s="29"/>
      <c r="D507" s="29"/>
      <c r="E507" s="7" t="str">
        <f>IF(ISBLANK(D507), "", VLOOKUP(D507,'Crafting Tables'!$A$2:$B1015, 2, false))</f>
        <v/>
      </c>
      <c r="F507" s="7" t="str">
        <f>IFERROR(IF(E507 = "None", 1, VLOOKUP(C507,General!$A$5:$L$35, SWITCH(E507, "Basic", 8, "Advanced", 10, "Modern", 12), false)),"")</f>
        <v/>
      </c>
      <c r="G507" s="29"/>
      <c r="H507" s="7">
        <f>IFERROR(VLOOKUP(C507, General!$A$5:$L$35, 6, false) * G507 / 1000, 0)</f>
        <v>0</v>
      </c>
      <c r="I507" s="29"/>
      <c r="J507" s="22" t="str">
        <f>IFERROR(I507*VLOOKUP(D507,'Crafting Tables'!$1:$1000, 4, false)*F507,"")</f>
        <v/>
      </c>
      <c r="K507" s="29" t="b">
        <v>0</v>
      </c>
      <c r="L507" s="37"/>
      <c r="M507" s="29"/>
      <c r="N507" s="21" t="str">
        <f t="shared" si="2"/>
        <v/>
      </c>
      <c r="P507" s="37"/>
      <c r="Q507" s="29"/>
      <c r="R507" s="29" t="b">
        <v>0</v>
      </c>
      <c r="S507" s="22" t="str">
        <f t="shared" si="3"/>
        <v/>
      </c>
      <c r="T507" s="7">
        <f>IF(ISBLANK(P507), 0, VLOOKUP(P507, 'Price Sheet'!$A$2:$B1015, 2, false))</f>
        <v>0</v>
      </c>
      <c r="U507" s="33" t="str">
        <f t="shared" si="4"/>
        <v/>
      </c>
      <c r="V507" s="37"/>
      <c r="W507" s="29"/>
      <c r="X507" s="29" t="b">
        <v>0</v>
      </c>
      <c r="Y507" s="22" t="str">
        <f t="shared" si="5"/>
        <v/>
      </c>
      <c r="Z507" s="7">
        <f>IF(ISBLANK(V507), 0, VLOOKUP(V507, 'Price Sheet'!$A$2:$B1015, 2, false))</f>
        <v>0</v>
      </c>
      <c r="AA507" s="33" t="str">
        <f t="shared" si="6"/>
        <v/>
      </c>
      <c r="AB507" s="37"/>
      <c r="AC507" s="29"/>
      <c r="AD507" s="29" t="b">
        <v>0</v>
      </c>
      <c r="AE507" s="22" t="str">
        <f t="shared" si="7"/>
        <v/>
      </c>
      <c r="AF507" s="7">
        <f>IF(ISBLANK(AB507), 0, VLOOKUP(AB507, 'Price Sheet'!$A$2:$B1015, 2, false))</f>
        <v>0</v>
      </c>
      <c r="AG507" s="33" t="str">
        <f t="shared" si="8"/>
        <v/>
      </c>
      <c r="AH507" s="37"/>
      <c r="AI507" s="29"/>
      <c r="AJ507" s="29" t="b">
        <v>0</v>
      </c>
      <c r="AK507" s="22" t="str">
        <f t="shared" si="9"/>
        <v/>
      </c>
      <c r="AL507" s="7">
        <f>IF(ISBLANK(AH507), 0, VLOOKUP(AH507, 'Price Sheet'!$A$2:$B1015, 2, false))</f>
        <v>0</v>
      </c>
      <c r="AM507" s="33" t="str">
        <f t="shared" si="10"/>
        <v/>
      </c>
      <c r="AN507" s="37"/>
      <c r="AO507" s="29"/>
      <c r="AP507" s="29" t="b">
        <v>0</v>
      </c>
      <c r="AQ507" s="22" t="str">
        <f t="shared" si="11"/>
        <v/>
      </c>
      <c r="AR507" s="7">
        <f>IF(ISBLANK(AN507), 0, VLOOKUP(AN507, 'Price Sheet'!$A$2:$B1015, 2, false))</f>
        <v>0</v>
      </c>
      <c r="AS507" s="33" t="str">
        <f t="shared" si="12"/>
        <v/>
      </c>
      <c r="AT507" s="37"/>
      <c r="AU507" s="29"/>
      <c r="AV507" s="29" t="b">
        <v>0</v>
      </c>
      <c r="AW507" s="22" t="str">
        <f t="shared" si="13"/>
        <v/>
      </c>
      <c r="AX507" s="7">
        <f>IF(ISBLANK(AT507), 0, VLOOKUP(AT507, 'Price Sheet'!$A$2:$B1015, 2, false))</f>
        <v>0</v>
      </c>
      <c r="AY507" s="33" t="str">
        <f t="shared" si="14"/>
        <v/>
      </c>
      <c r="AZ507" s="37"/>
      <c r="BA507" s="29"/>
      <c r="BB507" s="29" t="b">
        <v>0</v>
      </c>
      <c r="BC507" s="22" t="str">
        <f t="shared" si="15"/>
        <v/>
      </c>
      <c r="BD507" s="7">
        <f>IF(ISBLANK(AZ507), 0, VLOOKUP(AZ507, 'Price Sheet'!$A$2:$B1015, 2, false))</f>
        <v>0</v>
      </c>
      <c r="BE507" s="33" t="str">
        <f t="shared" si="16"/>
        <v/>
      </c>
      <c r="BF507" s="37"/>
      <c r="BG507" s="29"/>
      <c r="BH507" s="29" t="b">
        <v>0</v>
      </c>
      <c r="BI507" s="22" t="str">
        <f t="shared" si="17"/>
        <v/>
      </c>
      <c r="BJ507" s="7">
        <f>IF(ISBLANK(BF507), 0, VLOOKUP(BF507, 'Price Sheet'!$A$2:$B1015, 2, false))</f>
        <v>0</v>
      </c>
      <c r="BK507" s="33" t="str">
        <f t="shared" si="18"/>
        <v/>
      </c>
      <c r="BL507" s="37"/>
      <c r="BM507" s="29"/>
      <c r="BN507" s="29" t="b">
        <v>0</v>
      </c>
      <c r="BO507" s="22" t="str">
        <f t="shared" si="19"/>
        <v/>
      </c>
      <c r="BP507" s="7">
        <f>IF(ISBLANK(BL507), 0, VLOOKUP(BL507, 'Price Sheet'!$A$2:$B1015, 2, false))</f>
        <v>0</v>
      </c>
      <c r="BQ507" s="33" t="str">
        <f t="shared" si="20"/>
        <v/>
      </c>
    </row>
    <row r="508">
      <c r="B508" s="19"/>
      <c r="C508" s="29"/>
      <c r="D508" s="29"/>
      <c r="E508" s="7" t="str">
        <f>IF(ISBLANK(D508), "", VLOOKUP(D508,'Crafting Tables'!$A$2:$B1015, 2, false))</f>
        <v/>
      </c>
      <c r="F508" s="7" t="str">
        <f>IFERROR(IF(E508 = "None", 1, VLOOKUP(C508,General!$A$5:$L$35, SWITCH(E508, "Basic", 8, "Advanced", 10, "Modern", 12), false)),"")</f>
        <v/>
      </c>
      <c r="G508" s="29"/>
      <c r="H508" s="7">
        <f>IFERROR(VLOOKUP(C508, General!$A$5:$L$35, 6, false) * G508 / 1000, 0)</f>
        <v>0</v>
      </c>
      <c r="I508" s="29"/>
      <c r="J508" s="22" t="str">
        <f>IFERROR(I508*VLOOKUP(D508,'Crafting Tables'!$1:$1000, 4, false)*F508,"")</f>
        <v/>
      </c>
      <c r="K508" s="29" t="b">
        <v>0</v>
      </c>
      <c r="L508" s="37"/>
      <c r="M508" s="29"/>
      <c r="N508" s="21" t="str">
        <f t="shared" si="2"/>
        <v/>
      </c>
      <c r="P508" s="37"/>
      <c r="Q508" s="29"/>
      <c r="R508" s="29" t="b">
        <v>0</v>
      </c>
      <c r="S508" s="22" t="str">
        <f t="shared" si="3"/>
        <v/>
      </c>
      <c r="T508" s="7">
        <f>IF(ISBLANK(P508), 0, VLOOKUP(P508, 'Price Sheet'!$A$2:$B1015, 2, false))</f>
        <v>0</v>
      </c>
      <c r="U508" s="33" t="str">
        <f t="shared" si="4"/>
        <v/>
      </c>
      <c r="V508" s="37"/>
      <c r="W508" s="29"/>
      <c r="X508" s="29" t="b">
        <v>0</v>
      </c>
      <c r="Y508" s="22" t="str">
        <f t="shared" si="5"/>
        <v/>
      </c>
      <c r="Z508" s="7">
        <f>IF(ISBLANK(V508), 0, VLOOKUP(V508, 'Price Sheet'!$A$2:$B1015, 2, false))</f>
        <v>0</v>
      </c>
      <c r="AA508" s="33" t="str">
        <f t="shared" si="6"/>
        <v/>
      </c>
      <c r="AB508" s="37"/>
      <c r="AC508" s="29"/>
      <c r="AD508" s="29" t="b">
        <v>0</v>
      </c>
      <c r="AE508" s="22" t="str">
        <f t="shared" si="7"/>
        <v/>
      </c>
      <c r="AF508" s="7">
        <f>IF(ISBLANK(AB508), 0, VLOOKUP(AB508, 'Price Sheet'!$A$2:$B1015, 2, false))</f>
        <v>0</v>
      </c>
      <c r="AG508" s="33" t="str">
        <f t="shared" si="8"/>
        <v/>
      </c>
      <c r="AH508" s="37"/>
      <c r="AI508" s="29"/>
      <c r="AJ508" s="29" t="b">
        <v>0</v>
      </c>
      <c r="AK508" s="22" t="str">
        <f t="shared" si="9"/>
        <v/>
      </c>
      <c r="AL508" s="7">
        <f>IF(ISBLANK(AH508), 0, VLOOKUP(AH508, 'Price Sheet'!$A$2:$B1015, 2, false))</f>
        <v>0</v>
      </c>
      <c r="AM508" s="33" t="str">
        <f t="shared" si="10"/>
        <v/>
      </c>
      <c r="AN508" s="37"/>
      <c r="AO508" s="29"/>
      <c r="AP508" s="29" t="b">
        <v>0</v>
      </c>
      <c r="AQ508" s="22" t="str">
        <f t="shared" si="11"/>
        <v/>
      </c>
      <c r="AR508" s="7">
        <f>IF(ISBLANK(AN508), 0, VLOOKUP(AN508, 'Price Sheet'!$A$2:$B1015, 2, false))</f>
        <v>0</v>
      </c>
      <c r="AS508" s="33" t="str">
        <f t="shared" si="12"/>
        <v/>
      </c>
      <c r="AT508" s="37"/>
      <c r="AU508" s="29"/>
      <c r="AV508" s="29" t="b">
        <v>0</v>
      </c>
      <c r="AW508" s="22" t="str">
        <f t="shared" si="13"/>
        <v/>
      </c>
      <c r="AX508" s="7">
        <f>IF(ISBLANK(AT508), 0, VLOOKUP(AT508, 'Price Sheet'!$A$2:$B1015, 2, false))</f>
        <v>0</v>
      </c>
      <c r="AY508" s="33" t="str">
        <f t="shared" si="14"/>
        <v/>
      </c>
      <c r="AZ508" s="37"/>
      <c r="BA508" s="29"/>
      <c r="BB508" s="29" t="b">
        <v>0</v>
      </c>
      <c r="BC508" s="22" t="str">
        <f t="shared" si="15"/>
        <v/>
      </c>
      <c r="BD508" s="7">
        <f>IF(ISBLANK(AZ508), 0, VLOOKUP(AZ508, 'Price Sheet'!$A$2:$B1015, 2, false))</f>
        <v>0</v>
      </c>
      <c r="BE508" s="33" t="str">
        <f t="shared" si="16"/>
        <v/>
      </c>
      <c r="BF508" s="37"/>
      <c r="BG508" s="29"/>
      <c r="BH508" s="29" t="b">
        <v>0</v>
      </c>
      <c r="BI508" s="22" t="str">
        <f t="shared" si="17"/>
        <v/>
      </c>
      <c r="BJ508" s="7">
        <f>IF(ISBLANK(BF508), 0, VLOOKUP(BF508, 'Price Sheet'!$A$2:$B1015, 2, false))</f>
        <v>0</v>
      </c>
      <c r="BK508" s="33" t="str">
        <f t="shared" si="18"/>
        <v/>
      </c>
      <c r="BL508" s="37"/>
      <c r="BM508" s="29"/>
      <c r="BN508" s="29" t="b">
        <v>0</v>
      </c>
      <c r="BO508" s="22" t="str">
        <f t="shared" si="19"/>
        <v/>
      </c>
      <c r="BP508" s="7">
        <f>IF(ISBLANK(BL508), 0, VLOOKUP(BL508, 'Price Sheet'!$A$2:$B1015, 2, false))</f>
        <v>0</v>
      </c>
      <c r="BQ508" s="33" t="str">
        <f t="shared" si="20"/>
        <v/>
      </c>
    </row>
    <row r="509">
      <c r="B509" s="19"/>
      <c r="C509" s="29"/>
      <c r="D509" s="29"/>
      <c r="E509" s="7" t="str">
        <f>IF(ISBLANK(D509), "", VLOOKUP(D509,'Crafting Tables'!$A$2:$B1015, 2, false))</f>
        <v/>
      </c>
      <c r="F509" s="7" t="str">
        <f>IFERROR(IF(E509 = "None", 1, VLOOKUP(C509,General!$A$5:$L$35, SWITCH(E509, "Basic", 8, "Advanced", 10, "Modern", 12), false)),"")</f>
        <v/>
      </c>
      <c r="G509" s="29"/>
      <c r="H509" s="7">
        <f>IFERROR(VLOOKUP(C509, General!$A$5:$L$35, 6, false) * G509 / 1000, 0)</f>
        <v>0</v>
      </c>
      <c r="I509" s="29"/>
      <c r="J509" s="22" t="str">
        <f>IFERROR(I509*VLOOKUP(D509,'Crafting Tables'!$1:$1000, 4, false)*F509,"")</f>
        <v/>
      </c>
      <c r="K509" s="29" t="b">
        <v>0</v>
      </c>
      <c r="L509" s="37"/>
      <c r="M509" s="29"/>
      <c r="N509" s="21" t="str">
        <f t="shared" si="2"/>
        <v/>
      </c>
      <c r="P509" s="37"/>
      <c r="Q509" s="29"/>
      <c r="R509" s="29" t="b">
        <v>0</v>
      </c>
      <c r="S509" s="22" t="str">
        <f t="shared" si="3"/>
        <v/>
      </c>
      <c r="T509" s="7">
        <f>IF(ISBLANK(P509), 0, VLOOKUP(P509, 'Price Sheet'!$A$2:$B1015, 2, false))</f>
        <v>0</v>
      </c>
      <c r="U509" s="33" t="str">
        <f t="shared" si="4"/>
        <v/>
      </c>
      <c r="V509" s="37"/>
      <c r="W509" s="29"/>
      <c r="X509" s="29" t="b">
        <v>0</v>
      </c>
      <c r="Y509" s="22" t="str">
        <f t="shared" si="5"/>
        <v/>
      </c>
      <c r="Z509" s="7">
        <f>IF(ISBLANK(V509), 0, VLOOKUP(V509, 'Price Sheet'!$A$2:$B1015, 2, false))</f>
        <v>0</v>
      </c>
      <c r="AA509" s="33" t="str">
        <f t="shared" si="6"/>
        <v/>
      </c>
      <c r="AB509" s="37"/>
      <c r="AC509" s="29"/>
      <c r="AD509" s="29" t="b">
        <v>0</v>
      </c>
      <c r="AE509" s="22" t="str">
        <f t="shared" si="7"/>
        <v/>
      </c>
      <c r="AF509" s="7">
        <f>IF(ISBLANK(AB509), 0, VLOOKUP(AB509, 'Price Sheet'!$A$2:$B1015, 2, false))</f>
        <v>0</v>
      </c>
      <c r="AG509" s="33" t="str">
        <f t="shared" si="8"/>
        <v/>
      </c>
      <c r="AH509" s="37"/>
      <c r="AI509" s="29"/>
      <c r="AJ509" s="29" t="b">
        <v>0</v>
      </c>
      <c r="AK509" s="22" t="str">
        <f t="shared" si="9"/>
        <v/>
      </c>
      <c r="AL509" s="7">
        <f>IF(ISBLANK(AH509), 0, VLOOKUP(AH509, 'Price Sheet'!$A$2:$B1015, 2, false))</f>
        <v>0</v>
      </c>
      <c r="AM509" s="33" t="str">
        <f t="shared" si="10"/>
        <v/>
      </c>
      <c r="AN509" s="37"/>
      <c r="AO509" s="29"/>
      <c r="AP509" s="29" t="b">
        <v>0</v>
      </c>
      <c r="AQ509" s="22" t="str">
        <f t="shared" si="11"/>
        <v/>
      </c>
      <c r="AR509" s="7">
        <f>IF(ISBLANK(AN509), 0, VLOOKUP(AN509, 'Price Sheet'!$A$2:$B1015, 2, false))</f>
        <v>0</v>
      </c>
      <c r="AS509" s="33" t="str">
        <f t="shared" si="12"/>
        <v/>
      </c>
      <c r="AT509" s="37"/>
      <c r="AU509" s="29"/>
      <c r="AV509" s="29" t="b">
        <v>0</v>
      </c>
      <c r="AW509" s="22" t="str">
        <f t="shared" si="13"/>
        <v/>
      </c>
      <c r="AX509" s="7">
        <f>IF(ISBLANK(AT509), 0, VLOOKUP(AT509, 'Price Sheet'!$A$2:$B1015, 2, false))</f>
        <v>0</v>
      </c>
      <c r="AY509" s="33" t="str">
        <f t="shared" si="14"/>
        <v/>
      </c>
      <c r="AZ509" s="37"/>
      <c r="BA509" s="29"/>
      <c r="BB509" s="29" t="b">
        <v>0</v>
      </c>
      <c r="BC509" s="22" t="str">
        <f t="shared" si="15"/>
        <v/>
      </c>
      <c r="BD509" s="7">
        <f>IF(ISBLANK(AZ509), 0, VLOOKUP(AZ509, 'Price Sheet'!$A$2:$B1015, 2, false))</f>
        <v>0</v>
      </c>
      <c r="BE509" s="33" t="str">
        <f t="shared" si="16"/>
        <v/>
      </c>
      <c r="BF509" s="37"/>
      <c r="BG509" s="29"/>
      <c r="BH509" s="29" t="b">
        <v>0</v>
      </c>
      <c r="BI509" s="22" t="str">
        <f t="shared" si="17"/>
        <v/>
      </c>
      <c r="BJ509" s="7">
        <f>IF(ISBLANK(BF509), 0, VLOOKUP(BF509, 'Price Sheet'!$A$2:$B1015, 2, false))</f>
        <v>0</v>
      </c>
      <c r="BK509" s="33" t="str">
        <f t="shared" si="18"/>
        <v/>
      </c>
      <c r="BL509" s="37"/>
      <c r="BM509" s="29"/>
      <c r="BN509" s="29" t="b">
        <v>0</v>
      </c>
      <c r="BO509" s="22" t="str">
        <f t="shared" si="19"/>
        <v/>
      </c>
      <c r="BP509" s="7">
        <f>IF(ISBLANK(BL509), 0, VLOOKUP(BL509, 'Price Sheet'!$A$2:$B1015, 2, false))</f>
        <v>0</v>
      </c>
      <c r="BQ509" s="33" t="str">
        <f t="shared" si="20"/>
        <v/>
      </c>
    </row>
    <row r="510">
      <c r="B510" s="19"/>
      <c r="C510" s="29"/>
      <c r="D510" s="29"/>
      <c r="E510" s="7" t="str">
        <f>IF(ISBLANK(D510), "", VLOOKUP(D510,'Crafting Tables'!$A$2:$B1015, 2, false))</f>
        <v/>
      </c>
      <c r="F510" s="7" t="str">
        <f>IFERROR(IF(E510 = "None", 1, VLOOKUP(C510,General!$A$5:$L$35, SWITCH(E510, "Basic", 8, "Advanced", 10, "Modern", 12), false)),"")</f>
        <v/>
      </c>
      <c r="G510" s="29"/>
      <c r="H510" s="7">
        <f>IFERROR(VLOOKUP(C510, General!$A$5:$L$35, 6, false) * G510 / 1000, 0)</f>
        <v>0</v>
      </c>
      <c r="I510" s="29"/>
      <c r="J510" s="22" t="str">
        <f>IFERROR(I510*VLOOKUP(D510,'Crafting Tables'!$1:$1000, 4, false)*F510,"")</f>
        <v/>
      </c>
      <c r="K510" s="29" t="b">
        <v>0</v>
      </c>
      <c r="L510" s="37"/>
      <c r="M510" s="29"/>
      <c r="N510" s="21" t="str">
        <f t="shared" si="2"/>
        <v/>
      </c>
      <c r="P510" s="37"/>
      <c r="Q510" s="29"/>
      <c r="R510" s="29" t="b">
        <v>0</v>
      </c>
      <c r="S510" s="22" t="str">
        <f t="shared" si="3"/>
        <v/>
      </c>
      <c r="T510" s="7">
        <f>IF(ISBLANK(P510), 0, VLOOKUP(P510, 'Price Sheet'!$A$2:$B1015, 2, false))</f>
        <v>0</v>
      </c>
      <c r="U510" s="33" t="str">
        <f t="shared" si="4"/>
        <v/>
      </c>
      <c r="V510" s="37"/>
      <c r="W510" s="29"/>
      <c r="X510" s="29" t="b">
        <v>0</v>
      </c>
      <c r="Y510" s="22" t="str">
        <f t="shared" si="5"/>
        <v/>
      </c>
      <c r="Z510" s="7">
        <f>IF(ISBLANK(V510), 0, VLOOKUP(V510, 'Price Sheet'!$A$2:$B1015, 2, false))</f>
        <v>0</v>
      </c>
      <c r="AA510" s="33" t="str">
        <f t="shared" si="6"/>
        <v/>
      </c>
      <c r="AB510" s="37"/>
      <c r="AC510" s="29"/>
      <c r="AD510" s="29" t="b">
        <v>0</v>
      </c>
      <c r="AE510" s="22" t="str">
        <f t="shared" si="7"/>
        <v/>
      </c>
      <c r="AF510" s="7">
        <f>IF(ISBLANK(AB510), 0, VLOOKUP(AB510, 'Price Sheet'!$A$2:$B1015, 2, false))</f>
        <v>0</v>
      </c>
      <c r="AG510" s="33" t="str">
        <f t="shared" si="8"/>
        <v/>
      </c>
      <c r="AH510" s="37"/>
      <c r="AI510" s="29"/>
      <c r="AJ510" s="29" t="b">
        <v>0</v>
      </c>
      <c r="AK510" s="22" t="str">
        <f t="shared" si="9"/>
        <v/>
      </c>
      <c r="AL510" s="7">
        <f>IF(ISBLANK(AH510), 0, VLOOKUP(AH510, 'Price Sheet'!$A$2:$B1015, 2, false))</f>
        <v>0</v>
      </c>
      <c r="AM510" s="33" t="str">
        <f t="shared" si="10"/>
        <v/>
      </c>
      <c r="AN510" s="37"/>
      <c r="AO510" s="29"/>
      <c r="AP510" s="29" t="b">
        <v>0</v>
      </c>
      <c r="AQ510" s="22" t="str">
        <f t="shared" si="11"/>
        <v/>
      </c>
      <c r="AR510" s="7">
        <f>IF(ISBLANK(AN510), 0, VLOOKUP(AN510, 'Price Sheet'!$A$2:$B1015, 2, false))</f>
        <v>0</v>
      </c>
      <c r="AS510" s="33" t="str">
        <f t="shared" si="12"/>
        <v/>
      </c>
      <c r="AT510" s="37"/>
      <c r="AU510" s="29"/>
      <c r="AV510" s="29" t="b">
        <v>0</v>
      </c>
      <c r="AW510" s="22" t="str">
        <f t="shared" si="13"/>
        <v/>
      </c>
      <c r="AX510" s="7">
        <f>IF(ISBLANK(AT510), 0, VLOOKUP(AT510, 'Price Sheet'!$A$2:$B1015, 2, false))</f>
        <v>0</v>
      </c>
      <c r="AY510" s="33" t="str">
        <f t="shared" si="14"/>
        <v/>
      </c>
      <c r="AZ510" s="37"/>
      <c r="BA510" s="29"/>
      <c r="BB510" s="29" t="b">
        <v>0</v>
      </c>
      <c r="BC510" s="22" t="str">
        <f t="shared" si="15"/>
        <v/>
      </c>
      <c r="BD510" s="7">
        <f>IF(ISBLANK(AZ510), 0, VLOOKUP(AZ510, 'Price Sheet'!$A$2:$B1015, 2, false))</f>
        <v>0</v>
      </c>
      <c r="BE510" s="33" t="str">
        <f t="shared" si="16"/>
        <v/>
      </c>
      <c r="BF510" s="37"/>
      <c r="BG510" s="29"/>
      <c r="BH510" s="29" t="b">
        <v>0</v>
      </c>
      <c r="BI510" s="22" t="str">
        <f t="shared" si="17"/>
        <v/>
      </c>
      <c r="BJ510" s="7">
        <f>IF(ISBLANK(BF510), 0, VLOOKUP(BF510, 'Price Sheet'!$A$2:$B1015, 2, false))</f>
        <v>0</v>
      </c>
      <c r="BK510" s="33" t="str">
        <f t="shared" si="18"/>
        <v/>
      </c>
      <c r="BL510" s="37"/>
      <c r="BM510" s="29"/>
      <c r="BN510" s="29" t="b">
        <v>0</v>
      </c>
      <c r="BO510" s="22" t="str">
        <f t="shared" si="19"/>
        <v/>
      </c>
      <c r="BP510" s="7">
        <f>IF(ISBLANK(BL510), 0, VLOOKUP(BL510, 'Price Sheet'!$A$2:$B1015, 2, false))</f>
        <v>0</v>
      </c>
      <c r="BQ510" s="33" t="str">
        <f t="shared" si="20"/>
        <v/>
      </c>
    </row>
    <row r="511">
      <c r="B511" s="19"/>
      <c r="C511" s="29"/>
      <c r="D511" s="29"/>
      <c r="E511" s="7" t="str">
        <f>IF(ISBLANK(D511), "", VLOOKUP(D511,'Crafting Tables'!$A$2:$B1015, 2, false))</f>
        <v/>
      </c>
      <c r="F511" s="7" t="str">
        <f>IFERROR(IF(E511 = "None", 1, VLOOKUP(C511,General!$A$5:$L$35, SWITCH(E511, "Basic", 8, "Advanced", 10, "Modern", 12), false)),"")</f>
        <v/>
      </c>
      <c r="G511" s="29"/>
      <c r="H511" s="7">
        <f>IFERROR(VLOOKUP(C511, General!$A$5:$L$35, 6, false) * G511 / 1000, 0)</f>
        <v>0</v>
      </c>
      <c r="I511" s="29"/>
      <c r="J511" s="22" t="str">
        <f>IFERROR(I511*VLOOKUP(D511,'Crafting Tables'!$1:$1000, 4, false)*F511,"")</f>
        <v/>
      </c>
      <c r="K511" s="29" t="b">
        <v>0</v>
      </c>
      <c r="L511" s="37"/>
      <c r="M511" s="29"/>
      <c r="N511" s="21" t="str">
        <f t="shared" si="2"/>
        <v/>
      </c>
      <c r="P511" s="37"/>
      <c r="Q511" s="29"/>
      <c r="R511" s="29" t="b">
        <v>0</v>
      </c>
      <c r="S511" s="22" t="str">
        <f t="shared" si="3"/>
        <v/>
      </c>
      <c r="T511" s="7">
        <f>IF(ISBLANK(P511), 0, VLOOKUP(P511, 'Price Sheet'!$A$2:$B1015, 2, false))</f>
        <v>0</v>
      </c>
      <c r="U511" s="33" t="str">
        <f t="shared" si="4"/>
        <v/>
      </c>
      <c r="V511" s="37"/>
      <c r="W511" s="29"/>
      <c r="X511" s="29" t="b">
        <v>0</v>
      </c>
      <c r="Y511" s="22" t="str">
        <f t="shared" si="5"/>
        <v/>
      </c>
      <c r="Z511" s="7">
        <f>IF(ISBLANK(V511), 0, VLOOKUP(V511, 'Price Sheet'!$A$2:$B1015, 2, false))</f>
        <v>0</v>
      </c>
      <c r="AA511" s="33" t="str">
        <f t="shared" si="6"/>
        <v/>
      </c>
      <c r="AB511" s="37"/>
      <c r="AC511" s="29"/>
      <c r="AD511" s="29" t="b">
        <v>0</v>
      </c>
      <c r="AE511" s="22" t="str">
        <f t="shared" si="7"/>
        <v/>
      </c>
      <c r="AF511" s="7">
        <f>IF(ISBLANK(AB511), 0, VLOOKUP(AB511, 'Price Sheet'!$A$2:$B1015, 2, false))</f>
        <v>0</v>
      </c>
      <c r="AG511" s="33" t="str">
        <f t="shared" si="8"/>
        <v/>
      </c>
      <c r="AH511" s="37"/>
      <c r="AI511" s="29"/>
      <c r="AJ511" s="29" t="b">
        <v>0</v>
      </c>
      <c r="AK511" s="22" t="str">
        <f t="shared" si="9"/>
        <v/>
      </c>
      <c r="AL511" s="7">
        <f>IF(ISBLANK(AH511), 0, VLOOKUP(AH511, 'Price Sheet'!$A$2:$B1015, 2, false))</f>
        <v>0</v>
      </c>
      <c r="AM511" s="33" t="str">
        <f t="shared" si="10"/>
        <v/>
      </c>
      <c r="AN511" s="37"/>
      <c r="AO511" s="29"/>
      <c r="AP511" s="29" t="b">
        <v>0</v>
      </c>
      <c r="AQ511" s="22" t="str">
        <f t="shared" si="11"/>
        <v/>
      </c>
      <c r="AR511" s="7">
        <f>IF(ISBLANK(AN511), 0, VLOOKUP(AN511, 'Price Sheet'!$A$2:$B1015, 2, false))</f>
        <v>0</v>
      </c>
      <c r="AS511" s="33" t="str">
        <f t="shared" si="12"/>
        <v/>
      </c>
      <c r="AT511" s="37"/>
      <c r="AU511" s="29"/>
      <c r="AV511" s="29" t="b">
        <v>0</v>
      </c>
      <c r="AW511" s="22" t="str">
        <f t="shared" si="13"/>
        <v/>
      </c>
      <c r="AX511" s="7">
        <f>IF(ISBLANK(AT511), 0, VLOOKUP(AT511, 'Price Sheet'!$A$2:$B1015, 2, false))</f>
        <v>0</v>
      </c>
      <c r="AY511" s="33" t="str">
        <f t="shared" si="14"/>
        <v/>
      </c>
      <c r="AZ511" s="37"/>
      <c r="BA511" s="29"/>
      <c r="BB511" s="29" t="b">
        <v>0</v>
      </c>
      <c r="BC511" s="22" t="str">
        <f t="shared" si="15"/>
        <v/>
      </c>
      <c r="BD511" s="7">
        <f>IF(ISBLANK(AZ511), 0, VLOOKUP(AZ511, 'Price Sheet'!$A$2:$B1015, 2, false))</f>
        <v>0</v>
      </c>
      <c r="BE511" s="33" t="str">
        <f t="shared" si="16"/>
        <v/>
      </c>
      <c r="BF511" s="37"/>
      <c r="BG511" s="29"/>
      <c r="BH511" s="29" t="b">
        <v>0</v>
      </c>
      <c r="BI511" s="22" t="str">
        <f t="shared" si="17"/>
        <v/>
      </c>
      <c r="BJ511" s="7">
        <f>IF(ISBLANK(BF511), 0, VLOOKUP(BF511, 'Price Sheet'!$A$2:$B1015, 2, false))</f>
        <v>0</v>
      </c>
      <c r="BK511" s="33" t="str">
        <f t="shared" si="18"/>
        <v/>
      </c>
      <c r="BL511" s="37"/>
      <c r="BM511" s="29"/>
      <c r="BN511" s="29" t="b">
        <v>0</v>
      </c>
      <c r="BO511" s="22" t="str">
        <f t="shared" si="19"/>
        <v/>
      </c>
      <c r="BP511" s="7">
        <f>IF(ISBLANK(BL511), 0, VLOOKUP(BL511, 'Price Sheet'!$A$2:$B1015, 2, false))</f>
        <v>0</v>
      </c>
      <c r="BQ511" s="33" t="str">
        <f t="shared" si="20"/>
        <v/>
      </c>
    </row>
    <row r="512">
      <c r="B512" s="19"/>
      <c r="C512" s="29"/>
      <c r="D512" s="29"/>
      <c r="E512" s="7" t="str">
        <f>IF(ISBLANK(D512), "", VLOOKUP(D512,'Crafting Tables'!$A$2:$B1015, 2, false))</f>
        <v/>
      </c>
      <c r="F512" s="7" t="str">
        <f>IFERROR(IF(E512 = "None", 1, VLOOKUP(C512,General!$A$5:$L$35, SWITCH(E512, "Basic", 8, "Advanced", 10, "Modern", 12), false)),"")</f>
        <v/>
      </c>
      <c r="G512" s="29"/>
      <c r="H512" s="7">
        <f>IFERROR(VLOOKUP(C512, General!$A$5:$L$35, 6, false) * G512 / 1000, 0)</f>
        <v>0</v>
      </c>
      <c r="I512" s="29"/>
      <c r="J512" s="22" t="str">
        <f>IFERROR(I512*VLOOKUP(D512,'Crafting Tables'!$1:$1000, 4, false)*F512,"")</f>
        <v/>
      </c>
      <c r="K512" s="29" t="b">
        <v>0</v>
      </c>
      <c r="L512" s="37"/>
      <c r="M512" s="29"/>
      <c r="N512" s="21" t="str">
        <f t="shared" si="2"/>
        <v/>
      </c>
      <c r="P512" s="37"/>
      <c r="Q512" s="29"/>
      <c r="R512" s="29" t="b">
        <v>0</v>
      </c>
      <c r="S512" s="22" t="str">
        <f t="shared" si="3"/>
        <v/>
      </c>
      <c r="T512" s="7">
        <f>IF(ISBLANK(P512), 0, VLOOKUP(P512, 'Price Sheet'!$A$2:$B1015, 2, false))</f>
        <v>0</v>
      </c>
      <c r="U512" s="33" t="str">
        <f t="shared" si="4"/>
        <v/>
      </c>
      <c r="V512" s="37"/>
      <c r="W512" s="29"/>
      <c r="X512" s="29" t="b">
        <v>0</v>
      </c>
      <c r="Y512" s="22" t="str">
        <f t="shared" si="5"/>
        <v/>
      </c>
      <c r="Z512" s="7">
        <f>IF(ISBLANK(V512), 0, VLOOKUP(V512, 'Price Sheet'!$A$2:$B1015, 2, false))</f>
        <v>0</v>
      </c>
      <c r="AA512" s="33" t="str">
        <f t="shared" si="6"/>
        <v/>
      </c>
      <c r="AB512" s="37"/>
      <c r="AC512" s="29"/>
      <c r="AD512" s="29" t="b">
        <v>0</v>
      </c>
      <c r="AE512" s="22" t="str">
        <f t="shared" si="7"/>
        <v/>
      </c>
      <c r="AF512" s="7">
        <f>IF(ISBLANK(AB512), 0, VLOOKUP(AB512, 'Price Sheet'!$A$2:$B1015, 2, false))</f>
        <v>0</v>
      </c>
      <c r="AG512" s="33" t="str">
        <f t="shared" si="8"/>
        <v/>
      </c>
      <c r="AH512" s="37"/>
      <c r="AI512" s="29"/>
      <c r="AJ512" s="29" t="b">
        <v>0</v>
      </c>
      <c r="AK512" s="22" t="str">
        <f t="shared" si="9"/>
        <v/>
      </c>
      <c r="AL512" s="7">
        <f>IF(ISBLANK(AH512), 0, VLOOKUP(AH512, 'Price Sheet'!$A$2:$B1015, 2, false))</f>
        <v>0</v>
      </c>
      <c r="AM512" s="33" t="str">
        <f t="shared" si="10"/>
        <v/>
      </c>
      <c r="AN512" s="37"/>
      <c r="AO512" s="29"/>
      <c r="AP512" s="29" t="b">
        <v>0</v>
      </c>
      <c r="AQ512" s="22" t="str">
        <f t="shared" si="11"/>
        <v/>
      </c>
      <c r="AR512" s="7">
        <f>IF(ISBLANK(AN512), 0, VLOOKUP(AN512, 'Price Sheet'!$A$2:$B1015, 2, false))</f>
        <v>0</v>
      </c>
      <c r="AS512" s="33" t="str">
        <f t="shared" si="12"/>
        <v/>
      </c>
      <c r="AT512" s="37"/>
      <c r="AU512" s="29"/>
      <c r="AV512" s="29" t="b">
        <v>0</v>
      </c>
      <c r="AW512" s="22" t="str">
        <f t="shared" si="13"/>
        <v/>
      </c>
      <c r="AX512" s="7">
        <f>IF(ISBLANK(AT512), 0, VLOOKUP(AT512, 'Price Sheet'!$A$2:$B1015, 2, false))</f>
        <v>0</v>
      </c>
      <c r="AY512" s="33" t="str">
        <f t="shared" si="14"/>
        <v/>
      </c>
      <c r="AZ512" s="37"/>
      <c r="BA512" s="29"/>
      <c r="BB512" s="29" t="b">
        <v>0</v>
      </c>
      <c r="BC512" s="22" t="str">
        <f t="shared" si="15"/>
        <v/>
      </c>
      <c r="BD512" s="7">
        <f>IF(ISBLANK(AZ512), 0, VLOOKUP(AZ512, 'Price Sheet'!$A$2:$B1015, 2, false))</f>
        <v>0</v>
      </c>
      <c r="BE512" s="33" t="str">
        <f t="shared" si="16"/>
        <v/>
      </c>
      <c r="BF512" s="37"/>
      <c r="BG512" s="29"/>
      <c r="BH512" s="29" t="b">
        <v>0</v>
      </c>
      <c r="BI512" s="22" t="str">
        <f t="shared" si="17"/>
        <v/>
      </c>
      <c r="BJ512" s="7">
        <f>IF(ISBLANK(BF512), 0, VLOOKUP(BF512, 'Price Sheet'!$A$2:$B1015, 2, false))</f>
        <v>0</v>
      </c>
      <c r="BK512" s="33" t="str">
        <f t="shared" si="18"/>
        <v/>
      </c>
      <c r="BL512" s="37"/>
      <c r="BM512" s="29"/>
      <c r="BN512" s="29" t="b">
        <v>0</v>
      </c>
      <c r="BO512" s="22" t="str">
        <f t="shared" si="19"/>
        <v/>
      </c>
      <c r="BP512" s="7">
        <f>IF(ISBLANK(BL512), 0, VLOOKUP(BL512, 'Price Sheet'!$A$2:$B1015, 2, false))</f>
        <v>0</v>
      </c>
      <c r="BQ512" s="33" t="str">
        <f t="shared" si="20"/>
        <v/>
      </c>
    </row>
    <row r="513">
      <c r="B513" s="19"/>
      <c r="C513" s="29"/>
      <c r="D513" s="29"/>
      <c r="E513" s="7" t="str">
        <f>IF(ISBLANK(D513), "", VLOOKUP(D513,'Crafting Tables'!$A$2:$B1015, 2, false))</f>
        <v/>
      </c>
      <c r="F513" s="7" t="str">
        <f>IFERROR(IF(E513 = "None", 1, VLOOKUP(C513,General!$A$5:$L$35, SWITCH(E513, "Basic", 8, "Advanced", 10, "Modern", 12), false)),"")</f>
        <v/>
      </c>
      <c r="G513" s="29"/>
      <c r="H513" s="7">
        <f>IFERROR(VLOOKUP(C513, General!$A$5:$L$35, 6, false) * G513 / 1000, 0)</f>
        <v>0</v>
      </c>
      <c r="I513" s="29"/>
      <c r="J513" s="22" t="str">
        <f>IFERROR(I513*VLOOKUP(D513,'Crafting Tables'!$1:$1000, 4, false)*F513,"")</f>
        <v/>
      </c>
      <c r="K513" s="29" t="b">
        <v>0</v>
      </c>
      <c r="L513" s="37"/>
      <c r="M513" s="29"/>
      <c r="N513" s="21" t="str">
        <f t="shared" si="2"/>
        <v/>
      </c>
      <c r="P513" s="37"/>
      <c r="Q513" s="29"/>
      <c r="R513" s="29" t="b">
        <v>0</v>
      </c>
      <c r="S513" s="22" t="str">
        <f t="shared" si="3"/>
        <v/>
      </c>
      <c r="T513" s="7">
        <f>IF(ISBLANK(P513), 0, VLOOKUP(P513, 'Price Sheet'!$A$2:$B1015, 2, false))</f>
        <v>0</v>
      </c>
      <c r="U513" s="33" t="str">
        <f t="shared" si="4"/>
        <v/>
      </c>
      <c r="V513" s="37"/>
      <c r="W513" s="29"/>
      <c r="X513" s="29" t="b">
        <v>0</v>
      </c>
      <c r="Y513" s="22" t="str">
        <f t="shared" si="5"/>
        <v/>
      </c>
      <c r="Z513" s="7">
        <f>IF(ISBLANK(V513), 0, VLOOKUP(V513, 'Price Sheet'!$A$2:$B1015, 2, false))</f>
        <v>0</v>
      </c>
      <c r="AA513" s="33" t="str">
        <f t="shared" si="6"/>
        <v/>
      </c>
      <c r="AB513" s="37"/>
      <c r="AC513" s="29"/>
      <c r="AD513" s="29" t="b">
        <v>0</v>
      </c>
      <c r="AE513" s="22" t="str">
        <f t="shared" si="7"/>
        <v/>
      </c>
      <c r="AF513" s="7">
        <f>IF(ISBLANK(AB513), 0, VLOOKUP(AB513, 'Price Sheet'!$A$2:$B1015, 2, false))</f>
        <v>0</v>
      </c>
      <c r="AG513" s="33" t="str">
        <f t="shared" si="8"/>
        <v/>
      </c>
      <c r="AH513" s="37"/>
      <c r="AI513" s="29"/>
      <c r="AJ513" s="29" t="b">
        <v>0</v>
      </c>
      <c r="AK513" s="22" t="str">
        <f t="shared" si="9"/>
        <v/>
      </c>
      <c r="AL513" s="7">
        <f>IF(ISBLANK(AH513), 0, VLOOKUP(AH513, 'Price Sheet'!$A$2:$B1015, 2, false))</f>
        <v>0</v>
      </c>
      <c r="AM513" s="33" t="str">
        <f t="shared" si="10"/>
        <v/>
      </c>
      <c r="AN513" s="37"/>
      <c r="AO513" s="29"/>
      <c r="AP513" s="29" t="b">
        <v>0</v>
      </c>
      <c r="AQ513" s="22" t="str">
        <f t="shared" si="11"/>
        <v/>
      </c>
      <c r="AR513" s="7">
        <f>IF(ISBLANK(AN513), 0, VLOOKUP(AN513, 'Price Sheet'!$A$2:$B1015, 2, false))</f>
        <v>0</v>
      </c>
      <c r="AS513" s="33" t="str">
        <f t="shared" si="12"/>
        <v/>
      </c>
      <c r="AT513" s="37"/>
      <c r="AU513" s="29"/>
      <c r="AV513" s="29" t="b">
        <v>0</v>
      </c>
      <c r="AW513" s="22" t="str">
        <f t="shared" si="13"/>
        <v/>
      </c>
      <c r="AX513" s="7">
        <f>IF(ISBLANK(AT513), 0, VLOOKUP(AT513, 'Price Sheet'!$A$2:$B1015, 2, false))</f>
        <v>0</v>
      </c>
      <c r="AY513" s="33" t="str">
        <f t="shared" si="14"/>
        <v/>
      </c>
      <c r="AZ513" s="37"/>
      <c r="BA513" s="29"/>
      <c r="BB513" s="29" t="b">
        <v>0</v>
      </c>
      <c r="BC513" s="22" t="str">
        <f t="shared" si="15"/>
        <v/>
      </c>
      <c r="BD513" s="7">
        <f>IF(ISBLANK(AZ513), 0, VLOOKUP(AZ513, 'Price Sheet'!$A$2:$B1015, 2, false))</f>
        <v>0</v>
      </c>
      <c r="BE513" s="33" t="str">
        <f t="shared" si="16"/>
        <v/>
      </c>
      <c r="BF513" s="37"/>
      <c r="BG513" s="29"/>
      <c r="BH513" s="29" t="b">
        <v>0</v>
      </c>
      <c r="BI513" s="22" t="str">
        <f t="shared" si="17"/>
        <v/>
      </c>
      <c r="BJ513" s="7">
        <f>IF(ISBLANK(BF513), 0, VLOOKUP(BF513, 'Price Sheet'!$A$2:$B1015, 2, false))</f>
        <v>0</v>
      </c>
      <c r="BK513" s="33" t="str">
        <f t="shared" si="18"/>
        <v/>
      </c>
      <c r="BL513" s="37"/>
      <c r="BM513" s="29"/>
      <c r="BN513" s="29" t="b">
        <v>0</v>
      </c>
      <c r="BO513" s="22" t="str">
        <f t="shared" si="19"/>
        <v/>
      </c>
      <c r="BP513" s="7">
        <f>IF(ISBLANK(BL513), 0, VLOOKUP(BL513, 'Price Sheet'!$A$2:$B1015, 2, false))</f>
        <v>0</v>
      </c>
      <c r="BQ513" s="33" t="str">
        <f t="shared" si="20"/>
        <v/>
      </c>
    </row>
    <row r="514">
      <c r="B514" s="19"/>
      <c r="C514" s="29"/>
      <c r="D514" s="29"/>
      <c r="E514" s="7" t="str">
        <f>IF(ISBLANK(D514), "", VLOOKUP(D514,'Crafting Tables'!$A$2:$B1015, 2, false))</f>
        <v/>
      </c>
      <c r="F514" s="7" t="str">
        <f>IFERROR(IF(E514 = "None", 1, VLOOKUP(C514,General!$A$5:$L$35, SWITCH(E514, "Basic", 8, "Advanced", 10, "Modern", 12), false)),"")</f>
        <v/>
      </c>
      <c r="G514" s="29"/>
      <c r="H514" s="7">
        <f>IFERROR(VLOOKUP(C514, General!$A$5:$L$35, 6, false) * G514 / 1000, 0)</f>
        <v>0</v>
      </c>
      <c r="I514" s="29"/>
      <c r="J514" s="22" t="str">
        <f>IFERROR(I514*VLOOKUP(D514,'Crafting Tables'!$1:$1000, 4, false)*F514,"")</f>
        <v/>
      </c>
      <c r="K514" s="29" t="b">
        <v>0</v>
      </c>
      <c r="L514" s="37"/>
      <c r="M514" s="29"/>
      <c r="N514" s="21" t="str">
        <f t="shared" si="2"/>
        <v/>
      </c>
      <c r="P514" s="37"/>
      <c r="Q514" s="29"/>
      <c r="R514" s="29" t="b">
        <v>0</v>
      </c>
      <c r="S514" s="22" t="str">
        <f t="shared" si="3"/>
        <v/>
      </c>
      <c r="T514" s="7">
        <f>IF(ISBLANK(P514), 0, VLOOKUP(P514, 'Price Sheet'!$A$2:$B1015, 2, false))</f>
        <v>0</v>
      </c>
      <c r="U514" s="33" t="str">
        <f t="shared" si="4"/>
        <v/>
      </c>
      <c r="V514" s="37"/>
      <c r="W514" s="29"/>
      <c r="X514" s="29" t="b">
        <v>0</v>
      </c>
      <c r="Y514" s="22" t="str">
        <f t="shared" si="5"/>
        <v/>
      </c>
      <c r="Z514" s="7">
        <f>IF(ISBLANK(V514), 0, VLOOKUP(V514, 'Price Sheet'!$A$2:$B1015, 2, false))</f>
        <v>0</v>
      </c>
      <c r="AA514" s="33" t="str">
        <f t="shared" si="6"/>
        <v/>
      </c>
      <c r="AB514" s="37"/>
      <c r="AC514" s="29"/>
      <c r="AD514" s="29" t="b">
        <v>0</v>
      </c>
      <c r="AE514" s="22" t="str">
        <f t="shared" si="7"/>
        <v/>
      </c>
      <c r="AF514" s="7">
        <f>IF(ISBLANK(AB514), 0, VLOOKUP(AB514, 'Price Sheet'!$A$2:$B1015, 2, false))</f>
        <v>0</v>
      </c>
      <c r="AG514" s="33" t="str">
        <f t="shared" si="8"/>
        <v/>
      </c>
      <c r="AH514" s="37"/>
      <c r="AI514" s="29"/>
      <c r="AJ514" s="29" t="b">
        <v>0</v>
      </c>
      <c r="AK514" s="22" t="str">
        <f t="shared" si="9"/>
        <v/>
      </c>
      <c r="AL514" s="7">
        <f>IF(ISBLANK(AH514), 0, VLOOKUP(AH514, 'Price Sheet'!$A$2:$B1015, 2, false))</f>
        <v>0</v>
      </c>
      <c r="AM514" s="33" t="str">
        <f t="shared" si="10"/>
        <v/>
      </c>
      <c r="AN514" s="37"/>
      <c r="AO514" s="29"/>
      <c r="AP514" s="29" t="b">
        <v>0</v>
      </c>
      <c r="AQ514" s="22" t="str">
        <f t="shared" si="11"/>
        <v/>
      </c>
      <c r="AR514" s="7">
        <f>IF(ISBLANK(AN514), 0, VLOOKUP(AN514, 'Price Sheet'!$A$2:$B1015, 2, false))</f>
        <v>0</v>
      </c>
      <c r="AS514" s="33" t="str">
        <f t="shared" si="12"/>
        <v/>
      </c>
      <c r="AT514" s="37"/>
      <c r="AU514" s="29"/>
      <c r="AV514" s="29" t="b">
        <v>0</v>
      </c>
      <c r="AW514" s="22" t="str">
        <f t="shared" si="13"/>
        <v/>
      </c>
      <c r="AX514" s="7">
        <f>IF(ISBLANK(AT514), 0, VLOOKUP(AT514, 'Price Sheet'!$A$2:$B1015, 2, false))</f>
        <v>0</v>
      </c>
      <c r="AY514" s="33" t="str">
        <f t="shared" si="14"/>
        <v/>
      </c>
      <c r="AZ514" s="37"/>
      <c r="BA514" s="29"/>
      <c r="BB514" s="29" t="b">
        <v>0</v>
      </c>
      <c r="BC514" s="22" t="str">
        <f t="shared" si="15"/>
        <v/>
      </c>
      <c r="BD514" s="7">
        <f>IF(ISBLANK(AZ514), 0, VLOOKUP(AZ514, 'Price Sheet'!$A$2:$B1015, 2, false))</f>
        <v>0</v>
      </c>
      <c r="BE514" s="33" t="str">
        <f t="shared" si="16"/>
        <v/>
      </c>
      <c r="BF514" s="37"/>
      <c r="BG514" s="29"/>
      <c r="BH514" s="29" t="b">
        <v>0</v>
      </c>
      <c r="BI514" s="22" t="str">
        <f t="shared" si="17"/>
        <v/>
      </c>
      <c r="BJ514" s="7">
        <f>IF(ISBLANK(BF514), 0, VLOOKUP(BF514, 'Price Sheet'!$A$2:$B1015, 2, false))</f>
        <v>0</v>
      </c>
      <c r="BK514" s="33" t="str">
        <f t="shared" si="18"/>
        <v/>
      </c>
      <c r="BL514" s="37"/>
      <c r="BM514" s="29"/>
      <c r="BN514" s="29" t="b">
        <v>0</v>
      </c>
      <c r="BO514" s="22" t="str">
        <f t="shared" si="19"/>
        <v/>
      </c>
      <c r="BP514" s="7">
        <f>IF(ISBLANK(BL514), 0, VLOOKUP(BL514, 'Price Sheet'!$A$2:$B1015, 2, false))</f>
        <v>0</v>
      </c>
      <c r="BQ514" s="33" t="str">
        <f t="shared" si="20"/>
        <v/>
      </c>
    </row>
    <row r="515">
      <c r="B515" s="19"/>
      <c r="C515" s="29"/>
      <c r="D515" s="29"/>
      <c r="E515" s="7" t="str">
        <f>IF(ISBLANK(D515), "", VLOOKUP(D515,'Crafting Tables'!$A$2:$B1015, 2, false))</f>
        <v/>
      </c>
      <c r="F515" s="7" t="str">
        <f>IFERROR(IF(E515 = "None", 1, VLOOKUP(C515,General!$A$5:$L$35, SWITCH(E515, "Basic", 8, "Advanced", 10, "Modern", 12), false)),"")</f>
        <v/>
      </c>
      <c r="G515" s="29"/>
      <c r="H515" s="7">
        <f>IFERROR(VLOOKUP(C515, General!$A$5:$L$35, 6, false) * G515 / 1000, 0)</f>
        <v>0</v>
      </c>
      <c r="I515" s="29"/>
      <c r="J515" s="22" t="str">
        <f>IFERROR(I515*VLOOKUP(D515,'Crafting Tables'!$1:$1000, 4, false)*F515,"")</f>
        <v/>
      </c>
      <c r="K515" s="29" t="b">
        <v>0</v>
      </c>
      <c r="L515" s="37"/>
      <c r="M515" s="29"/>
      <c r="N515" s="21" t="str">
        <f t="shared" si="2"/>
        <v/>
      </c>
      <c r="P515" s="37"/>
      <c r="Q515" s="29"/>
      <c r="R515" s="29" t="b">
        <v>0</v>
      </c>
      <c r="S515" s="22" t="str">
        <f t="shared" si="3"/>
        <v/>
      </c>
      <c r="T515" s="7">
        <f>IF(ISBLANK(P515), 0, VLOOKUP(P515, 'Price Sheet'!$A$2:$B1015, 2, false))</f>
        <v>0</v>
      </c>
      <c r="U515" s="33" t="str">
        <f t="shared" si="4"/>
        <v/>
      </c>
      <c r="V515" s="37"/>
      <c r="W515" s="29"/>
      <c r="X515" s="29" t="b">
        <v>0</v>
      </c>
      <c r="Y515" s="22" t="str">
        <f t="shared" si="5"/>
        <v/>
      </c>
      <c r="Z515" s="7">
        <f>IF(ISBLANK(V515), 0, VLOOKUP(V515, 'Price Sheet'!$A$2:$B1015, 2, false))</f>
        <v>0</v>
      </c>
      <c r="AA515" s="33" t="str">
        <f t="shared" si="6"/>
        <v/>
      </c>
      <c r="AB515" s="37"/>
      <c r="AC515" s="29"/>
      <c r="AD515" s="29" t="b">
        <v>0</v>
      </c>
      <c r="AE515" s="22" t="str">
        <f t="shared" si="7"/>
        <v/>
      </c>
      <c r="AF515" s="7">
        <f>IF(ISBLANK(AB515), 0, VLOOKUP(AB515, 'Price Sheet'!$A$2:$B1015, 2, false))</f>
        <v>0</v>
      </c>
      <c r="AG515" s="33" t="str">
        <f t="shared" si="8"/>
        <v/>
      </c>
      <c r="AH515" s="37"/>
      <c r="AI515" s="29"/>
      <c r="AJ515" s="29" t="b">
        <v>0</v>
      </c>
      <c r="AK515" s="22" t="str">
        <f t="shared" si="9"/>
        <v/>
      </c>
      <c r="AL515" s="7">
        <f>IF(ISBLANK(AH515), 0, VLOOKUP(AH515, 'Price Sheet'!$A$2:$B1015, 2, false))</f>
        <v>0</v>
      </c>
      <c r="AM515" s="33" t="str">
        <f t="shared" si="10"/>
        <v/>
      </c>
      <c r="AN515" s="37"/>
      <c r="AO515" s="29"/>
      <c r="AP515" s="29" t="b">
        <v>0</v>
      </c>
      <c r="AQ515" s="22" t="str">
        <f t="shared" si="11"/>
        <v/>
      </c>
      <c r="AR515" s="7">
        <f>IF(ISBLANK(AN515), 0, VLOOKUP(AN515, 'Price Sheet'!$A$2:$B1015, 2, false))</f>
        <v>0</v>
      </c>
      <c r="AS515" s="33" t="str">
        <f t="shared" si="12"/>
        <v/>
      </c>
      <c r="AT515" s="37"/>
      <c r="AU515" s="29"/>
      <c r="AV515" s="29" t="b">
        <v>0</v>
      </c>
      <c r="AW515" s="22" t="str">
        <f t="shared" si="13"/>
        <v/>
      </c>
      <c r="AX515" s="7">
        <f>IF(ISBLANK(AT515), 0, VLOOKUP(AT515, 'Price Sheet'!$A$2:$B1015, 2, false))</f>
        <v>0</v>
      </c>
      <c r="AY515" s="33" t="str">
        <f t="shared" si="14"/>
        <v/>
      </c>
      <c r="AZ515" s="37"/>
      <c r="BA515" s="29"/>
      <c r="BB515" s="29" t="b">
        <v>0</v>
      </c>
      <c r="BC515" s="22" t="str">
        <f t="shared" si="15"/>
        <v/>
      </c>
      <c r="BD515" s="7">
        <f>IF(ISBLANK(AZ515), 0, VLOOKUP(AZ515, 'Price Sheet'!$A$2:$B1015, 2, false))</f>
        <v>0</v>
      </c>
      <c r="BE515" s="33" t="str">
        <f t="shared" si="16"/>
        <v/>
      </c>
      <c r="BF515" s="37"/>
      <c r="BG515" s="29"/>
      <c r="BH515" s="29" t="b">
        <v>0</v>
      </c>
      <c r="BI515" s="22" t="str">
        <f t="shared" si="17"/>
        <v/>
      </c>
      <c r="BJ515" s="7">
        <f>IF(ISBLANK(BF515), 0, VLOOKUP(BF515, 'Price Sheet'!$A$2:$B1015, 2, false))</f>
        <v>0</v>
      </c>
      <c r="BK515" s="33" t="str">
        <f t="shared" si="18"/>
        <v/>
      </c>
      <c r="BL515" s="37"/>
      <c r="BM515" s="29"/>
      <c r="BN515" s="29" t="b">
        <v>0</v>
      </c>
      <c r="BO515" s="22" t="str">
        <f t="shared" si="19"/>
        <v/>
      </c>
      <c r="BP515" s="7">
        <f>IF(ISBLANK(BL515), 0, VLOOKUP(BL515, 'Price Sheet'!$A$2:$B1015, 2, false))</f>
        <v>0</v>
      </c>
      <c r="BQ515" s="33" t="str">
        <f t="shared" si="20"/>
        <v/>
      </c>
    </row>
    <row r="516">
      <c r="B516" s="19"/>
      <c r="C516" s="29"/>
      <c r="D516" s="29"/>
      <c r="E516" s="7" t="str">
        <f>IF(ISBLANK(D516), "", VLOOKUP(D516,'Crafting Tables'!$A$2:$B1015, 2, false))</f>
        <v/>
      </c>
      <c r="F516" s="7" t="str">
        <f>IFERROR(IF(E516 = "None", 1, VLOOKUP(C516,General!$A$5:$L$35, SWITCH(E516, "Basic", 8, "Advanced", 10, "Modern", 12), false)),"")</f>
        <v/>
      </c>
      <c r="G516" s="29"/>
      <c r="H516" s="7">
        <f>IFERROR(VLOOKUP(C516, General!$A$5:$L$35, 6, false) * G516 / 1000, 0)</f>
        <v>0</v>
      </c>
      <c r="I516" s="29"/>
      <c r="J516" s="22" t="str">
        <f>IFERROR(I516*VLOOKUP(D516,'Crafting Tables'!$1:$1000, 4, false)*F516,"")</f>
        <v/>
      </c>
      <c r="K516" s="29" t="b">
        <v>0</v>
      </c>
      <c r="L516" s="37"/>
      <c r="M516" s="29"/>
      <c r="N516" s="21" t="str">
        <f t="shared" si="2"/>
        <v/>
      </c>
      <c r="P516" s="37"/>
      <c r="Q516" s="29"/>
      <c r="R516" s="29" t="b">
        <v>0</v>
      </c>
      <c r="S516" s="22" t="str">
        <f t="shared" si="3"/>
        <v/>
      </c>
      <c r="T516" s="7">
        <f>IF(ISBLANK(P516), 0, VLOOKUP(P516, 'Price Sheet'!$A$2:$B1015, 2, false))</f>
        <v>0</v>
      </c>
      <c r="U516" s="33" t="str">
        <f t="shared" si="4"/>
        <v/>
      </c>
      <c r="V516" s="37"/>
      <c r="W516" s="29"/>
      <c r="X516" s="29" t="b">
        <v>0</v>
      </c>
      <c r="Y516" s="22" t="str">
        <f t="shared" si="5"/>
        <v/>
      </c>
      <c r="Z516" s="7">
        <f>IF(ISBLANK(V516), 0, VLOOKUP(V516, 'Price Sheet'!$A$2:$B1015, 2, false))</f>
        <v>0</v>
      </c>
      <c r="AA516" s="33" t="str">
        <f t="shared" si="6"/>
        <v/>
      </c>
      <c r="AB516" s="37"/>
      <c r="AC516" s="29"/>
      <c r="AD516" s="29" t="b">
        <v>0</v>
      </c>
      <c r="AE516" s="22" t="str">
        <f t="shared" si="7"/>
        <v/>
      </c>
      <c r="AF516" s="7">
        <f>IF(ISBLANK(AB516), 0, VLOOKUP(AB516, 'Price Sheet'!$A$2:$B1015, 2, false))</f>
        <v>0</v>
      </c>
      <c r="AG516" s="33" t="str">
        <f t="shared" si="8"/>
        <v/>
      </c>
      <c r="AH516" s="37"/>
      <c r="AI516" s="29"/>
      <c r="AJ516" s="29" t="b">
        <v>0</v>
      </c>
      <c r="AK516" s="22" t="str">
        <f t="shared" si="9"/>
        <v/>
      </c>
      <c r="AL516" s="7">
        <f>IF(ISBLANK(AH516), 0, VLOOKUP(AH516, 'Price Sheet'!$A$2:$B1015, 2, false))</f>
        <v>0</v>
      </c>
      <c r="AM516" s="33" t="str">
        <f t="shared" si="10"/>
        <v/>
      </c>
      <c r="AN516" s="37"/>
      <c r="AO516" s="29"/>
      <c r="AP516" s="29" t="b">
        <v>0</v>
      </c>
      <c r="AQ516" s="22" t="str">
        <f t="shared" si="11"/>
        <v/>
      </c>
      <c r="AR516" s="7">
        <f>IF(ISBLANK(AN516), 0, VLOOKUP(AN516, 'Price Sheet'!$A$2:$B1015, 2, false))</f>
        <v>0</v>
      </c>
      <c r="AS516" s="33" t="str">
        <f t="shared" si="12"/>
        <v/>
      </c>
      <c r="AT516" s="37"/>
      <c r="AU516" s="29"/>
      <c r="AV516" s="29" t="b">
        <v>0</v>
      </c>
      <c r="AW516" s="22" t="str">
        <f t="shared" si="13"/>
        <v/>
      </c>
      <c r="AX516" s="7">
        <f>IF(ISBLANK(AT516), 0, VLOOKUP(AT516, 'Price Sheet'!$A$2:$B1015, 2, false))</f>
        <v>0</v>
      </c>
      <c r="AY516" s="33" t="str">
        <f t="shared" si="14"/>
        <v/>
      </c>
      <c r="AZ516" s="37"/>
      <c r="BA516" s="29"/>
      <c r="BB516" s="29" t="b">
        <v>0</v>
      </c>
      <c r="BC516" s="22" t="str">
        <f t="shared" si="15"/>
        <v/>
      </c>
      <c r="BD516" s="7">
        <f>IF(ISBLANK(AZ516), 0, VLOOKUP(AZ516, 'Price Sheet'!$A$2:$B1015, 2, false))</f>
        <v>0</v>
      </c>
      <c r="BE516" s="33" t="str">
        <f t="shared" si="16"/>
        <v/>
      </c>
      <c r="BF516" s="37"/>
      <c r="BG516" s="29"/>
      <c r="BH516" s="29" t="b">
        <v>0</v>
      </c>
      <c r="BI516" s="22" t="str">
        <f t="shared" si="17"/>
        <v/>
      </c>
      <c r="BJ516" s="7">
        <f>IF(ISBLANK(BF516), 0, VLOOKUP(BF516, 'Price Sheet'!$A$2:$B1015, 2, false))</f>
        <v>0</v>
      </c>
      <c r="BK516" s="33" t="str">
        <f t="shared" si="18"/>
        <v/>
      </c>
      <c r="BL516" s="37"/>
      <c r="BM516" s="29"/>
      <c r="BN516" s="29" t="b">
        <v>0</v>
      </c>
      <c r="BO516" s="22" t="str">
        <f t="shared" si="19"/>
        <v/>
      </c>
      <c r="BP516" s="7">
        <f>IF(ISBLANK(BL516), 0, VLOOKUP(BL516, 'Price Sheet'!$A$2:$B1015, 2, false))</f>
        <v>0</v>
      </c>
      <c r="BQ516" s="33" t="str">
        <f t="shared" si="20"/>
        <v/>
      </c>
    </row>
    <row r="517">
      <c r="B517" s="19"/>
      <c r="C517" s="29"/>
      <c r="D517" s="29"/>
      <c r="E517" s="7" t="str">
        <f>IF(ISBLANK(D517), "", VLOOKUP(D517,'Crafting Tables'!$A$2:$B1015, 2, false))</f>
        <v/>
      </c>
      <c r="F517" s="7" t="str">
        <f>IFERROR(IF(E517 = "None", 1, VLOOKUP(C517,General!$A$5:$L$35, SWITCH(E517, "Basic", 8, "Advanced", 10, "Modern", 12), false)),"")</f>
        <v/>
      </c>
      <c r="G517" s="29"/>
      <c r="H517" s="7">
        <f>IFERROR(VLOOKUP(C517, General!$A$5:$L$35, 6, false) * G517 / 1000, 0)</f>
        <v>0</v>
      </c>
      <c r="I517" s="29"/>
      <c r="J517" s="22" t="str">
        <f>IFERROR(I517*VLOOKUP(D517,'Crafting Tables'!$1:$1000, 4, false)*F517,"")</f>
        <v/>
      </c>
      <c r="K517" s="29" t="b">
        <v>0</v>
      </c>
      <c r="L517" s="37"/>
      <c r="M517" s="29"/>
      <c r="N517" s="21" t="str">
        <f t="shared" si="2"/>
        <v/>
      </c>
      <c r="P517" s="37"/>
      <c r="Q517" s="29"/>
      <c r="R517" s="29" t="b">
        <v>0</v>
      </c>
      <c r="S517" s="22" t="str">
        <f t="shared" si="3"/>
        <v/>
      </c>
      <c r="T517" s="7">
        <f>IF(ISBLANK(P517), 0, VLOOKUP(P517, 'Price Sheet'!$A$2:$B1015, 2, false))</f>
        <v>0</v>
      </c>
      <c r="U517" s="33" t="str">
        <f t="shared" si="4"/>
        <v/>
      </c>
      <c r="V517" s="37"/>
      <c r="W517" s="29"/>
      <c r="X517" s="29" t="b">
        <v>0</v>
      </c>
      <c r="Y517" s="22" t="str">
        <f t="shared" si="5"/>
        <v/>
      </c>
      <c r="Z517" s="7">
        <f>IF(ISBLANK(V517), 0, VLOOKUP(V517, 'Price Sheet'!$A$2:$B1015, 2, false))</f>
        <v>0</v>
      </c>
      <c r="AA517" s="33" t="str">
        <f t="shared" si="6"/>
        <v/>
      </c>
      <c r="AB517" s="37"/>
      <c r="AC517" s="29"/>
      <c r="AD517" s="29" t="b">
        <v>0</v>
      </c>
      <c r="AE517" s="22" t="str">
        <f t="shared" si="7"/>
        <v/>
      </c>
      <c r="AF517" s="7">
        <f>IF(ISBLANK(AB517), 0, VLOOKUP(AB517, 'Price Sheet'!$A$2:$B1015, 2, false))</f>
        <v>0</v>
      </c>
      <c r="AG517" s="33" t="str">
        <f t="shared" si="8"/>
        <v/>
      </c>
      <c r="AH517" s="37"/>
      <c r="AI517" s="29"/>
      <c r="AJ517" s="29" t="b">
        <v>0</v>
      </c>
      <c r="AK517" s="22" t="str">
        <f t="shared" si="9"/>
        <v/>
      </c>
      <c r="AL517" s="7">
        <f>IF(ISBLANK(AH517), 0, VLOOKUP(AH517, 'Price Sheet'!$A$2:$B1015, 2, false))</f>
        <v>0</v>
      </c>
      <c r="AM517" s="33" t="str">
        <f t="shared" si="10"/>
        <v/>
      </c>
      <c r="AN517" s="37"/>
      <c r="AO517" s="29"/>
      <c r="AP517" s="29" t="b">
        <v>0</v>
      </c>
      <c r="AQ517" s="22" t="str">
        <f t="shared" si="11"/>
        <v/>
      </c>
      <c r="AR517" s="7">
        <f>IF(ISBLANK(AN517), 0, VLOOKUP(AN517, 'Price Sheet'!$A$2:$B1015, 2, false))</f>
        <v>0</v>
      </c>
      <c r="AS517" s="33" t="str">
        <f t="shared" si="12"/>
        <v/>
      </c>
      <c r="AT517" s="37"/>
      <c r="AU517" s="29"/>
      <c r="AV517" s="29" t="b">
        <v>0</v>
      </c>
      <c r="AW517" s="22" t="str">
        <f t="shared" si="13"/>
        <v/>
      </c>
      <c r="AX517" s="7">
        <f>IF(ISBLANK(AT517), 0, VLOOKUP(AT517, 'Price Sheet'!$A$2:$B1015, 2, false))</f>
        <v>0</v>
      </c>
      <c r="AY517" s="33" t="str">
        <f t="shared" si="14"/>
        <v/>
      </c>
      <c r="AZ517" s="37"/>
      <c r="BA517" s="29"/>
      <c r="BB517" s="29" t="b">
        <v>0</v>
      </c>
      <c r="BC517" s="22" t="str">
        <f t="shared" si="15"/>
        <v/>
      </c>
      <c r="BD517" s="7">
        <f>IF(ISBLANK(AZ517), 0, VLOOKUP(AZ517, 'Price Sheet'!$A$2:$B1015, 2, false))</f>
        <v>0</v>
      </c>
      <c r="BE517" s="33" t="str">
        <f t="shared" si="16"/>
        <v/>
      </c>
      <c r="BF517" s="37"/>
      <c r="BG517" s="29"/>
      <c r="BH517" s="29" t="b">
        <v>0</v>
      </c>
      <c r="BI517" s="22" t="str">
        <f t="shared" si="17"/>
        <v/>
      </c>
      <c r="BJ517" s="7">
        <f>IF(ISBLANK(BF517), 0, VLOOKUP(BF517, 'Price Sheet'!$A$2:$B1015, 2, false))</f>
        <v>0</v>
      </c>
      <c r="BK517" s="33" t="str">
        <f t="shared" si="18"/>
        <v/>
      </c>
      <c r="BL517" s="37"/>
      <c r="BM517" s="29"/>
      <c r="BN517" s="29" t="b">
        <v>0</v>
      </c>
      <c r="BO517" s="22" t="str">
        <f t="shared" si="19"/>
        <v/>
      </c>
      <c r="BP517" s="7">
        <f>IF(ISBLANK(BL517), 0, VLOOKUP(BL517, 'Price Sheet'!$A$2:$B1015, 2, false))</f>
        <v>0</v>
      </c>
      <c r="BQ517" s="33" t="str">
        <f t="shared" si="20"/>
        <v/>
      </c>
    </row>
    <row r="518">
      <c r="B518" s="19"/>
      <c r="C518" s="29"/>
      <c r="D518" s="29"/>
      <c r="E518" s="7" t="str">
        <f>IF(ISBLANK(D518), "", VLOOKUP(D518,'Crafting Tables'!$A$2:$B1015, 2, false))</f>
        <v/>
      </c>
      <c r="F518" s="7" t="str">
        <f>IFERROR(IF(E518 = "None", 1, VLOOKUP(C518,General!$A$5:$L$35, SWITCH(E518, "Basic", 8, "Advanced", 10, "Modern", 12), false)),"")</f>
        <v/>
      </c>
      <c r="G518" s="29"/>
      <c r="H518" s="7">
        <f>IFERROR(VLOOKUP(C518, General!$A$5:$L$35, 6, false) * G518 / 1000, 0)</f>
        <v>0</v>
      </c>
      <c r="I518" s="29"/>
      <c r="J518" s="22" t="str">
        <f>IFERROR(I518*VLOOKUP(D518,'Crafting Tables'!$1:$1000, 4, false)*F518,"")</f>
        <v/>
      </c>
      <c r="K518" s="29" t="b">
        <v>0</v>
      </c>
      <c r="L518" s="37"/>
      <c r="M518" s="29"/>
      <c r="N518" s="21" t="str">
        <f t="shared" si="2"/>
        <v/>
      </c>
      <c r="P518" s="37"/>
      <c r="Q518" s="29"/>
      <c r="R518" s="29" t="b">
        <v>0</v>
      </c>
      <c r="S518" s="22" t="str">
        <f t="shared" si="3"/>
        <v/>
      </c>
      <c r="T518" s="7">
        <f>IF(ISBLANK(P518), 0, VLOOKUP(P518, 'Price Sheet'!$A$2:$B1015, 2, false))</f>
        <v>0</v>
      </c>
      <c r="U518" s="33" t="str">
        <f t="shared" si="4"/>
        <v/>
      </c>
      <c r="V518" s="37"/>
      <c r="W518" s="29"/>
      <c r="X518" s="29" t="b">
        <v>0</v>
      </c>
      <c r="Y518" s="22" t="str">
        <f t="shared" si="5"/>
        <v/>
      </c>
      <c r="Z518" s="7">
        <f>IF(ISBLANK(V518), 0, VLOOKUP(V518, 'Price Sheet'!$A$2:$B1015, 2, false))</f>
        <v>0</v>
      </c>
      <c r="AA518" s="33" t="str">
        <f t="shared" si="6"/>
        <v/>
      </c>
      <c r="AB518" s="37"/>
      <c r="AC518" s="29"/>
      <c r="AD518" s="29" t="b">
        <v>0</v>
      </c>
      <c r="AE518" s="22" t="str">
        <f t="shared" si="7"/>
        <v/>
      </c>
      <c r="AF518" s="7">
        <f>IF(ISBLANK(AB518), 0, VLOOKUP(AB518, 'Price Sheet'!$A$2:$B1015, 2, false))</f>
        <v>0</v>
      </c>
      <c r="AG518" s="33" t="str">
        <f t="shared" si="8"/>
        <v/>
      </c>
      <c r="AH518" s="37"/>
      <c r="AI518" s="29"/>
      <c r="AJ518" s="29" t="b">
        <v>0</v>
      </c>
      <c r="AK518" s="22" t="str">
        <f t="shared" si="9"/>
        <v/>
      </c>
      <c r="AL518" s="7">
        <f>IF(ISBLANK(AH518), 0, VLOOKUP(AH518, 'Price Sheet'!$A$2:$B1015, 2, false))</f>
        <v>0</v>
      </c>
      <c r="AM518" s="33" t="str">
        <f t="shared" si="10"/>
        <v/>
      </c>
      <c r="AN518" s="37"/>
      <c r="AO518" s="29"/>
      <c r="AP518" s="29" t="b">
        <v>0</v>
      </c>
      <c r="AQ518" s="22" t="str">
        <f t="shared" si="11"/>
        <v/>
      </c>
      <c r="AR518" s="7">
        <f>IF(ISBLANK(AN518), 0, VLOOKUP(AN518, 'Price Sheet'!$A$2:$B1015, 2, false))</f>
        <v>0</v>
      </c>
      <c r="AS518" s="33" t="str">
        <f t="shared" si="12"/>
        <v/>
      </c>
      <c r="AT518" s="37"/>
      <c r="AU518" s="29"/>
      <c r="AV518" s="29" t="b">
        <v>0</v>
      </c>
      <c r="AW518" s="22" t="str">
        <f t="shared" si="13"/>
        <v/>
      </c>
      <c r="AX518" s="7">
        <f>IF(ISBLANK(AT518), 0, VLOOKUP(AT518, 'Price Sheet'!$A$2:$B1015, 2, false))</f>
        <v>0</v>
      </c>
      <c r="AY518" s="33" t="str">
        <f t="shared" si="14"/>
        <v/>
      </c>
      <c r="AZ518" s="37"/>
      <c r="BA518" s="29"/>
      <c r="BB518" s="29" t="b">
        <v>0</v>
      </c>
      <c r="BC518" s="22" t="str">
        <f t="shared" si="15"/>
        <v/>
      </c>
      <c r="BD518" s="7">
        <f>IF(ISBLANK(AZ518), 0, VLOOKUP(AZ518, 'Price Sheet'!$A$2:$B1015, 2, false))</f>
        <v>0</v>
      </c>
      <c r="BE518" s="33" t="str">
        <f t="shared" si="16"/>
        <v/>
      </c>
      <c r="BF518" s="37"/>
      <c r="BG518" s="29"/>
      <c r="BH518" s="29" t="b">
        <v>0</v>
      </c>
      <c r="BI518" s="22" t="str">
        <f t="shared" si="17"/>
        <v/>
      </c>
      <c r="BJ518" s="7">
        <f>IF(ISBLANK(BF518), 0, VLOOKUP(BF518, 'Price Sheet'!$A$2:$B1015, 2, false))</f>
        <v>0</v>
      </c>
      <c r="BK518" s="33" t="str">
        <f t="shared" si="18"/>
        <v/>
      </c>
      <c r="BL518" s="37"/>
      <c r="BM518" s="29"/>
      <c r="BN518" s="29" t="b">
        <v>0</v>
      </c>
      <c r="BO518" s="22" t="str">
        <f t="shared" si="19"/>
        <v/>
      </c>
      <c r="BP518" s="7">
        <f>IF(ISBLANK(BL518), 0, VLOOKUP(BL518, 'Price Sheet'!$A$2:$B1015, 2, false))</f>
        <v>0</v>
      </c>
      <c r="BQ518" s="33" t="str">
        <f t="shared" si="20"/>
        <v/>
      </c>
    </row>
    <row r="519">
      <c r="B519" s="19"/>
      <c r="C519" s="29"/>
      <c r="D519" s="29"/>
      <c r="E519" s="7" t="str">
        <f>IF(ISBLANK(D519), "", VLOOKUP(D519,'Crafting Tables'!$A$2:$B1015, 2, false))</f>
        <v/>
      </c>
      <c r="F519" s="7" t="str">
        <f>IFERROR(IF(E519 = "None", 1, VLOOKUP(C519,General!$A$5:$L$35, SWITCH(E519, "Basic", 8, "Advanced", 10, "Modern", 12), false)),"")</f>
        <v/>
      </c>
      <c r="G519" s="29"/>
      <c r="H519" s="7">
        <f>IFERROR(VLOOKUP(C519, General!$A$5:$L$35, 6, false) * G519 / 1000, 0)</f>
        <v>0</v>
      </c>
      <c r="I519" s="29"/>
      <c r="J519" s="22" t="str">
        <f>IFERROR(I519*VLOOKUP(D519,'Crafting Tables'!$1:$1000, 4, false)*F519,"")</f>
        <v/>
      </c>
      <c r="K519" s="29" t="b">
        <v>0</v>
      </c>
      <c r="L519" s="37"/>
      <c r="M519" s="29"/>
      <c r="N519" s="21" t="str">
        <f t="shared" si="2"/>
        <v/>
      </c>
      <c r="P519" s="37"/>
      <c r="Q519" s="29"/>
      <c r="R519" s="29" t="b">
        <v>0</v>
      </c>
      <c r="S519" s="22" t="str">
        <f t="shared" si="3"/>
        <v/>
      </c>
      <c r="T519" s="7">
        <f>IF(ISBLANK(P519), 0, VLOOKUP(P519, 'Price Sheet'!$A$2:$B1015, 2, false))</f>
        <v>0</v>
      </c>
      <c r="U519" s="33" t="str">
        <f t="shared" si="4"/>
        <v/>
      </c>
      <c r="V519" s="37"/>
      <c r="W519" s="29"/>
      <c r="X519" s="29" t="b">
        <v>0</v>
      </c>
      <c r="Y519" s="22" t="str">
        <f t="shared" si="5"/>
        <v/>
      </c>
      <c r="Z519" s="7">
        <f>IF(ISBLANK(V519), 0, VLOOKUP(V519, 'Price Sheet'!$A$2:$B1015, 2, false))</f>
        <v>0</v>
      </c>
      <c r="AA519" s="33" t="str">
        <f t="shared" si="6"/>
        <v/>
      </c>
      <c r="AB519" s="37"/>
      <c r="AC519" s="29"/>
      <c r="AD519" s="29" t="b">
        <v>0</v>
      </c>
      <c r="AE519" s="22" t="str">
        <f t="shared" si="7"/>
        <v/>
      </c>
      <c r="AF519" s="7">
        <f>IF(ISBLANK(AB519), 0, VLOOKUP(AB519, 'Price Sheet'!$A$2:$B1015, 2, false))</f>
        <v>0</v>
      </c>
      <c r="AG519" s="33" t="str">
        <f t="shared" si="8"/>
        <v/>
      </c>
      <c r="AH519" s="37"/>
      <c r="AI519" s="29"/>
      <c r="AJ519" s="29" t="b">
        <v>0</v>
      </c>
      <c r="AK519" s="22" t="str">
        <f t="shared" si="9"/>
        <v/>
      </c>
      <c r="AL519" s="7">
        <f>IF(ISBLANK(AH519), 0, VLOOKUP(AH519, 'Price Sheet'!$A$2:$B1015, 2, false))</f>
        <v>0</v>
      </c>
      <c r="AM519" s="33" t="str">
        <f t="shared" si="10"/>
        <v/>
      </c>
      <c r="AN519" s="37"/>
      <c r="AO519" s="29"/>
      <c r="AP519" s="29" t="b">
        <v>0</v>
      </c>
      <c r="AQ519" s="22" t="str">
        <f t="shared" si="11"/>
        <v/>
      </c>
      <c r="AR519" s="7">
        <f>IF(ISBLANK(AN519), 0, VLOOKUP(AN519, 'Price Sheet'!$A$2:$B1015, 2, false))</f>
        <v>0</v>
      </c>
      <c r="AS519" s="33" t="str">
        <f t="shared" si="12"/>
        <v/>
      </c>
      <c r="AT519" s="37"/>
      <c r="AU519" s="29"/>
      <c r="AV519" s="29" t="b">
        <v>0</v>
      </c>
      <c r="AW519" s="22" t="str">
        <f t="shared" si="13"/>
        <v/>
      </c>
      <c r="AX519" s="7">
        <f>IF(ISBLANK(AT519), 0, VLOOKUP(AT519, 'Price Sheet'!$A$2:$B1015, 2, false))</f>
        <v>0</v>
      </c>
      <c r="AY519" s="33" t="str">
        <f t="shared" si="14"/>
        <v/>
      </c>
      <c r="AZ519" s="37"/>
      <c r="BA519" s="29"/>
      <c r="BB519" s="29" t="b">
        <v>0</v>
      </c>
      <c r="BC519" s="22" t="str">
        <f t="shared" si="15"/>
        <v/>
      </c>
      <c r="BD519" s="7">
        <f>IF(ISBLANK(AZ519), 0, VLOOKUP(AZ519, 'Price Sheet'!$A$2:$B1015, 2, false))</f>
        <v>0</v>
      </c>
      <c r="BE519" s="33" t="str">
        <f t="shared" si="16"/>
        <v/>
      </c>
      <c r="BF519" s="37"/>
      <c r="BG519" s="29"/>
      <c r="BH519" s="29" t="b">
        <v>0</v>
      </c>
      <c r="BI519" s="22" t="str">
        <f t="shared" si="17"/>
        <v/>
      </c>
      <c r="BJ519" s="7">
        <f>IF(ISBLANK(BF519), 0, VLOOKUP(BF519, 'Price Sheet'!$A$2:$B1015, 2, false))</f>
        <v>0</v>
      </c>
      <c r="BK519" s="33" t="str">
        <f t="shared" si="18"/>
        <v/>
      </c>
      <c r="BL519" s="37"/>
      <c r="BM519" s="29"/>
      <c r="BN519" s="29" t="b">
        <v>0</v>
      </c>
      <c r="BO519" s="22" t="str">
        <f t="shared" si="19"/>
        <v/>
      </c>
      <c r="BP519" s="7">
        <f>IF(ISBLANK(BL519), 0, VLOOKUP(BL519, 'Price Sheet'!$A$2:$B1015, 2, false))</f>
        <v>0</v>
      </c>
      <c r="BQ519" s="33" t="str">
        <f t="shared" si="20"/>
        <v/>
      </c>
    </row>
    <row r="520">
      <c r="B520" s="19"/>
      <c r="C520" s="29"/>
      <c r="D520" s="29"/>
      <c r="E520" s="7" t="str">
        <f>IF(ISBLANK(D520), "", VLOOKUP(D520,'Crafting Tables'!$A$2:$B1015, 2, false))</f>
        <v/>
      </c>
      <c r="F520" s="7" t="str">
        <f>IFERROR(IF(E520 = "None", 1, VLOOKUP(C520,General!$A$5:$L$35, SWITCH(E520, "Basic", 8, "Advanced", 10, "Modern", 12), false)),"")</f>
        <v/>
      </c>
      <c r="G520" s="29"/>
      <c r="H520" s="7">
        <f>IFERROR(VLOOKUP(C520, General!$A$5:$L$35, 6, false) * G520 / 1000, 0)</f>
        <v>0</v>
      </c>
      <c r="I520" s="29"/>
      <c r="J520" s="22" t="str">
        <f>IFERROR(I520*VLOOKUP(D520,'Crafting Tables'!$1:$1000, 4, false)*F520,"")</f>
        <v/>
      </c>
      <c r="K520" s="29" t="b">
        <v>0</v>
      </c>
      <c r="L520" s="37"/>
      <c r="M520" s="29"/>
      <c r="N520" s="21" t="str">
        <f t="shared" si="2"/>
        <v/>
      </c>
      <c r="P520" s="37"/>
      <c r="Q520" s="29"/>
      <c r="R520" s="29" t="b">
        <v>0</v>
      </c>
      <c r="S520" s="22" t="str">
        <f t="shared" si="3"/>
        <v/>
      </c>
      <c r="T520" s="7">
        <f>IF(ISBLANK(P520), 0, VLOOKUP(P520, 'Price Sheet'!$A$2:$B1015, 2, false))</f>
        <v>0</v>
      </c>
      <c r="U520" s="33" t="str">
        <f t="shared" si="4"/>
        <v/>
      </c>
      <c r="V520" s="37"/>
      <c r="W520" s="29"/>
      <c r="X520" s="29" t="b">
        <v>0</v>
      </c>
      <c r="Y520" s="22" t="str">
        <f t="shared" si="5"/>
        <v/>
      </c>
      <c r="Z520" s="7">
        <f>IF(ISBLANK(V520), 0, VLOOKUP(V520, 'Price Sheet'!$A$2:$B1015, 2, false))</f>
        <v>0</v>
      </c>
      <c r="AA520" s="33" t="str">
        <f t="shared" si="6"/>
        <v/>
      </c>
      <c r="AB520" s="37"/>
      <c r="AC520" s="29"/>
      <c r="AD520" s="29" t="b">
        <v>0</v>
      </c>
      <c r="AE520" s="22" t="str">
        <f t="shared" si="7"/>
        <v/>
      </c>
      <c r="AF520" s="7">
        <f>IF(ISBLANK(AB520), 0, VLOOKUP(AB520, 'Price Sheet'!$A$2:$B1015, 2, false))</f>
        <v>0</v>
      </c>
      <c r="AG520" s="33" t="str">
        <f t="shared" si="8"/>
        <v/>
      </c>
      <c r="AH520" s="37"/>
      <c r="AI520" s="29"/>
      <c r="AJ520" s="29" t="b">
        <v>0</v>
      </c>
      <c r="AK520" s="22" t="str">
        <f t="shared" si="9"/>
        <v/>
      </c>
      <c r="AL520" s="7">
        <f>IF(ISBLANK(AH520), 0, VLOOKUP(AH520, 'Price Sheet'!$A$2:$B1015, 2, false))</f>
        <v>0</v>
      </c>
      <c r="AM520" s="33" t="str">
        <f t="shared" si="10"/>
        <v/>
      </c>
      <c r="AN520" s="37"/>
      <c r="AO520" s="29"/>
      <c r="AP520" s="29" t="b">
        <v>0</v>
      </c>
      <c r="AQ520" s="22" t="str">
        <f t="shared" si="11"/>
        <v/>
      </c>
      <c r="AR520" s="7">
        <f>IF(ISBLANK(AN520), 0, VLOOKUP(AN520, 'Price Sheet'!$A$2:$B1015, 2, false))</f>
        <v>0</v>
      </c>
      <c r="AS520" s="33" t="str">
        <f t="shared" si="12"/>
        <v/>
      </c>
      <c r="AT520" s="37"/>
      <c r="AU520" s="29"/>
      <c r="AV520" s="29" t="b">
        <v>0</v>
      </c>
      <c r="AW520" s="22" t="str">
        <f t="shared" si="13"/>
        <v/>
      </c>
      <c r="AX520" s="7">
        <f>IF(ISBLANK(AT520), 0, VLOOKUP(AT520, 'Price Sheet'!$A$2:$B1015, 2, false))</f>
        <v>0</v>
      </c>
      <c r="AY520" s="33" t="str">
        <f t="shared" si="14"/>
        <v/>
      </c>
      <c r="AZ520" s="37"/>
      <c r="BA520" s="29"/>
      <c r="BB520" s="29" t="b">
        <v>0</v>
      </c>
      <c r="BC520" s="22" t="str">
        <f t="shared" si="15"/>
        <v/>
      </c>
      <c r="BD520" s="7">
        <f>IF(ISBLANK(AZ520), 0, VLOOKUP(AZ520, 'Price Sheet'!$A$2:$B1015, 2, false))</f>
        <v>0</v>
      </c>
      <c r="BE520" s="33" t="str">
        <f t="shared" si="16"/>
        <v/>
      </c>
      <c r="BF520" s="37"/>
      <c r="BG520" s="29"/>
      <c r="BH520" s="29" t="b">
        <v>0</v>
      </c>
      <c r="BI520" s="22" t="str">
        <f t="shared" si="17"/>
        <v/>
      </c>
      <c r="BJ520" s="7">
        <f>IF(ISBLANK(BF520), 0, VLOOKUP(BF520, 'Price Sheet'!$A$2:$B1015, 2, false))</f>
        <v>0</v>
      </c>
      <c r="BK520" s="33" t="str">
        <f t="shared" si="18"/>
        <v/>
      </c>
      <c r="BL520" s="37"/>
      <c r="BM520" s="29"/>
      <c r="BN520" s="29" t="b">
        <v>0</v>
      </c>
      <c r="BO520" s="22" t="str">
        <f t="shared" si="19"/>
        <v/>
      </c>
      <c r="BP520" s="7">
        <f>IF(ISBLANK(BL520), 0, VLOOKUP(BL520, 'Price Sheet'!$A$2:$B1015, 2, false))</f>
        <v>0</v>
      </c>
      <c r="BQ520" s="33" t="str">
        <f t="shared" si="20"/>
        <v/>
      </c>
    </row>
    <row r="521">
      <c r="B521" s="19"/>
      <c r="C521" s="29"/>
      <c r="D521" s="29"/>
      <c r="E521" s="7" t="str">
        <f>IF(ISBLANK(D521), "", VLOOKUP(D521,'Crafting Tables'!$A$2:$B1015, 2, false))</f>
        <v/>
      </c>
      <c r="F521" s="7" t="str">
        <f>IFERROR(IF(E521 = "None", 1, VLOOKUP(C521,General!$A$5:$L$35, SWITCH(E521, "Basic", 8, "Advanced", 10, "Modern", 12), false)),"")</f>
        <v/>
      </c>
      <c r="G521" s="29"/>
      <c r="H521" s="7">
        <f>IFERROR(VLOOKUP(C521, General!$A$5:$L$35, 6, false) * G521 / 1000, 0)</f>
        <v>0</v>
      </c>
      <c r="I521" s="29"/>
      <c r="J521" s="22" t="str">
        <f>IFERROR(I521*VLOOKUP(D521,'Crafting Tables'!$1:$1000, 4, false)*F521,"")</f>
        <v/>
      </c>
      <c r="K521" s="29" t="b">
        <v>0</v>
      </c>
      <c r="L521" s="37"/>
      <c r="M521" s="29"/>
      <c r="N521" s="21" t="str">
        <f t="shared" si="2"/>
        <v/>
      </c>
      <c r="P521" s="37"/>
      <c r="Q521" s="29"/>
      <c r="R521" s="29" t="b">
        <v>0</v>
      </c>
      <c r="S521" s="22" t="str">
        <f t="shared" si="3"/>
        <v/>
      </c>
      <c r="T521" s="7">
        <f>IF(ISBLANK(P521), 0, VLOOKUP(P521, 'Price Sheet'!$A$2:$B1015, 2, false))</f>
        <v>0</v>
      </c>
      <c r="U521" s="33" t="str">
        <f t="shared" si="4"/>
        <v/>
      </c>
      <c r="V521" s="37"/>
      <c r="W521" s="29"/>
      <c r="X521" s="29" t="b">
        <v>0</v>
      </c>
      <c r="Y521" s="22" t="str">
        <f t="shared" si="5"/>
        <v/>
      </c>
      <c r="Z521" s="7">
        <f>IF(ISBLANK(V521), 0, VLOOKUP(V521, 'Price Sheet'!$A$2:$B1015, 2, false))</f>
        <v>0</v>
      </c>
      <c r="AA521" s="33" t="str">
        <f t="shared" si="6"/>
        <v/>
      </c>
      <c r="AB521" s="37"/>
      <c r="AC521" s="29"/>
      <c r="AD521" s="29" t="b">
        <v>0</v>
      </c>
      <c r="AE521" s="22" t="str">
        <f t="shared" si="7"/>
        <v/>
      </c>
      <c r="AF521" s="7">
        <f>IF(ISBLANK(AB521), 0, VLOOKUP(AB521, 'Price Sheet'!$A$2:$B1015, 2, false))</f>
        <v>0</v>
      </c>
      <c r="AG521" s="33" t="str">
        <f t="shared" si="8"/>
        <v/>
      </c>
      <c r="AH521" s="37"/>
      <c r="AI521" s="29"/>
      <c r="AJ521" s="29" t="b">
        <v>0</v>
      </c>
      <c r="AK521" s="22" t="str">
        <f t="shared" si="9"/>
        <v/>
      </c>
      <c r="AL521" s="7">
        <f>IF(ISBLANK(AH521), 0, VLOOKUP(AH521, 'Price Sheet'!$A$2:$B1015, 2, false))</f>
        <v>0</v>
      </c>
      <c r="AM521" s="33" t="str">
        <f t="shared" si="10"/>
        <v/>
      </c>
      <c r="AN521" s="37"/>
      <c r="AO521" s="29"/>
      <c r="AP521" s="29" t="b">
        <v>0</v>
      </c>
      <c r="AQ521" s="22" t="str">
        <f t="shared" si="11"/>
        <v/>
      </c>
      <c r="AR521" s="7">
        <f>IF(ISBLANK(AN521), 0, VLOOKUP(AN521, 'Price Sheet'!$A$2:$B1015, 2, false))</f>
        <v>0</v>
      </c>
      <c r="AS521" s="33" t="str">
        <f t="shared" si="12"/>
        <v/>
      </c>
      <c r="AT521" s="37"/>
      <c r="AU521" s="29"/>
      <c r="AV521" s="29" t="b">
        <v>0</v>
      </c>
      <c r="AW521" s="22" t="str">
        <f t="shared" si="13"/>
        <v/>
      </c>
      <c r="AX521" s="7">
        <f>IF(ISBLANK(AT521), 0, VLOOKUP(AT521, 'Price Sheet'!$A$2:$B1015, 2, false))</f>
        <v>0</v>
      </c>
      <c r="AY521" s="33" t="str">
        <f t="shared" si="14"/>
        <v/>
      </c>
      <c r="AZ521" s="37"/>
      <c r="BA521" s="29"/>
      <c r="BB521" s="29" t="b">
        <v>0</v>
      </c>
      <c r="BC521" s="22" t="str">
        <f t="shared" si="15"/>
        <v/>
      </c>
      <c r="BD521" s="7">
        <f>IF(ISBLANK(AZ521), 0, VLOOKUP(AZ521, 'Price Sheet'!$A$2:$B1015, 2, false))</f>
        <v>0</v>
      </c>
      <c r="BE521" s="33" t="str">
        <f t="shared" si="16"/>
        <v/>
      </c>
      <c r="BF521" s="37"/>
      <c r="BG521" s="29"/>
      <c r="BH521" s="29" t="b">
        <v>0</v>
      </c>
      <c r="BI521" s="22" t="str">
        <f t="shared" si="17"/>
        <v/>
      </c>
      <c r="BJ521" s="7">
        <f>IF(ISBLANK(BF521), 0, VLOOKUP(BF521, 'Price Sheet'!$A$2:$B1015, 2, false))</f>
        <v>0</v>
      </c>
      <c r="BK521" s="33" t="str">
        <f t="shared" si="18"/>
        <v/>
      </c>
      <c r="BL521" s="37"/>
      <c r="BM521" s="29"/>
      <c r="BN521" s="29" t="b">
        <v>0</v>
      </c>
      <c r="BO521" s="22" t="str">
        <f t="shared" si="19"/>
        <v/>
      </c>
      <c r="BP521" s="7">
        <f>IF(ISBLANK(BL521), 0, VLOOKUP(BL521, 'Price Sheet'!$A$2:$B1015, 2, false))</f>
        <v>0</v>
      </c>
      <c r="BQ521" s="33" t="str">
        <f t="shared" si="20"/>
        <v/>
      </c>
    </row>
    <row r="522">
      <c r="B522" s="19"/>
      <c r="C522" s="29"/>
      <c r="D522" s="29"/>
      <c r="E522" s="7" t="str">
        <f>IF(ISBLANK(D522), "", VLOOKUP(D522,'Crafting Tables'!$A$2:$B1015, 2, false))</f>
        <v/>
      </c>
      <c r="F522" s="7" t="str">
        <f>IFERROR(IF(E522 = "None", 1, VLOOKUP(C522,General!$A$5:$L$35, SWITCH(E522, "Basic", 8, "Advanced", 10, "Modern", 12), false)),"")</f>
        <v/>
      </c>
      <c r="G522" s="29"/>
      <c r="H522" s="7">
        <f>IFERROR(VLOOKUP(C522, General!$A$5:$L$35, 6, false) * G522 / 1000, 0)</f>
        <v>0</v>
      </c>
      <c r="I522" s="29"/>
      <c r="J522" s="22" t="str">
        <f>IFERROR(I522*VLOOKUP(D522,'Crafting Tables'!$1:$1000, 4, false)*F522,"")</f>
        <v/>
      </c>
      <c r="K522" s="29" t="b">
        <v>0</v>
      </c>
      <c r="L522" s="37"/>
      <c r="M522" s="29"/>
      <c r="N522" s="21" t="str">
        <f t="shared" si="2"/>
        <v/>
      </c>
      <c r="P522" s="37"/>
      <c r="Q522" s="29"/>
      <c r="R522" s="29" t="b">
        <v>0</v>
      </c>
      <c r="S522" s="22" t="str">
        <f t="shared" si="3"/>
        <v/>
      </c>
      <c r="T522" s="7">
        <f>IF(ISBLANK(P522), 0, VLOOKUP(P522, 'Price Sheet'!$A$2:$B1015, 2, false))</f>
        <v>0</v>
      </c>
      <c r="U522" s="33" t="str">
        <f t="shared" si="4"/>
        <v/>
      </c>
      <c r="V522" s="37"/>
      <c r="W522" s="29"/>
      <c r="X522" s="29" t="b">
        <v>0</v>
      </c>
      <c r="Y522" s="22" t="str">
        <f t="shared" si="5"/>
        <v/>
      </c>
      <c r="Z522" s="7">
        <f>IF(ISBLANK(V522), 0, VLOOKUP(V522, 'Price Sheet'!$A$2:$B1015, 2, false))</f>
        <v>0</v>
      </c>
      <c r="AA522" s="33" t="str">
        <f t="shared" si="6"/>
        <v/>
      </c>
      <c r="AB522" s="37"/>
      <c r="AC522" s="29"/>
      <c r="AD522" s="29" t="b">
        <v>0</v>
      </c>
      <c r="AE522" s="22" t="str">
        <f t="shared" si="7"/>
        <v/>
      </c>
      <c r="AF522" s="7">
        <f>IF(ISBLANK(AB522), 0, VLOOKUP(AB522, 'Price Sheet'!$A$2:$B1015, 2, false))</f>
        <v>0</v>
      </c>
      <c r="AG522" s="33" t="str">
        <f t="shared" si="8"/>
        <v/>
      </c>
      <c r="AH522" s="37"/>
      <c r="AI522" s="29"/>
      <c r="AJ522" s="29" t="b">
        <v>0</v>
      </c>
      <c r="AK522" s="22" t="str">
        <f t="shared" si="9"/>
        <v/>
      </c>
      <c r="AL522" s="7">
        <f>IF(ISBLANK(AH522), 0, VLOOKUP(AH522, 'Price Sheet'!$A$2:$B1015, 2, false))</f>
        <v>0</v>
      </c>
      <c r="AM522" s="33" t="str">
        <f t="shared" si="10"/>
        <v/>
      </c>
      <c r="AN522" s="37"/>
      <c r="AO522" s="29"/>
      <c r="AP522" s="29" t="b">
        <v>0</v>
      </c>
      <c r="AQ522" s="22" t="str">
        <f t="shared" si="11"/>
        <v/>
      </c>
      <c r="AR522" s="7">
        <f>IF(ISBLANK(AN522), 0, VLOOKUP(AN522, 'Price Sheet'!$A$2:$B1015, 2, false))</f>
        <v>0</v>
      </c>
      <c r="AS522" s="33" t="str">
        <f t="shared" si="12"/>
        <v/>
      </c>
      <c r="AT522" s="37"/>
      <c r="AU522" s="29"/>
      <c r="AV522" s="29" t="b">
        <v>0</v>
      </c>
      <c r="AW522" s="22" t="str">
        <f t="shared" si="13"/>
        <v/>
      </c>
      <c r="AX522" s="7">
        <f>IF(ISBLANK(AT522), 0, VLOOKUP(AT522, 'Price Sheet'!$A$2:$B1015, 2, false))</f>
        <v>0</v>
      </c>
      <c r="AY522" s="33" t="str">
        <f t="shared" si="14"/>
        <v/>
      </c>
      <c r="AZ522" s="37"/>
      <c r="BA522" s="29"/>
      <c r="BB522" s="29" t="b">
        <v>0</v>
      </c>
      <c r="BC522" s="22" t="str">
        <f t="shared" si="15"/>
        <v/>
      </c>
      <c r="BD522" s="7">
        <f>IF(ISBLANK(AZ522), 0, VLOOKUP(AZ522, 'Price Sheet'!$A$2:$B1015, 2, false))</f>
        <v>0</v>
      </c>
      <c r="BE522" s="33" t="str">
        <f t="shared" si="16"/>
        <v/>
      </c>
      <c r="BF522" s="37"/>
      <c r="BG522" s="29"/>
      <c r="BH522" s="29" t="b">
        <v>0</v>
      </c>
      <c r="BI522" s="22" t="str">
        <f t="shared" si="17"/>
        <v/>
      </c>
      <c r="BJ522" s="7">
        <f>IF(ISBLANK(BF522), 0, VLOOKUP(BF522, 'Price Sheet'!$A$2:$B1015, 2, false))</f>
        <v>0</v>
      </c>
      <c r="BK522" s="33" t="str">
        <f t="shared" si="18"/>
        <v/>
      </c>
      <c r="BL522" s="37"/>
      <c r="BM522" s="29"/>
      <c r="BN522" s="29" t="b">
        <v>0</v>
      </c>
      <c r="BO522" s="22" t="str">
        <f t="shared" si="19"/>
        <v/>
      </c>
      <c r="BP522" s="7">
        <f>IF(ISBLANK(BL522), 0, VLOOKUP(BL522, 'Price Sheet'!$A$2:$B1015, 2, false))</f>
        <v>0</v>
      </c>
      <c r="BQ522" s="33" t="str">
        <f t="shared" si="20"/>
        <v/>
      </c>
    </row>
    <row r="523">
      <c r="B523" s="19"/>
      <c r="C523" s="29"/>
      <c r="D523" s="29"/>
      <c r="E523" s="7" t="str">
        <f>IF(ISBLANK(D523), "", VLOOKUP(D523,'Crafting Tables'!$A$2:$B1015, 2, false))</f>
        <v/>
      </c>
      <c r="F523" s="7" t="str">
        <f>IFERROR(IF(E523 = "None", 1, VLOOKUP(C523,General!$A$5:$L$35, SWITCH(E523, "Basic", 8, "Advanced", 10, "Modern", 12), false)),"")</f>
        <v/>
      </c>
      <c r="G523" s="29"/>
      <c r="H523" s="7">
        <f>IFERROR(VLOOKUP(C523, General!$A$5:$L$35, 6, false) * G523 / 1000, 0)</f>
        <v>0</v>
      </c>
      <c r="I523" s="29"/>
      <c r="J523" s="22" t="str">
        <f>IFERROR(I523*VLOOKUP(D523,'Crafting Tables'!$1:$1000, 4, false)*F523,"")</f>
        <v/>
      </c>
      <c r="K523" s="29" t="b">
        <v>0</v>
      </c>
      <c r="L523" s="37"/>
      <c r="M523" s="29"/>
      <c r="N523" s="21" t="str">
        <f t="shared" si="2"/>
        <v/>
      </c>
      <c r="P523" s="37"/>
      <c r="Q523" s="29"/>
      <c r="R523" s="29" t="b">
        <v>0</v>
      </c>
      <c r="S523" s="22" t="str">
        <f t="shared" si="3"/>
        <v/>
      </c>
      <c r="T523" s="7">
        <f>IF(ISBLANK(P523), 0, VLOOKUP(P523, 'Price Sheet'!$A$2:$B1015, 2, false))</f>
        <v>0</v>
      </c>
      <c r="U523" s="33" t="str">
        <f t="shared" si="4"/>
        <v/>
      </c>
      <c r="V523" s="37"/>
      <c r="W523" s="29"/>
      <c r="X523" s="29" t="b">
        <v>0</v>
      </c>
      <c r="Y523" s="22" t="str">
        <f t="shared" si="5"/>
        <v/>
      </c>
      <c r="Z523" s="7">
        <f>IF(ISBLANK(V523), 0, VLOOKUP(V523, 'Price Sheet'!$A$2:$B1015, 2, false))</f>
        <v>0</v>
      </c>
      <c r="AA523" s="33" t="str">
        <f t="shared" si="6"/>
        <v/>
      </c>
      <c r="AB523" s="37"/>
      <c r="AC523" s="29"/>
      <c r="AD523" s="29" t="b">
        <v>0</v>
      </c>
      <c r="AE523" s="22" t="str">
        <f t="shared" si="7"/>
        <v/>
      </c>
      <c r="AF523" s="7">
        <f>IF(ISBLANK(AB523), 0, VLOOKUP(AB523, 'Price Sheet'!$A$2:$B1015, 2, false))</f>
        <v>0</v>
      </c>
      <c r="AG523" s="33" t="str">
        <f t="shared" si="8"/>
        <v/>
      </c>
      <c r="AH523" s="37"/>
      <c r="AI523" s="29"/>
      <c r="AJ523" s="29" t="b">
        <v>0</v>
      </c>
      <c r="AK523" s="22" t="str">
        <f t="shared" si="9"/>
        <v/>
      </c>
      <c r="AL523" s="7">
        <f>IF(ISBLANK(AH523), 0, VLOOKUP(AH523, 'Price Sheet'!$A$2:$B1015, 2, false))</f>
        <v>0</v>
      </c>
      <c r="AM523" s="33" t="str">
        <f t="shared" si="10"/>
        <v/>
      </c>
      <c r="AN523" s="37"/>
      <c r="AO523" s="29"/>
      <c r="AP523" s="29" t="b">
        <v>0</v>
      </c>
      <c r="AQ523" s="22" t="str">
        <f t="shared" si="11"/>
        <v/>
      </c>
      <c r="AR523" s="7">
        <f>IF(ISBLANK(AN523), 0, VLOOKUP(AN523, 'Price Sheet'!$A$2:$B1015, 2, false))</f>
        <v>0</v>
      </c>
      <c r="AS523" s="33" t="str">
        <f t="shared" si="12"/>
        <v/>
      </c>
      <c r="AT523" s="37"/>
      <c r="AU523" s="29"/>
      <c r="AV523" s="29" t="b">
        <v>0</v>
      </c>
      <c r="AW523" s="22" t="str">
        <f t="shared" si="13"/>
        <v/>
      </c>
      <c r="AX523" s="7">
        <f>IF(ISBLANK(AT523), 0, VLOOKUP(AT523, 'Price Sheet'!$A$2:$B1015, 2, false))</f>
        <v>0</v>
      </c>
      <c r="AY523" s="33" t="str">
        <f t="shared" si="14"/>
        <v/>
      </c>
      <c r="AZ523" s="37"/>
      <c r="BA523" s="29"/>
      <c r="BB523" s="29" t="b">
        <v>0</v>
      </c>
      <c r="BC523" s="22" t="str">
        <f t="shared" si="15"/>
        <v/>
      </c>
      <c r="BD523" s="7">
        <f>IF(ISBLANK(AZ523), 0, VLOOKUP(AZ523, 'Price Sheet'!$A$2:$B1015, 2, false))</f>
        <v>0</v>
      </c>
      <c r="BE523" s="33" t="str">
        <f t="shared" si="16"/>
        <v/>
      </c>
      <c r="BF523" s="37"/>
      <c r="BG523" s="29"/>
      <c r="BH523" s="29" t="b">
        <v>0</v>
      </c>
      <c r="BI523" s="22" t="str">
        <f t="shared" si="17"/>
        <v/>
      </c>
      <c r="BJ523" s="7">
        <f>IF(ISBLANK(BF523), 0, VLOOKUP(BF523, 'Price Sheet'!$A$2:$B1015, 2, false))</f>
        <v>0</v>
      </c>
      <c r="BK523" s="33" t="str">
        <f t="shared" si="18"/>
        <v/>
      </c>
      <c r="BL523" s="37"/>
      <c r="BM523" s="29"/>
      <c r="BN523" s="29" t="b">
        <v>0</v>
      </c>
      <c r="BO523" s="22" t="str">
        <f t="shared" si="19"/>
        <v/>
      </c>
      <c r="BP523" s="7">
        <f>IF(ISBLANK(BL523), 0, VLOOKUP(BL523, 'Price Sheet'!$A$2:$B1015, 2, false))</f>
        <v>0</v>
      </c>
      <c r="BQ523" s="33" t="str">
        <f t="shared" si="20"/>
        <v/>
      </c>
    </row>
    <row r="524">
      <c r="B524" s="19"/>
      <c r="C524" s="29"/>
      <c r="D524" s="29"/>
      <c r="E524" s="7" t="str">
        <f>IF(ISBLANK(D524), "", VLOOKUP(D524,'Crafting Tables'!$A$2:$B1015, 2, false))</f>
        <v/>
      </c>
      <c r="F524" s="7" t="str">
        <f>IFERROR(IF(E524 = "None", 1, VLOOKUP(C524,General!$A$5:$L$35, SWITCH(E524, "Basic", 8, "Advanced", 10, "Modern", 12), false)),"")</f>
        <v/>
      </c>
      <c r="G524" s="29"/>
      <c r="H524" s="7">
        <f>IFERROR(VLOOKUP(C524, General!$A$5:$L$35, 6, false) * G524 / 1000, 0)</f>
        <v>0</v>
      </c>
      <c r="I524" s="29"/>
      <c r="J524" s="22" t="str">
        <f>IFERROR(I524*VLOOKUP(D524,'Crafting Tables'!$1:$1000, 4, false)*F524,"")</f>
        <v/>
      </c>
      <c r="K524" s="29" t="b">
        <v>0</v>
      </c>
      <c r="L524" s="37"/>
      <c r="M524" s="29"/>
      <c r="N524" s="21" t="str">
        <f t="shared" si="2"/>
        <v/>
      </c>
      <c r="P524" s="37"/>
      <c r="Q524" s="29"/>
      <c r="R524" s="29" t="b">
        <v>0</v>
      </c>
      <c r="S524" s="22" t="str">
        <f t="shared" si="3"/>
        <v/>
      </c>
      <c r="T524" s="7">
        <f>IF(ISBLANK(P524), 0, VLOOKUP(P524, 'Price Sheet'!$A$2:$B1015, 2, false))</f>
        <v>0</v>
      </c>
      <c r="U524" s="33" t="str">
        <f t="shared" si="4"/>
        <v/>
      </c>
      <c r="V524" s="37"/>
      <c r="W524" s="29"/>
      <c r="X524" s="29" t="b">
        <v>0</v>
      </c>
      <c r="Y524" s="22" t="str">
        <f t="shared" si="5"/>
        <v/>
      </c>
      <c r="Z524" s="7">
        <f>IF(ISBLANK(V524), 0, VLOOKUP(V524, 'Price Sheet'!$A$2:$B1015, 2, false))</f>
        <v>0</v>
      </c>
      <c r="AA524" s="33" t="str">
        <f t="shared" si="6"/>
        <v/>
      </c>
      <c r="AB524" s="37"/>
      <c r="AC524" s="29"/>
      <c r="AD524" s="29" t="b">
        <v>0</v>
      </c>
      <c r="AE524" s="22" t="str">
        <f t="shared" si="7"/>
        <v/>
      </c>
      <c r="AF524" s="7">
        <f>IF(ISBLANK(AB524), 0, VLOOKUP(AB524, 'Price Sheet'!$A$2:$B1015, 2, false))</f>
        <v>0</v>
      </c>
      <c r="AG524" s="33" t="str">
        <f t="shared" si="8"/>
        <v/>
      </c>
      <c r="AH524" s="37"/>
      <c r="AI524" s="29"/>
      <c r="AJ524" s="29" t="b">
        <v>0</v>
      </c>
      <c r="AK524" s="22" t="str">
        <f t="shared" si="9"/>
        <v/>
      </c>
      <c r="AL524" s="7">
        <f>IF(ISBLANK(AH524), 0, VLOOKUP(AH524, 'Price Sheet'!$A$2:$B1015, 2, false))</f>
        <v>0</v>
      </c>
      <c r="AM524" s="33" t="str">
        <f t="shared" si="10"/>
        <v/>
      </c>
      <c r="AN524" s="37"/>
      <c r="AO524" s="29"/>
      <c r="AP524" s="29" t="b">
        <v>0</v>
      </c>
      <c r="AQ524" s="22" t="str">
        <f t="shared" si="11"/>
        <v/>
      </c>
      <c r="AR524" s="7">
        <f>IF(ISBLANK(AN524), 0, VLOOKUP(AN524, 'Price Sheet'!$A$2:$B1015, 2, false))</f>
        <v>0</v>
      </c>
      <c r="AS524" s="33" t="str">
        <f t="shared" si="12"/>
        <v/>
      </c>
      <c r="AT524" s="37"/>
      <c r="AU524" s="29"/>
      <c r="AV524" s="29" t="b">
        <v>0</v>
      </c>
      <c r="AW524" s="22" t="str">
        <f t="shared" si="13"/>
        <v/>
      </c>
      <c r="AX524" s="7">
        <f>IF(ISBLANK(AT524), 0, VLOOKUP(AT524, 'Price Sheet'!$A$2:$B1015, 2, false))</f>
        <v>0</v>
      </c>
      <c r="AY524" s="33" t="str">
        <f t="shared" si="14"/>
        <v/>
      </c>
      <c r="AZ524" s="37"/>
      <c r="BA524" s="29"/>
      <c r="BB524" s="29" t="b">
        <v>0</v>
      </c>
      <c r="BC524" s="22" t="str">
        <f t="shared" si="15"/>
        <v/>
      </c>
      <c r="BD524" s="7">
        <f>IF(ISBLANK(AZ524), 0, VLOOKUP(AZ524, 'Price Sheet'!$A$2:$B1015, 2, false))</f>
        <v>0</v>
      </c>
      <c r="BE524" s="33" t="str">
        <f t="shared" si="16"/>
        <v/>
      </c>
      <c r="BF524" s="37"/>
      <c r="BG524" s="29"/>
      <c r="BH524" s="29" t="b">
        <v>0</v>
      </c>
      <c r="BI524" s="22" t="str">
        <f t="shared" si="17"/>
        <v/>
      </c>
      <c r="BJ524" s="7">
        <f>IF(ISBLANK(BF524), 0, VLOOKUP(BF524, 'Price Sheet'!$A$2:$B1015, 2, false))</f>
        <v>0</v>
      </c>
      <c r="BK524" s="33" t="str">
        <f t="shared" si="18"/>
        <v/>
      </c>
      <c r="BL524" s="37"/>
      <c r="BM524" s="29"/>
      <c r="BN524" s="29" t="b">
        <v>0</v>
      </c>
      <c r="BO524" s="22" t="str">
        <f t="shared" si="19"/>
        <v/>
      </c>
      <c r="BP524" s="7">
        <f>IF(ISBLANK(BL524), 0, VLOOKUP(BL524, 'Price Sheet'!$A$2:$B1015, 2, false))</f>
        <v>0</v>
      </c>
      <c r="BQ524" s="33" t="str">
        <f t="shared" si="20"/>
        <v/>
      </c>
    </row>
    <row r="525">
      <c r="B525" s="19"/>
      <c r="C525" s="29"/>
      <c r="D525" s="29"/>
      <c r="E525" s="7" t="str">
        <f>IF(ISBLANK(D525), "", VLOOKUP(D525,'Crafting Tables'!$A$2:$B1015, 2, false))</f>
        <v/>
      </c>
      <c r="F525" s="7" t="str">
        <f>IFERROR(IF(E525 = "None", 1, VLOOKUP(C525,General!$A$5:$L$35, SWITCH(E525, "Basic", 8, "Advanced", 10, "Modern", 12), false)),"")</f>
        <v/>
      </c>
      <c r="G525" s="29"/>
      <c r="H525" s="7">
        <f>IFERROR(VLOOKUP(C525, General!$A$5:$L$35, 6, false) * G525 / 1000, 0)</f>
        <v>0</v>
      </c>
      <c r="I525" s="29"/>
      <c r="J525" s="22" t="str">
        <f>IFERROR(I525*VLOOKUP(D525,'Crafting Tables'!$1:$1000, 4, false)*F525,"")</f>
        <v/>
      </c>
      <c r="K525" s="29" t="b">
        <v>0</v>
      </c>
      <c r="L525" s="37"/>
      <c r="M525" s="29"/>
      <c r="N525" s="21" t="str">
        <f t="shared" si="2"/>
        <v/>
      </c>
      <c r="P525" s="37"/>
      <c r="Q525" s="29"/>
      <c r="R525" s="29" t="b">
        <v>0</v>
      </c>
      <c r="S525" s="22" t="str">
        <f t="shared" si="3"/>
        <v/>
      </c>
      <c r="T525" s="7">
        <f>IF(ISBLANK(P525), 0, VLOOKUP(P525, 'Price Sheet'!$A$2:$B1015, 2, false))</f>
        <v>0</v>
      </c>
      <c r="U525" s="33" t="str">
        <f t="shared" si="4"/>
        <v/>
      </c>
      <c r="V525" s="37"/>
      <c r="W525" s="29"/>
      <c r="X525" s="29" t="b">
        <v>0</v>
      </c>
      <c r="Y525" s="22" t="str">
        <f t="shared" si="5"/>
        <v/>
      </c>
      <c r="Z525" s="7">
        <f>IF(ISBLANK(V525), 0, VLOOKUP(V525, 'Price Sheet'!$A$2:$B1015, 2, false))</f>
        <v>0</v>
      </c>
      <c r="AA525" s="33" t="str">
        <f t="shared" si="6"/>
        <v/>
      </c>
      <c r="AB525" s="37"/>
      <c r="AC525" s="29"/>
      <c r="AD525" s="29" t="b">
        <v>0</v>
      </c>
      <c r="AE525" s="22" t="str">
        <f t="shared" si="7"/>
        <v/>
      </c>
      <c r="AF525" s="7">
        <f>IF(ISBLANK(AB525), 0, VLOOKUP(AB525, 'Price Sheet'!$A$2:$B1015, 2, false))</f>
        <v>0</v>
      </c>
      <c r="AG525" s="33" t="str">
        <f t="shared" si="8"/>
        <v/>
      </c>
      <c r="AH525" s="37"/>
      <c r="AI525" s="29"/>
      <c r="AJ525" s="29" t="b">
        <v>0</v>
      </c>
      <c r="AK525" s="22" t="str">
        <f t="shared" si="9"/>
        <v/>
      </c>
      <c r="AL525" s="7">
        <f>IF(ISBLANK(AH525), 0, VLOOKUP(AH525, 'Price Sheet'!$A$2:$B1015, 2, false))</f>
        <v>0</v>
      </c>
      <c r="AM525" s="33" t="str">
        <f t="shared" si="10"/>
        <v/>
      </c>
      <c r="AN525" s="37"/>
      <c r="AO525" s="29"/>
      <c r="AP525" s="29" t="b">
        <v>0</v>
      </c>
      <c r="AQ525" s="22" t="str">
        <f t="shared" si="11"/>
        <v/>
      </c>
      <c r="AR525" s="7">
        <f>IF(ISBLANK(AN525), 0, VLOOKUP(AN525, 'Price Sheet'!$A$2:$B1015, 2, false))</f>
        <v>0</v>
      </c>
      <c r="AS525" s="33" t="str">
        <f t="shared" si="12"/>
        <v/>
      </c>
      <c r="AT525" s="37"/>
      <c r="AU525" s="29"/>
      <c r="AV525" s="29" t="b">
        <v>0</v>
      </c>
      <c r="AW525" s="22" t="str">
        <f t="shared" si="13"/>
        <v/>
      </c>
      <c r="AX525" s="7">
        <f>IF(ISBLANK(AT525), 0, VLOOKUP(AT525, 'Price Sheet'!$A$2:$B1015, 2, false))</f>
        <v>0</v>
      </c>
      <c r="AY525" s="33" t="str">
        <f t="shared" si="14"/>
        <v/>
      </c>
      <c r="AZ525" s="37"/>
      <c r="BA525" s="29"/>
      <c r="BB525" s="29" t="b">
        <v>0</v>
      </c>
      <c r="BC525" s="22" t="str">
        <f t="shared" si="15"/>
        <v/>
      </c>
      <c r="BD525" s="7">
        <f>IF(ISBLANK(AZ525), 0, VLOOKUP(AZ525, 'Price Sheet'!$A$2:$B1015, 2, false))</f>
        <v>0</v>
      </c>
      <c r="BE525" s="33" t="str">
        <f t="shared" si="16"/>
        <v/>
      </c>
      <c r="BF525" s="37"/>
      <c r="BG525" s="29"/>
      <c r="BH525" s="29" t="b">
        <v>0</v>
      </c>
      <c r="BI525" s="22" t="str">
        <f t="shared" si="17"/>
        <v/>
      </c>
      <c r="BJ525" s="7">
        <f>IF(ISBLANK(BF525), 0, VLOOKUP(BF525, 'Price Sheet'!$A$2:$B1015, 2, false))</f>
        <v>0</v>
      </c>
      <c r="BK525" s="33" t="str">
        <f t="shared" si="18"/>
        <v/>
      </c>
      <c r="BL525" s="37"/>
      <c r="BM525" s="29"/>
      <c r="BN525" s="29" t="b">
        <v>0</v>
      </c>
      <c r="BO525" s="22" t="str">
        <f t="shared" si="19"/>
        <v/>
      </c>
      <c r="BP525" s="7">
        <f>IF(ISBLANK(BL525), 0, VLOOKUP(BL525, 'Price Sheet'!$A$2:$B1015, 2, false))</f>
        <v>0</v>
      </c>
      <c r="BQ525" s="33" t="str">
        <f t="shared" si="20"/>
        <v/>
      </c>
    </row>
    <row r="526">
      <c r="B526" s="19"/>
      <c r="C526" s="29"/>
      <c r="D526" s="29"/>
      <c r="E526" s="7" t="str">
        <f>IF(ISBLANK(D526), "", VLOOKUP(D526,'Crafting Tables'!$A$2:$B1015, 2, false))</f>
        <v/>
      </c>
      <c r="F526" s="7" t="str">
        <f>IFERROR(IF(E526 = "None", 1, VLOOKUP(C526,General!$A$5:$L$35, SWITCH(E526, "Basic", 8, "Advanced", 10, "Modern", 12), false)),"")</f>
        <v/>
      </c>
      <c r="G526" s="29"/>
      <c r="H526" s="7">
        <f>IFERROR(VLOOKUP(C526, General!$A$5:$L$35, 6, false) * G526 / 1000, 0)</f>
        <v>0</v>
      </c>
      <c r="I526" s="29"/>
      <c r="J526" s="22" t="str">
        <f>IFERROR(I526*VLOOKUP(D526,'Crafting Tables'!$1:$1000, 4, false)*F526,"")</f>
        <v/>
      </c>
      <c r="K526" s="29" t="b">
        <v>0</v>
      </c>
      <c r="L526" s="37"/>
      <c r="M526" s="29"/>
      <c r="N526" s="21" t="str">
        <f t="shared" si="2"/>
        <v/>
      </c>
      <c r="P526" s="37"/>
      <c r="Q526" s="29"/>
      <c r="R526" s="29" t="b">
        <v>0</v>
      </c>
      <c r="S526" s="22" t="str">
        <f t="shared" si="3"/>
        <v/>
      </c>
      <c r="T526" s="7">
        <f>IF(ISBLANK(P526), 0, VLOOKUP(P526, 'Price Sheet'!$A$2:$B1015, 2, false))</f>
        <v>0</v>
      </c>
      <c r="U526" s="33" t="str">
        <f t="shared" si="4"/>
        <v/>
      </c>
      <c r="V526" s="37"/>
      <c r="W526" s="29"/>
      <c r="X526" s="29" t="b">
        <v>0</v>
      </c>
      <c r="Y526" s="22" t="str">
        <f t="shared" si="5"/>
        <v/>
      </c>
      <c r="Z526" s="7">
        <f>IF(ISBLANK(V526), 0, VLOOKUP(V526, 'Price Sheet'!$A$2:$B1015, 2, false))</f>
        <v>0</v>
      </c>
      <c r="AA526" s="33" t="str">
        <f t="shared" si="6"/>
        <v/>
      </c>
      <c r="AB526" s="37"/>
      <c r="AC526" s="29"/>
      <c r="AD526" s="29" t="b">
        <v>0</v>
      </c>
      <c r="AE526" s="22" t="str">
        <f t="shared" si="7"/>
        <v/>
      </c>
      <c r="AF526" s="7">
        <f>IF(ISBLANK(AB526), 0, VLOOKUP(AB526, 'Price Sheet'!$A$2:$B1015, 2, false))</f>
        <v>0</v>
      </c>
      <c r="AG526" s="33" t="str">
        <f t="shared" si="8"/>
        <v/>
      </c>
      <c r="AH526" s="37"/>
      <c r="AI526" s="29"/>
      <c r="AJ526" s="29" t="b">
        <v>0</v>
      </c>
      <c r="AK526" s="22" t="str">
        <f t="shared" si="9"/>
        <v/>
      </c>
      <c r="AL526" s="7">
        <f>IF(ISBLANK(AH526), 0, VLOOKUP(AH526, 'Price Sheet'!$A$2:$B1015, 2, false))</f>
        <v>0</v>
      </c>
      <c r="AM526" s="33" t="str">
        <f t="shared" si="10"/>
        <v/>
      </c>
      <c r="AN526" s="37"/>
      <c r="AO526" s="29"/>
      <c r="AP526" s="29" t="b">
        <v>0</v>
      </c>
      <c r="AQ526" s="22" t="str">
        <f t="shared" si="11"/>
        <v/>
      </c>
      <c r="AR526" s="7">
        <f>IF(ISBLANK(AN526), 0, VLOOKUP(AN526, 'Price Sheet'!$A$2:$B1015, 2, false))</f>
        <v>0</v>
      </c>
      <c r="AS526" s="33" t="str">
        <f t="shared" si="12"/>
        <v/>
      </c>
      <c r="AT526" s="37"/>
      <c r="AU526" s="29"/>
      <c r="AV526" s="29" t="b">
        <v>0</v>
      </c>
      <c r="AW526" s="22" t="str">
        <f t="shared" si="13"/>
        <v/>
      </c>
      <c r="AX526" s="7">
        <f>IF(ISBLANK(AT526), 0, VLOOKUP(AT526, 'Price Sheet'!$A$2:$B1015, 2, false))</f>
        <v>0</v>
      </c>
      <c r="AY526" s="33" t="str">
        <f t="shared" si="14"/>
        <v/>
      </c>
      <c r="AZ526" s="37"/>
      <c r="BA526" s="29"/>
      <c r="BB526" s="29" t="b">
        <v>0</v>
      </c>
      <c r="BC526" s="22" t="str">
        <f t="shared" si="15"/>
        <v/>
      </c>
      <c r="BD526" s="7">
        <f>IF(ISBLANK(AZ526), 0, VLOOKUP(AZ526, 'Price Sheet'!$A$2:$B1015, 2, false))</f>
        <v>0</v>
      </c>
      <c r="BE526" s="33" t="str">
        <f t="shared" si="16"/>
        <v/>
      </c>
      <c r="BF526" s="37"/>
      <c r="BG526" s="29"/>
      <c r="BH526" s="29" t="b">
        <v>0</v>
      </c>
      <c r="BI526" s="22" t="str">
        <f t="shared" si="17"/>
        <v/>
      </c>
      <c r="BJ526" s="7">
        <f>IF(ISBLANK(BF526), 0, VLOOKUP(BF526, 'Price Sheet'!$A$2:$B1015, 2, false))</f>
        <v>0</v>
      </c>
      <c r="BK526" s="33" t="str">
        <f t="shared" si="18"/>
        <v/>
      </c>
      <c r="BL526" s="37"/>
      <c r="BM526" s="29"/>
      <c r="BN526" s="29" t="b">
        <v>0</v>
      </c>
      <c r="BO526" s="22" t="str">
        <f t="shared" si="19"/>
        <v/>
      </c>
      <c r="BP526" s="7">
        <f>IF(ISBLANK(BL526), 0, VLOOKUP(BL526, 'Price Sheet'!$A$2:$B1015, 2, false))</f>
        <v>0</v>
      </c>
      <c r="BQ526" s="33" t="str">
        <f t="shared" si="20"/>
        <v/>
      </c>
    </row>
    <row r="527">
      <c r="B527" s="19"/>
      <c r="C527" s="29"/>
      <c r="D527" s="29"/>
      <c r="E527" s="7" t="str">
        <f>IF(ISBLANK(D527), "", VLOOKUP(D527,'Crafting Tables'!$A$2:$B1015, 2, false))</f>
        <v/>
      </c>
      <c r="F527" s="7" t="str">
        <f>IFERROR(IF(E527 = "None", 1, VLOOKUP(C527,General!$A$5:$L$35, SWITCH(E527, "Basic", 8, "Advanced", 10, "Modern", 12), false)),"")</f>
        <v/>
      </c>
      <c r="G527" s="29"/>
      <c r="H527" s="7">
        <f>IFERROR(VLOOKUP(C527, General!$A$5:$L$35, 6, false) * G527 / 1000, 0)</f>
        <v>0</v>
      </c>
      <c r="I527" s="29"/>
      <c r="J527" s="22" t="str">
        <f>IFERROR(I527*VLOOKUP(D527,'Crafting Tables'!$1:$1000, 4, false)*F527,"")</f>
        <v/>
      </c>
      <c r="K527" s="29" t="b">
        <v>0</v>
      </c>
      <c r="L527" s="37"/>
      <c r="M527" s="29"/>
      <c r="N527" s="21" t="str">
        <f t="shared" si="2"/>
        <v/>
      </c>
      <c r="P527" s="37"/>
      <c r="Q527" s="29"/>
      <c r="R527" s="29" t="b">
        <v>0</v>
      </c>
      <c r="S527" s="22" t="str">
        <f t="shared" si="3"/>
        <v/>
      </c>
      <c r="T527" s="7">
        <f>IF(ISBLANK(P527), 0, VLOOKUP(P527, 'Price Sheet'!$A$2:$B1015, 2, false))</f>
        <v>0</v>
      </c>
      <c r="U527" s="33" t="str">
        <f t="shared" si="4"/>
        <v/>
      </c>
      <c r="V527" s="37"/>
      <c r="W527" s="29"/>
      <c r="X527" s="29" t="b">
        <v>0</v>
      </c>
      <c r="Y527" s="22" t="str">
        <f t="shared" si="5"/>
        <v/>
      </c>
      <c r="Z527" s="7">
        <f>IF(ISBLANK(V527), 0, VLOOKUP(V527, 'Price Sheet'!$A$2:$B1015, 2, false))</f>
        <v>0</v>
      </c>
      <c r="AA527" s="33" t="str">
        <f t="shared" si="6"/>
        <v/>
      </c>
      <c r="AB527" s="37"/>
      <c r="AC527" s="29"/>
      <c r="AD527" s="29" t="b">
        <v>0</v>
      </c>
      <c r="AE527" s="22" t="str">
        <f t="shared" si="7"/>
        <v/>
      </c>
      <c r="AF527" s="7">
        <f>IF(ISBLANK(AB527), 0, VLOOKUP(AB527, 'Price Sheet'!$A$2:$B1015, 2, false))</f>
        <v>0</v>
      </c>
      <c r="AG527" s="33" t="str">
        <f t="shared" si="8"/>
        <v/>
      </c>
      <c r="AH527" s="37"/>
      <c r="AI527" s="29"/>
      <c r="AJ527" s="29" t="b">
        <v>0</v>
      </c>
      <c r="AK527" s="22" t="str">
        <f t="shared" si="9"/>
        <v/>
      </c>
      <c r="AL527" s="7">
        <f>IF(ISBLANK(AH527), 0, VLOOKUP(AH527, 'Price Sheet'!$A$2:$B1015, 2, false))</f>
        <v>0</v>
      </c>
      <c r="AM527" s="33" t="str">
        <f t="shared" si="10"/>
        <v/>
      </c>
      <c r="AN527" s="37"/>
      <c r="AO527" s="29"/>
      <c r="AP527" s="29" t="b">
        <v>0</v>
      </c>
      <c r="AQ527" s="22" t="str">
        <f t="shared" si="11"/>
        <v/>
      </c>
      <c r="AR527" s="7">
        <f>IF(ISBLANK(AN527), 0, VLOOKUP(AN527, 'Price Sheet'!$A$2:$B1015, 2, false))</f>
        <v>0</v>
      </c>
      <c r="AS527" s="33" t="str">
        <f t="shared" si="12"/>
        <v/>
      </c>
      <c r="AT527" s="37"/>
      <c r="AU527" s="29"/>
      <c r="AV527" s="29" t="b">
        <v>0</v>
      </c>
      <c r="AW527" s="22" t="str">
        <f t="shared" si="13"/>
        <v/>
      </c>
      <c r="AX527" s="7">
        <f>IF(ISBLANK(AT527), 0, VLOOKUP(AT527, 'Price Sheet'!$A$2:$B1015, 2, false))</f>
        <v>0</v>
      </c>
      <c r="AY527" s="33" t="str">
        <f t="shared" si="14"/>
        <v/>
      </c>
      <c r="AZ527" s="37"/>
      <c r="BA527" s="29"/>
      <c r="BB527" s="29" t="b">
        <v>0</v>
      </c>
      <c r="BC527" s="22" t="str">
        <f t="shared" si="15"/>
        <v/>
      </c>
      <c r="BD527" s="7">
        <f>IF(ISBLANK(AZ527), 0, VLOOKUP(AZ527, 'Price Sheet'!$A$2:$B1015, 2, false))</f>
        <v>0</v>
      </c>
      <c r="BE527" s="33" t="str">
        <f t="shared" si="16"/>
        <v/>
      </c>
      <c r="BF527" s="37"/>
      <c r="BG527" s="29"/>
      <c r="BH527" s="29" t="b">
        <v>0</v>
      </c>
      <c r="BI527" s="22" t="str">
        <f t="shared" si="17"/>
        <v/>
      </c>
      <c r="BJ527" s="7">
        <f>IF(ISBLANK(BF527), 0, VLOOKUP(BF527, 'Price Sheet'!$A$2:$B1015, 2, false))</f>
        <v>0</v>
      </c>
      <c r="BK527" s="33" t="str">
        <f t="shared" si="18"/>
        <v/>
      </c>
      <c r="BL527" s="37"/>
      <c r="BM527" s="29"/>
      <c r="BN527" s="29" t="b">
        <v>0</v>
      </c>
      <c r="BO527" s="22" t="str">
        <f t="shared" si="19"/>
        <v/>
      </c>
      <c r="BP527" s="7">
        <f>IF(ISBLANK(BL527), 0, VLOOKUP(BL527, 'Price Sheet'!$A$2:$B1015, 2, false))</f>
        <v>0</v>
      </c>
      <c r="BQ527" s="33" t="str">
        <f t="shared" si="20"/>
        <v/>
      </c>
    </row>
    <row r="528">
      <c r="B528" s="19"/>
      <c r="C528" s="29"/>
      <c r="D528" s="29"/>
      <c r="E528" s="7" t="str">
        <f>IF(ISBLANK(D528), "", VLOOKUP(D528,'Crafting Tables'!$A$2:$B1015, 2, false))</f>
        <v/>
      </c>
      <c r="F528" s="7" t="str">
        <f>IFERROR(IF(E528 = "None", 1, VLOOKUP(C528,General!$A$5:$L$35, SWITCH(E528, "Basic", 8, "Advanced", 10, "Modern", 12), false)),"")</f>
        <v/>
      </c>
      <c r="G528" s="29"/>
      <c r="H528" s="7">
        <f>IFERROR(VLOOKUP(C528, General!$A$5:$L$35, 6, false) * G528 / 1000, 0)</f>
        <v>0</v>
      </c>
      <c r="I528" s="29"/>
      <c r="J528" s="22" t="str">
        <f>IFERROR(I528*VLOOKUP(D528,'Crafting Tables'!$1:$1000, 4, false)*F528,"")</f>
        <v/>
      </c>
      <c r="K528" s="29" t="b">
        <v>0</v>
      </c>
      <c r="L528" s="37"/>
      <c r="M528" s="29"/>
      <c r="N528" s="21" t="str">
        <f t="shared" si="2"/>
        <v/>
      </c>
      <c r="P528" s="37"/>
      <c r="Q528" s="29"/>
      <c r="R528" s="29" t="b">
        <v>0</v>
      </c>
      <c r="S528" s="22" t="str">
        <f t="shared" si="3"/>
        <v/>
      </c>
      <c r="T528" s="7">
        <f>IF(ISBLANK(P528), 0, VLOOKUP(P528, 'Price Sheet'!$A$2:$B1015, 2, false))</f>
        <v>0</v>
      </c>
      <c r="U528" s="33" t="str">
        <f t="shared" si="4"/>
        <v/>
      </c>
      <c r="V528" s="37"/>
      <c r="W528" s="29"/>
      <c r="X528" s="29" t="b">
        <v>0</v>
      </c>
      <c r="Y528" s="22" t="str">
        <f t="shared" si="5"/>
        <v/>
      </c>
      <c r="Z528" s="7">
        <f>IF(ISBLANK(V528), 0, VLOOKUP(V528, 'Price Sheet'!$A$2:$B1015, 2, false))</f>
        <v>0</v>
      </c>
      <c r="AA528" s="33" t="str">
        <f t="shared" si="6"/>
        <v/>
      </c>
      <c r="AB528" s="37"/>
      <c r="AC528" s="29"/>
      <c r="AD528" s="29" t="b">
        <v>0</v>
      </c>
      <c r="AE528" s="22" t="str">
        <f t="shared" si="7"/>
        <v/>
      </c>
      <c r="AF528" s="7">
        <f>IF(ISBLANK(AB528), 0, VLOOKUP(AB528, 'Price Sheet'!$A$2:$B1015, 2, false))</f>
        <v>0</v>
      </c>
      <c r="AG528" s="33" t="str">
        <f t="shared" si="8"/>
        <v/>
      </c>
      <c r="AH528" s="37"/>
      <c r="AI528" s="29"/>
      <c r="AJ528" s="29" t="b">
        <v>0</v>
      </c>
      <c r="AK528" s="22" t="str">
        <f t="shared" si="9"/>
        <v/>
      </c>
      <c r="AL528" s="7">
        <f>IF(ISBLANK(AH528), 0, VLOOKUP(AH528, 'Price Sheet'!$A$2:$B1015, 2, false))</f>
        <v>0</v>
      </c>
      <c r="AM528" s="33" t="str">
        <f t="shared" si="10"/>
        <v/>
      </c>
      <c r="AN528" s="37"/>
      <c r="AO528" s="29"/>
      <c r="AP528" s="29" t="b">
        <v>0</v>
      </c>
      <c r="AQ528" s="22" t="str">
        <f t="shared" si="11"/>
        <v/>
      </c>
      <c r="AR528" s="7">
        <f>IF(ISBLANK(AN528), 0, VLOOKUP(AN528, 'Price Sheet'!$A$2:$B1015, 2, false))</f>
        <v>0</v>
      </c>
      <c r="AS528" s="33" t="str">
        <f t="shared" si="12"/>
        <v/>
      </c>
      <c r="AT528" s="37"/>
      <c r="AU528" s="29"/>
      <c r="AV528" s="29" t="b">
        <v>0</v>
      </c>
      <c r="AW528" s="22" t="str">
        <f t="shared" si="13"/>
        <v/>
      </c>
      <c r="AX528" s="7">
        <f>IF(ISBLANK(AT528), 0, VLOOKUP(AT528, 'Price Sheet'!$A$2:$B1015, 2, false))</f>
        <v>0</v>
      </c>
      <c r="AY528" s="33" t="str">
        <f t="shared" si="14"/>
        <v/>
      </c>
      <c r="AZ528" s="37"/>
      <c r="BA528" s="29"/>
      <c r="BB528" s="29" t="b">
        <v>0</v>
      </c>
      <c r="BC528" s="22" t="str">
        <f t="shared" si="15"/>
        <v/>
      </c>
      <c r="BD528" s="7">
        <f>IF(ISBLANK(AZ528), 0, VLOOKUP(AZ528, 'Price Sheet'!$A$2:$B1015, 2, false))</f>
        <v>0</v>
      </c>
      <c r="BE528" s="33" t="str">
        <f t="shared" si="16"/>
        <v/>
      </c>
      <c r="BF528" s="37"/>
      <c r="BG528" s="29"/>
      <c r="BH528" s="29" t="b">
        <v>0</v>
      </c>
      <c r="BI528" s="22" t="str">
        <f t="shared" si="17"/>
        <v/>
      </c>
      <c r="BJ528" s="7">
        <f>IF(ISBLANK(BF528), 0, VLOOKUP(BF528, 'Price Sheet'!$A$2:$B1015, 2, false))</f>
        <v>0</v>
      </c>
      <c r="BK528" s="33" t="str">
        <f t="shared" si="18"/>
        <v/>
      </c>
      <c r="BL528" s="37"/>
      <c r="BM528" s="29"/>
      <c r="BN528" s="29" t="b">
        <v>0</v>
      </c>
      <c r="BO528" s="22" t="str">
        <f t="shared" si="19"/>
        <v/>
      </c>
      <c r="BP528" s="7">
        <f>IF(ISBLANK(BL528), 0, VLOOKUP(BL528, 'Price Sheet'!$A$2:$B1015, 2, false))</f>
        <v>0</v>
      </c>
      <c r="BQ528" s="33" t="str">
        <f t="shared" si="20"/>
        <v/>
      </c>
    </row>
    <row r="529">
      <c r="B529" s="19"/>
      <c r="C529" s="29"/>
      <c r="D529" s="29"/>
      <c r="E529" s="7" t="str">
        <f>IF(ISBLANK(D529), "", VLOOKUP(D529,'Crafting Tables'!$A$2:$B1015, 2, false))</f>
        <v/>
      </c>
      <c r="F529" s="7" t="str">
        <f>IFERROR(IF(E529 = "None", 1, VLOOKUP(C529,General!$A$5:$L$35, SWITCH(E529, "Basic", 8, "Advanced", 10, "Modern", 12), false)),"")</f>
        <v/>
      </c>
      <c r="G529" s="29"/>
      <c r="H529" s="7">
        <f>IFERROR(VLOOKUP(C529, General!$A$5:$L$35, 6, false) * G529 / 1000, 0)</f>
        <v>0</v>
      </c>
      <c r="I529" s="29"/>
      <c r="J529" s="22" t="str">
        <f>IFERROR(I529*VLOOKUP(D529,'Crafting Tables'!$1:$1000, 4, false)*F529,"")</f>
        <v/>
      </c>
      <c r="K529" s="29" t="b">
        <v>0</v>
      </c>
      <c r="L529" s="37"/>
      <c r="M529" s="29"/>
      <c r="N529" s="21" t="str">
        <f t="shared" si="2"/>
        <v/>
      </c>
      <c r="P529" s="37"/>
      <c r="Q529" s="29"/>
      <c r="R529" s="29" t="b">
        <v>0</v>
      </c>
      <c r="S529" s="22" t="str">
        <f t="shared" si="3"/>
        <v/>
      </c>
      <c r="T529" s="7">
        <f>IF(ISBLANK(P529), 0, VLOOKUP(P529, 'Price Sheet'!$A$2:$B1015, 2, false))</f>
        <v>0</v>
      </c>
      <c r="U529" s="33" t="str">
        <f t="shared" si="4"/>
        <v/>
      </c>
      <c r="V529" s="37"/>
      <c r="W529" s="29"/>
      <c r="X529" s="29" t="b">
        <v>0</v>
      </c>
      <c r="Y529" s="22" t="str">
        <f t="shared" si="5"/>
        <v/>
      </c>
      <c r="Z529" s="7">
        <f>IF(ISBLANK(V529), 0, VLOOKUP(V529, 'Price Sheet'!$A$2:$B1015, 2, false))</f>
        <v>0</v>
      </c>
      <c r="AA529" s="33" t="str">
        <f t="shared" si="6"/>
        <v/>
      </c>
      <c r="AB529" s="37"/>
      <c r="AC529" s="29"/>
      <c r="AD529" s="29" t="b">
        <v>0</v>
      </c>
      <c r="AE529" s="22" t="str">
        <f t="shared" si="7"/>
        <v/>
      </c>
      <c r="AF529" s="7">
        <f>IF(ISBLANK(AB529), 0, VLOOKUP(AB529, 'Price Sheet'!$A$2:$B1015, 2, false))</f>
        <v>0</v>
      </c>
      <c r="AG529" s="33" t="str">
        <f t="shared" si="8"/>
        <v/>
      </c>
      <c r="AH529" s="37"/>
      <c r="AI529" s="29"/>
      <c r="AJ529" s="29" t="b">
        <v>0</v>
      </c>
      <c r="AK529" s="22" t="str">
        <f t="shared" si="9"/>
        <v/>
      </c>
      <c r="AL529" s="7">
        <f>IF(ISBLANK(AH529), 0, VLOOKUP(AH529, 'Price Sheet'!$A$2:$B1015, 2, false))</f>
        <v>0</v>
      </c>
      <c r="AM529" s="33" t="str">
        <f t="shared" si="10"/>
        <v/>
      </c>
      <c r="AN529" s="37"/>
      <c r="AO529" s="29"/>
      <c r="AP529" s="29" t="b">
        <v>0</v>
      </c>
      <c r="AQ529" s="22" t="str">
        <f t="shared" si="11"/>
        <v/>
      </c>
      <c r="AR529" s="7">
        <f>IF(ISBLANK(AN529), 0, VLOOKUP(AN529, 'Price Sheet'!$A$2:$B1015, 2, false))</f>
        <v>0</v>
      </c>
      <c r="AS529" s="33" t="str">
        <f t="shared" si="12"/>
        <v/>
      </c>
      <c r="AT529" s="37"/>
      <c r="AU529" s="29"/>
      <c r="AV529" s="29" t="b">
        <v>0</v>
      </c>
      <c r="AW529" s="22" t="str">
        <f t="shared" si="13"/>
        <v/>
      </c>
      <c r="AX529" s="7">
        <f>IF(ISBLANK(AT529), 0, VLOOKUP(AT529, 'Price Sheet'!$A$2:$B1015, 2, false))</f>
        <v>0</v>
      </c>
      <c r="AY529" s="33" t="str">
        <f t="shared" si="14"/>
        <v/>
      </c>
      <c r="AZ529" s="37"/>
      <c r="BA529" s="29"/>
      <c r="BB529" s="29" t="b">
        <v>0</v>
      </c>
      <c r="BC529" s="22" t="str">
        <f t="shared" si="15"/>
        <v/>
      </c>
      <c r="BD529" s="7">
        <f>IF(ISBLANK(AZ529), 0, VLOOKUP(AZ529, 'Price Sheet'!$A$2:$B1015, 2, false))</f>
        <v>0</v>
      </c>
      <c r="BE529" s="33" t="str">
        <f t="shared" si="16"/>
        <v/>
      </c>
      <c r="BF529" s="37"/>
      <c r="BG529" s="29"/>
      <c r="BH529" s="29" t="b">
        <v>0</v>
      </c>
      <c r="BI529" s="22" t="str">
        <f t="shared" si="17"/>
        <v/>
      </c>
      <c r="BJ529" s="7">
        <f>IF(ISBLANK(BF529), 0, VLOOKUP(BF529, 'Price Sheet'!$A$2:$B1015, 2, false))</f>
        <v>0</v>
      </c>
      <c r="BK529" s="33" t="str">
        <f t="shared" si="18"/>
        <v/>
      </c>
      <c r="BL529" s="37"/>
      <c r="BM529" s="29"/>
      <c r="BN529" s="29" t="b">
        <v>0</v>
      </c>
      <c r="BO529" s="22" t="str">
        <f t="shared" si="19"/>
        <v/>
      </c>
      <c r="BP529" s="7">
        <f>IF(ISBLANK(BL529), 0, VLOOKUP(BL529, 'Price Sheet'!$A$2:$B1015, 2, false))</f>
        <v>0</v>
      </c>
      <c r="BQ529" s="33" t="str">
        <f t="shared" si="20"/>
        <v/>
      </c>
    </row>
    <row r="530">
      <c r="B530" s="19"/>
      <c r="C530" s="29"/>
      <c r="D530" s="29"/>
      <c r="E530" s="7" t="str">
        <f>IF(ISBLANK(D530), "", VLOOKUP(D530,'Crafting Tables'!$A$2:$B1015, 2, false))</f>
        <v/>
      </c>
      <c r="F530" s="7" t="str">
        <f>IFERROR(IF(E530 = "None", 1, VLOOKUP(C530,General!$A$5:$L$35, SWITCH(E530, "Basic", 8, "Advanced", 10, "Modern", 12), false)),"")</f>
        <v/>
      </c>
      <c r="G530" s="29"/>
      <c r="H530" s="7">
        <f>IFERROR(VLOOKUP(C530, General!$A$5:$L$35, 6, false) * G530 / 1000, 0)</f>
        <v>0</v>
      </c>
      <c r="I530" s="29"/>
      <c r="J530" s="22" t="str">
        <f>IFERROR(I530*VLOOKUP(D530,'Crafting Tables'!$1:$1000, 4, false)*F530,"")</f>
        <v/>
      </c>
      <c r="K530" s="29" t="b">
        <v>0</v>
      </c>
      <c r="L530" s="37"/>
      <c r="M530" s="29"/>
      <c r="N530" s="21" t="str">
        <f t="shared" si="2"/>
        <v/>
      </c>
      <c r="P530" s="37"/>
      <c r="Q530" s="29"/>
      <c r="R530" s="29" t="b">
        <v>0</v>
      </c>
      <c r="S530" s="22" t="str">
        <f t="shared" si="3"/>
        <v/>
      </c>
      <c r="T530" s="7">
        <f>IF(ISBLANK(P530), 0, VLOOKUP(P530, 'Price Sheet'!$A$2:$B1015, 2, false))</f>
        <v>0</v>
      </c>
      <c r="U530" s="33" t="str">
        <f t="shared" si="4"/>
        <v/>
      </c>
      <c r="V530" s="37"/>
      <c r="W530" s="29"/>
      <c r="X530" s="29" t="b">
        <v>0</v>
      </c>
      <c r="Y530" s="22" t="str">
        <f t="shared" si="5"/>
        <v/>
      </c>
      <c r="Z530" s="7">
        <f>IF(ISBLANK(V530), 0, VLOOKUP(V530, 'Price Sheet'!$A$2:$B1015, 2, false))</f>
        <v>0</v>
      </c>
      <c r="AA530" s="33" t="str">
        <f t="shared" si="6"/>
        <v/>
      </c>
      <c r="AB530" s="37"/>
      <c r="AC530" s="29"/>
      <c r="AD530" s="29" t="b">
        <v>0</v>
      </c>
      <c r="AE530" s="22" t="str">
        <f t="shared" si="7"/>
        <v/>
      </c>
      <c r="AF530" s="7">
        <f>IF(ISBLANK(AB530), 0, VLOOKUP(AB530, 'Price Sheet'!$A$2:$B1015, 2, false))</f>
        <v>0</v>
      </c>
      <c r="AG530" s="33" t="str">
        <f t="shared" si="8"/>
        <v/>
      </c>
      <c r="AH530" s="37"/>
      <c r="AI530" s="29"/>
      <c r="AJ530" s="29" t="b">
        <v>0</v>
      </c>
      <c r="AK530" s="22" t="str">
        <f t="shared" si="9"/>
        <v/>
      </c>
      <c r="AL530" s="7">
        <f>IF(ISBLANK(AH530), 0, VLOOKUP(AH530, 'Price Sheet'!$A$2:$B1015, 2, false))</f>
        <v>0</v>
      </c>
      <c r="AM530" s="33" t="str">
        <f t="shared" si="10"/>
        <v/>
      </c>
      <c r="AN530" s="37"/>
      <c r="AO530" s="29"/>
      <c r="AP530" s="29" t="b">
        <v>0</v>
      </c>
      <c r="AQ530" s="22" t="str">
        <f t="shared" si="11"/>
        <v/>
      </c>
      <c r="AR530" s="7">
        <f>IF(ISBLANK(AN530), 0, VLOOKUP(AN530, 'Price Sheet'!$A$2:$B1015, 2, false))</f>
        <v>0</v>
      </c>
      <c r="AS530" s="33" t="str">
        <f t="shared" si="12"/>
        <v/>
      </c>
      <c r="AT530" s="37"/>
      <c r="AU530" s="29"/>
      <c r="AV530" s="29" t="b">
        <v>0</v>
      </c>
      <c r="AW530" s="22" t="str">
        <f t="shared" si="13"/>
        <v/>
      </c>
      <c r="AX530" s="7">
        <f>IF(ISBLANK(AT530), 0, VLOOKUP(AT530, 'Price Sheet'!$A$2:$B1015, 2, false))</f>
        <v>0</v>
      </c>
      <c r="AY530" s="33" t="str">
        <f t="shared" si="14"/>
        <v/>
      </c>
      <c r="AZ530" s="37"/>
      <c r="BA530" s="29"/>
      <c r="BB530" s="29" t="b">
        <v>0</v>
      </c>
      <c r="BC530" s="22" t="str">
        <f t="shared" si="15"/>
        <v/>
      </c>
      <c r="BD530" s="7">
        <f>IF(ISBLANK(AZ530), 0, VLOOKUP(AZ530, 'Price Sheet'!$A$2:$B1015, 2, false))</f>
        <v>0</v>
      </c>
      <c r="BE530" s="33" t="str">
        <f t="shared" si="16"/>
        <v/>
      </c>
      <c r="BF530" s="37"/>
      <c r="BG530" s="29"/>
      <c r="BH530" s="29" t="b">
        <v>0</v>
      </c>
      <c r="BI530" s="22" t="str">
        <f t="shared" si="17"/>
        <v/>
      </c>
      <c r="BJ530" s="7">
        <f>IF(ISBLANK(BF530), 0, VLOOKUP(BF530, 'Price Sheet'!$A$2:$B1015, 2, false))</f>
        <v>0</v>
      </c>
      <c r="BK530" s="33" t="str">
        <f t="shared" si="18"/>
        <v/>
      </c>
      <c r="BL530" s="37"/>
      <c r="BM530" s="29"/>
      <c r="BN530" s="29" t="b">
        <v>0</v>
      </c>
      <c r="BO530" s="22" t="str">
        <f t="shared" si="19"/>
        <v/>
      </c>
      <c r="BP530" s="7">
        <f>IF(ISBLANK(BL530), 0, VLOOKUP(BL530, 'Price Sheet'!$A$2:$B1015, 2, false))</f>
        <v>0</v>
      </c>
      <c r="BQ530" s="33" t="str">
        <f t="shared" si="20"/>
        <v/>
      </c>
    </row>
    <row r="531">
      <c r="B531" s="19"/>
      <c r="C531" s="29"/>
      <c r="D531" s="29"/>
      <c r="E531" s="7" t="str">
        <f>IF(ISBLANK(D531), "", VLOOKUP(D531,'Crafting Tables'!$A$2:$B1015, 2, false))</f>
        <v/>
      </c>
      <c r="F531" s="7" t="str">
        <f>IFERROR(IF(E531 = "None", 1, VLOOKUP(C531,General!$A$5:$L$35, SWITCH(E531, "Basic", 8, "Advanced", 10, "Modern", 12), false)),"")</f>
        <v/>
      </c>
      <c r="G531" s="29"/>
      <c r="H531" s="7">
        <f>IFERROR(VLOOKUP(C531, General!$A$5:$L$35, 6, false) * G531 / 1000, 0)</f>
        <v>0</v>
      </c>
      <c r="I531" s="29"/>
      <c r="J531" s="22" t="str">
        <f>IFERROR(I531*VLOOKUP(D531,'Crafting Tables'!$1:$1000, 4, false)*F531,"")</f>
        <v/>
      </c>
      <c r="K531" s="29" t="b">
        <v>0</v>
      </c>
      <c r="L531" s="37"/>
      <c r="M531" s="29"/>
      <c r="N531" s="21" t="str">
        <f t="shared" si="2"/>
        <v/>
      </c>
      <c r="P531" s="37"/>
      <c r="Q531" s="29"/>
      <c r="R531" s="29" t="b">
        <v>0</v>
      </c>
      <c r="S531" s="22" t="str">
        <f t="shared" si="3"/>
        <v/>
      </c>
      <c r="T531" s="7">
        <f>IF(ISBLANK(P531), 0, VLOOKUP(P531, 'Price Sheet'!$A$2:$B1015, 2, false))</f>
        <v>0</v>
      </c>
      <c r="U531" s="33" t="str">
        <f t="shared" si="4"/>
        <v/>
      </c>
      <c r="V531" s="37"/>
      <c r="W531" s="29"/>
      <c r="X531" s="29" t="b">
        <v>0</v>
      </c>
      <c r="Y531" s="22" t="str">
        <f t="shared" si="5"/>
        <v/>
      </c>
      <c r="Z531" s="7">
        <f>IF(ISBLANK(V531), 0, VLOOKUP(V531, 'Price Sheet'!$A$2:$B1015, 2, false))</f>
        <v>0</v>
      </c>
      <c r="AA531" s="33" t="str">
        <f t="shared" si="6"/>
        <v/>
      </c>
      <c r="AB531" s="37"/>
      <c r="AC531" s="29"/>
      <c r="AD531" s="29" t="b">
        <v>0</v>
      </c>
      <c r="AE531" s="22" t="str">
        <f t="shared" si="7"/>
        <v/>
      </c>
      <c r="AF531" s="7">
        <f>IF(ISBLANK(AB531), 0, VLOOKUP(AB531, 'Price Sheet'!$A$2:$B1015, 2, false))</f>
        <v>0</v>
      </c>
      <c r="AG531" s="33" t="str">
        <f t="shared" si="8"/>
        <v/>
      </c>
      <c r="AH531" s="37"/>
      <c r="AI531" s="29"/>
      <c r="AJ531" s="29" t="b">
        <v>0</v>
      </c>
      <c r="AK531" s="22" t="str">
        <f t="shared" si="9"/>
        <v/>
      </c>
      <c r="AL531" s="7">
        <f>IF(ISBLANK(AH531), 0, VLOOKUP(AH531, 'Price Sheet'!$A$2:$B1015, 2, false))</f>
        <v>0</v>
      </c>
      <c r="AM531" s="33" t="str">
        <f t="shared" si="10"/>
        <v/>
      </c>
      <c r="AN531" s="37"/>
      <c r="AO531" s="29"/>
      <c r="AP531" s="29" t="b">
        <v>0</v>
      </c>
      <c r="AQ531" s="22" t="str">
        <f t="shared" si="11"/>
        <v/>
      </c>
      <c r="AR531" s="7">
        <f>IF(ISBLANK(AN531), 0, VLOOKUP(AN531, 'Price Sheet'!$A$2:$B1015, 2, false))</f>
        <v>0</v>
      </c>
      <c r="AS531" s="33" t="str">
        <f t="shared" si="12"/>
        <v/>
      </c>
      <c r="AT531" s="37"/>
      <c r="AU531" s="29"/>
      <c r="AV531" s="29" t="b">
        <v>0</v>
      </c>
      <c r="AW531" s="22" t="str">
        <f t="shared" si="13"/>
        <v/>
      </c>
      <c r="AX531" s="7">
        <f>IF(ISBLANK(AT531), 0, VLOOKUP(AT531, 'Price Sheet'!$A$2:$B1015, 2, false))</f>
        <v>0</v>
      </c>
      <c r="AY531" s="33" t="str">
        <f t="shared" si="14"/>
        <v/>
      </c>
      <c r="AZ531" s="37"/>
      <c r="BA531" s="29"/>
      <c r="BB531" s="29" t="b">
        <v>0</v>
      </c>
      <c r="BC531" s="22" t="str">
        <f t="shared" si="15"/>
        <v/>
      </c>
      <c r="BD531" s="7">
        <f>IF(ISBLANK(AZ531), 0, VLOOKUP(AZ531, 'Price Sheet'!$A$2:$B1015, 2, false))</f>
        <v>0</v>
      </c>
      <c r="BE531" s="33" t="str">
        <f t="shared" si="16"/>
        <v/>
      </c>
      <c r="BF531" s="37"/>
      <c r="BG531" s="29"/>
      <c r="BH531" s="29" t="b">
        <v>0</v>
      </c>
      <c r="BI531" s="22" t="str">
        <f t="shared" si="17"/>
        <v/>
      </c>
      <c r="BJ531" s="7">
        <f>IF(ISBLANK(BF531), 0, VLOOKUP(BF531, 'Price Sheet'!$A$2:$B1015, 2, false))</f>
        <v>0</v>
      </c>
      <c r="BK531" s="33" t="str">
        <f t="shared" si="18"/>
        <v/>
      </c>
      <c r="BL531" s="37"/>
      <c r="BM531" s="29"/>
      <c r="BN531" s="29" t="b">
        <v>0</v>
      </c>
      <c r="BO531" s="22" t="str">
        <f t="shared" si="19"/>
        <v/>
      </c>
      <c r="BP531" s="7">
        <f>IF(ISBLANK(BL531), 0, VLOOKUP(BL531, 'Price Sheet'!$A$2:$B1015, 2, false))</f>
        <v>0</v>
      </c>
      <c r="BQ531" s="33" t="str">
        <f t="shared" si="20"/>
        <v/>
      </c>
    </row>
    <row r="532">
      <c r="B532" s="19"/>
      <c r="C532" s="29"/>
      <c r="D532" s="29"/>
      <c r="E532" s="7" t="str">
        <f>IF(ISBLANK(D532), "", VLOOKUP(D532,'Crafting Tables'!$A$2:$B1015, 2, false))</f>
        <v/>
      </c>
      <c r="F532" s="7" t="str">
        <f>IFERROR(IF(E532 = "None", 1, VLOOKUP(C532,General!$A$5:$L$35, SWITCH(E532, "Basic", 8, "Advanced", 10, "Modern", 12), false)),"")</f>
        <v/>
      </c>
      <c r="G532" s="29"/>
      <c r="H532" s="7">
        <f>IFERROR(VLOOKUP(C532, General!$A$5:$L$35, 6, false) * G532 / 1000, 0)</f>
        <v>0</v>
      </c>
      <c r="I532" s="29"/>
      <c r="J532" s="22" t="str">
        <f>IFERROR(I532*VLOOKUP(D532,'Crafting Tables'!$1:$1000, 4, false)*F532,"")</f>
        <v/>
      </c>
      <c r="K532" s="29" t="b">
        <v>0</v>
      </c>
      <c r="L532" s="37"/>
      <c r="M532" s="29"/>
      <c r="N532" s="21" t="str">
        <f t="shared" si="2"/>
        <v/>
      </c>
      <c r="P532" s="37"/>
      <c r="Q532" s="29"/>
      <c r="R532" s="29" t="b">
        <v>0</v>
      </c>
      <c r="S532" s="22" t="str">
        <f t="shared" si="3"/>
        <v/>
      </c>
      <c r="T532" s="7">
        <f>IF(ISBLANK(P532), 0, VLOOKUP(P532, 'Price Sheet'!$A$2:$B1015, 2, false))</f>
        <v>0</v>
      </c>
      <c r="U532" s="33" t="str">
        <f t="shared" si="4"/>
        <v/>
      </c>
      <c r="V532" s="37"/>
      <c r="W532" s="29"/>
      <c r="X532" s="29" t="b">
        <v>0</v>
      </c>
      <c r="Y532" s="22" t="str">
        <f t="shared" si="5"/>
        <v/>
      </c>
      <c r="Z532" s="7">
        <f>IF(ISBLANK(V532), 0, VLOOKUP(V532, 'Price Sheet'!$A$2:$B1015, 2, false))</f>
        <v>0</v>
      </c>
      <c r="AA532" s="33" t="str">
        <f t="shared" si="6"/>
        <v/>
      </c>
      <c r="AB532" s="37"/>
      <c r="AC532" s="29"/>
      <c r="AD532" s="29" t="b">
        <v>0</v>
      </c>
      <c r="AE532" s="22" t="str">
        <f t="shared" si="7"/>
        <v/>
      </c>
      <c r="AF532" s="7">
        <f>IF(ISBLANK(AB532), 0, VLOOKUP(AB532, 'Price Sheet'!$A$2:$B1015, 2, false))</f>
        <v>0</v>
      </c>
      <c r="AG532" s="33" t="str">
        <f t="shared" si="8"/>
        <v/>
      </c>
      <c r="AH532" s="37"/>
      <c r="AI532" s="29"/>
      <c r="AJ532" s="29" t="b">
        <v>0</v>
      </c>
      <c r="AK532" s="22" t="str">
        <f t="shared" si="9"/>
        <v/>
      </c>
      <c r="AL532" s="7">
        <f>IF(ISBLANK(AH532), 0, VLOOKUP(AH532, 'Price Sheet'!$A$2:$B1015, 2, false))</f>
        <v>0</v>
      </c>
      <c r="AM532" s="33" t="str">
        <f t="shared" si="10"/>
        <v/>
      </c>
      <c r="AN532" s="37"/>
      <c r="AO532" s="29"/>
      <c r="AP532" s="29" t="b">
        <v>0</v>
      </c>
      <c r="AQ532" s="22" t="str">
        <f t="shared" si="11"/>
        <v/>
      </c>
      <c r="AR532" s="7">
        <f>IF(ISBLANK(AN532), 0, VLOOKUP(AN532, 'Price Sheet'!$A$2:$B1015, 2, false))</f>
        <v>0</v>
      </c>
      <c r="AS532" s="33" t="str">
        <f t="shared" si="12"/>
        <v/>
      </c>
      <c r="AT532" s="37"/>
      <c r="AU532" s="29"/>
      <c r="AV532" s="29" t="b">
        <v>0</v>
      </c>
      <c r="AW532" s="22" t="str">
        <f t="shared" si="13"/>
        <v/>
      </c>
      <c r="AX532" s="7">
        <f>IF(ISBLANK(AT532), 0, VLOOKUP(AT532, 'Price Sheet'!$A$2:$B1015, 2, false))</f>
        <v>0</v>
      </c>
      <c r="AY532" s="33" t="str">
        <f t="shared" si="14"/>
        <v/>
      </c>
      <c r="AZ532" s="37"/>
      <c r="BA532" s="29"/>
      <c r="BB532" s="29" t="b">
        <v>0</v>
      </c>
      <c r="BC532" s="22" t="str">
        <f t="shared" si="15"/>
        <v/>
      </c>
      <c r="BD532" s="7">
        <f>IF(ISBLANK(AZ532), 0, VLOOKUP(AZ532, 'Price Sheet'!$A$2:$B1015, 2, false))</f>
        <v>0</v>
      </c>
      <c r="BE532" s="33" t="str">
        <f t="shared" si="16"/>
        <v/>
      </c>
      <c r="BF532" s="37"/>
      <c r="BG532" s="29"/>
      <c r="BH532" s="29" t="b">
        <v>0</v>
      </c>
      <c r="BI532" s="22" t="str">
        <f t="shared" si="17"/>
        <v/>
      </c>
      <c r="BJ532" s="7">
        <f>IF(ISBLANK(BF532), 0, VLOOKUP(BF532, 'Price Sheet'!$A$2:$B1015, 2, false))</f>
        <v>0</v>
      </c>
      <c r="BK532" s="33" t="str">
        <f t="shared" si="18"/>
        <v/>
      </c>
      <c r="BL532" s="37"/>
      <c r="BM532" s="29"/>
      <c r="BN532" s="29" t="b">
        <v>0</v>
      </c>
      <c r="BO532" s="22" t="str">
        <f t="shared" si="19"/>
        <v/>
      </c>
      <c r="BP532" s="7">
        <f>IF(ISBLANK(BL532), 0, VLOOKUP(BL532, 'Price Sheet'!$A$2:$B1015, 2, false))</f>
        <v>0</v>
      </c>
      <c r="BQ532" s="33" t="str">
        <f t="shared" si="20"/>
        <v/>
      </c>
    </row>
    <row r="533">
      <c r="B533" s="19"/>
      <c r="C533" s="29"/>
      <c r="D533" s="29"/>
      <c r="E533" s="7" t="str">
        <f>IF(ISBLANK(D533), "", VLOOKUP(D533,'Crafting Tables'!$A$2:$B1015, 2, false))</f>
        <v/>
      </c>
      <c r="F533" s="7" t="str">
        <f>IFERROR(IF(E533 = "None", 1, VLOOKUP(C533,General!$A$5:$L$35, SWITCH(E533, "Basic", 8, "Advanced", 10, "Modern", 12), false)),"")</f>
        <v/>
      </c>
      <c r="G533" s="29"/>
      <c r="H533" s="7">
        <f>IFERROR(VLOOKUP(C533, General!$A$5:$L$35, 6, false) * G533 / 1000, 0)</f>
        <v>0</v>
      </c>
      <c r="I533" s="29"/>
      <c r="J533" s="22" t="str">
        <f>IFERROR(I533*VLOOKUP(D533,'Crafting Tables'!$1:$1000, 4, false)*F533,"")</f>
        <v/>
      </c>
      <c r="K533" s="29" t="b">
        <v>0</v>
      </c>
      <c r="L533" s="37"/>
      <c r="M533" s="29"/>
      <c r="N533" s="21" t="str">
        <f t="shared" si="2"/>
        <v/>
      </c>
      <c r="P533" s="37"/>
      <c r="Q533" s="29"/>
      <c r="R533" s="29" t="b">
        <v>0</v>
      </c>
      <c r="S533" s="22" t="str">
        <f t="shared" si="3"/>
        <v/>
      </c>
      <c r="T533" s="7">
        <f>IF(ISBLANK(P533), 0, VLOOKUP(P533, 'Price Sheet'!$A$2:$B1015, 2, false))</f>
        <v>0</v>
      </c>
      <c r="U533" s="33" t="str">
        <f t="shared" si="4"/>
        <v/>
      </c>
      <c r="V533" s="37"/>
      <c r="W533" s="29"/>
      <c r="X533" s="29" t="b">
        <v>0</v>
      </c>
      <c r="Y533" s="22" t="str">
        <f t="shared" si="5"/>
        <v/>
      </c>
      <c r="Z533" s="7">
        <f>IF(ISBLANK(V533), 0, VLOOKUP(V533, 'Price Sheet'!$A$2:$B1015, 2, false))</f>
        <v>0</v>
      </c>
      <c r="AA533" s="33" t="str">
        <f t="shared" si="6"/>
        <v/>
      </c>
      <c r="AB533" s="37"/>
      <c r="AC533" s="29"/>
      <c r="AD533" s="29" t="b">
        <v>0</v>
      </c>
      <c r="AE533" s="22" t="str">
        <f t="shared" si="7"/>
        <v/>
      </c>
      <c r="AF533" s="7">
        <f>IF(ISBLANK(AB533), 0, VLOOKUP(AB533, 'Price Sheet'!$A$2:$B1015, 2, false))</f>
        <v>0</v>
      </c>
      <c r="AG533" s="33" t="str">
        <f t="shared" si="8"/>
        <v/>
      </c>
      <c r="AH533" s="37"/>
      <c r="AI533" s="29"/>
      <c r="AJ533" s="29" t="b">
        <v>0</v>
      </c>
      <c r="AK533" s="22" t="str">
        <f t="shared" si="9"/>
        <v/>
      </c>
      <c r="AL533" s="7">
        <f>IF(ISBLANK(AH533), 0, VLOOKUP(AH533, 'Price Sheet'!$A$2:$B1015, 2, false))</f>
        <v>0</v>
      </c>
      <c r="AM533" s="33" t="str">
        <f t="shared" si="10"/>
        <v/>
      </c>
      <c r="AN533" s="37"/>
      <c r="AO533" s="29"/>
      <c r="AP533" s="29" t="b">
        <v>0</v>
      </c>
      <c r="AQ533" s="22" t="str">
        <f t="shared" si="11"/>
        <v/>
      </c>
      <c r="AR533" s="7">
        <f>IF(ISBLANK(AN533), 0, VLOOKUP(AN533, 'Price Sheet'!$A$2:$B1015, 2, false))</f>
        <v>0</v>
      </c>
      <c r="AS533" s="33" t="str">
        <f t="shared" si="12"/>
        <v/>
      </c>
      <c r="AT533" s="37"/>
      <c r="AU533" s="29"/>
      <c r="AV533" s="29" t="b">
        <v>0</v>
      </c>
      <c r="AW533" s="22" t="str">
        <f t="shared" si="13"/>
        <v/>
      </c>
      <c r="AX533" s="7">
        <f>IF(ISBLANK(AT533), 0, VLOOKUP(AT533, 'Price Sheet'!$A$2:$B1015, 2, false))</f>
        <v>0</v>
      </c>
      <c r="AY533" s="33" t="str">
        <f t="shared" si="14"/>
        <v/>
      </c>
      <c r="AZ533" s="37"/>
      <c r="BA533" s="29"/>
      <c r="BB533" s="29" t="b">
        <v>0</v>
      </c>
      <c r="BC533" s="22" t="str">
        <f t="shared" si="15"/>
        <v/>
      </c>
      <c r="BD533" s="7">
        <f>IF(ISBLANK(AZ533), 0, VLOOKUP(AZ533, 'Price Sheet'!$A$2:$B1015, 2, false))</f>
        <v>0</v>
      </c>
      <c r="BE533" s="33" t="str">
        <f t="shared" si="16"/>
        <v/>
      </c>
      <c r="BF533" s="37"/>
      <c r="BG533" s="29"/>
      <c r="BH533" s="29" t="b">
        <v>0</v>
      </c>
      <c r="BI533" s="22" t="str">
        <f t="shared" si="17"/>
        <v/>
      </c>
      <c r="BJ533" s="7">
        <f>IF(ISBLANK(BF533), 0, VLOOKUP(BF533, 'Price Sheet'!$A$2:$B1015, 2, false))</f>
        <v>0</v>
      </c>
      <c r="BK533" s="33" t="str">
        <f t="shared" si="18"/>
        <v/>
      </c>
      <c r="BL533" s="37"/>
      <c r="BM533" s="29"/>
      <c r="BN533" s="29" t="b">
        <v>0</v>
      </c>
      <c r="BO533" s="22" t="str">
        <f t="shared" si="19"/>
        <v/>
      </c>
      <c r="BP533" s="7">
        <f>IF(ISBLANK(BL533), 0, VLOOKUP(BL533, 'Price Sheet'!$A$2:$B1015, 2, false))</f>
        <v>0</v>
      </c>
      <c r="BQ533" s="33" t="str">
        <f t="shared" si="20"/>
        <v/>
      </c>
    </row>
    <row r="534">
      <c r="B534" s="19"/>
      <c r="C534" s="29"/>
      <c r="D534" s="29"/>
      <c r="E534" s="7" t="str">
        <f>IF(ISBLANK(D534), "", VLOOKUP(D534,'Crafting Tables'!$A$2:$B1015, 2, false))</f>
        <v/>
      </c>
      <c r="F534" s="7" t="str">
        <f>IFERROR(IF(E534 = "None", 1, VLOOKUP(C534,General!$A$5:$L$35, SWITCH(E534, "Basic", 8, "Advanced", 10, "Modern", 12), false)),"")</f>
        <v/>
      </c>
      <c r="G534" s="29"/>
      <c r="H534" s="7">
        <f>IFERROR(VLOOKUP(C534, General!$A$5:$L$35, 6, false) * G534 / 1000, 0)</f>
        <v>0</v>
      </c>
      <c r="I534" s="29"/>
      <c r="J534" s="22" t="str">
        <f>IFERROR(I534*VLOOKUP(D534,'Crafting Tables'!$1:$1000, 4, false)*F534,"")</f>
        <v/>
      </c>
      <c r="K534" s="29" t="b">
        <v>0</v>
      </c>
      <c r="L534" s="37"/>
      <c r="M534" s="29"/>
      <c r="N534" s="21" t="str">
        <f t="shared" si="2"/>
        <v/>
      </c>
      <c r="P534" s="37"/>
      <c r="Q534" s="29"/>
      <c r="R534" s="29" t="b">
        <v>0</v>
      </c>
      <c r="S534" s="22" t="str">
        <f t="shared" si="3"/>
        <v/>
      </c>
      <c r="T534" s="7">
        <f>IF(ISBLANK(P534), 0, VLOOKUP(P534, 'Price Sheet'!$A$2:$B1015, 2, false))</f>
        <v>0</v>
      </c>
      <c r="U534" s="33" t="str">
        <f t="shared" si="4"/>
        <v/>
      </c>
      <c r="V534" s="37"/>
      <c r="W534" s="29"/>
      <c r="X534" s="29" t="b">
        <v>0</v>
      </c>
      <c r="Y534" s="22" t="str">
        <f t="shared" si="5"/>
        <v/>
      </c>
      <c r="Z534" s="7">
        <f>IF(ISBLANK(V534), 0, VLOOKUP(V534, 'Price Sheet'!$A$2:$B1015, 2, false))</f>
        <v>0</v>
      </c>
      <c r="AA534" s="33" t="str">
        <f t="shared" si="6"/>
        <v/>
      </c>
      <c r="AB534" s="37"/>
      <c r="AC534" s="29"/>
      <c r="AD534" s="29" t="b">
        <v>0</v>
      </c>
      <c r="AE534" s="22" t="str">
        <f t="shared" si="7"/>
        <v/>
      </c>
      <c r="AF534" s="7">
        <f>IF(ISBLANK(AB534), 0, VLOOKUP(AB534, 'Price Sheet'!$A$2:$B1015, 2, false))</f>
        <v>0</v>
      </c>
      <c r="AG534" s="33" t="str">
        <f t="shared" si="8"/>
        <v/>
      </c>
      <c r="AH534" s="37"/>
      <c r="AI534" s="29"/>
      <c r="AJ534" s="29" t="b">
        <v>0</v>
      </c>
      <c r="AK534" s="22" t="str">
        <f t="shared" si="9"/>
        <v/>
      </c>
      <c r="AL534" s="7">
        <f>IF(ISBLANK(AH534), 0, VLOOKUP(AH534, 'Price Sheet'!$A$2:$B1015, 2, false))</f>
        <v>0</v>
      </c>
      <c r="AM534" s="33" t="str">
        <f t="shared" si="10"/>
        <v/>
      </c>
      <c r="AN534" s="37"/>
      <c r="AO534" s="29"/>
      <c r="AP534" s="29" t="b">
        <v>0</v>
      </c>
      <c r="AQ534" s="22" t="str">
        <f t="shared" si="11"/>
        <v/>
      </c>
      <c r="AR534" s="7">
        <f>IF(ISBLANK(AN534), 0, VLOOKUP(AN534, 'Price Sheet'!$A$2:$B1015, 2, false))</f>
        <v>0</v>
      </c>
      <c r="AS534" s="33" t="str">
        <f t="shared" si="12"/>
        <v/>
      </c>
      <c r="AT534" s="37"/>
      <c r="AU534" s="29"/>
      <c r="AV534" s="29" t="b">
        <v>0</v>
      </c>
      <c r="AW534" s="22" t="str">
        <f t="shared" si="13"/>
        <v/>
      </c>
      <c r="AX534" s="7">
        <f>IF(ISBLANK(AT534), 0, VLOOKUP(AT534, 'Price Sheet'!$A$2:$B1015, 2, false))</f>
        <v>0</v>
      </c>
      <c r="AY534" s="33" t="str">
        <f t="shared" si="14"/>
        <v/>
      </c>
      <c r="AZ534" s="37"/>
      <c r="BA534" s="29"/>
      <c r="BB534" s="29" t="b">
        <v>0</v>
      </c>
      <c r="BC534" s="22" t="str">
        <f t="shared" si="15"/>
        <v/>
      </c>
      <c r="BD534" s="7">
        <f>IF(ISBLANK(AZ534), 0, VLOOKUP(AZ534, 'Price Sheet'!$A$2:$B1015, 2, false))</f>
        <v>0</v>
      </c>
      <c r="BE534" s="33" t="str">
        <f t="shared" si="16"/>
        <v/>
      </c>
      <c r="BF534" s="37"/>
      <c r="BG534" s="29"/>
      <c r="BH534" s="29" t="b">
        <v>0</v>
      </c>
      <c r="BI534" s="22" t="str">
        <f t="shared" si="17"/>
        <v/>
      </c>
      <c r="BJ534" s="7">
        <f>IF(ISBLANK(BF534), 0, VLOOKUP(BF534, 'Price Sheet'!$A$2:$B1015, 2, false))</f>
        <v>0</v>
      </c>
      <c r="BK534" s="33" t="str">
        <f t="shared" si="18"/>
        <v/>
      </c>
      <c r="BL534" s="37"/>
      <c r="BM534" s="29"/>
      <c r="BN534" s="29" t="b">
        <v>0</v>
      </c>
      <c r="BO534" s="22" t="str">
        <f t="shared" si="19"/>
        <v/>
      </c>
      <c r="BP534" s="7">
        <f>IF(ISBLANK(BL534), 0, VLOOKUP(BL534, 'Price Sheet'!$A$2:$B1015, 2, false))</f>
        <v>0</v>
      </c>
      <c r="BQ534" s="33" t="str">
        <f t="shared" si="20"/>
        <v/>
      </c>
    </row>
    <row r="535">
      <c r="B535" s="19"/>
      <c r="C535" s="29"/>
      <c r="D535" s="29"/>
      <c r="E535" s="7" t="str">
        <f>IF(ISBLANK(D535), "", VLOOKUP(D535,'Crafting Tables'!$A$2:$B1015, 2, false))</f>
        <v/>
      </c>
      <c r="F535" s="7" t="str">
        <f>IFERROR(IF(E535 = "None", 1, VLOOKUP(C535,General!$A$5:$L$35, SWITCH(E535, "Basic", 8, "Advanced", 10, "Modern", 12), false)),"")</f>
        <v/>
      </c>
      <c r="G535" s="29"/>
      <c r="H535" s="7">
        <f>IFERROR(VLOOKUP(C535, General!$A$5:$L$35, 6, false) * G535 / 1000, 0)</f>
        <v>0</v>
      </c>
      <c r="I535" s="29"/>
      <c r="J535" s="22" t="str">
        <f>IFERROR(I535*VLOOKUP(D535,'Crafting Tables'!$1:$1000, 4, false)*F535,"")</f>
        <v/>
      </c>
      <c r="K535" s="29" t="b">
        <v>0</v>
      </c>
      <c r="L535" s="37"/>
      <c r="M535" s="29"/>
      <c r="N535" s="21" t="str">
        <f t="shared" si="2"/>
        <v/>
      </c>
      <c r="P535" s="37"/>
      <c r="Q535" s="29"/>
      <c r="R535" s="29" t="b">
        <v>0</v>
      </c>
      <c r="S535" s="22" t="str">
        <f t="shared" si="3"/>
        <v/>
      </c>
      <c r="T535" s="7">
        <f>IF(ISBLANK(P535), 0, VLOOKUP(P535, 'Price Sheet'!$A$2:$B1015, 2, false))</f>
        <v>0</v>
      </c>
      <c r="U535" s="33" t="str">
        <f t="shared" si="4"/>
        <v/>
      </c>
      <c r="V535" s="37"/>
      <c r="W535" s="29"/>
      <c r="X535" s="29" t="b">
        <v>0</v>
      </c>
      <c r="Y535" s="22" t="str">
        <f t="shared" si="5"/>
        <v/>
      </c>
      <c r="Z535" s="7">
        <f>IF(ISBLANK(V535), 0, VLOOKUP(V535, 'Price Sheet'!$A$2:$B1015, 2, false))</f>
        <v>0</v>
      </c>
      <c r="AA535" s="33" t="str">
        <f t="shared" si="6"/>
        <v/>
      </c>
      <c r="AB535" s="37"/>
      <c r="AC535" s="29"/>
      <c r="AD535" s="29" t="b">
        <v>0</v>
      </c>
      <c r="AE535" s="22" t="str">
        <f t="shared" si="7"/>
        <v/>
      </c>
      <c r="AF535" s="7">
        <f>IF(ISBLANK(AB535), 0, VLOOKUP(AB535, 'Price Sheet'!$A$2:$B1015, 2, false))</f>
        <v>0</v>
      </c>
      <c r="AG535" s="33" t="str">
        <f t="shared" si="8"/>
        <v/>
      </c>
      <c r="AH535" s="37"/>
      <c r="AI535" s="29"/>
      <c r="AJ535" s="29" t="b">
        <v>0</v>
      </c>
      <c r="AK535" s="22" t="str">
        <f t="shared" si="9"/>
        <v/>
      </c>
      <c r="AL535" s="7">
        <f>IF(ISBLANK(AH535), 0, VLOOKUP(AH535, 'Price Sheet'!$A$2:$B1015, 2, false))</f>
        <v>0</v>
      </c>
      <c r="AM535" s="33" t="str">
        <f t="shared" si="10"/>
        <v/>
      </c>
      <c r="AN535" s="37"/>
      <c r="AO535" s="29"/>
      <c r="AP535" s="29" t="b">
        <v>0</v>
      </c>
      <c r="AQ535" s="22" t="str">
        <f t="shared" si="11"/>
        <v/>
      </c>
      <c r="AR535" s="7">
        <f>IF(ISBLANK(AN535), 0, VLOOKUP(AN535, 'Price Sheet'!$A$2:$B1015, 2, false))</f>
        <v>0</v>
      </c>
      <c r="AS535" s="33" t="str">
        <f t="shared" si="12"/>
        <v/>
      </c>
      <c r="AT535" s="37"/>
      <c r="AU535" s="29"/>
      <c r="AV535" s="29" t="b">
        <v>0</v>
      </c>
      <c r="AW535" s="22" t="str">
        <f t="shared" si="13"/>
        <v/>
      </c>
      <c r="AX535" s="7">
        <f>IF(ISBLANK(AT535), 0, VLOOKUP(AT535, 'Price Sheet'!$A$2:$B1015, 2, false))</f>
        <v>0</v>
      </c>
      <c r="AY535" s="33" t="str">
        <f t="shared" si="14"/>
        <v/>
      </c>
      <c r="AZ535" s="37"/>
      <c r="BA535" s="29"/>
      <c r="BB535" s="29" t="b">
        <v>0</v>
      </c>
      <c r="BC535" s="22" t="str">
        <f t="shared" si="15"/>
        <v/>
      </c>
      <c r="BD535" s="7">
        <f>IF(ISBLANK(AZ535), 0, VLOOKUP(AZ535, 'Price Sheet'!$A$2:$B1015, 2, false))</f>
        <v>0</v>
      </c>
      <c r="BE535" s="33" t="str">
        <f t="shared" si="16"/>
        <v/>
      </c>
      <c r="BF535" s="37"/>
      <c r="BG535" s="29"/>
      <c r="BH535" s="29" t="b">
        <v>0</v>
      </c>
      <c r="BI535" s="22" t="str">
        <f t="shared" si="17"/>
        <v/>
      </c>
      <c r="BJ535" s="7">
        <f>IF(ISBLANK(BF535), 0, VLOOKUP(BF535, 'Price Sheet'!$A$2:$B1015, 2, false))</f>
        <v>0</v>
      </c>
      <c r="BK535" s="33" t="str">
        <f t="shared" si="18"/>
        <v/>
      </c>
      <c r="BL535" s="37"/>
      <c r="BM535" s="29"/>
      <c r="BN535" s="29" t="b">
        <v>0</v>
      </c>
      <c r="BO535" s="22" t="str">
        <f t="shared" si="19"/>
        <v/>
      </c>
      <c r="BP535" s="7">
        <f>IF(ISBLANK(BL535), 0, VLOOKUP(BL535, 'Price Sheet'!$A$2:$B1015, 2, false))</f>
        <v>0</v>
      </c>
      <c r="BQ535" s="33" t="str">
        <f t="shared" si="20"/>
        <v/>
      </c>
    </row>
    <row r="536">
      <c r="B536" s="19"/>
      <c r="C536" s="29"/>
      <c r="D536" s="29"/>
      <c r="E536" s="7" t="str">
        <f>IF(ISBLANK(D536), "", VLOOKUP(D536,'Crafting Tables'!$A$2:$B1015, 2, false))</f>
        <v/>
      </c>
      <c r="F536" s="7" t="str">
        <f>IFERROR(IF(E536 = "None", 1, VLOOKUP(C536,General!$A$5:$L$35, SWITCH(E536, "Basic", 8, "Advanced", 10, "Modern", 12), false)),"")</f>
        <v/>
      </c>
      <c r="G536" s="29"/>
      <c r="H536" s="7">
        <f>IFERROR(VLOOKUP(C536, General!$A$5:$L$35, 6, false) * G536 / 1000, 0)</f>
        <v>0</v>
      </c>
      <c r="I536" s="29"/>
      <c r="J536" s="22" t="str">
        <f>IFERROR(I536*VLOOKUP(D536,'Crafting Tables'!$1:$1000, 4, false)*F536,"")</f>
        <v/>
      </c>
      <c r="K536" s="29" t="b">
        <v>0</v>
      </c>
      <c r="L536" s="37"/>
      <c r="M536" s="29"/>
      <c r="N536" s="21" t="str">
        <f t="shared" si="2"/>
        <v/>
      </c>
      <c r="P536" s="37"/>
      <c r="Q536" s="29"/>
      <c r="R536" s="29" t="b">
        <v>0</v>
      </c>
      <c r="S536" s="22" t="str">
        <f t="shared" si="3"/>
        <v/>
      </c>
      <c r="T536" s="7">
        <f>IF(ISBLANK(P536), 0, VLOOKUP(P536, 'Price Sheet'!$A$2:$B1015, 2, false))</f>
        <v>0</v>
      </c>
      <c r="U536" s="33" t="str">
        <f t="shared" si="4"/>
        <v/>
      </c>
      <c r="V536" s="37"/>
      <c r="W536" s="29"/>
      <c r="X536" s="29" t="b">
        <v>0</v>
      </c>
      <c r="Y536" s="22" t="str">
        <f t="shared" si="5"/>
        <v/>
      </c>
      <c r="Z536" s="7">
        <f>IF(ISBLANK(V536), 0, VLOOKUP(V536, 'Price Sheet'!$A$2:$B1015, 2, false))</f>
        <v>0</v>
      </c>
      <c r="AA536" s="33" t="str">
        <f t="shared" si="6"/>
        <v/>
      </c>
      <c r="AB536" s="37"/>
      <c r="AC536" s="29"/>
      <c r="AD536" s="29" t="b">
        <v>0</v>
      </c>
      <c r="AE536" s="22" t="str">
        <f t="shared" si="7"/>
        <v/>
      </c>
      <c r="AF536" s="7">
        <f>IF(ISBLANK(AB536), 0, VLOOKUP(AB536, 'Price Sheet'!$A$2:$B1015, 2, false))</f>
        <v>0</v>
      </c>
      <c r="AG536" s="33" t="str">
        <f t="shared" si="8"/>
        <v/>
      </c>
      <c r="AH536" s="37"/>
      <c r="AI536" s="29"/>
      <c r="AJ536" s="29" t="b">
        <v>0</v>
      </c>
      <c r="AK536" s="22" t="str">
        <f t="shared" si="9"/>
        <v/>
      </c>
      <c r="AL536" s="7">
        <f>IF(ISBLANK(AH536), 0, VLOOKUP(AH536, 'Price Sheet'!$A$2:$B1015, 2, false))</f>
        <v>0</v>
      </c>
      <c r="AM536" s="33" t="str">
        <f t="shared" si="10"/>
        <v/>
      </c>
      <c r="AN536" s="37"/>
      <c r="AO536" s="29"/>
      <c r="AP536" s="29" t="b">
        <v>0</v>
      </c>
      <c r="AQ536" s="22" t="str">
        <f t="shared" si="11"/>
        <v/>
      </c>
      <c r="AR536" s="7">
        <f>IF(ISBLANK(AN536), 0, VLOOKUP(AN536, 'Price Sheet'!$A$2:$B1015, 2, false))</f>
        <v>0</v>
      </c>
      <c r="AS536" s="33" t="str">
        <f t="shared" si="12"/>
        <v/>
      </c>
      <c r="AT536" s="37"/>
      <c r="AU536" s="29"/>
      <c r="AV536" s="29" t="b">
        <v>0</v>
      </c>
      <c r="AW536" s="22" t="str">
        <f t="shared" si="13"/>
        <v/>
      </c>
      <c r="AX536" s="7">
        <f>IF(ISBLANK(AT536), 0, VLOOKUP(AT536, 'Price Sheet'!$A$2:$B1015, 2, false))</f>
        <v>0</v>
      </c>
      <c r="AY536" s="33" t="str">
        <f t="shared" si="14"/>
        <v/>
      </c>
      <c r="AZ536" s="37"/>
      <c r="BA536" s="29"/>
      <c r="BB536" s="29" t="b">
        <v>0</v>
      </c>
      <c r="BC536" s="22" t="str">
        <f t="shared" si="15"/>
        <v/>
      </c>
      <c r="BD536" s="7">
        <f>IF(ISBLANK(AZ536), 0, VLOOKUP(AZ536, 'Price Sheet'!$A$2:$B1015, 2, false))</f>
        <v>0</v>
      </c>
      <c r="BE536" s="33" t="str">
        <f t="shared" si="16"/>
        <v/>
      </c>
      <c r="BF536" s="37"/>
      <c r="BG536" s="29"/>
      <c r="BH536" s="29" t="b">
        <v>0</v>
      </c>
      <c r="BI536" s="22" t="str">
        <f t="shared" si="17"/>
        <v/>
      </c>
      <c r="BJ536" s="7">
        <f>IF(ISBLANK(BF536), 0, VLOOKUP(BF536, 'Price Sheet'!$A$2:$B1015, 2, false))</f>
        <v>0</v>
      </c>
      <c r="BK536" s="33" t="str">
        <f t="shared" si="18"/>
        <v/>
      </c>
      <c r="BL536" s="37"/>
      <c r="BM536" s="29"/>
      <c r="BN536" s="29" t="b">
        <v>0</v>
      </c>
      <c r="BO536" s="22" t="str">
        <f t="shared" si="19"/>
        <v/>
      </c>
      <c r="BP536" s="7">
        <f>IF(ISBLANK(BL536), 0, VLOOKUP(BL536, 'Price Sheet'!$A$2:$B1015, 2, false))</f>
        <v>0</v>
      </c>
      <c r="BQ536" s="33" t="str">
        <f t="shared" si="20"/>
        <v/>
      </c>
    </row>
    <row r="537">
      <c r="B537" s="19"/>
      <c r="C537" s="29"/>
      <c r="D537" s="29"/>
      <c r="E537" s="7" t="str">
        <f>IF(ISBLANK(D537), "", VLOOKUP(D537,'Crafting Tables'!$A$2:$B1015, 2, false))</f>
        <v/>
      </c>
      <c r="F537" s="7" t="str">
        <f>IFERROR(IF(E537 = "None", 1, VLOOKUP(C537,General!$A$5:$L$35, SWITCH(E537, "Basic", 8, "Advanced", 10, "Modern", 12), false)),"")</f>
        <v/>
      </c>
      <c r="G537" s="29"/>
      <c r="H537" s="7">
        <f>IFERROR(VLOOKUP(C537, General!$A$5:$L$35, 6, false) * G537 / 1000, 0)</f>
        <v>0</v>
      </c>
      <c r="I537" s="29"/>
      <c r="J537" s="22" t="str">
        <f>IFERROR(I537*VLOOKUP(D537,'Crafting Tables'!$1:$1000, 4, false)*F537,"")</f>
        <v/>
      </c>
      <c r="K537" s="29" t="b">
        <v>0</v>
      </c>
      <c r="L537" s="37"/>
      <c r="M537" s="29"/>
      <c r="N537" s="21" t="str">
        <f t="shared" si="2"/>
        <v/>
      </c>
      <c r="P537" s="37"/>
      <c r="Q537" s="29"/>
      <c r="R537" s="29" t="b">
        <v>0</v>
      </c>
      <c r="S537" s="22" t="str">
        <f t="shared" si="3"/>
        <v/>
      </c>
      <c r="T537" s="7">
        <f>IF(ISBLANK(P537), 0, VLOOKUP(P537, 'Price Sheet'!$A$2:$B1015, 2, false))</f>
        <v>0</v>
      </c>
      <c r="U537" s="33" t="str">
        <f t="shared" si="4"/>
        <v/>
      </c>
      <c r="V537" s="37"/>
      <c r="W537" s="29"/>
      <c r="X537" s="29" t="b">
        <v>0</v>
      </c>
      <c r="Y537" s="22" t="str">
        <f t="shared" si="5"/>
        <v/>
      </c>
      <c r="Z537" s="7">
        <f>IF(ISBLANK(V537), 0, VLOOKUP(V537, 'Price Sheet'!$A$2:$B1015, 2, false))</f>
        <v>0</v>
      </c>
      <c r="AA537" s="33" t="str">
        <f t="shared" si="6"/>
        <v/>
      </c>
      <c r="AB537" s="37"/>
      <c r="AC537" s="29"/>
      <c r="AD537" s="29" t="b">
        <v>0</v>
      </c>
      <c r="AE537" s="22" t="str">
        <f t="shared" si="7"/>
        <v/>
      </c>
      <c r="AF537" s="7">
        <f>IF(ISBLANK(AB537), 0, VLOOKUP(AB537, 'Price Sheet'!$A$2:$B1015, 2, false))</f>
        <v>0</v>
      </c>
      <c r="AG537" s="33" t="str">
        <f t="shared" si="8"/>
        <v/>
      </c>
      <c r="AH537" s="37"/>
      <c r="AI537" s="29"/>
      <c r="AJ537" s="29" t="b">
        <v>0</v>
      </c>
      <c r="AK537" s="22" t="str">
        <f t="shared" si="9"/>
        <v/>
      </c>
      <c r="AL537" s="7">
        <f>IF(ISBLANK(AH537), 0, VLOOKUP(AH537, 'Price Sheet'!$A$2:$B1015, 2, false))</f>
        <v>0</v>
      </c>
      <c r="AM537" s="33" t="str">
        <f t="shared" si="10"/>
        <v/>
      </c>
      <c r="AN537" s="37"/>
      <c r="AO537" s="29"/>
      <c r="AP537" s="29" t="b">
        <v>0</v>
      </c>
      <c r="AQ537" s="22" t="str">
        <f t="shared" si="11"/>
        <v/>
      </c>
      <c r="AR537" s="7">
        <f>IF(ISBLANK(AN537), 0, VLOOKUP(AN537, 'Price Sheet'!$A$2:$B1015, 2, false))</f>
        <v>0</v>
      </c>
      <c r="AS537" s="33" t="str">
        <f t="shared" si="12"/>
        <v/>
      </c>
      <c r="AT537" s="37"/>
      <c r="AU537" s="29"/>
      <c r="AV537" s="29" t="b">
        <v>0</v>
      </c>
      <c r="AW537" s="22" t="str">
        <f t="shared" si="13"/>
        <v/>
      </c>
      <c r="AX537" s="7">
        <f>IF(ISBLANK(AT537), 0, VLOOKUP(AT537, 'Price Sheet'!$A$2:$B1015, 2, false))</f>
        <v>0</v>
      </c>
      <c r="AY537" s="33" t="str">
        <f t="shared" si="14"/>
        <v/>
      </c>
      <c r="AZ537" s="37"/>
      <c r="BA537" s="29"/>
      <c r="BB537" s="29" t="b">
        <v>0</v>
      </c>
      <c r="BC537" s="22" t="str">
        <f t="shared" si="15"/>
        <v/>
      </c>
      <c r="BD537" s="7">
        <f>IF(ISBLANK(AZ537), 0, VLOOKUP(AZ537, 'Price Sheet'!$A$2:$B1015, 2, false))</f>
        <v>0</v>
      </c>
      <c r="BE537" s="33" t="str">
        <f t="shared" si="16"/>
        <v/>
      </c>
      <c r="BF537" s="37"/>
      <c r="BG537" s="29"/>
      <c r="BH537" s="29" t="b">
        <v>0</v>
      </c>
      <c r="BI537" s="22" t="str">
        <f t="shared" si="17"/>
        <v/>
      </c>
      <c r="BJ537" s="7">
        <f>IF(ISBLANK(BF537), 0, VLOOKUP(BF537, 'Price Sheet'!$A$2:$B1015, 2, false))</f>
        <v>0</v>
      </c>
      <c r="BK537" s="33" t="str">
        <f t="shared" si="18"/>
        <v/>
      </c>
      <c r="BL537" s="37"/>
      <c r="BM537" s="29"/>
      <c r="BN537" s="29" t="b">
        <v>0</v>
      </c>
      <c r="BO537" s="22" t="str">
        <f t="shared" si="19"/>
        <v/>
      </c>
      <c r="BP537" s="7">
        <f>IF(ISBLANK(BL537), 0, VLOOKUP(BL537, 'Price Sheet'!$A$2:$B1015, 2, false))</f>
        <v>0</v>
      </c>
      <c r="BQ537" s="33" t="str">
        <f t="shared" si="20"/>
        <v/>
      </c>
    </row>
    <row r="538">
      <c r="B538" s="19"/>
      <c r="C538" s="29"/>
      <c r="D538" s="29"/>
      <c r="E538" s="7" t="str">
        <f>IF(ISBLANK(D538), "", VLOOKUP(D538,'Crafting Tables'!$A$2:$B1015, 2, false))</f>
        <v/>
      </c>
      <c r="F538" s="7" t="str">
        <f>IFERROR(IF(E538 = "None", 1, VLOOKUP(C538,General!$A$5:$L$35, SWITCH(E538, "Basic", 8, "Advanced", 10, "Modern", 12), false)),"")</f>
        <v/>
      </c>
      <c r="G538" s="29"/>
      <c r="H538" s="7">
        <f>IFERROR(VLOOKUP(C538, General!$A$5:$L$35, 6, false) * G538 / 1000, 0)</f>
        <v>0</v>
      </c>
      <c r="I538" s="29"/>
      <c r="J538" s="22" t="str">
        <f>IFERROR(I538*VLOOKUP(D538,'Crafting Tables'!$1:$1000, 4, false)*F538,"")</f>
        <v/>
      </c>
      <c r="K538" s="29" t="b">
        <v>0</v>
      </c>
      <c r="L538" s="37"/>
      <c r="M538" s="29"/>
      <c r="N538" s="21" t="str">
        <f t="shared" si="2"/>
        <v/>
      </c>
      <c r="P538" s="37"/>
      <c r="Q538" s="29"/>
      <c r="R538" s="29" t="b">
        <v>0</v>
      </c>
      <c r="S538" s="22" t="str">
        <f t="shared" si="3"/>
        <v/>
      </c>
      <c r="T538" s="7">
        <f>IF(ISBLANK(P538), 0, VLOOKUP(P538, 'Price Sheet'!$A$2:$B1015, 2, false))</f>
        <v>0</v>
      </c>
      <c r="U538" s="33" t="str">
        <f t="shared" si="4"/>
        <v/>
      </c>
      <c r="V538" s="37"/>
      <c r="W538" s="29"/>
      <c r="X538" s="29" t="b">
        <v>0</v>
      </c>
      <c r="Y538" s="22" t="str">
        <f t="shared" si="5"/>
        <v/>
      </c>
      <c r="Z538" s="7">
        <f>IF(ISBLANK(V538), 0, VLOOKUP(V538, 'Price Sheet'!$A$2:$B1015, 2, false))</f>
        <v>0</v>
      </c>
      <c r="AA538" s="33" t="str">
        <f t="shared" si="6"/>
        <v/>
      </c>
      <c r="AB538" s="37"/>
      <c r="AC538" s="29"/>
      <c r="AD538" s="29" t="b">
        <v>0</v>
      </c>
      <c r="AE538" s="22" t="str">
        <f t="shared" si="7"/>
        <v/>
      </c>
      <c r="AF538" s="7">
        <f>IF(ISBLANK(AB538), 0, VLOOKUP(AB538, 'Price Sheet'!$A$2:$B1015, 2, false))</f>
        <v>0</v>
      </c>
      <c r="AG538" s="33" t="str">
        <f t="shared" si="8"/>
        <v/>
      </c>
      <c r="AH538" s="37"/>
      <c r="AI538" s="29"/>
      <c r="AJ538" s="29" t="b">
        <v>0</v>
      </c>
      <c r="AK538" s="22" t="str">
        <f t="shared" si="9"/>
        <v/>
      </c>
      <c r="AL538" s="7">
        <f>IF(ISBLANK(AH538), 0, VLOOKUP(AH538, 'Price Sheet'!$A$2:$B1015, 2, false))</f>
        <v>0</v>
      </c>
      <c r="AM538" s="33" t="str">
        <f t="shared" si="10"/>
        <v/>
      </c>
      <c r="AN538" s="37"/>
      <c r="AO538" s="29"/>
      <c r="AP538" s="29" t="b">
        <v>0</v>
      </c>
      <c r="AQ538" s="22" t="str">
        <f t="shared" si="11"/>
        <v/>
      </c>
      <c r="AR538" s="7">
        <f>IF(ISBLANK(AN538), 0, VLOOKUP(AN538, 'Price Sheet'!$A$2:$B1015, 2, false))</f>
        <v>0</v>
      </c>
      <c r="AS538" s="33" t="str">
        <f t="shared" si="12"/>
        <v/>
      </c>
      <c r="AT538" s="37"/>
      <c r="AU538" s="29"/>
      <c r="AV538" s="29" t="b">
        <v>0</v>
      </c>
      <c r="AW538" s="22" t="str">
        <f t="shared" si="13"/>
        <v/>
      </c>
      <c r="AX538" s="7">
        <f>IF(ISBLANK(AT538), 0, VLOOKUP(AT538, 'Price Sheet'!$A$2:$B1015, 2, false))</f>
        <v>0</v>
      </c>
      <c r="AY538" s="33" t="str">
        <f t="shared" si="14"/>
        <v/>
      </c>
      <c r="AZ538" s="37"/>
      <c r="BA538" s="29"/>
      <c r="BB538" s="29" t="b">
        <v>0</v>
      </c>
      <c r="BC538" s="22" t="str">
        <f t="shared" si="15"/>
        <v/>
      </c>
      <c r="BD538" s="7">
        <f>IF(ISBLANK(AZ538), 0, VLOOKUP(AZ538, 'Price Sheet'!$A$2:$B1015, 2, false))</f>
        <v>0</v>
      </c>
      <c r="BE538" s="33" t="str">
        <f t="shared" si="16"/>
        <v/>
      </c>
      <c r="BF538" s="37"/>
      <c r="BG538" s="29"/>
      <c r="BH538" s="29" t="b">
        <v>0</v>
      </c>
      <c r="BI538" s="22" t="str">
        <f t="shared" si="17"/>
        <v/>
      </c>
      <c r="BJ538" s="7">
        <f>IF(ISBLANK(BF538), 0, VLOOKUP(BF538, 'Price Sheet'!$A$2:$B1015, 2, false))</f>
        <v>0</v>
      </c>
      <c r="BK538" s="33" t="str">
        <f t="shared" si="18"/>
        <v/>
      </c>
      <c r="BL538" s="37"/>
      <c r="BM538" s="29"/>
      <c r="BN538" s="29" t="b">
        <v>0</v>
      </c>
      <c r="BO538" s="22" t="str">
        <f t="shared" si="19"/>
        <v/>
      </c>
      <c r="BP538" s="7">
        <f>IF(ISBLANK(BL538), 0, VLOOKUP(BL538, 'Price Sheet'!$A$2:$B1015, 2, false))</f>
        <v>0</v>
      </c>
      <c r="BQ538" s="33" t="str">
        <f t="shared" si="20"/>
        <v/>
      </c>
    </row>
    <row r="539">
      <c r="B539" s="19"/>
      <c r="C539" s="29"/>
      <c r="D539" s="29"/>
      <c r="E539" s="7" t="str">
        <f>IF(ISBLANK(D539), "", VLOOKUP(D539,'Crafting Tables'!$A$2:$B1015, 2, false))</f>
        <v/>
      </c>
      <c r="F539" s="7" t="str">
        <f>IFERROR(IF(E539 = "None", 1, VLOOKUP(C539,General!$A$5:$L$35, SWITCH(E539, "Basic", 8, "Advanced", 10, "Modern", 12), false)),"")</f>
        <v/>
      </c>
      <c r="G539" s="29"/>
      <c r="H539" s="7">
        <f>IFERROR(VLOOKUP(C539, General!$A$5:$L$35, 6, false) * G539 / 1000, 0)</f>
        <v>0</v>
      </c>
      <c r="I539" s="29"/>
      <c r="J539" s="22" t="str">
        <f>IFERROR(I539*VLOOKUP(D539,'Crafting Tables'!$1:$1000, 4, false)*F539,"")</f>
        <v/>
      </c>
      <c r="K539" s="29" t="b">
        <v>0</v>
      </c>
      <c r="L539" s="37"/>
      <c r="M539" s="29"/>
      <c r="N539" s="21" t="str">
        <f t="shared" si="2"/>
        <v/>
      </c>
      <c r="P539" s="37"/>
      <c r="Q539" s="29"/>
      <c r="R539" s="29" t="b">
        <v>0</v>
      </c>
      <c r="S539" s="22" t="str">
        <f t="shared" si="3"/>
        <v/>
      </c>
      <c r="T539" s="7">
        <f>IF(ISBLANK(P539), 0, VLOOKUP(P539, 'Price Sheet'!$A$2:$B1015, 2, false))</f>
        <v>0</v>
      </c>
      <c r="U539" s="33" t="str">
        <f t="shared" si="4"/>
        <v/>
      </c>
      <c r="V539" s="37"/>
      <c r="W539" s="29"/>
      <c r="X539" s="29" t="b">
        <v>0</v>
      </c>
      <c r="Y539" s="22" t="str">
        <f t="shared" si="5"/>
        <v/>
      </c>
      <c r="Z539" s="7">
        <f>IF(ISBLANK(V539), 0, VLOOKUP(V539, 'Price Sheet'!$A$2:$B1015, 2, false))</f>
        <v>0</v>
      </c>
      <c r="AA539" s="33" t="str">
        <f t="shared" si="6"/>
        <v/>
      </c>
      <c r="AB539" s="37"/>
      <c r="AC539" s="29"/>
      <c r="AD539" s="29" t="b">
        <v>0</v>
      </c>
      <c r="AE539" s="22" t="str">
        <f t="shared" si="7"/>
        <v/>
      </c>
      <c r="AF539" s="7">
        <f>IF(ISBLANK(AB539), 0, VLOOKUP(AB539, 'Price Sheet'!$A$2:$B1015, 2, false))</f>
        <v>0</v>
      </c>
      <c r="AG539" s="33" t="str">
        <f t="shared" si="8"/>
        <v/>
      </c>
      <c r="AH539" s="37"/>
      <c r="AI539" s="29"/>
      <c r="AJ539" s="29" t="b">
        <v>0</v>
      </c>
      <c r="AK539" s="22" t="str">
        <f t="shared" si="9"/>
        <v/>
      </c>
      <c r="AL539" s="7">
        <f>IF(ISBLANK(AH539), 0, VLOOKUP(AH539, 'Price Sheet'!$A$2:$B1015, 2, false))</f>
        <v>0</v>
      </c>
      <c r="AM539" s="33" t="str">
        <f t="shared" si="10"/>
        <v/>
      </c>
      <c r="AN539" s="37"/>
      <c r="AO539" s="29"/>
      <c r="AP539" s="29" t="b">
        <v>0</v>
      </c>
      <c r="AQ539" s="22" t="str">
        <f t="shared" si="11"/>
        <v/>
      </c>
      <c r="AR539" s="7">
        <f>IF(ISBLANK(AN539), 0, VLOOKUP(AN539, 'Price Sheet'!$A$2:$B1015, 2, false))</f>
        <v>0</v>
      </c>
      <c r="AS539" s="33" t="str">
        <f t="shared" si="12"/>
        <v/>
      </c>
      <c r="AT539" s="37"/>
      <c r="AU539" s="29"/>
      <c r="AV539" s="29" t="b">
        <v>0</v>
      </c>
      <c r="AW539" s="22" t="str">
        <f t="shared" si="13"/>
        <v/>
      </c>
      <c r="AX539" s="7">
        <f>IF(ISBLANK(AT539), 0, VLOOKUP(AT539, 'Price Sheet'!$A$2:$B1015, 2, false))</f>
        <v>0</v>
      </c>
      <c r="AY539" s="33" t="str">
        <f t="shared" si="14"/>
        <v/>
      </c>
      <c r="AZ539" s="37"/>
      <c r="BA539" s="29"/>
      <c r="BB539" s="29" t="b">
        <v>0</v>
      </c>
      <c r="BC539" s="22" t="str">
        <f t="shared" si="15"/>
        <v/>
      </c>
      <c r="BD539" s="7">
        <f>IF(ISBLANK(AZ539), 0, VLOOKUP(AZ539, 'Price Sheet'!$A$2:$B1015, 2, false))</f>
        <v>0</v>
      </c>
      <c r="BE539" s="33" t="str">
        <f t="shared" si="16"/>
        <v/>
      </c>
      <c r="BF539" s="37"/>
      <c r="BG539" s="29"/>
      <c r="BH539" s="29" t="b">
        <v>0</v>
      </c>
      <c r="BI539" s="22" t="str">
        <f t="shared" si="17"/>
        <v/>
      </c>
      <c r="BJ539" s="7">
        <f>IF(ISBLANK(BF539), 0, VLOOKUP(BF539, 'Price Sheet'!$A$2:$B1015, 2, false))</f>
        <v>0</v>
      </c>
      <c r="BK539" s="33" t="str">
        <f t="shared" si="18"/>
        <v/>
      </c>
      <c r="BL539" s="37"/>
      <c r="BM539" s="29"/>
      <c r="BN539" s="29" t="b">
        <v>0</v>
      </c>
      <c r="BO539" s="22" t="str">
        <f t="shared" si="19"/>
        <v/>
      </c>
      <c r="BP539" s="7">
        <f>IF(ISBLANK(BL539), 0, VLOOKUP(BL539, 'Price Sheet'!$A$2:$B1015, 2, false))</f>
        <v>0</v>
      </c>
      <c r="BQ539" s="33" t="str">
        <f t="shared" si="20"/>
        <v/>
      </c>
    </row>
    <row r="540">
      <c r="B540" s="19"/>
      <c r="C540" s="29"/>
      <c r="D540" s="29"/>
      <c r="E540" s="7" t="str">
        <f>IF(ISBLANK(D540), "", VLOOKUP(D540,'Crafting Tables'!$A$2:$B1015, 2, false))</f>
        <v/>
      </c>
      <c r="F540" s="7" t="str">
        <f>IFERROR(IF(E540 = "None", 1, VLOOKUP(C540,General!$A$5:$L$35, SWITCH(E540, "Basic", 8, "Advanced", 10, "Modern", 12), false)),"")</f>
        <v/>
      </c>
      <c r="G540" s="29"/>
      <c r="H540" s="7">
        <f>IFERROR(VLOOKUP(C540, General!$A$5:$L$35, 6, false) * G540 / 1000, 0)</f>
        <v>0</v>
      </c>
      <c r="I540" s="29"/>
      <c r="J540" s="22" t="str">
        <f>IFERROR(I540*VLOOKUP(D540,'Crafting Tables'!$1:$1000, 4, false)*F540,"")</f>
        <v/>
      </c>
      <c r="K540" s="29" t="b">
        <v>0</v>
      </c>
      <c r="L540" s="37"/>
      <c r="M540" s="29"/>
      <c r="N540" s="21" t="str">
        <f t="shared" si="2"/>
        <v/>
      </c>
      <c r="P540" s="37"/>
      <c r="Q540" s="29"/>
      <c r="R540" s="29" t="b">
        <v>0</v>
      </c>
      <c r="S540" s="22" t="str">
        <f t="shared" si="3"/>
        <v/>
      </c>
      <c r="T540" s="7">
        <f>IF(ISBLANK(P540), 0, VLOOKUP(P540, 'Price Sheet'!$A$2:$B1015, 2, false))</f>
        <v>0</v>
      </c>
      <c r="U540" s="33" t="str">
        <f t="shared" si="4"/>
        <v/>
      </c>
      <c r="V540" s="37"/>
      <c r="W540" s="29"/>
      <c r="X540" s="29" t="b">
        <v>0</v>
      </c>
      <c r="Y540" s="22" t="str">
        <f t="shared" si="5"/>
        <v/>
      </c>
      <c r="Z540" s="7">
        <f>IF(ISBLANK(V540), 0, VLOOKUP(V540, 'Price Sheet'!$A$2:$B1015, 2, false))</f>
        <v>0</v>
      </c>
      <c r="AA540" s="33" t="str">
        <f t="shared" si="6"/>
        <v/>
      </c>
      <c r="AB540" s="37"/>
      <c r="AC540" s="29"/>
      <c r="AD540" s="29" t="b">
        <v>0</v>
      </c>
      <c r="AE540" s="22" t="str">
        <f t="shared" si="7"/>
        <v/>
      </c>
      <c r="AF540" s="7">
        <f>IF(ISBLANK(AB540), 0, VLOOKUP(AB540, 'Price Sheet'!$A$2:$B1015, 2, false))</f>
        <v>0</v>
      </c>
      <c r="AG540" s="33" t="str">
        <f t="shared" si="8"/>
        <v/>
      </c>
      <c r="AH540" s="37"/>
      <c r="AI540" s="29"/>
      <c r="AJ540" s="29" t="b">
        <v>0</v>
      </c>
      <c r="AK540" s="22" t="str">
        <f t="shared" si="9"/>
        <v/>
      </c>
      <c r="AL540" s="7">
        <f>IF(ISBLANK(AH540), 0, VLOOKUP(AH540, 'Price Sheet'!$A$2:$B1015, 2, false))</f>
        <v>0</v>
      </c>
      <c r="AM540" s="33" t="str">
        <f t="shared" si="10"/>
        <v/>
      </c>
      <c r="AN540" s="37"/>
      <c r="AO540" s="29"/>
      <c r="AP540" s="29" t="b">
        <v>0</v>
      </c>
      <c r="AQ540" s="22" t="str">
        <f t="shared" si="11"/>
        <v/>
      </c>
      <c r="AR540" s="7">
        <f>IF(ISBLANK(AN540), 0, VLOOKUP(AN540, 'Price Sheet'!$A$2:$B1015, 2, false))</f>
        <v>0</v>
      </c>
      <c r="AS540" s="33" t="str">
        <f t="shared" si="12"/>
        <v/>
      </c>
      <c r="AT540" s="37"/>
      <c r="AU540" s="29"/>
      <c r="AV540" s="29" t="b">
        <v>0</v>
      </c>
      <c r="AW540" s="22" t="str">
        <f t="shared" si="13"/>
        <v/>
      </c>
      <c r="AX540" s="7">
        <f>IF(ISBLANK(AT540), 0, VLOOKUP(AT540, 'Price Sheet'!$A$2:$B1015, 2, false))</f>
        <v>0</v>
      </c>
      <c r="AY540" s="33" t="str">
        <f t="shared" si="14"/>
        <v/>
      </c>
      <c r="AZ540" s="37"/>
      <c r="BA540" s="29"/>
      <c r="BB540" s="29" t="b">
        <v>0</v>
      </c>
      <c r="BC540" s="22" t="str">
        <f t="shared" si="15"/>
        <v/>
      </c>
      <c r="BD540" s="7">
        <f>IF(ISBLANK(AZ540), 0, VLOOKUP(AZ540, 'Price Sheet'!$A$2:$B1015, 2, false))</f>
        <v>0</v>
      </c>
      <c r="BE540" s="33" t="str">
        <f t="shared" si="16"/>
        <v/>
      </c>
      <c r="BF540" s="37"/>
      <c r="BG540" s="29"/>
      <c r="BH540" s="29" t="b">
        <v>0</v>
      </c>
      <c r="BI540" s="22" t="str">
        <f t="shared" si="17"/>
        <v/>
      </c>
      <c r="BJ540" s="7">
        <f>IF(ISBLANK(BF540), 0, VLOOKUP(BF540, 'Price Sheet'!$A$2:$B1015, 2, false))</f>
        <v>0</v>
      </c>
      <c r="BK540" s="33" t="str">
        <f t="shared" si="18"/>
        <v/>
      </c>
      <c r="BL540" s="37"/>
      <c r="BM540" s="29"/>
      <c r="BN540" s="29" t="b">
        <v>0</v>
      </c>
      <c r="BO540" s="22" t="str">
        <f t="shared" si="19"/>
        <v/>
      </c>
      <c r="BP540" s="7">
        <f>IF(ISBLANK(BL540), 0, VLOOKUP(BL540, 'Price Sheet'!$A$2:$B1015, 2, false))</f>
        <v>0</v>
      </c>
      <c r="BQ540" s="33" t="str">
        <f t="shared" si="20"/>
        <v/>
      </c>
    </row>
    <row r="541">
      <c r="B541" s="19"/>
      <c r="C541" s="29"/>
      <c r="D541" s="29"/>
      <c r="E541" s="7" t="str">
        <f>IF(ISBLANK(D541), "", VLOOKUP(D541,'Crafting Tables'!$A$2:$B1015, 2, false))</f>
        <v/>
      </c>
      <c r="F541" s="7" t="str">
        <f>IFERROR(IF(E541 = "None", 1, VLOOKUP(C541,General!$A$5:$L$35, SWITCH(E541, "Basic", 8, "Advanced", 10, "Modern", 12), false)),"")</f>
        <v/>
      </c>
      <c r="G541" s="29"/>
      <c r="H541" s="7">
        <f>IFERROR(VLOOKUP(C541, General!$A$5:$L$35, 6, false) * G541 / 1000, 0)</f>
        <v>0</v>
      </c>
      <c r="I541" s="29"/>
      <c r="J541" s="22" t="str">
        <f>IFERROR(I541*VLOOKUP(D541,'Crafting Tables'!$1:$1000, 4, false)*F541,"")</f>
        <v/>
      </c>
      <c r="K541" s="29" t="b">
        <v>0</v>
      </c>
      <c r="L541" s="37"/>
      <c r="M541" s="29"/>
      <c r="N541" s="21" t="str">
        <f t="shared" si="2"/>
        <v/>
      </c>
      <c r="P541" s="37"/>
      <c r="Q541" s="29"/>
      <c r="R541" s="29" t="b">
        <v>0</v>
      </c>
      <c r="S541" s="22" t="str">
        <f t="shared" si="3"/>
        <v/>
      </c>
      <c r="T541" s="7">
        <f>IF(ISBLANK(P541), 0, VLOOKUP(P541, 'Price Sheet'!$A$2:$B1015, 2, false))</f>
        <v>0</v>
      </c>
      <c r="U541" s="33" t="str">
        <f t="shared" si="4"/>
        <v/>
      </c>
      <c r="V541" s="37"/>
      <c r="W541" s="29"/>
      <c r="X541" s="29" t="b">
        <v>0</v>
      </c>
      <c r="Y541" s="22" t="str">
        <f t="shared" si="5"/>
        <v/>
      </c>
      <c r="Z541" s="7">
        <f>IF(ISBLANK(V541), 0, VLOOKUP(V541, 'Price Sheet'!$A$2:$B1015, 2, false))</f>
        <v>0</v>
      </c>
      <c r="AA541" s="33" t="str">
        <f t="shared" si="6"/>
        <v/>
      </c>
      <c r="AB541" s="37"/>
      <c r="AC541" s="29"/>
      <c r="AD541" s="29" t="b">
        <v>0</v>
      </c>
      <c r="AE541" s="22" t="str">
        <f t="shared" si="7"/>
        <v/>
      </c>
      <c r="AF541" s="7">
        <f>IF(ISBLANK(AB541), 0, VLOOKUP(AB541, 'Price Sheet'!$A$2:$B1015, 2, false))</f>
        <v>0</v>
      </c>
      <c r="AG541" s="33" t="str">
        <f t="shared" si="8"/>
        <v/>
      </c>
      <c r="AH541" s="37"/>
      <c r="AI541" s="29"/>
      <c r="AJ541" s="29" t="b">
        <v>0</v>
      </c>
      <c r="AK541" s="22" t="str">
        <f t="shared" si="9"/>
        <v/>
      </c>
      <c r="AL541" s="7">
        <f>IF(ISBLANK(AH541), 0, VLOOKUP(AH541, 'Price Sheet'!$A$2:$B1015, 2, false))</f>
        <v>0</v>
      </c>
      <c r="AM541" s="33" t="str">
        <f t="shared" si="10"/>
        <v/>
      </c>
      <c r="AN541" s="37"/>
      <c r="AO541" s="29"/>
      <c r="AP541" s="29" t="b">
        <v>0</v>
      </c>
      <c r="AQ541" s="22" t="str">
        <f t="shared" si="11"/>
        <v/>
      </c>
      <c r="AR541" s="7">
        <f>IF(ISBLANK(AN541), 0, VLOOKUP(AN541, 'Price Sheet'!$A$2:$B1015, 2, false))</f>
        <v>0</v>
      </c>
      <c r="AS541" s="33" t="str">
        <f t="shared" si="12"/>
        <v/>
      </c>
      <c r="AT541" s="37"/>
      <c r="AU541" s="29"/>
      <c r="AV541" s="29" t="b">
        <v>0</v>
      </c>
      <c r="AW541" s="22" t="str">
        <f t="shared" si="13"/>
        <v/>
      </c>
      <c r="AX541" s="7">
        <f>IF(ISBLANK(AT541), 0, VLOOKUP(AT541, 'Price Sheet'!$A$2:$B1015, 2, false))</f>
        <v>0</v>
      </c>
      <c r="AY541" s="33" t="str">
        <f t="shared" si="14"/>
        <v/>
      </c>
      <c r="AZ541" s="37"/>
      <c r="BA541" s="29"/>
      <c r="BB541" s="29" t="b">
        <v>0</v>
      </c>
      <c r="BC541" s="22" t="str">
        <f t="shared" si="15"/>
        <v/>
      </c>
      <c r="BD541" s="7">
        <f>IF(ISBLANK(AZ541), 0, VLOOKUP(AZ541, 'Price Sheet'!$A$2:$B1015, 2, false))</f>
        <v>0</v>
      </c>
      <c r="BE541" s="33" t="str">
        <f t="shared" si="16"/>
        <v/>
      </c>
      <c r="BF541" s="37"/>
      <c r="BG541" s="29"/>
      <c r="BH541" s="29" t="b">
        <v>0</v>
      </c>
      <c r="BI541" s="22" t="str">
        <f t="shared" si="17"/>
        <v/>
      </c>
      <c r="BJ541" s="7">
        <f>IF(ISBLANK(BF541), 0, VLOOKUP(BF541, 'Price Sheet'!$A$2:$B1015, 2, false))</f>
        <v>0</v>
      </c>
      <c r="BK541" s="33" t="str">
        <f t="shared" si="18"/>
        <v/>
      </c>
      <c r="BL541" s="37"/>
      <c r="BM541" s="29"/>
      <c r="BN541" s="29" t="b">
        <v>0</v>
      </c>
      <c r="BO541" s="22" t="str">
        <f t="shared" si="19"/>
        <v/>
      </c>
      <c r="BP541" s="7">
        <f>IF(ISBLANK(BL541), 0, VLOOKUP(BL541, 'Price Sheet'!$A$2:$B1015, 2, false))</f>
        <v>0</v>
      </c>
      <c r="BQ541" s="33" t="str">
        <f t="shared" si="20"/>
        <v/>
      </c>
    </row>
    <row r="542">
      <c r="B542" s="19"/>
      <c r="C542" s="29"/>
      <c r="D542" s="29"/>
      <c r="E542" s="7" t="str">
        <f>IF(ISBLANK(D542), "", VLOOKUP(D542,'Crafting Tables'!$A$2:$B1015, 2, false))</f>
        <v/>
      </c>
      <c r="F542" s="7" t="str">
        <f>IFERROR(IF(E542 = "None", 1, VLOOKUP(C542,General!$A$5:$L$35, SWITCH(E542, "Basic", 8, "Advanced", 10, "Modern", 12), false)),"")</f>
        <v/>
      </c>
      <c r="G542" s="29"/>
      <c r="H542" s="7">
        <f>IFERROR(VLOOKUP(C542, General!$A$5:$L$35, 6, false) * G542 / 1000, 0)</f>
        <v>0</v>
      </c>
      <c r="I542" s="29"/>
      <c r="J542" s="22" t="str">
        <f>IFERROR(I542*VLOOKUP(D542,'Crafting Tables'!$1:$1000, 4, false)*F542,"")</f>
        <v/>
      </c>
      <c r="K542" s="29" t="b">
        <v>0</v>
      </c>
      <c r="L542" s="37"/>
      <c r="M542" s="29"/>
      <c r="N542" s="21" t="str">
        <f t="shared" si="2"/>
        <v/>
      </c>
      <c r="P542" s="37"/>
      <c r="Q542" s="29"/>
      <c r="R542" s="29" t="b">
        <v>0</v>
      </c>
      <c r="S542" s="22" t="str">
        <f t="shared" si="3"/>
        <v/>
      </c>
      <c r="T542" s="7">
        <f>IF(ISBLANK(P542), 0, VLOOKUP(P542, 'Price Sheet'!$A$2:$B1015, 2, false))</f>
        <v>0</v>
      </c>
      <c r="U542" s="33" t="str">
        <f t="shared" si="4"/>
        <v/>
      </c>
      <c r="V542" s="37"/>
      <c r="W542" s="29"/>
      <c r="X542" s="29" t="b">
        <v>0</v>
      </c>
      <c r="Y542" s="22" t="str">
        <f t="shared" si="5"/>
        <v/>
      </c>
      <c r="Z542" s="7">
        <f>IF(ISBLANK(V542), 0, VLOOKUP(V542, 'Price Sheet'!$A$2:$B1015, 2, false))</f>
        <v>0</v>
      </c>
      <c r="AA542" s="33" t="str">
        <f t="shared" si="6"/>
        <v/>
      </c>
      <c r="AB542" s="37"/>
      <c r="AC542" s="29"/>
      <c r="AD542" s="29" t="b">
        <v>0</v>
      </c>
      <c r="AE542" s="22" t="str">
        <f t="shared" si="7"/>
        <v/>
      </c>
      <c r="AF542" s="7">
        <f>IF(ISBLANK(AB542), 0, VLOOKUP(AB542, 'Price Sheet'!$A$2:$B1015, 2, false))</f>
        <v>0</v>
      </c>
      <c r="AG542" s="33" t="str">
        <f t="shared" si="8"/>
        <v/>
      </c>
      <c r="AH542" s="37"/>
      <c r="AI542" s="29"/>
      <c r="AJ542" s="29" t="b">
        <v>0</v>
      </c>
      <c r="AK542" s="22" t="str">
        <f t="shared" si="9"/>
        <v/>
      </c>
      <c r="AL542" s="7">
        <f>IF(ISBLANK(AH542), 0, VLOOKUP(AH542, 'Price Sheet'!$A$2:$B1015, 2, false))</f>
        <v>0</v>
      </c>
      <c r="AM542" s="33" t="str">
        <f t="shared" si="10"/>
        <v/>
      </c>
      <c r="AN542" s="37"/>
      <c r="AO542" s="29"/>
      <c r="AP542" s="29" t="b">
        <v>0</v>
      </c>
      <c r="AQ542" s="22" t="str">
        <f t="shared" si="11"/>
        <v/>
      </c>
      <c r="AR542" s="7">
        <f>IF(ISBLANK(AN542), 0, VLOOKUP(AN542, 'Price Sheet'!$A$2:$B1015, 2, false))</f>
        <v>0</v>
      </c>
      <c r="AS542" s="33" t="str">
        <f t="shared" si="12"/>
        <v/>
      </c>
      <c r="AT542" s="37"/>
      <c r="AU542" s="29"/>
      <c r="AV542" s="29" t="b">
        <v>0</v>
      </c>
      <c r="AW542" s="22" t="str">
        <f t="shared" si="13"/>
        <v/>
      </c>
      <c r="AX542" s="7">
        <f>IF(ISBLANK(AT542), 0, VLOOKUP(AT542, 'Price Sheet'!$A$2:$B1015, 2, false))</f>
        <v>0</v>
      </c>
      <c r="AY542" s="33" t="str">
        <f t="shared" si="14"/>
        <v/>
      </c>
      <c r="AZ542" s="37"/>
      <c r="BA542" s="29"/>
      <c r="BB542" s="29" t="b">
        <v>0</v>
      </c>
      <c r="BC542" s="22" t="str">
        <f t="shared" si="15"/>
        <v/>
      </c>
      <c r="BD542" s="7">
        <f>IF(ISBLANK(AZ542), 0, VLOOKUP(AZ542, 'Price Sheet'!$A$2:$B1015, 2, false))</f>
        <v>0</v>
      </c>
      <c r="BE542" s="33" t="str">
        <f t="shared" si="16"/>
        <v/>
      </c>
      <c r="BF542" s="37"/>
      <c r="BG542" s="29"/>
      <c r="BH542" s="29" t="b">
        <v>0</v>
      </c>
      <c r="BI542" s="22" t="str">
        <f t="shared" si="17"/>
        <v/>
      </c>
      <c r="BJ542" s="7">
        <f>IF(ISBLANK(BF542), 0, VLOOKUP(BF542, 'Price Sheet'!$A$2:$B1015, 2, false))</f>
        <v>0</v>
      </c>
      <c r="BK542" s="33" t="str">
        <f t="shared" si="18"/>
        <v/>
      </c>
      <c r="BL542" s="37"/>
      <c r="BM542" s="29"/>
      <c r="BN542" s="29" t="b">
        <v>0</v>
      </c>
      <c r="BO542" s="22" t="str">
        <f t="shared" si="19"/>
        <v/>
      </c>
      <c r="BP542" s="7">
        <f>IF(ISBLANK(BL542), 0, VLOOKUP(BL542, 'Price Sheet'!$A$2:$B1015, 2, false))</f>
        <v>0</v>
      </c>
      <c r="BQ542" s="33" t="str">
        <f t="shared" si="20"/>
        <v/>
      </c>
    </row>
    <row r="543">
      <c r="B543" s="19"/>
      <c r="C543" s="29"/>
      <c r="D543" s="29"/>
      <c r="E543" s="7" t="str">
        <f>IF(ISBLANK(D543), "", VLOOKUP(D543,'Crafting Tables'!$A$2:$B1015, 2, false))</f>
        <v/>
      </c>
      <c r="F543" s="7" t="str">
        <f>IFERROR(IF(E543 = "None", 1, VLOOKUP(C543,General!$A$5:$L$35, SWITCH(E543, "Basic", 8, "Advanced", 10, "Modern", 12), false)),"")</f>
        <v/>
      </c>
      <c r="G543" s="29"/>
      <c r="H543" s="7">
        <f>IFERROR(VLOOKUP(C543, General!$A$5:$L$35, 6, false) * G543 / 1000, 0)</f>
        <v>0</v>
      </c>
      <c r="I543" s="29"/>
      <c r="J543" s="22" t="str">
        <f>IFERROR(I543*VLOOKUP(D543,'Crafting Tables'!$1:$1000, 4, false)*F543,"")</f>
        <v/>
      </c>
      <c r="K543" s="29" t="b">
        <v>0</v>
      </c>
      <c r="L543" s="37"/>
      <c r="M543" s="29"/>
      <c r="N543" s="21" t="str">
        <f t="shared" si="2"/>
        <v/>
      </c>
      <c r="P543" s="37"/>
      <c r="Q543" s="29"/>
      <c r="R543" s="29" t="b">
        <v>0</v>
      </c>
      <c r="S543" s="22" t="str">
        <f t="shared" si="3"/>
        <v/>
      </c>
      <c r="T543" s="7">
        <f>IF(ISBLANK(P543), 0, VLOOKUP(P543, 'Price Sheet'!$A$2:$B1015, 2, false))</f>
        <v>0</v>
      </c>
      <c r="U543" s="33" t="str">
        <f t="shared" si="4"/>
        <v/>
      </c>
      <c r="V543" s="37"/>
      <c r="W543" s="29"/>
      <c r="X543" s="29" t="b">
        <v>0</v>
      </c>
      <c r="Y543" s="22" t="str">
        <f t="shared" si="5"/>
        <v/>
      </c>
      <c r="Z543" s="7">
        <f>IF(ISBLANK(V543), 0, VLOOKUP(V543, 'Price Sheet'!$A$2:$B1015, 2, false))</f>
        <v>0</v>
      </c>
      <c r="AA543" s="33" t="str">
        <f t="shared" si="6"/>
        <v/>
      </c>
      <c r="AB543" s="37"/>
      <c r="AC543" s="29"/>
      <c r="AD543" s="29" t="b">
        <v>0</v>
      </c>
      <c r="AE543" s="22" t="str">
        <f t="shared" si="7"/>
        <v/>
      </c>
      <c r="AF543" s="7">
        <f>IF(ISBLANK(AB543), 0, VLOOKUP(AB543, 'Price Sheet'!$A$2:$B1015, 2, false))</f>
        <v>0</v>
      </c>
      <c r="AG543" s="33" t="str">
        <f t="shared" si="8"/>
        <v/>
      </c>
      <c r="AH543" s="37"/>
      <c r="AI543" s="29"/>
      <c r="AJ543" s="29" t="b">
        <v>0</v>
      </c>
      <c r="AK543" s="22" t="str">
        <f t="shared" si="9"/>
        <v/>
      </c>
      <c r="AL543" s="7">
        <f>IF(ISBLANK(AH543), 0, VLOOKUP(AH543, 'Price Sheet'!$A$2:$B1015, 2, false))</f>
        <v>0</v>
      </c>
      <c r="AM543" s="33" t="str">
        <f t="shared" si="10"/>
        <v/>
      </c>
      <c r="AN543" s="37"/>
      <c r="AO543" s="29"/>
      <c r="AP543" s="29" t="b">
        <v>0</v>
      </c>
      <c r="AQ543" s="22" t="str">
        <f t="shared" si="11"/>
        <v/>
      </c>
      <c r="AR543" s="7">
        <f>IF(ISBLANK(AN543), 0, VLOOKUP(AN543, 'Price Sheet'!$A$2:$B1015, 2, false))</f>
        <v>0</v>
      </c>
      <c r="AS543" s="33" t="str">
        <f t="shared" si="12"/>
        <v/>
      </c>
      <c r="AT543" s="37"/>
      <c r="AU543" s="29"/>
      <c r="AV543" s="29" t="b">
        <v>0</v>
      </c>
      <c r="AW543" s="22" t="str">
        <f t="shared" si="13"/>
        <v/>
      </c>
      <c r="AX543" s="7">
        <f>IF(ISBLANK(AT543), 0, VLOOKUP(AT543, 'Price Sheet'!$A$2:$B1015, 2, false))</f>
        <v>0</v>
      </c>
      <c r="AY543" s="33" t="str">
        <f t="shared" si="14"/>
        <v/>
      </c>
      <c r="AZ543" s="37"/>
      <c r="BA543" s="29"/>
      <c r="BB543" s="29" t="b">
        <v>0</v>
      </c>
      <c r="BC543" s="22" t="str">
        <f t="shared" si="15"/>
        <v/>
      </c>
      <c r="BD543" s="7">
        <f>IF(ISBLANK(AZ543), 0, VLOOKUP(AZ543, 'Price Sheet'!$A$2:$B1015, 2, false))</f>
        <v>0</v>
      </c>
      <c r="BE543" s="33" t="str">
        <f t="shared" si="16"/>
        <v/>
      </c>
      <c r="BF543" s="37"/>
      <c r="BG543" s="29"/>
      <c r="BH543" s="29" t="b">
        <v>0</v>
      </c>
      <c r="BI543" s="22" t="str">
        <f t="shared" si="17"/>
        <v/>
      </c>
      <c r="BJ543" s="7">
        <f>IF(ISBLANK(BF543), 0, VLOOKUP(BF543, 'Price Sheet'!$A$2:$B1015, 2, false))</f>
        <v>0</v>
      </c>
      <c r="BK543" s="33" t="str">
        <f t="shared" si="18"/>
        <v/>
      </c>
      <c r="BL543" s="37"/>
      <c r="BM543" s="29"/>
      <c r="BN543" s="29" t="b">
        <v>0</v>
      </c>
      <c r="BO543" s="22" t="str">
        <f t="shared" si="19"/>
        <v/>
      </c>
      <c r="BP543" s="7">
        <f>IF(ISBLANK(BL543), 0, VLOOKUP(BL543, 'Price Sheet'!$A$2:$B1015, 2, false))</f>
        <v>0</v>
      </c>
      <c r="BQ543" s="33" t="str">
        <f t="shared" si="20"/>
        <v/>
      </c>
    </row>
    <row r="544">
      <c r="B544" s="19"/>
      <c r="C544" s="29"/>
      <c r="D544" s="29"/>
      <c r="E544" s="7" t="str">
        <f>IF(ISBLANK(D544), "", VLOOKUP(D544,'Crafting Tables'!$A$2:$B1015, 2, false))</f>
        <v/>
      </c>
      <c r="F544" s="7" t="str">
        <f>IFERROR(IF(E544 = "None", 1, VLOOKUP(C544,General!$A$5:$L$35, SWITCH(E544, "Basic", 8, "Advanced", 10, "Modern", 12), false)),"")</f>
        <v/>
      </c>
      <c r="G544" s="29"/>
      <c r="H544" s="7">
        <f>IFERROR(VLOOKUP(C544, General!$A$5:$L$35, 6, false) * G544 / 1000, 0)</f>
        <v>0</v>
      </c>
      <c r="I544" s="29"/>
      <c r="J544" s="22" t="str">
        <f>IFERROR(I544*VLOOKUP(D544,'Crafting Tables'!$1:$1000, 4, false)*F544,"")</f>
        <v/>
      </c>
      <c r="K544" s="29" t="b">
        <v>0</v>
      </c>
      <c r="L544" s="37"/>
      <c r="M544" s="29"/>
      <c r="N544" s="21" t="str">
        <f t="shared" si="2"/>
        <v/>
      </c>
      <c r="P544" s="37"/>
      <c r="Q544" s="29"/>
      <c r="R544" s="29" t="b">
        <v>0</v>
      </c>
      <c r="S544" s="22" t="str">
        <f t="shared" si="3"/>
        <v/>
      </c>
      <c r="T544" s="7">
        <f>IF(ISBLANK(P544), 0, VLOOKUP(P544, 'Price Sheet'!$A$2:$B1015, 2, false))</f>
        <v>0</v>
      </c>
      <c r="U544" s="33" t="str">
        <f t="shared" si="4"/>
        <v/>
      </c>
      <c r="V544" s="37"/>
      <c r="W544" s="29"/>
      <c r="X544" s="29" t="b">
        <v>0</v>
      </c>
      <c r="Y544" s="22" t="str">
        <f t="shared" si="5"/>
        <v/>
      </c>
      <c r="Z544" s="7">
        <f>IF(ISBLANK(V544), 0, VLOOKUP(V544, 'Price Sheet'!$A$2:$B1015, 2, false))</f>
        <v>0</v>
      </c>
      <c r="AA544" s="33" t="str">
        <f t="shared" si="6"/>
        <v/>
      </c>
      <c r="AB544" s="37"/>
      <c r="AC544" s="29"/>
      <c r="AD544" s="29" t="b">
        <v>0</v>
      </c>
      <c r="AE544" s="22" t="str">
        <f t="shared" si="7"/>
        <v/>
      </c>
      <c r="AF544" s="7">
        <f>IF(ISBLANK(AB544), 0, VLOOKUP(AB544, 'Price Sheet'!$A$2:$B1015, 2, false))</f>
        <v>0</v>
      </c>
      <c r="AG544" s="33" t="str">
        <f t="shared" si="8"/>
        <v/>
      </c>
      <c r="AH544" s="37"/>
      <c r="AI544" s="29"/>
      <c r="AJ544" s="29" t="b">
        <v>0</v>
      </c>
      <c r="AK544" s="22" t="str">
        <f t="shared" si="9"/>
        <v/>
      </c>
      <c r="AL544" s="7">
        <f>IF(ISBLANK(AH544), 0, VLOOKUP(AH544, 'Price Sheet'!$A$2:$B1015, 2, false))</f>
        <v>0</v>
      </c>
      <c r="AM544" s="33" t="str">
        <f t="shared" si="10"/>
        <v/>
      </c>
      <c r="AN544" s="37"/>
      <c r="AO544" s="29"/>
      <c r="AP544" s="29" t="b">
        <v>0</v>
      </c>
      <c r="AQ544" s="22" t="str">
        <f t="shared" si="11"/>
        <v/>
      </c>
      <c r="AR544" s="7">
        <f>IF(ISBLANK(AN544), 0, VLOOKUP(AN544, 'Price Sheet'!$A$2:$B1015, 2, false))</f>
        <v>0</v>
      </c>
      <c r="AS544" s="33" t="str">
        <f t="shared" si="12"/>
        <v/>
      </c>
      <c r="AT544" s="37"/>
      <c r="AU544" s="29"/>
      <c r="AV544" s="29" t="b">
        <v>0</v>
      </c>
      <c r="AW544" s="22" t="str">
        <f t="shared" si="13"/>
        <v/>
      </c>
      <c r="AX544" s="7">
        <f>IF(ISBLANK(AT544), 0, VLOOKUP(AT544, 'Price Sheet'!$A$2:$B1015, 2, false))</f>
        <v>0</v>
      </c>
      <c r="AY544" s="33" t="str">
        <f t="shared" si="14"/>
        <v/>
      </c>
      <c r="AZ544" s="37"/>
      <c r="BA544" s="29"/>
      <c r="BB544" s="29" t="b">
        <v>0</v>
      </c>
      <c r="BC544" s="22" t="str">
        <f t="shared" si="15"/>
        <v/>
      </c>
      <c r="BD544" s="7">
        <f>IF(ISBLANK(AZ544), 0, VLOOKUP(AZ544, 'Price Sheet'!$A$2:$B1015, 2, false))</f>
        <v>0</v>
      </c>
      <c r="BE544" s="33" t="str">
        <f t="shared" si="16"/>
        <v/>
      </c>
      <c r="BF544" s="37"/>
      <c r="BG544" s="29"/>
      <c r="BH544" s="29" t="b">
        <v>0</v>
      </c>
      <c r="BI544" s="22" t="str">
        <f t="shared" si="17"/>
        <v/>
      </c>
      <c r="BJ544" s="7">
        <f>IF(ISBLANK(BF544), 0, VLOOKUP(BF544, 'Price Sheet'!$A$2:$B1015, 2, false))</f>
        <v>0</v>
      </c>
      <c r="BK544" s="33" t="str">
        <f t="shared" si="18"/>
        <v/>
      </c>
      <c r="BL544" s="37"/>
      <c r="BM544" s="29"/>
      <c r="BN544" s="29" t="b">
        <v>0</v>
      </c>
      <c r="BO544" s="22" t="str">
        <f t="shared" si="19"/>
        <v/>
      </c>
      <c r="BP544" s="7">
        <f>IF(ISBLANK(BL544), 0, VLOOKUP(BL544, 'Price Sheet'!$A$2:$B1015, 2, false))</f>
        <v>0</v>
      </c>
      <c r="BQ544" s="33" t="str">
        <f t="shared" si="20"/>
        <v/>
      </c>
    </row>
    <row r="545">
      <c r="B545" s="19"/>
      <c r="C545" s="29"/>
      <c r="D545" s="29"/>
      <c r="E545" s="7" t="str">
        <f>IF(ISBLANK(D545), "", VLOOKUP(D545,'Crafting Tables'!$A$2:$B1015, 2, false))</f>
        <v/>
      </c>
      <c r="F545" s="7" t="str">
        <f>IFERROR(IF(E545 = "None", 1, VLOOKUP(C545,General!$A$5:$L$35, SWITCH(E545, "Basic", 8, "Advanced", 10, "Modern", 12), false)),"")</f>
        <v/>
      </c>
      <c r="G545" s="29"/>
      <c r="H545" s="7">
        <f>IFERROR(VLOOKUP(C545, General!$A$5:$L$35, 6, false) * G545 / 1000, 0)</f>
        <v>0</v>
      </c>
      <c r="I545" s="29"/>
      <c r="J545" s="22" t="str">
        <f>IFERROR(I545*VLOOKUP(D545,'Crafting Tables'!$1:$1000, 4, false)*F545,"")</f>
        <v/>
      </c>
      <c r="K545" s="29" t="b">
        <v>0</v>
      </c>
      <c r="L545" s="37"/>
      <c r="M545" s="29"/>
      <c r="N545" s="21" t="str">
        <f t="shared" si="2"/>
        <v/>
      </c>
      <c r="P545" s="37"/>
      <c r="Q545" s="29"/>
      <c r="R545" s="29" t="b">
        <v>0</v>
      </c>
      <c r="S545" s="22" t="str">
        <f t="shared" si="3"/>
        <v/>
      </c>
      <c r="T545" s="7">
        <f>IF(ISBLANK(P545), 0, VLOOKUP(P545, 'Price Sheet'!$A$2:$B1015, 2, false))</f>
        <v>0</v>
      </c>
      <c r="U545" s="33" t="str">
        <f t="shared" si="4"/>
        <v/>
      </c>
      <c r="V545" s="37"/>
      <c r="W545" s="29"/>
      <c r="X545" s="29" t="b">
        <v>0</v>
      </c>
      <c r="Y545" s="22" t="str">
        <f t="shared" si="5"/>
        <v/>
      </c>
      <c r="Z545" s="7">
        <f>IF(ISBLANK(V545), 0, VLOOKUP(V545, 'Price Sheet'!$A$2:$B1015, 2, false))</f>
        <v>0</v>
      </c>
      <c r="AA545" s="33" t="str">
        <f t="shared" si="6"/>
        <v/>
      </c>
      <c r="AB545" s="37"/>
      <c r="AC545" s="29"/>
      <c r="AD545" s="29" t="b">
        <v>0</v>
      </c>
      <c r="AE545" s="22" t="str">
        <f t="shared" si="7"/>
        <v/>
      </c>
      <c r="AF545" s="7">
        <f>IF(ISBLANK(AB545), 0, VLOOKUP(AB545, 'Price Sheet'!$A$2:$B1015, 2, false))</f>
        <v>0</v>
      </c>
      <c r="AG545" s="33" t="str">
        <f t="shared" si="8"/>
        <v/>
      </c>
      <c r="AH545" s="37"/>
      <c r="AI545" s="29"/>
      <c r="AJ545" s="29" t="b">
        <v>0</v>
      </c>
      <c r="AK545" s="22" t="str">
        <f t="shared" si="9"/>
        <v/>
      </c>
      <c r="AL545" s="7">
        <f>IF(ISBLANK(AH545), 0, VLOOKUP(AH545, 'Price Sheet'!$A$2:$B1015, 2, false))</f>
        <v>0</v>
      </c>
      <c r="AM545" s="33" t="str">
        <f t="shared" si="10"/>
        <v/>
      </c>
      <c r="AN545" s="37"/>
      <c r="AO545" s="29"/>
      <c r="AP545" s="29" t="b">
        <v>0</v>
      </c>
      <c r="AQ545" s="22" t="str">
        <f t="shared" si="11"/>
        <v/>
      </c>
      <c r="AR545" s="7">
        <f>IF(ISBLANK(AN545), 0, VLOOKUP(AN545, 'Price Sheet'!$A$2:$B1015, 2, false))</f>
        <v>0</v>
      </c>
      <c r="AS545" s="33" t="str">
        <f t="shared" si="12"/>
        <v/>
      </c>
      <c r="AT545" s="37"/>
      <c r="AU545" s="29"/>
      <c r="AV545" s="29" t="b">
        <v>0</v>
      </c>
      <c r="AW545" s="22" t="str">
        <f t="shared" si="13"/>
        <v/>
      </c>
      <c r="AX545" s="7">
        <f>IF(ISBLANK(AT545), 0, VLOOKUP(AT545, 'Price Sheet'!$A$2:$B1015, 2, false))</f>
        <v>0</v>
      </c>
      <c r="AY545" s="33" t="str">
        <f t="shared" si="14"/>
        <v/>
      </c>
      <c r="AZ545" s="37"/>
      <c r="BA545" s="29"/>
      <c r="BB545" s="29" t="b">
        <v>0</v>
      </c>
      <c r="BC545" s="22" t="str">
        <f t="shared" si="15"/>
        <v/>
      </c>
      <c r="BD545" s="7">
        <f>IF(ISBLANK(AZ545), 0, VLOOKUP(AZ545, 'Price Sheet'!$A$2:$B1015, 2, false))</f>
        <v>0</v>
      </c>
      <c r="BE545" s="33" t="str">
        <f t="shared" si="16"/>
        <v/>
      </c>
      <c r="BF545" s="37"/>
      <c r="BG545" s="29"/>
      <c r="BH545" s="29" t="b">
        <v>0</v>
      </c>
      <c r="BI545" s="22" t="str">
        <f t="shared" si="17"/>
        <v/>
      </c>
      <c r="BJ545" s="7">
        <f>IF(ISBLANK(BF545), 0, VLOOKUP(BF545, 'Price Sheet'!$A$2:$B1015, 2, false))</f>
        <v>0</v>
      </c>
      <c r="BK545" s="33" t="str">
        <f t="shared" si="18"/>
        <v/>
      </c>
      <c r="BL545" s="37"/>
      <c r="BM545" s="29"/>
      <c r="BN545" s="29" t="b">
        <v>0</v>
      </c>
      <c r="BO545" s="22" t="str">
        <f t="shared" si="19"/>
        <v/>
      </c>
      <c r="BP545" s="7">
        <f>IF(ISBLANK(BL545), 0, VLOOKUP(BL545, 'Price Sheet'!$A$2:$B1015, 2, false))</f>
        <v>0</v>
      </c>
      <c r="BQ545" s="33" t="str">
        <f t="shared" si="20"/>
        <v/>
      </c>
    </row>
    <row r="546">
      <c r="B546" s="19"/>
      <c r="C546" s="29"/>
      <c r="D546" s="29"/>
      <c r="E546" s="7" t="str">
        <f>IF(ISBLANK(D546), "", VLOOKUP(D546,'Crafting Tables'!$A$2:$B1015, 2, false))</f>
        <v/>
      </c>
      <c r="F546" s="7" t="str">
        <f>IFERROR(IF(E546 = "None", 1, VLOOKUP(C546,General!$A$5:$L$35, SWITCH(E546, "Basic", 8, "Advanced", 10, "Modern", 12), false)),"")</f>
        <v/>
      </c>
      <c r="G546" s="29"/>
      <c r="H546" s="7">
        <f>IFERROR(VLOOKUP(C546, General!$A$5:$L$35, 6, false) * G546 / 1000, 0)</f>
        <v>0</v>
      </c>
      <c r="I546" s="29"/>
      <c r="J546" s="22" t="str">
        <f>IFERROR(I546*VLOOKUP(D546,'Crafting Tables'!$1:$1000, 4, false)*F546,"")</f>
        <v/>
      </c>
      <c r="K546" s="29" t="b">
        <v>0</v>
      </c>
      <c r="L546" s="37"/>
      <c r="M546" s="29"/>
      <c r="N546" s="21" t="str">
        <f t="shared" si="2"/>
        <v/>
      </c>
      <c r="P546" s="37"/>
      <c r="Q546" s="29"/>
      <c r="R546" s="29" t="b">
        <v>0</v>
      </c>
      <c r="S546" s="22" t="str">
        <f t="shared" si="3"/>
        <v/>
      </c>
      <c r="T546" s="7">
        <f>IF(ISBLANK(P546), 0, VLOOKUP(P546, 'Price Sheet'!$A$2:$B1015, 2, false))</f>
        <v>0</v>
      </c>
      <c r="U546" s="33" t="str">
        <f t="shared" si="4"/>
        <v/>
      </c>
      <c r="V546" s="37"/>
      <c r="W546" s="29"/>
      <c r="X546" s="29" t="b">
        <v>0</v>
      </c>
      <c r="Y546" s="22" t="str">
        <f t="shared" si="5"/>
        <v/>
      </c>
      <c r="Z546" s="7">
        <f>IF(ISBLANK(V546), 0, VLOOKUP(V546, 'Price Sheet'!$A$2:$B1015, 2, false))</f>
        <v>0</v>
      </c>
      <c r="AA546" s="33" t="str">
        <f t="shared" si="6"/>
        <v/>
      </c>
      <c r="AB546" s="37"/>
      <c r="AC546" s="29"/>
      <c r="AD546" s="29" t="b">
        <v>0</v>
      </c>
      <c r="AE546" s="22" t="str">
        <f t="shared" si="7"/>
        <v/>
      </c>
      <c r="AF546" s="7">
        <f>IF(ISBLANK(AB546), 0, VLOOKUP(AB546, 'Price Sheet'!$A$2:$B1015, 2, false))</f>
        <v>0</v>
      </c>
      <c r="AG546" s="33" t="str">
        <f t="shared" si="8"/>
        <v/>
      </c>
      <c r="AH546" s="37"/>
      <c r="AI546" s="29"/>
      <c r="AJ546" s="29" t="b">
        <v>0</v>
      </c>
      <c r="AK546" s="22" t="str">
        <f t="shared" si="9"/>
        <v/>
      </c>
      <c r="AL546" s="7">
        <f>IF(ISBLANK(AH546), 0, VLOOKUP(AH546, 'Price Sheet'!$A$2:$B1015, 2, false))</f>
        <v>0</v>
      </c>
      <c r="AM546" s="33" t="str">
        <f t="shared" si="10"/>
        <v/>
      </c>
      <c r="AN546" s="37"/>
      <c r="AO546" s="29"/>
      <c r="AP546" s="29" t="b">
        <v>0</v>
      </c>
      <c r="AQ546" s="22" t="str">
        <f t="shared" si="11"/>
        <v/>
      </c>
      <c r="AR546" s="7">
        <f>IF(ISBLANK(AN546), 0, VLOOKUP(AN546, 'Price Sheet'!$A$2:$B1015, 2, false))</f>
        <v>0</v>
      </c>
      <c r="AS546" s="33" t="str">
        <f t="shared" si="12"/>
        <v/>
      </c>
      <c r="AT546" s="37"/>
      <c r="AU546" s="29"/>
      <c r="AV546" s="29" t="b">
        <v>0</v>
      </c>
      <c r="AW546" s="22" t="str">
        <f t="shared" si="13"/>
        <v/>
      </c>
      <c r="AX546" s="7">
        <f>IF(ISBLANK(AT546), 0, VLOOKUP(AT546, 'Price Sheet'!$A$2:$B1015, 2, false))</f>
        <v>0</v>
      </c>
      <c r="AY546" s="33" t="str">
        <f t="shared" si="14"/>
        <v/>
      </c>
      <c r="AZ546" s="37"/>
      <c r="BA546" s="29"/>
      <c r="BB546" s="29" t="b">
        <v>0</v>
      </c>
      <c r="BC546" s="22" t="str">
        <f t="shared" si="15"/>
        <v/>
      </c>
      <c r="BD546" s="7">
        <f>IF(ISBLANK(AZ546), 0, VLOOKUP(AZ546, 'Price Sheet'!$A$2:$B1015, 2, false))</f>
        <v>0</v>
      </c>
      <c r="BE546" s="33" t="str">
        <f t="shared" si="16"/>
        <v/>
      </c>
      <c r="BF546" s="37"/>
      <c r="BG546" s="29"/>
      <c r="BH546" s="29" t="b">
        <v>0</v>
      </c>
      <c r="BI546" s="22" t="str">
        <f t="shared" si="17"/>
        <v/>
      </c>
      <c r="BJ546" s="7">
        <f>IF(ISBLANK(BF546), 0, VLOOKUP(BF546, 'Price Sheet'!$A$2:$B1015, 2, false))</f>
        <v>0</v>
      </c>
      <c r="BK546" s="33" t="str">
        <f t="shared" si="18"/>
        <v/>
      </c>
      <c r="BL546" s="37"/>
      <c r="BM546" s="29"/>
      <c r="BN546" s="29" t="b">
        <v>0</v>
      </c>
      <c r="BO546" s="22" t="str">
        <f t="shared" si="19"/>
        <v/>
      </c>
      <c r="BP546" s="7">
        <f>IF(ISBLANK(BL546), 0, VLOOKUP(BL546, 'Price Sheet'!$A$2:$B1015, 2, false))</f>
        <v>0</v>
      </c>
      <c r="BQ546" s="33" t="str">
        <f t="shared" si="20"/>
        <v/>
      </c>
    </row>
    <row r="547">
      <c r="B547" s="19"/>
      <c r="C547" s="29"/>
      <c r="D547" s="29"/>
      <c r="E547" s="7" t="str">
        <f>IF(ISBLANK(D547), "", VLOOKUP(D547,'Crafting Tables'!$A$2:$B1015, 2, false))</f>
        <v/>
      </c>
      <c r="F547" s="7" t="str">
        <f>IFERROR(IF(E547 = "None", 1, VLOOKUP(C547,General!$A$5:$L$35, SWITCH(E547, "Basic", 8, "Advanced", 10, "Modern", 12), false)),"")</f>
        <v/>
      </c>
      <c r="G547" s="29"/>
      <c r="H547" s="7">
        <f>IFERROR(VLOOKUP(C547, General!$A$5:$L$35, 6, false) * G547 / 1000, 0)</f>
        <v>0</v>
      </c>
      <c r="I547" s="29"/>
      <c r="J547" s="22" t="str">
        <f>IFERROR(I547*VLOOKUP(D547,'Crafting Tables'!$1:$1000, 4, false)*F547,"")</f>
        <v/>
      </c>
      <c r="K547" s="29" t="b">
        <v>0</v>
      </c>
      <c r="L547" s="37"/>
      <c r="M547" s="29"/>
      <c r="N547" s="21" t="str">
        <f t="shared" si="2"/>
        <v/>
      </c>
      <c r="P547" s="37"/>
      <c r="Q547" s="29"/>
      <c r="R547" s="29" t="b">
        <v>0</v>
      </c>
      <c r="S547" s="22" t="str">
        <f t="shared" si="3"/>
        <v/>
      </c>
      <c r="T547" s="7">
        <f>IF(ISBLANK(P547), 0, VLOOKUP(P547, 'Price Sheet'!$A$2:$B1015, 2, false))</f>
        <v>0</v>
      </c>
      <c r="U547" s="33" t="str">
        <f t="shared" si="4"/>
        <v/>
      </c>
      <c r="V547" s="37"/>
      <c r="W547" s="29"/>
      <c r="X547" s="29" t="b">
        <v>0</v>
      </c>
      <c r="Y547" s="22" t="str">
        <f t="shared" si="5"/>
        <v/>
      </c>
      <c r="Z547" s="7">
        <f>IF(ISBLANK(V547), 0, VLOOKUP(V547, 'Price Sheet'!$A$2:$B1015, 2, false))</f>
        <v>0</v>
      </c>
      <c r="AA547" s="33" t="str">
        <f t="shared" si="6"/>
        <v/>
      </c>
      <c r="AB547" s="37"/>
      <c r="AC547" s="29"/>
      <c r="AD547" s="29" t="b">
        <v>0</v>
      </c>
      <c r="AE547" s="22" t="str">
        <f t="shared" si="7"/>
        <v/>
      </c>
      <c r="AF547" s="7">
        <f>IF(ISBLANK(AB547), 0, VLOOKUP(AB547, 'Price Sheet'!$A$2:$B1015, 2, false))</f>
        <v>0</v>
      </c>
      <c r="AG547" s="33" t="str">
        <f t="shared" si="8"/>
        <v/>
      </c>
      <c r="AH547" s="37"/>
      <c r="AI547" s="29"/>
      <c r="AJ547" s="29" t="b">
        <v>0</v>
      </c>
      <c r="AK547" s="22" t="str">
        <f t="shared" si="9"/>
        <v/>
      </c>
      <c r="AL547" s="7">
        <f>IF(ISBLANK(AH547), 0, VLOOKUP(AH547, 'Price Sheet'!$A$2:$B1015, 2, false))</f>
        <v>0</v>
      </c>
      <c r="AM547" s="33" t="str">
        <f t="shared" si="10"/>
        <v/>
      </c>
      <c r="AN547" s="37"/>
      <c r="AO547" s="29"/>
      <c r="AP547" s="29" t="b">
        <v>0</v>
      </c>
      <c r="AQ547" s="22" t="str">
        <f t="shared" si="11"/>
        <v/>
      </c>
      <c r="AR547" s="7">
        <f>IF(ISBLANK(AN547), 0, VLOOKUP(AN547, 'Price Sheet'!$A$2:$B1015, 2, false))</f>
        <v>0</v>
      </c>
      <c r="AS547" s="33" t="str">
        <f t="shared" si="12"/>
        <v/>
      </c>
      <c r="AT547" s="37"/>
      <c r="AU547" s="29"/>
      <c r="AV547" s="29" t="b">
        <v>0</v>
      </c>
      <c r="AW547" s="22" t="str">
        <f t="shared" si="13"/>
        <v/>
      </c>
      <c r="AX547" s="7">
        <f>IF(ISBLANK(AT547), 0, VLOOKUP(AT547, 'Price Sheet'!$A$2:$B1015, 2, false))</f>
        <v>0</v>
      </c>
      <c r="AY547" s="33" t="str">
        <f t="shared" si="14"/>
        <v/>
      </c>
      <c r="AZ547" s="37"/>
      <c r="BA547" s="29"/>
      <c r="BB547" s="29" t="b">
        <v>0</v>
      </c>
      <c r="BC547" s="22" t="str">
        <f t="shared" si="15"/>
        <v/>
      </c>
      <c r="BD547" s="7">
        <f>IF(ISBLANK(AZ547), 0, VLOOKUP(AZ547, 'Price Sheet'!$A$2:$B1015, 2, false))</f>
        <v>0</v>
      </c>
      <c r="BE547" s="33" t="str">
        <f t="shared" si="16"/>
        <v/>
      </c>
      <c r="BF547" s="37"/>
      <c r="BG547" s="29"/>
      <c r="BH547" s="29" t="b">
        <v>0</v>
      </c>
      <c r="BI547" s="22" t="str">
        <f t="shared" si="17"/>
        <v/>
      </c>
      <c r="BJ547" s="7">
        <f>IF(ISBLANK(BF547), 0, VLOOKUP(BF547, 'Price Sheet'!$A$2:$B1015, 2, false))</f>
        <v>0</v>
      </c>
      <c r="BK547" s="33" t="str">
        <f t="shared" si="18"/>
        <v/>
      </c>
      <c r="BL547" s="37"/>
      <c r="BM547" s="29"/>
      <c r="BN547" s="29" t="b">
        <v>0</v>
      </c>
      <c r="BO547" s="22" t="str">
        <f t="shared" si="19"/>
        <v/>
      </c>
      <c r="BP547" s="7">
        <f>IF(ISBLANK(BL547), 0, VLOOKUP(BL547, 'Price Sheet'!$A$2:$B1015, 2, false))</f>
        <v>0</v>
      </c>
      <c r="BQ547" s="33" t="str">
        <f t="shared" si="20"/>
        <v/>
      </c>
    </row>
    <row r="548">
      <c r="B548" s="19"/>
      <c r="C548" s="29"/>
      <c r="D548" s="29"/>
      <c r="E548" s="7" t="str">
        <f>IF(ISBLANK(D548), "", VLOOKUP(D548,'Crafting Tables'!$A$2:$B1015, 2, false))</f>
        <v/>
      </c>
      <c r="F548" s="7" t="str">
        <f>IFERROR(IF(E548 = "None", 1, VLOOKUP(C548,General!$A$5:$L$35, SWITCH(E548, "Basic", 8, "Advanced", 10, "Modern", 12), false)),"")</f>
        <v/>
      </c>
      <c r="G548" s="29"/>
      <c r="H548" s="7">
        <f>IFERROR(VLOOKUP(C548, General!$A$5:$L$35, 6, false) * G548 / 1000, 0)</f>
        <v>0</v>
      </c>
      <c r="I548" s="29"/>
      <c r="J548" s="22" t="str">
        <f>IFERROR(I548*VLOOKUP(D548,'Crafting Tables'!$1:$1000, 4, false)*F548,"")</f>
        <v/>
      </c>
      <c r="K548" s="29" t="b">
        <v>0</v>
      </c>
      <c r="L548" s="37"/>
      <c r="M548" s="29"/>
      <c r="N548" s="21" t="str">
        <f t="shared" si="2"/>
        <v/>
      </c>
      <c r="P548" s="37"/>
      <c r="Q548" s="29"/>
      <c r="R548" s="29" t="b">
        <v>0</v>
      </c>
      <c r="S548" s="22" t="str">
        <f t="shared" si="3"/>
        <v/>
      </c>
      <c r="T548" s="7">
        <f>IF(ISBLANK(P548), 0, VLOOKUP(P548, 'Price Sheet'!$A$2:$B1015, 2, false))</f>
        <v>0</v>
      </c>
      <c r="U548" s="33" t="str">
        <f t="shared" si="4"/>
        <v/>
      </c>
      <c r="V548" s="37"/>
      <c r="W548" s="29"/>
      <c r="X548" s="29" t="b">
        <v>0</v>
      </c>
      <c r="Y548" s="22" t="str">
        <f t="shared" si="5"/>
        <v/>
      </c>
      <c r="Z548" s="7">
        <f>IF(ISBLANK(V548), 0, VLOOKUP(V548, 'Price Sheet'!$A$2:$B1015, 2, false))</f>
        <v>0</v>
      </c>
      <c r="AA548" s="33" t="str">
        <f t="shared" si="6"/>
        <v/>
      </c>
      <c r="AB548" s="37"/>
      <c r="AC548" s="29"/>
      <c r="AD548" s="29" t="b">
        <v>0</v>
      </c>
      <c r="AE548" s="22" t="str">
        <f t="shared" si="7"/>
        <v/>
      </c>
      <c r="AF548" s="7">
        <f>IF(ISBLANK(AB548), 0, VLOOKUP(AB548, 'Price Sheet'!$A$2:$B1015, 2, false))</f>
        <v>0</v>
      </c>
      <c r="AG548" s="33" t="str">
        <f t="shared" si="8"/>
        <v/>
      </c>
      <c r="AH548" s="37"/>
      <c r="AI548" s="29"/>
      <c r="AJ548" s="29" t="b">
        <v>0</v>
      </c>
      <c r="AK548" s="22" t="str">
        <f t="shared" si="9"/>
        <v/>
      </c>
      <c r="AL548" s="7">
        <f>IF(ISBLANK(AH548), 0, VLOOKUP(AH548, 'Price Sheet'!$A$2:$B1015, 2, false))</f>
        <v>0</v>
      </c>
      <c r="AM548" s="33" t="str">
        <f t="shared" si="10"/>
        <v/>
      </c>
      <c r="AN548" s="37"/>
      <c r="AO548" s="29"/>
      <c r="AP548" s="29" t="b">
        <v>0</v>
      </c>
      <c r="AQ548" s="22" t="str">
        <f t="shared" si="11"/>
        <v/>
      </c>
      <c r="AR548" s="7">
        <f>IF(ISBLANK(AN548), 0, VLOOKUP(AN548, 'Price Sheet'!$A$2:$B1015, 2, false))</f>
        <v>0</v>
      </c>
      <c r="AS548" s="33" t="str">
        <f t="shared" si="12"/>
        <v/>
      </c>
      <c r="AT548" s="37"/>
      <c r="AU548" s="29"/>
      <c r="AV548" s="29" t="b">
        <v>0</v>
      </c>
      <c r="AW548" s="22" t="str">
        <f t="shared" si="13"/>
        <v/>
      </c>
      <c r="AX548" s="7">
        <f>IF(ISBLANK(AT548), 0, VLOOKUP(AT548, 'Price Sheet'!$A$2:$B1015, 2, false))</f>
        <v>0</v>
      </c>
      <c r="AY548" s="33" t="str">
        <f t="shared" si="14"/>
        <v/>
      </c>
      <c r="AZ548" s="37"/>
      <c r="BA548" s="29"/>
      <c r="BB548" s="29" t="b">
        <v>0</v>
      </c>
      <c r="BC548" s="22" t="str">
        <f t="shared" si="15"/>
        <v/>
      </c>
      <c r="BD548" s="7">
        <f>IF(ISBLANK(AZ548), 0, VLOOKUP(AZ548, 'Price Sheet'!$A$2:$B1015, 2, false))</f>
        <v>0</v>
      </c>
      <c r="BE548" s="33" t="str">
        <f t="shared" si="16"/>
        <v/>
      </c>
      <c r="BF548" s="37"/>
      <c r="BG548" s="29"/>
      <c r="BH548" s="29" t="b">
        <v>0</v>
      </c>
      <c r="BI548" s="22" t="str">
        <f t="shared" si="17"/>
        <v/>
      </c>
      <c r="BJ548" s="7">
        <f>IF(ISBLANK(BF548), 0, VLOOKUP(BF548, 'Price Sheet'!$A$2:$B1015, 2, false))</f>
        <v>0</v>
      </c>
      <c r="BK548" s="33" t="str">
        <f t="shared" si="18"/>
        <v/>
      </c>
      <c r="BL548" s="37"/>
      <c r="BM548" s="29"/>
      <c r="BN548" s="29" t="b">
        <v>0</v>
      </c>
      <c r="BO548" s="22" t="str">
        <f t="shared" si="19"/>
        <v/>
      </c>
      <c r="BP548" s="7">
        <f>IF(ISBLANK(BL548), 0, VLOOKUP(BL548, 'Price Sheet'!$A$2:$B1015, 2, false))</f>
        <v>0</v>
      </c>
      <c r="BQ548" s="33" t="str">
        <f t="shared" si="20"/>
        <v/>
      </c>
    </row>
    <row r="549">
      <c r="B549" s="19"/>
      <c r="C549" s="29"/>
      <c r="D549" s="29"/>
      <c r="E549" s="7" t="str">
        <f>IF(ISBLANK(D549), "", VLOOKUP(D549,'Crafting Tables'!$A$2:$B1015, 2, false))</f>
        <v/>
      </c>
      <c r="F549" s="7" t="str">
        <f>IFERROR(IF(E549 = "None", 1, VLOOKUP(C549,General!$A$5:$L$35, SWITCH(E549, "Basic", 8, "Advanced", 10, "Modern", 12), false)),"")</f>
        <v/>
      </c>
      <c r="G549" s="29"/>
      <c r="H549" s="7">
        <f>IFERROR(VLOOKUP(C549, General!$A$5:$L$35, 6, false) * G549 / 1000, 0)</f>
        <v>0</v>
      </c>
      <c r="I549" s="29"/>
      <c r="J549" s="22" t="str">
        <f>IFERROR(I549*VLOOKUP(D549,'Crafting Tables'!$1:$1000, 4, false)*F549,"")</f>
        <v/>
      </c>
      <c r="K549" s="29" t="b">
        <v>0</v>
      </c>
      <c r="L549" s="37"/>
      <c r="M549" s="29"/>
      <c r="N549" s="21" t="str">
        <f t="shared" si="2"/>
        <v/>
      </c>
      <c r="P549" s="37"/>
      <c r="Q549" s="29"/>
      <c r="R549" s="29" t="b">
        <v>0</v>
      </c>
      <c r="S549" s="22" t="str">
        <f t="shared" si="3"/>
        <v/>
      </c>
      <c r="T549" s="7">
        <f>IF(ISBLANK(P549), 0, VLOOKUP(P549, 'Price Sheet'!$A$2:$B1015, 2, false))</f>
        <v>0</v>
      </c>
      <c r="U549" s="33" t="str">
        <f t="shared" si="4"/>
        <v/>
      </c>
      <c r="V549" s="37"/>
      <c r="W549" s="29"/>
      <c r="X549" s="29" t="b">
        <v>0</v>
      </c>
      <c r="Y549" s="22" t="str">
        <f t="shared" si="5"/>
        <v/>
      </c>
      <c r="Z549" s="7">
        <f>IF(ISBLANK(V549), 0, VLOOKUP(V549, 'Price Sheet'!$A$2:$B1015, 2, false))</f>
        <v>0</v>
      </c>
      <c r="AA549" s="33" t="str">
        <f t="shared" si="6"/>
        <v/>
      </c>
      <c r="AB549" s="37"/>
      <c r="AC549" s="29"/>
      <c r="AD549" s="29" t="b">
        <v>0</v>
      </c>
      <c r="AE549" s="22" t="str">
        <f t="shared" si="7"/>
        <v/>
      </c>
      <c r="AF549" s="7">
        <f>IF(ISBLANK(AB549), 0, VLOOKUP(AB549, 'Price Sheet'!$A$2:$B1015, 2, false))</f>
        <v>0</v>
      </c>
      <c r="AG549" s="33" t="str">
        <f t="shared" si="8"/>
        <v/>
      </c>
      <c r="AH549" s="37"/>
      <c r="AI549" s="29"/>
      <c r="AJ549" s="29" t="b">
        <v>0</v>
      </c>
      <c r="AK549" s="22" t="str">
        <f t="shared" si="9"/>
        <v/>
      </c>
      <c r="AL549" s="7">
        <f>IF(ISBLANK(AH549), 0, VLOOKUP(AH549, 'Price Sheet'!$A$2:$B1015, 2, false))</f>
        <v>0</v>
      </c>
      <c r="AM549" s="33" t="str">
        <f t="shared" si="10"/>
        <v/>
      </c>
      <c r="AN549" s="37"/>
      <c r="AO549" s="29"/>
      <c r="AP549" s="29" t="b">
        <v>0</v>
      </c>
      <c r="AQ549" s="22" t="str">
        <f t="shared" si="11"/>
        <v/>
      </c>
      <c r="AR549" s="7">
        <f>IF(ISBLANK(AN549), 0, VLOOKUP(AN549, 'Price Sheet'!$A$2:$B1015, 2, false))</f>
        <v>0</v>
      </c>
      <c r="AS549" s="33" t="str">
        <f t="shared" si="12"/>
        <v/>
      </c>
      <c r="AT549" s="37"/>
      <c r="AU549" s="29"/>
      <c r="AV549" s="29" t="b">
        <v>0</v>
      </c>
      <c r="AW549" s="22" t="str">
        <f t="shared" si="13"/>
        <v/>
      </c>
      <c r="AX549" s="7">
        <f>IF(ISBLANK(AT549), 0, VLOOKUP(AT549, 'Price Sheet'!$A$2:$B1015, 2, false))</f>
        <v>0</v>
      </c>
      <c r="AY549" s="33" t="str">
        <f t="shared" si="14"/>
        <v/>
      </c>
      <c r="AZ549" s="37"/>
      <c r="BA549" s="29"/>
      <c r="BB549" s="29" t="b">
        <v>0</v>
      </c>
      <c r="BC549" s="22" t="str">
        <f t="shared" si="15"/>
        <v/>
      </c>
      <c r="BD549" s="7">
        <f>IF(ISBLANK(AZ549), 0, VLOOKUP(AZ549, 'Price Sheet'!$A$2:$B1015, 2, false))</f>
        <v>0</v>
      </c>
      <c r="BE549" s="33" t="str">
        <f t="shared" si="16"/>
        <v/>
      </c>
      <c r="BF549" s="37"/>
      <c r="BG549" s="29"/>
      <c r="BH549" s="29" t="b">
        <v>0</v>
      </c>
      <c r="BI549" s="22" t="str">
        <f t="shared" si="17"/>
        <v/>
      </c>
      <c r="BJ549" s="7">
        <f>IF(ISBLANK(BF549), 0, VLOOKUP(BF549, 'Price Sheet'!$A$2:$B1015, 2, false))</f>
        <v>0</v>
      </c>
      <c r="BK549" s="33" t="str">
        <f t="shared" si="18"/>
        <v/>
      </c>
      <c r="BL549" s="37"/>
      <c r="BM549" s="29"/>
      <c r="BN549" s="29" t="b">
        <v>0</v>
      </c>
      <c r="BO549" s="22" t="str">
        <f t="shared" si="19"/>
        <v/>
      </c>
      <c r="BP549" s="7">
        <f>IF(ISBLANK(BL549), 0, VLOOKUP(BL549, 'Price Sheet'!$A$2:$B1015, 2, false))</f>
        <v>0</v>
      </c>
      <c r="BQ549" s="33" t="str">
        <f t="shared" si="20"/>
        <v/>
      </c>
    </row>
    <row r="550">
      <c r="B550" s="19"/>
      <c r="C550" s="29"/>
      <c r="D550" s="29"/>
      <c r="E550" s="7" t="str">
        <f>IF(ISBLANK(D550), "", VLOOKUP(D550,'Crafting Tables'!$A$2:$B1015, 2, false))</f>
        <v/>
      </c>
      <c r="F550" s="7" t="str">
        <f>IFERROR(IF(E550 = "None", 1, VLOOKUP(C550,General!$A$5:$L$35, SWITCH(E550, "Basic", 8, "Advanced", 10, "Modern", 12), false)),"")</f>
        <v/>
      </c>
      <c r="G550" s="29"/>
      <c r="H550" s="7">
        <f>IFERROR(VLOOKUP(C550, General!$A$5:$L$35, 6, false) * G550 / 1000, 0)</f>
        <v>0</v>
      </c>
      <c r="I550" s="29"/>
      <c r="J550" s="22" t="str">
        <f>IFERROR(I550*VLOOKUP(D550,'Crafting Tables'!$1:$1000, 4, false)*F550,"")</f>
        <v/>
      </c>
      <c r="K550" s="29" t="b">
        <v>0</v>
      </c>
      <c r="L550" s="37"/>
      <c r="M550" s="29"/>
      <c r="N550" s="21" t="str">
        <f t="shared" si="2"/>
        <v/>
      </c>
      <c r="P550" s="37"/>
      <c r="Q550" s="29"/>
      <c r="R550" s="29" t="b">
        <v>0</v>
      </c>
      <c r="S550" s="22" t="str">
        <f t="shared" si="3"/>
        <v/>
      </c>
      <c r="T550" s="7">
        <f>IF(ISBLANK(P550), 0, VLOOKUP(P550, 'Price Sheet'!$A$2:$B1015, 2, false))</f>
        <v>0</v>
      </c>
      <c r="U550" s="33" t="str">
        <f t="shared" si="4"/>
        <v/>
      </c>
      <c r="V550" s="37"/>
      <c r="W550" s="29"/>
      <c r="X550" s="29" t="b">
        <v>0</v>
      </c>
      <c r="Y550" s="22" t="str">
        <f t="shared" si="5"/>
        <v/>
      </c>
      <c r="Z550" s="7">
        <f>IF(ISBLANK(V550), 0, VLOOKUP(V550, 'Price Sheet'!$A$2:$B1015, 2, false))</f>
        <v>0</v>
      </c>
      <c r="AA550" s="33" t="str">
        <f t="shared" si="6"/>
        <v/>
      </c>
      <c r="AB550" s="37"/>
      <c r="AC550" s="29"/>
      <c r="AD550" s="29" t="b">
        <v>0</v>
      </c>
      <c r="AE550" s="22" t="str">
        <f t="shared" si="7"/>
        <v/>
      </c>
      <c r="AF550" s="7">
        <f>IF(ISBLANK(AB550), 0, VLOOKUP(AB550, 'Price Sheet'!$A$2:$B1015, 2, false))</f>
        <v>0</v>
      </c>
      <c r="AG550" s="33" t="str">
        <f t="shared" si="8"/>
        <v/>
      </c>
      <c r="AH550" s="37"/>
      <c r="AI550" s="29"/>
      <c r="AJ550" s="29" t="b">
        <v>0</v>
      </c>
      <c r="AK550" s="22" t="str">
        <f t="shared" si="9"/>
        <v/>
      </c>
      <c r="AL550" s="7">
        <f>IF(ISBLANK(AH550), 0, VLOOKUP(AH550, 'Price Sheet'!$A$2:$B1015, 2, false))</f>
        <v>0</v>
      </c>
      <c r="AM550" s="33" t="str">
        <f t="shared" si="10"/>
        <v/>
      </c>
      <c r="AN550" s="37"/>
      <c r="AO550" s="29"/>
      <c r="AP550" s="29" t="b">
        <v>0</v>
      </c>
      <c r="AQ550" s="22" t="str">
        <f t="shared" si="11"/>
        <v/>
      </c>
      <c r="AR550" s="7">
        <f>IF(ISBLANK(AN550), 0, VLOOKUP(AN550, 'Price Sheet'!$A$2:$B1015, 2, false))</f>
        <v>0</v>
      </c>
      <c r="AS550" s="33" t="str">
        <f t="shared" si="12"/>
        <v/>
      </c>
      <c r="AT550" s="37"/>
      <c r="AU550" s="29"/>
      <c r="AV550" s="29" t="b">
        <v>0</v>
      </c>
      <c r="AW550" s="22" t="str">
        <f t="shared" si="13"/>
        <v/>
      </c>
      <c r="AX550" s="7">
        <f>IF(ISBLANK(AT550), 0, VLOOKUP(AT550, 'Price Sheet'!$A$2:$B1015, 2, false))</f>
        <v>0</v>
      </c>
      <c r="AY550" s="33" t="str">
        <f t="shared" si="14"/>
        <v/>
      </c>
      <c r="AZ550" s="37"/>
      <c r="BA550" s="29"/>
      <c r="BB550" s="29" t="b">
        <v>0</v>
      </c>
      <c r="BC550" s="22" t="str">
        <f t="shared" si="15"/>
        <v/>
      </c>
      <c r="BD550" s="7">
        <f>IF(ISBLANK(AZ550), 0, VLOOKUP(AZ550, 'Price Sheet'!$A$2:$B1015, 2, false))</f>
        <v>0</v>
      </c>
      <c r="BE550" s="33" t="str">
        <f t="shared" si="16"/>
        <v/>
      </c>
      <c r="BF550" s="37"/>
      <c r="BG550" s="29"/>
      <c r="BH550" s="29" t="b">
        <v>0</v>
      </c>
      <c r="BI550" s="22" t="str">
        <f t="shared" si="17"/>
        <v/>
      </c>
      <c r="BJ550" s="7">
        <f>IF(ISBLANK(BF550), 0, VLOOKUP(BF550, 'Price Sheet'!$A$2:$B1015, 2, false))</f>
        <v>0</v>
      </c>
      <c r="BK550" s="33" t="str">
        <f t="shared" si="18"/>
        <v/>
      </c>
      <c r="BL550" s="37"/>
      <c r="BM550" s="29"/>
      <c r="BN550" s="29" t="b">
        <v>0</v>
      </c>
      <c r="BO550" s="22" t="str">
        <f t="shared" si="19"/>
        <v/>
      </c>
      <c r="BP550" s="7">
        <f>IF(ISBLANK(BL550), 0, VLOOKUP(BL550, 'Price Sheet'!$A$2:$B1015, 2, false))</f>
        <v>0</v>
      </c>
      <c r="BQ550" s="33" t="str">
        <f t="shared" si="20"/>
        <v/>
      </c>
    </row>
    <row r="551">
      <c r="B551" s="19"/>
      <c r="C551" s="29"/>
      <c r="D551" s="29"/>
      <c r="E551" s="7" t="str">
        <f>IF(ISBLANK(D551), "", VLOOKUP(D551,'Crafting Tables'!$A$2:$B1015, 2, false))</f>
        <v/>
      </c>
      <c r="F551" s="7" t="str">
        <f>IFERROR(IF(E551 = "None", 1, VLOOKUP(C551,General!$A$5:$L$35, SWITCH(E551, "Basic", 8, "Advanced", 10, "Modern", 12), false)),"")</f>
        <v/>
      </c>
      <c r="G551" s="29"/>
      <c r="H551" s="7">
        <f>IFERROR(VLOOKUP(C551, General!$A$5:$L$35, 6, false) * G551 / 1000, 0)</f>
        <v>0</v>
      </c>
      <c r="I551" s="29"/>
      <c r="J551" s="22" t="str">
        <f>IFERROR(I551*VLOOKUP(D551,'Crafting Tables'!$1:$1000, 4, false)*F551,"")</f>
        <v/>
      </c>
      <c r="K551" s="29" t="b">
        <v>0</v>
      </c>
      <c r="L551" s="37"/>
      <c r="M551" s="29"/>
      <c r="N551" s="21" t="str">
        <f t="shared" si="2"/>
        <v/>
      </c>
      <c r="P551" s="37"/>
      <c r="Q551" s="29"/>
      <c r="R551" s="29" t="b">
        <v>0</v>
      </c>
      <c r="S551" s="22" t="str">
        <f t="shared" si="3"/>
        <v/>
      </c>
      <c r="T551" s="7">
        <f>IF(ISBLANK(P551), 0, VLOOKUP(P551, 'Price Sheet'!$A$2:$B1015, 2, false))</f>
        <v>0</v>
      </c>
      <c r="U551" s="33" t="str">
        <f t="shared" si="4"/>
        <v/>
      </c>
      <c r="V551" s="37"/>
      <c r="W551" s="29"/>
      <c r="X551" s="29" t="b">
        <v>0</v>
      </c>
      <c r="Y551" s="22" t="str">
        <f t="shared" si="5"/>
        <v/>
      </c>
      <c r="Z551" s="7">
        <f>IF(ISBLANK(V551), 0, VLOOKUP(V551, 'Price Sheet'!$A$2:$B1015, 2, false))</f>
        <v>0</v>
      </c>
      <c r="AA551" s="33" t="str">
        <f t="shared" si="6"/>
        <v/>
      </c>
      <c r="AB551" s="37"/>
      <c r="AC551" s="29"/>
      <c r="AD551" s="29" t="b">
        <v>0</v>
      </c>
      <c r="AE551" s="22" t="str">
        <f t="shared" si="7"/>
        <v/>
      </c>
      <c r="AF551" s="7">
        <f>IF(ISBLANK(AB551), 0, VLOOKUP(AB551, 'Price Sheet'!$A$2:$B1015, 2, false))</f>
        <v>0</v>
      </c>
      <c r="AG551" s="33" t="str">
        <f t="shared" si="8"/>
        <v/>
      </c>
      <c r="AH551" s="37"/>
      <c r="AI551" s="29"/>
      <c r="AJ551" s="29" t="b">
        <v>0</v>
      </c>
      <c r="AK551" s="22" t="str">
        <f t="shared" si="9"/>
        <v/>
      </c>
      <c r="AL551" s="7">
        <f>IF(ISBLANK(AH551), 0, VLOOKUP(AH551, 'Price Sheet'!$A$2:$B1015, 2, false))</f>
        <v>0</v>
      </c>
      <c r="AM551" s="33" t="str">
        <f t="shared" si="10"/>
        <v/>
      </c>
      <c r="AN551" s="37"/>
      <c r="AO551" s="29"/>
      <c r="AP551" s="29" t="b">
        <v>0</v>
      </c>
      <c r="AQ551" s="22" t="str">
        <f t="shared" si="11"/>
        <v/>
      </c>
      <c r="AR551" s="7">
        <f>IF(ISBLANK(AN551), 0, VLOOKUP(AN551, 'Price Sheet'!$A$2:$B1015, 2, false))</f>
        <v>0</v>
      </c>
      <c r="AS551" s="33" t="str">
        <f t="shared" si="12"/>
        <v/>
      </c>
      <c r="AT551" s="37"/>
      <c r="AU551" s="29"/>
      <c r="AV551" s="29" t="b">
        <v>0</v>
      </c>
      <c r="AW551" s="22" t="str">
        <f t="shared" si="13"/>
        <v/>
      </c>
      <c r="AX551" s="7">
        <f>IF(ISBLANK(AT551), 0, VLOOKUP(AT551, 'Price Sheet'!$A$2:$B1015, 2, false))</f>
        <v>0</v>
      </c>
      <c r="AY551" s="33" t="str">
        <f t="shared" si="14"/>
        <v/>
      </c>
      <c r="AZ551" s="37"/>
      <c r="BA551" s="29"/>
      <c r="BB551" s="29" t="b">
        <v>0</v>
      </c>
      <c r="BC551" s="22" t="str">
        <f t="shared" si="15"/>
        <v/>
      </c>
      <c r="BD551" s="7">
        <f>IF(ISBLANK(AZ551), 0, VLOOKUP(AZ551, 'Price Sheet'!$A$2:$B1015, 2, false))</f>
        <v>0</v>
      </c>
      <c r="BE551" s="33" t="str">
        <f t="shared" si="16"/>
        <v/>
      </c>
      <c r="BF551" s="37"/>
      <c r="BG551" s="29"/>
      <c r="BH551" s="29" t="b">
        <v>0</v>
      </c>
      <c r="BI551" s="22" t="str">
        <f t="shared" si="17"/>
        <v/>
      </c>
      <c r="BJ551" s="7">
        <f>IF(ISBLANK(BF551), 0, VLOOKUP(BF551, 'Price Sheet'!$A$2:$B1015, 2, false))</f>
        <v>0</v>
      </c>
      <c r="BK551" s="33" t="str">
        <f t="shared" si="18"/>
        <v/>
      </c>
      <c r="BL551" s="37"/>
      <c r="BM551" s="29"/>
      <c r="BN551" s="29" t="b">
        <v>0</v>
      </c>
      <c r="BO551" s="22" t="str">
        <f t="shared" si="19"/>
        <v/>
      </c>
      <c r="BP551" s="7">
        <f>IF(ISBLANK(BL551), 0, VLOOKUP(BL551, 'Price Sheet'!$A$2:$B1015, 2, false))</f>
        <v>0</v>
      </c>
      <c r="BQ551" s="33" t="str">
        <f t="shared" si="20"/>
        <v/>
      </c>
    </row>
    <row r="552">
      <c r="B552" s="19"/>
      <c r="C552" s="29"/>
      <c r="D552" s="29"/>
      <c r="E552" s="7" t="str">
        <f>IF(ISBLANK(D552), "", VLOOKUP(D552,'Crafting Tables'!$A$2:$B1015, 2, false))</f>
        <v/>
      </c>
      <c r="F552" s="7" t="str">
        <f>IFERROR(IF(E552 = "None", 1, VLOOKUP(C552,General!$A$5:$L$35, SWITCH(E552, "Basic", 8, "Advanced", 10, "Modern", 12), false)),"")</f>
        <v/>
      </c>
      <c r="G552" s="29"/>
      <c r="H552" s="7">
        <f>IFERROR(VLOOKUP(C552, General!$A$5:$L$35, 6, false) * G552 / 1000, 0)</f>
        <v>0</v>
      </c>
      <c r="I552" s="29"/>
      <c r="J552" s="22" t="str">
        <f>IFERROR(I552*VLOOKUP(D552,'Crafting Tables'!$1:$1000, 4, false)*F552,"")</f>
        <v/>
      </c>
      <c r="K552" s="29" t="b">
        <v>0</v>
      </c>
      <c r="L552" s="37"/>
      <c r="M552" s="29"/>
      <c r="N552" s="21" t="str">
        <f t="shared" si="2"/>
        <v/>
      </c>
      <c r="P552" s="37"/>
      <c r="Q552" s="29"/>
      <c r="R552" s="29" t="b">
        <v>0</v>
      </c>
      <c r="S552" s="22" t="str">
        <f t="shared" si="3"/>
        <v/>
      </c>
      <c r="T552" s="7">
        <f>IF(ISBLANK(P552), 0, VLOOKUP(P552, 'Price Sheet'!$A$2:$B1015, 2, false))</f>
        <v>0</v>
      </c>
      <c r="U552" s="33" t="str">
        <f t="shared" si="4"/>
        <v/>
      </c>
      <c r="V552" s="37"/>
      <c r="W552" s="29"/>
      <c r="X552" s="29" t="b">
        <v>0</v>
      </c>
      <c r="Y552" s="22" t="str">
        <f t="shared" si="5"/>
        <v/>
      </c>
      <c r="Z552" s="7">
        <f>IF(ISBLANK(V552), 0, VLOOKUP(V552, 'Price Sheet'!$A$2:$B1015, 2, false))</f>
        <v>0</v>
      </c>
      <c r="AA552" s="33" t="str">
        <f t="shared" si="6"/>
        <v/>
      </c>
      <c r="AB552" s="37"/>
      <c r="AC552" s="29"/>
      <c r="AD552" s="29" t="b">
        <v>0</v>
      </c>
      <c r="AE552" s="22" t="str">
        <f t="shared" si="7"/>
        <v/>
      </c>
      <c r="AF552" s="7">
        <f>IF(ISBLANK(AB552), 0, VLOOKUP(AB552, 'Price Sheet'!$A$2:$B1015, 2, false))</f>
        <v>0</v>
      </c>
      <c r="AG552" s="33" t="str">
        <f t="shared" si="8"/>
        <v/>
      </c>
      <c r="AH552" s="37"/>
      <c r="AI552" s="29"/>
      <c r="AJ552" s="29" t="b">
        <v>0</v>
      </c>
      <c r="AK552" s="22" t="str">
        <f t="shared" si="9"/>
        <v/>
      </c>
      <c r="AL552" s="7">
        <f>IF(ISBLANK(AH552), 0, VLOOKUP(AH552, 'Price Sheet'!$A$2:$B1015, 2, false))</f>
        <v>0</v>
      </c>
      <c r="AM552" s="33" t="str">
        <f t="shared" si="10"/>
        <v/>
      </c>
      <c r="AN552" s="37"/>
      <c r="AO552" s="29"/>
      <c r="AP552" s="29" t="b">
        <v>0</v>
      </c>
      <c r="AQ552" s="22" t="str">
        <f t="shared" si="11"/>
        <v/>
      </c>
      <c r="AR552" s="7">
        <f>IF(ISBLANK(AN552), 0, VLOOKUP(AN552, 'Price Sheet'!$A$2:$B1015, 2, false))</f>
        <v>0</v>
      </c>
      <c r="AS552" s="33" t="str">
        <f t="shared" si="12"/>
        <v/>
      </c>
      <c r="AT552" s="37"/>
      <c r="AU552" s="29"/>
      <c r="AV552" s="29" t="b">
        <v>0</v>
      </c>
      <c r="AW552" s="22" t="str">
        <f t="shared" si="13"/>
        <v/>
      </c>
      <c r="AX552" s="7">
        <f>IF(ISBLANK(AT552), 0, VLOOKUP(AT552, 'Price Sheet'!$A$2:$B1015, 2, false))</f>
        <v>0</v>
      </c>
      <c r="AY552" s="33" t="str">
        <f t="shared" si="14"/>
        <v/>
      </c>
      <c r="AZ552" s="37"/>
      <c r="BA552" s="29"/>
      <c r="BB552" s="29" t="b">
        <v>0</v>
      </c>
      <c r="BC552" s="22" t="str">
        <f t="shared" si="15"/>
        <v/>
      </c>
      <c r="BD552" s="7">
        <f>IF(ISBLANK(AZ552), 0, VLOOKUP(AZ552, 'Price Sheet'!$A$2:$B1015, 2, false))</f>
        <v>0</v>
      </c>
      <c r="BE552" s="33" t="str">
        <f t="shared" si="16"/>
        <v/>
      </c>
      <c r="BF552" s="37"/>
      <c r="BG552" s="29"/>
      <c r="BH552" s="29" t="b">
        <v>0</v>
      </c>
      <c r="BI552" s="22" t="str">
        <f t="shared" si="17"/>
        <v/>
      </c>
      <c r="BJ552" s="7">
        <f>IF(ISBLANK(BF552), 0, VLOOKUP(BF552, 'Price Sheet'!$A$2:$B1015, 2, false))</f>
        <v>0</v>
      </c>
      <c r="BK552" s="33" t="str">
        <f t="shared" si="18"/>
        <v/>
      </c>
      <c r="BL552" s="37"/>
      <c r="BM552" s="29"/>
      <c r="BN552" s="29" t="b">
        <v>0</v>
      </c>
      <c r="BO552" s="22" t="str">
        <f t="shared" si="19"/>
        <v/>
      </c>
      <c r="BP552" s="7">
        <f>IF(ISBLANK(BL552), 0, VLOOKUP(BL552, 'Price Sheet'!$A$2:$B1015, 2, false))</f>
        <v>0</v>
      </c>
      <c r="BQ552" s="33" t="str">
        <f t="shared" si="20"/>
        <v/>
      </c>
    </row>
    <row r="553">
      <c r="B553" s="19"/>
      <c r="C553" s="29"/>
      <c r="D553" s="29"/>
      <c r="E553" s="7" t="str">
        <f>IF(ISBLANK(D553), "", VLOOKUP(D553,'Crafting Tables'!$A$2:$B1015, 2, false))</f>
        <v/>
      </c>
      <c r="F553" s="7" t="str">
        <f>IFERROR(IF(E553 = "None", 1, VLOOKUP(C553,General!$A$5:$L$35, SWITCH(E553, "Basic", 8, "Advanced", 10, "Modern", 12), false)),"")</f>
        <v/>
      </c>
      <c r="G553" s="29"/>
      <c r="H553" s="7">
        <f>IFERROR(VLOOKUP(C553, General!$A$5:$L$35, 6, false) * G553 / 1000, 0)</f>
        <v>0</v>
      </c>
      <c r="I553" s="29"/>
      <c r="J553" s="22" t="str">
        <f>IFERROR(I553*VLOOKUP(D553,'Crafting Tables'!$1:$1000, 4, false)*F553,"")</f>
        <v/>
      </c>
      <c r="K553" s="29" t="b">
        <v>0</v>
      </c>
      <c r="L553" s="37"/>
      <c r="M553" s="29"/>
      <c r="N553" s="21" t="str">
        <f t="shared" si="2"/>
        <v/>
      </c>
      <c r="P553" s="37"/>
      <c r="Q553" s="29"/>
      <c r="R553" s="29" t="b">
        <v>0</v>
      </c>
      <c r="S553" s="22" t="str">
        <f t="shared" si="3"/>
        <v/>
      </c>
      <c r="T553" s="7">
        <f>IF(ISBLANK(P553), 0, VLOOKUP(P553, 'Price Sheet'!$A$2:$B1015, 2, false))</f>
        <v>0</v>
      </c>
      <c r="U553" s="33" t="str">
        <f t="shared" si="4"/>
        <v/>
      </c>
      <c r="V553" s="37"/>
      <c r="W553" s="29"/>
      <c r="X553" s="29" t="b">
        <v>0</v>
      </c>
      <c r="Y553" s="22" t="str">
        <f t="shared" si="5"/>
        <v/>
      </c>
      <c r="Z553" s="7">
        <f>IF(ISBLANK(V553), 0, VLOOKUP(V553, 'Price Sheet'!$A$2:$B1015, 2, false))</f>
        <v>0</v>
      </c>
      <c r="AA553" s="33" t="str">
        <f t="shared" si="6"/>
        <v/>
      </c>
      <c r="AB553" s="37"/>
      <c r="AC553" s="29"/>
      <c r="AD553" s="29" t="b">
        <v>0</v>
      </c>
      <c r="AE553" s="22" t="str">
        <f t="shared" si="7"/>
        <v/>
      </c>
      <c r="AF553" s="7">
        <f>IF(ISBLANK(AB553), 0, VLOOKUP(AB553, 'Price Sheet'!$A$2:$B1015, 2, false))</f>
        <v>0</v>
      </c>
      <c r="AG553" s="33" t="str">
        <f t="shared" si="8"/>
        <v/>
      </c>
      <c r="AH553" s="37"/>
      <c r="AI553" s="29"/>
      <c r="AJ553" s="29" t="b">
        <v>0</v>
      </c>
      <c r="AK553" s="22" t="str">
        <f t="shared" si="9"/>
        <v/>
      </c>
      <c r="AL553" s="7">
        <f>IF(ISBLANK(AH553), 0, VLOOKUP(AH553, 'Price Sheet'!$A$2:$B1015, 2, false))</f>
        <v>0</v>
      </c>
      <c r="AM553" s="33" t="str">
        <f t="shared" si="10"/>
        <v/>
      </c>
      <c r="AN553" s="37"/>
      <c r="AO553" s="29"/>
      <c r="AP553" s="29" t="b">
        <v>0</v>
      </c>
      <c r="AQ553" s="22" t="str">
        <f t="shared" si="11"/>
        <v/>
      </c>
      <c r="AR553" s="7">
        <f>IF(ISBLANK(AN553), 0, VLOOKUP(AN553, 'Price Sheet'!$A$2:$B1015, 2, false))</f>
        <v>0</v>
      </c>
      <c r="AS553" s="33" t="str">
        <f t="shared" si="12"/>
        <v/>
      </c>
      <c r="AT553" s="37"/>
      <c r="AU553" s="29"/>
      <c r="AV553" s="29" t="b">
        <v>0</v>
      </c>
      <c r="AW553" s="22" t="str">
        <f t="shared" si="13"/>
        <v/>
      </c>
      <c r="AX553" s="7">
        <f>IF(ISBLANK(AT553), 0, VLOOKUP(AT553, 'Price Sheet'!$A$2:$B1015, 2, false))</f>
        <v>0</v>
      </c>
      <c r="AY553" s="33" t="str">
        <f t="shared" si="14"/>
        <v/>
      </c>
      <c r="AZ553" s="37"/>
      <c r="BA553" s="29"/>
      <c r="BB553" s="29" t="b">
        <v>0</v>
      </c>
      <c r="BC553" s="22" t="str">
        <f t="shared" si="15"/>
        <v/>
      </c>
      <c r="BD553" s="7">
        <f>IF(ISBLANK(AZ553), 0, VLOOKUP(AZ553, 'Price Sheet'!$A$2:$B1015, 2, false))</f>
        <v>0</v>
      </c>
      <c r="BE553" s="33" t="str">
        <f t="shared" si="16"/>
        <v/>
      </c>
      <c r="BF553" s="37"/>
      <c r="BG553" s="29"/>
      <c r="BH553" s="29" t="b">
        <v>0</v>
      </c>
      <c r="BI553" s="22" t="str">
        <f t="shared" si="17"/>
        <v/>
      </c>
      <c r="BJ553" s="7">
        <f>IF(ISBLANK(BF553), 0, VLOOKUP(BF553, 'Price Sheet'!$A$2:$B1015, 2, false))</f>
        <v>0</v>
      </c>
      <c r="BK553" s="33" t="str">
        <f t="shared" si="18"/>
        <v/>
      </c>
      <c r="BL553" s="37"/>
      <c r="BM553" s="29"/>
      <c r="BN553" s="29" t="b">
        <v>0</v>
      </c>
      <c r="BO553" s="22" t="str">
        <f t="shared" si="19"/>
        <v/>
      </c>
      <c r="BP553" s="7">
        <f>IF(ISBLANK(BL553), 0, VLOOKUP(BL553, 'Price Sheet'!$A$2:$B1015, 2, false))</f>
        <v>0</v>
      </c>
      <c r="BQ553" s="33" t="str">
        <f t="shared" si="20"/>
        <v/>
      </c>
    </row>
    <row r="554">
      <c r="B554" s="19"/>
      <c r="C554" s="29"/>
      <c r="D554" s="29"/>
      <c r="E554" s="7" t="str">
        <f>IF(ISBLANK(D554), "", VLOOKUP(D554,'Crafting Tables'!$A$2:$B1015, 2, false))</f>
        <v/>
      </c>
      <c r="F554" s="7" t="str">
        <f>IFERROR(IF(E554 = "None", 1, VLOOKUP(C554,General!$A$5:$L$35, SWITCH(E554, "Basic", 8, "Advanced", 10, "Modern", 12), false)),"")</f>
        <v/>
      </c>
      <c r="G554" s="29"/>
      <c r="H554" s="7">
        <f>IFERROR(VLOOKUP(C554, General!$A$5:$L$35, 6, false) * G554 / 1000, 0)</f>
        <v>0</v>
      </c>
      <c r="I554" s="29"/>
      <c r="J554" s="22" t="str">
        <f>IFERROR(I554*VLOOKUP(D554,'Crafting Tables'!$1:$1000, 4, false)*F554,"")</f>
        <v/>
      </c>
      <c r="K554" s="29" t="b">
        <v>0</v>
      </c>
      <c r="L554" s="37"/>
      <c r="M554" s="29"/>
      <c r="N554" s="21" t="str">
        <f t="shared" si="2"/>
        <v/>
      </c>
      <c r="P554" s="37"/>
      <c r="Q554" s="29"/>
      <c r="R554" s="29" t="b">
        <v>0</v>
      </c>
      <c r="S554" s="22" t="str">
        <f t="shared" si="3"/>
        <v/>
      </c>
      <c r="T554" s="7">
        <f>IF(ISBLANK(P554), 0, VLOOKUP(P554, 'Price Sheet'!$A$2:$B1015, 2, false))</f>
        <v>0</v>
      </c>
      <c r="U554" s="33" t="str">
        <f t="shared" si="4"/>
        <v/>
      </c>
      <c r="V554" s="37"/>
      <c r="W554" s="29"/>
      <c r="X554" s="29" t="b">
        <v>0</v>
      </c>
      <c r="Y554" s="22" t="str">
        <f t="shared" si="5"/>
        <v/>
      </c>
      <c r="Z554" s="7">
        <f>IF(ISBLANK(V554), 0, VLOOKUP(V554, 'Price Sheet'!$A$2:$B1015, 2, false))</f>
        <v>0</v>
      </c>
      <c r="AA554" s="33" t="str">
        <f t="shared" si="6"/>
        <v/>
      </c>
      <c r="AB554" s="37"/>
      <c r="AC554" s="29"/>
      <c r="AD554" s="29" t="b">
        <v>0</v>
      </c>
      <c r="AE554" s="22" t="str">
        <f t="shared" si="7"/>
        <v/>
      </c>
      <c r="AF554" s="7">
        <f>IF(ISBLANK(AB554), 0, VLOOKUP(AB554, 'Price Sheet'!$A$2:$B1015, 2, false))</f>
        <v>0</v>
      </c>
      <c r="AG554" s="33" t="str">
        <f t="shared" si="8"/>
        <v/>
      </c>
      <c r="AH554" s="37"/>
      <c r="AI554" s="29"/>
      <c r="AJ554" s="29" t="b">
        <v>0</v>
      </c>
      <c r="AK554" s="22" t="str">
        <f t="shared" si="9"/>
        <v/>
      </c>
      <c r="AL554" s="7">
        <f>IF(ISBLANK(AH554), 0, VLOOKUP(AH554, 'Price Sheet'!$A$2:$B1015, 2, false))</f>
        <v>0</v>
      </c>
      <c r="AM554" s="33" t="str">
        <f t="shared" si="10"/>
        <v/>
      </c>
      <c r="AN554" s="37"/>
      <c r="AO554" s="29"/>
      <c r="AP554" s="29" t="b">
        <v>0</v>
      </c>
      <c r="AQ554" s="22" t="str">
        <f t="shared" si="11"/>
        <v/>
      </c>
      <c r="AR554" s="7">
        <f>IF(ISBLANK(AN554), 0, VLOOKUP(AN554, 'Price Sheet'!$A$2:$B1015, 2, false))</f>
        <v>0</v>
      </c>
      <c r="AS554" s="33" t="str">
        <f t="shared" si="12"/>
        <v/>
      </c>
      <c r="AT554" s="37"/>
      <c r="AU554" s="29"/>
      <c r="AV554" s="29" t="b">
        <v>0</v>
      </c>
      <c r="AW554" s="22" t="str">
        <f t="shared" si="13"/>
        <v/>
      </c>
      <c r="AX554" s="7">
        <f>IF(ISBLANK(AT554), 0, VLOOKUP(AT554, 'Price Sheet'!$A$2:$B1015, 2, false))</f>
        <v>0</v>
      </c>
      <c r="AY554" s="33" t="str">
        <f t="shared" si="14"/>
        <v/>
      </c>
      <c r="AZ554" s="37"/>
      <c r="BA554" s="29"/>
      <c r="BB554" s="29" t="b">
        <v>0</v>
      </c>
      <c r="BC554" s="22" t="str">
        <f t="shared" si="15"/>
        <v/>
      </c>
      <c r="BD554" s="7">
        <f>IF(ISBLANK(AZ554), 0, VLOOKUP(AZ554, 'Price Sheet'!$A$2:$B1015, 2, false))</f>
        <v>0</v>
      </c>
      <c r="BE554" s="33" t="str">
        <f t="shared" si="16"/>
        <v/>
      </c>
      <c r="BF554" s="37"/>
      <c r="BG554" s="29"/>
      <c r="BH554" s="29" t="b">
        <v>0</v>
      </c>
      <c r="BI554" s="22" t="str">
        <f t="shared" si="17"/>
        <v/>
      </c>
      <c r="BJ554" s="7">
        <f>IF(ISBLANK(BF554), 0, VLOOKUP(BF554, 'Price Sheet'!$A$2:$B1015, 2, false))</f>
        <v>0</v>
      </c>
      <c r="BK554" s="33" t="str">
        <f t="shared" si="18"/>
        <v/>
      </c>
      <c r="BL554" s="37"/>
      <c r="BM554" s="29"/>
      <c r="BN554" s="29" t="b">
        <v>0</v>
      </c>
      <c r="BO554" s="22" t="str">
        <f t="shared" si="19"/>
        <v/>
      </c>
      <c r="BP554" s="7">
        <f>IF(ISBLANK(BL554), 0, VLOOKUP(BL554, 'Price Sheet'!$A$2:$B1015, 2, false))</f>
        <v>0</v>
      </c>
      <c r="BQ554" s="33" t="str">
        <f t="shared" si="20"/>
        <v/>
      </c>
    </row>
    <row r="555">
      <c r="B555" s="19"/>
      <c r="C555" s="29"/>
      <c r="D555" s="29"/>
      <c r="E555" s="7" t="str">
        <f>IF(ISBLANK(D555), "", VLOOKUP(D555,'Crafting Tables'!$A$2:$B1015, 2, false))</f>
        <v/>
      </c>
      <c r="F555" s="7" t="str">
        <f>IFERROR(IF(E555 = "None", 1, VLOOKUP(C555,General!$A$5:$L$35, SWITCH(E555, "Basic", 8, "Advanced", 10, "Modern", 12), false)),"")</f>
        <v/>
      </c>
      <c r="G555" s="29"/>
      <c r="H555" s="7">
        <f>IFERROR(VLOOKUP(C555, General!$A$5:$L$35, 6, false) * G555 / 1000, 0)</f>
        <v>0</v>
      </c>
      <c r="I555" s="29"/>
      <c r="J555" s="22" t="str">
        <f>IFERROR(I555*VLOOKUP(D555,'Crafting Tables'!$1:$1000, 4, false)*F555,"")</f>
        <v/>
      </c>
      <c r="K555" s="29" t="b">
        <v>0</v>
      </c>
      <c r="L555" s="37"/>
      <c r="M555" s="29"/>
      <c r="N555" s="21" t="str">
        <f t="shared" si="2"/>
        <v/>
      </c>
      <c r="P555" s="37"/>
      <c r="Q555" s="29"/>
      <c r="R555" s="29" t="b">
        <v>0</v>
      </c>
      <c r="S555" s="22" t="str">
        <f t="shared" si="3"/>
        <v/>
      </c>
      <c r="T555" s="7">
        <f>IF(ISBLANK(P555), 0, VLOOKUP(P555, 'Price Sheet'!$A$2:$B1015, 2, false))</f>
        <v>0</v>
      </c>
      <c r="U555" s="33" t="str">
        <f t="shared" si="4"/>
        <v/>
      </c>
      <c r="V555" s="37"/>
      <c r="W555" s="29"/>
      <c r="X555" s="29" t="b">
        <v>0</v>
      </c>
      <c r="Y555" s="22" t="str">
        <f t="shared" si="5"/>
        <v/>
      </c>
      <c r="Z555" s="7">
        <f>IF(ISBLANK(V555), 0, VLOOKUP(V555, 'Price Sheet'!$A$2:$B1015, 2, false))</f>
        <v>0</v>
      </c>
      <c r="AA555" s="33" t="str">
        <f t="shared" si="6"/>
        <v/>
      </c>
      <c r="AB555" s="37"/>
      <c r="AC555" s="29"/>
      <c r="AD555" s="29" t="b">
        <v>0</v>
      </c>
      <c r="AE555" s="22" t="str">
        <f t="shared" si="7"/>
        <v/>
      </c>
      <c r="AF555" s="7">
        <f>IF(ISBLANK(AB555), 0, VLOOKUP(AB555, 'Price Sheet'!$A$2:$B1015, 2, false))</f>
        <v>0</v>
      </c>
      <c r="AG555" s="33" t="str">
        <f t="shared" si="8"/>
        <v/>
      </c>
      <c r="AH555" s="37"/>
      <c r="AI555" s="29"/>
      <c r="AJ555" s="29" t="b">
        <v>0</v>
      </c>
      <c r="AK555" s="22" t="str">
        <f t="shared" si="9"/>
        <v/>
      </c>
      <c r="AL555" s="7">
        <f>IF(ISBLANK(AH555), 0, VLOOKUP(AH555, 'Price Sheet'!$A$2:$B1015, 2, false))</f>
        <v>0</v>
      </c>
      <c r="AM555" s="33" t="str">
        <f t="shared" si="10"/>
        <v/>
      </c>
      <c r="AN555" s="37"/>
      <c r="AO555" s="29"/>
      <c r="AP555" s="29" t="b">
        <v>0</v>
      </c>
      <c r="AQ555" s="22" t="str">
        <f t="shared" si="11"/>
        <v/>
      </c>
      <c r="AR555" s="7">
        <f>IF(ISBLANK(AN555), 0, VLOOKUP(AN555, 'Price Sheet'!$A$2:$B1015, 2, false))</f>
        <v>0</v>
      </c>
      <c r="AS555" s="33" t="str">
        <f t="shared" si="12"/>
        <v/>
      </c>
      <c r="AT555" s="37"/>
      <c r="AU555" s="29"/>
      <c r="AV555" s="29" t="b">
        <v>0</v>
      </c>
      <c r="AW555" s="22" t="str">
        <f t="shared" si="13"/>
        <v/>
      </c>
      <c r="AX555" s="7">
        <f>IF(ISBLANK(AT555), 0, VLOOKUP(AT555, 'Price Sheet'!$A$2:$B1015, 2, false))</f>
        <v>0</v>
      </c>
      <c r="AY555" s="33" t="str">
        <f t="shared" si="14"/>
        <v/>
      </c>
      <c r="AZ555" s="37"/>
      <c r="BA555" s="29"/>
      <c r="BB555" s="29" t="b">
        <v>0</v>
      </c>
      <c r="BC555" s="22" t="str">
        <f t="shared" si="15"/>
        <v/>
      </c>
      <c r="BD555" s="7">
        <f>IF(ISBLANK(AZ555), 0, VLOOKUP(AZ555, 'Price Sheet'!$A$2:$B1015, 2, false))</f>
        <v>0</v>
      </c>
      <c r="BE555" s="33" t="str">
        <f t="shared" si="16"/>
        <v/>
      </c>
      <c r="BF555" s="37"/>
      <c r="BG555" s="29"/>
      <c r="BH555" s="29" t="b">
        <v>0</v>
      </c>
      <c r="BI555" s="22" t="str">
        <f t="shared" si="17"/>
        <v/>
      </c>
      <c r="BJ555" s="7">
        <f>IF(ISBLANK(BF555), 0, VLOOKUP(BF555, 'Price Sheet'!$A$2:$B1015, 2, false))</f>
        <v>0</v>
      </c>
      <c r="BK555" s="33" t="str">
        <f t="shared" si="18"/>
        <v/>
      </c>
      <c r="BL555" s="37"/>
      <c r="BM555" s="29"/>
      <c r="BN555" s="29" t="b">
        <v>0</v>
      </c>
      <c r="BO555" s="22" t="str">
        <f t="shared" si="19"/>
        <v/>
      </c>
      <c r="BP555" s="7">
        <f>IF(ISBLANK(BL555), 0, VLOOKUP(BL555, 'Price Sheet'!$A$2:$B1015, 2, false))</f>
        <v>0</v>
      </c>
      <c r="BQ555" s="33" t="str">
        <f t="shared" si="20"/>
        <v/>
      </c>
    </row>
    <row r="556">
      <c r="B556" s="19"/>
      <c r="C556" s="29"/>
      <c r="D556" s="29"/>
      <c r="E556" s="7" t="str">
        <f>IF(ISBLANK(D556), "", VLOOKUP(D556,'Crafting Tables'!$A$2:$B1015, 2, false))</f>
        <v/>
      </c>
      <c r="F556" s="7" t="str">
        <f>IFERROR(IF(E556 = "None", 1, VLOOKUP(C556,General!$A$5:$L$35, SWITCH(E556, "Basic", 8, "Advanced", 10, "Modern", 12), false)),"")</f>
        <v/>
      </c>
      <c r="G556" s="29"/>
      <c r="H556" s="7">
        <f>IFERROR(VLOOKUP(C556, General!$A$5:$L$35, 6, false) * G556 / 1000, 0)</f>
        <v>0</v>
      </c>
      <c r="I556" s="29"/>
      <c r="J556" s="22" t="str">
        <f>IFERROR(I556*VLOOKUP(D556,'Crafting Tables'!$1:$1000, 4, false)*F556,"")</f>
        <v/>
      </c>
      <c r="K556" s="29" t="b">
        <v>0</v>
      </c>
      <c r="L556" s="37"/>
      <c r="M556" s="29"/>
      <c r="N556" s="21" t="str">
        <f t="shared" si="2"/>
        <v/>
      </c>
      <c r="P556" s="37"/>
      <c r="Q556" s="29"/>
      <c r="R556" s="29" t="b">
        <v>0</v>
      </c>
      <c r="S556" s="22" t="str">
        <f t="shared" si="3"/>
        <v/>
      </c>
      <c r="T556" s="7">
        <f>IF(ISBLANK(P556), 0, VLOOKUP(P556, 'Price Sheet'!$A$2:$B1015, 2, false))</f>
        <v>0</v>
      </c>
      <c r="U556" s="33" t="str">
        <f t="shared" si="4"/>
        <v/>
      </c>
      <c r="V556" s="37"/>
      <c r="W556" s="29"/>
      <c r="X556" s="29" t="b">
        <v>0</v>
      </c>
      <c r="Y556" s="22" t="str">
        <f t="shared" si="5"/>
        <v/>
      </c>
      <c r="Z556" s="7">
        <f>IF(ISBLANK(V556), 0, VLOOKUP(V556, 'Price Sheet'!$A$2:$B1015, 2, false))</f>
        <v>0</v>
      </c>
      <c r="AA556" s="33" t="str">
        <f t="shared" si="6"/>
        <v/>
      </c>
      <c r="AB556" s="37"/>
      <c r="AC556" s="29"/>
      <c r="AD556" s="29" t="b">
        <v>0</v>
      </c>
      <c r="AE556" s="22" t="str">
        <f t="shared" si="7"/>
        <v/>
      </c>
      <c r="AF556" s="7">
        <f>IF(ISBLANK(AB556), 0, VLOOKUP(AB556, 'Price Sheet'!$A$2:$B1015, 2, false))</f>
        <v>0</v>
      </c>
      <c r="AG556" s="33" t="str">
        <f t="shared" si="8"/>
        <v/>
      </c>
      <c r="AH556" s="37"/>
      <c r="AI556" s="29"/>
      <c r="AJ556" s="29" t="b">
        <v>0</v>
      </c>
      <c r="AK556" s="22" t="str">
        <f t="shared" si="9"/>
        <v/>
      </c>
      <c r="AL556" s="7">
        <f>IF(ISBLANK(AH556), 0, VLOOKUP(AH556, 'Price Sheet'!$A$2:$B1015, 2, false))</f>
        <v>0</v>
      </c>
      <c r="AM556" s="33" t="str">
        <f t="shared" si="10"/>
        <v/>
      </c>
      <c r="AN556" s="37"/>
      <c r="AO556" s="29"/>
      <c r="AP556" s="29" t="b">
        <v>0</v>
      </c>
      <c r="AQ556" s="22" t="str">
        <f t="shared" si="11"/>
        <v/>
      </c>
      <c r="AR556" s="7">
        <f>IF(ISBLANK(AN556), 0, VLOOKUP(AN556, 'Price Sheet'!$A$2:$B1015, 2, false))</f>
        <v>0</v>
      </c>
      <c r="AS556" s="33" t="str">
        <f t="shared" si="12"/>
        <v/>
      </c>
      <c r="AT556" s="37"/>
      <c r="AU556" s="29"/>
      <c r="AV556" s="29" t="b">
        <v>0</v>
      </c>
      <c r="AW556" s="22" t="str">
        <f t="shared" si="13"/>
        <v/>
      </c>
      <c r="AX556" s="7">
        <f>IF(ISBLANK(AT556), 0, VLOOKUP(AT556, 'Price Sheet'!$A$2:$B1015, 2, false))</f>
        <v>0</v>
      </c>
      <c r="AY556" s="33" t="str">
        <f t="shared" si="14"/>
        <v/>
      </c>
      <c r="AZ556" s="37"/>
      <c r="BA556" s="29"/>
      <c r="BB556" s="29" t="b">
        <v>0</v>
      </c>
      <c r="BC556" s="22" t="str">
        <f t="shared" si="15"/>
        <v/>
      </c>
      <c r="BD556" s="7">
        <f>IF(ISBLANK(AZ556), 0, VLOOKUP(AZ556, 'Price Sheet'!$A$2:$B1015, 2, false))</f>
        <v>0</v>
      </c>
      <c r="BE556" s="33" t="str">
        <f t="shared" si="16"/>
        <v/>
      </c>
      <c r="BF556" s="37"/>
      <c r="BG556" s="29"/>
      <c r="BH556" s="29" t="b">
        <v>0</v>
      </c>
      <c r="BI556" s="22" t="str">
        <f t="shared" si="17"/>
        <v/>
      </c>
      <c r="BJ556" s="7">
        <f>IF(ISBLANK(BF556), 0, VLOOKUP(BF556, 'Price Sheet'!$A$2:$B1015, 2, false))</f>
        <v>0</v>
      </c>
      <c r="BK556" s="33" t="str">
        <f t="shared" si="18"/>
        <v/>
      </c>
      <c r="BL556" s="37"/>
      <c r="BM556" s="29"/>
      <c r="BN556" s="29" t="b">
        <v>0</v>
      </c>
      <c r="BO556" s="22" t="str">
        <f t="shared" si="19"/>
        <v/>
      </c>
      <c r="BP556" s="7">
        <f>IF(ISBLANK(BL556), 0, VLOOKUP(BL556, 'Price Sheet'!$A$2:$B1015, 2, false))</f>
        <v>0</v>
      </c>
      <c r="BQ556" s="33" t="str">
        <f t="shared" si="20"/>
        <v/>
      </c>
    </row>
    <row r="557">
      <c r="B557" s="19"/>
      <c r="C557" s="29"/>
      <c r="D557" s="29"/>
      <c r="E557" s="7" t="str">
        <f>IF(ISBLANK(D557), "", VLOOKUP(D557,'Crafting Tables'!$A$2:$B1015, 2, false))</f>
        <v/>
      </c>
      <c r="F557" s="7" t="str">
        <f>IFERROR(IF(E557 = "None", 1, VLOOKUP(C557,General!$A$5:$L$35, SWITCH(E557, "Basic", 8, "Advanced", 10, "Modern", 12), false)),"")</f>
        <v/>
      </c>
      <c r="G557" s="29"/>
      <c r="H557" s="7">
        <f>IFERROR(VLOOKUP(C557, General!$A$5:$L$35, 6, false) * G557 / 1000, 0)</f>
        <v>0</v>
      </c>
      <c r="I557" s="29"/>
      <c r="J557" s="22" t="str">
        <f>IFERROR(I557*VLOOKUP(D557,'Crafting Tables'!$1:$1000, 4, false)*F557,"")</f>
        <v/>
      </c>
      <c r="K557" s="29" t="b">
        <v>0</v>
      </c>
      <c r="L557" s="37"/>
      <c r="M557" s="29"/>
      <c r="N557" s="21" t="str">
        <f t="shared" si="2"/>
        <v/>
      </c>
      <c r="P557" s="37"/>
      <c r="Q557" s="29"/>
      <c r="R557" s="29" t="b">
        <v>0</v>
      </c>
      <c r="S557" s="22" t="str">
        <f t="shared" si="3"/>
        <v/>
      </c>
      <c r="T557" s="7">
        <f>IF(ISBLANK(P557), 0, VLOOKUP(P557, 'Price Sheet'!$A$2:$B1015, 2, false))</f>
        <v>0</v>
      </c>
      <c r="U557" s="33" t="str">
        <f t="shared" si="4"/>
        <v/>
      </c>
      <c r="V557" s="37"/>
      <c r="W557" s="29"/>
      <c r="X557" s="29" t="b">
        <v>0</v>
      </c>
      <c r="Y557" s="22" t="str">
        <f t="shared" si="5"/>
        <v/>
      </c>
      <c r="Z557" s="7">
        <f>IF(ISBLANK(V557), 0, VLOOKUP(V557, 'Price Sheet'!$A$2:$B1015, 2, false))</f>
        <v>0</v>
      </c>
      <c r="AA557" s="33" t="str">
        <f t="shared" si="6"/>
        <v/>
      </c>
      <c r="AB557" s="37"/>
      <c r="AC557" s="29"/>
      <c r="AD557" s="29" t="b">
        <v>0</v>
      </c>
      <c r="AE557" s="22" t="str">
        <f t="shared" si="7"/>
        <v/>
      </c>
      <c r="AF557" s="7">
        <f>IF(ISBLANK(AB557), 0, VLOOKUP(AB557, 'Price Sheet'!$A$2:$B1015, 2, false))</f>
        <v>0</v>
      </c>
      <c r="AG557" s="33" t="str">
        <f t="shared" si="8"/>
        <v/>
      </c>
      <c r="AH557" s="37"/>
      <c r="AI557" s="29"/>
      <c r="AJ557" s="29" t="b">
        <v>0</v>
      </c>
      <c r="AK557" s="22" t="str">
        <f t="shared" si="9"/>
        <v/>
      </c>
      <c r="AL557" s="7">
        <f>IF(ISBLANK(AH557), 0, VLOOKUP(AH557, 'Price Sheet'!$A$2:$B1015, 2, false))</f>
        <v>0</v>
      </c>
      <c r="AM557" s="33" t="str">
        <f t="shared" si="10"/>
        <v/>
      </c>
      <c r="AN557" s="37"/>
      <c r="AO557" s="29"/>
      <c r="AP557" s="29" t="b">
        <v>0</v>
      </c>
      <c r="AQ557" s="22" t="str">
        <f t="shared" si="11"/>
        <v/>
      </c>
      <c r="AR557" s="7">
        <f>IF(ISBLANK(AN557), 0, VLOOKUP(AN557, 'Price Sheet'!$A$2:$B1015, 2, false))</f>
        <v>0</v>
      </c>
      <c r="AS557" s="33" t="str">
        <f t="shared" si="12"/>
        <v/>
      </c>
      <c r="AT557" s="37"/>
      <c r="AU557" s="29"/>
      <c r="AV557" s="29" t="b">
        <v>0</v>
      </c>
      <c r="AW557" s="22" t="str">
        <f t="shared" si="13"/>
        <v/>
      </c>
      <c r="AX557" s="7">
        <f>IF(ISBLANK(AT557), 0, VLOOKUP(AT557, 'Price Sheet'!$A$2:$B1015, 2, false))</f>
        <v>0</v>
      </c>
      <c r="AY557" s="33" t="str">
        <f t="shared" si="14"/>
        <v/>
      </c>
      <c r="AZ557" s="37"/>
      <c r="BA557" s="29"/>
      <c r="BB557" s="29" t="b">
        <v>0</v>
      </c>
      <c r="BC557" s="22" t="str">
        <f t="shared" si="15"/>
        <v/>
      </c>
      <c r="BD557" s="7">
        <f>IF(ISBLANK(AZ557), 0, VLOOKUP(AZ557, 'Price Sheet'!$A$2:$B1015, 2, false))</f>
        <v>0</v>
      </c>
      <c r="BE557" s="33" t="str">
        <f t="shared" si="16"/>
        <v/>
      </c>
      <c r="BF557" s="37"/>
      <c r="BG557" s="29"/>
      <c r="BH557" s="29" t="b">
        <v>0</v>
      </c>
      <c r="BI557" s="22" t="str">
        <f t="shared" si="17"/>
        <v/>
      </c>
      <c r="BJ557" s="7">
        <f>IF(ISBLANK(BF557), 0, VLOOKUP(BF557, 'Price Sheet'!$A$2:$B1015, 2, false))</f>
        <v>0</v>
      </c>
      <c r="BK557" s="33" t="str">
        <f t="shared" si="18"/>
        <v/>
      </c>
      <c r="BL557" s="37"/>
      <c r="BM557" s="29"/>
      <c r="BN557" s="29" t="b">
        <v>0</v>
      </c>
      <c r="BO557" s="22" t="str">
        <f t="shared" si="19"/>
        <v/>
      </c>
      <c r="BP557" s="7">
        <f>IF(ISBLANK(BL557), 0, VLOOKUP(BL557, 'Price Sheet'!$A$2:$B1015, 2, false))</f>
        <v>0</v>
      </c>
      <c r="BQ557" s="33" t="str">
        <f t="shared" si="20"/>
        <v/>
      </c>
    </row>
    <row r="558">
      <c r="B558" s="19"/>
      <c r="C558" s="29"/>
      <c r="D558" s="29"/>
      <c r="E558" s="7" t="str">
        <f>IF(ISBLANK(D558), "", VLOOKUP(D558,'Crafting Tables'!$A$2:$B1015, 2, false))</f>
        <v/>
      </c>
      <c r="F558" s="7" t="str">
        <f>IFERROR(IF(E558 = "None", 1, VLOOKUP(C558,General!$A$5:$L$35, SWITCH(E558, "Basic", 8, "Advanced", 10, "Modern", 12), false)),"")</f>
        <v/>
      </c>
      <c r="G558" s="29"/>
      <c r="H558" s="7">
        <f>IFERROR(VLOOKUP(C558, General!$A$5:$L$35, 6, false) * G558 / 1000, 0)</f>
        <v>0</v>
      </c>
      <c r="I558" s="29"/>
      <c r="J558" s="22" t="str">
        <f>IFERROR(I558*VLOOKUP(D558,'Crafting Tables'!$1:$1000, 4, false)*F558,"")</f>
        <v/>
      </c>
      <c r="K558" s="29" t="b">
        <v>0</v>
      </c>
      <c r="L558" s="37"/>
      <c r="M558" s="29"/>
      <c r="N558" s="21" t="str">
        <f t="shared" si="2"/>
        <v/>
      </c>
      <c r="P558" s="37"/>
      <c r="Q558" s="29"/>
      <c r="R558" s="29" t="b">
        <v>0</v>
      </c>
      <c r="S558" s="22" t="str">
        <f t="shared" si="3"/>
        <v/>
      </c>
      <c r="T558" s="7">
        <f>IF(ISBLANK(P558), 0, VLOOKUP(P558, 'Price Sheet'!$A$2:$B1015, 2, false))</f>
        <v>0</v>
      </c>
      <c r="U558" s="33" t="str">
        <f t="shared" si="4"/>
        <v/>
      </c>
      <c r="V558" s="37"/>
      <c r="W558" s="29"/>
      <c r="X558" s="29" t="b">
        <v>0</v>
      </c>
      <c r="Y558" s="22" t="str">
        <f t="shared" si="5"/>
        <v/>
      </c>
      <c r="Z558" s="7">
        <f>IF(ISBLANK(V558), 0, VLOOKUP(V558, 'Price Sheet'!$A$2:$B1015, 2, false))</f>
        <v>0</v>
      </c>
      <c r="AA558" s="33" t="str">
        <f t="shared" si="6"/>
        <v/>
      </c>
      <c r="AB558" s="37"/>
      <c r="AC558" s="29"/>
      <c r="AD558" s="29" t="b">
        <v>0</v>
      </c>
      <c r="AE558" s="22" t="str">
        <f t="shared" si="7"/>
        <v/>
      </c>
      <c r="AF558" s="7">
        <f>IF(ISBLANK(AB558), 0, VLOOKUP(AB558, 'Price Sheet'!$A$2:$B1015, 2, false))</f>
        <v>0</v>
      </c>
      <c r="AG558" s="33" t="str">
        <f t="shared" si="8"/>
        <v/>
      </c>
      <c r="AH558" s="37"/>
      <c r="AI558" s="29"/>
      <c r="AJ558" s="29" t="b">
        <v>0</v>
      </c>
      <c r="AK558" s="22" t="str">
        <f t="shared" si="9"/>
        <v/>
      </c>
      <c r="AL558" s="7">
        <f>IF(ISBLANK(AH558), 0, VLOOKUP(AH558, 'Price Sheet'!$A$2:$B1015, 2, false))</f>
        <v>0</v>
      </c>
      <c r="AM558" s="33" t="str">
        <f t="shared" si="10"/>
        <v/>
      </c>
      <c r="AN558" s="37"/>
      <c r="AO558" s="29"/>
      <c r="AP558" s="29" t="b">
        <v>0</v>
      </c>
      <c r="AQ558" s="22" t="str">
        <f t="shared" si="11"/>
        <v/>
      </c>
      <c r="AR558" s="7">
        <f>IF(ISBLANK(AN558), 0, VLOOKUP(AN558, 'Price Sheet'!$A$2:$B1015, 2, false))</f>
        <v>0</v>
      </c>
      <c r="AS558" s="33" t="str">
        <f t="shared" si="12"/>
        <v/>
      </c>
      <c r="AT558" s="37"/>
      <c r="AU558" s="29"/>
      <c r="AV558" s="29" t="b">
        <v>0</v>
      </c>
      <c r="AW558" s="22" t="str">
        <f t="shared" si="13"/>
        <v/>
      </c>
      <c r="AX558" s="7">
        <f>IF(ISBLANK(AT558), 0, VLOOKUP(AT558, 'Price Sheet'!$A$2:$B1015, 2, false))</f>
        <v>0</v>
      </c>
      <c r="AY558" s="33" t="str">
        <f t="shared" si="14"/>
        <v/>
      </c>
      <c r="AZ558" s="37"/>
      <c r="BA558" s="29"/>
      <c r="BB558" s="29" t="b">
        <v>0</v>
      </c>
      <c r="BC558" s="22" t="str">
        <f t="shared" si="15"/>
        <v/>
      </c>
      <c r="BD558" s="7">
        <f>IF(ISBLANK(AZ558), 0, VLOOKUP(AZ558, 'Price Sheet'!$A$2:$B1015, 2, false))</f>
        <v>0</v>
      </c>
      <c r="BE558" s="33" t="str">
        <f t="shared" si="16"/>
        <v/>
      </c>
      <c r="BF558" s="37"/>
      <c r="BG558" s="29"/>
      <c r="BH558" s="29" t="b">
        <v>0</v>
      </c>
      <c r="BI558" s="22" t="str">
        <f t="shared" si="17"/>
        <v/>
      </c>
      <c r="BJ558" s="7">
        <f>IF(ISBLANK(BF558), 0, VLOOKUP(BF558, 'Price Sheet'!$A$2:$B1015, 2, false))</f>
        <v>0</v>
      </c>
      <c r="BK558" s="33" t="str">
        <f t="shared" si="18"/>
        <v/>
      </c>
      <c r="BL558" s="37"/>
      <c r="BM558" s="29"/>
      <c r="BN558" s="29" t="b">
        <v>0</v>
      </c>
      <c r="BO558" s="22" t="str">
        <f t="shared" si="19"/>
        <v/>
      </c>
      <c r="BP558" s="7">
        <f>IF(ISBLANK(BL558), 0, VLOOKUP(BL558, 'Price Sheet'!$A$2:$B1015, 2, false))</f>
        <v>0</v>
      </c>
      <c r="BQ558" s="33" t="str">
        <f t="shared" si="20"/>
        <v/>
      </c>
    </row>
    <row r="559">
      <c r="B559" s="19"/>
      <c r="C559" s="29"/>
      <c r="D559" s="29"/>
      <c r="E559" s="7" t="str">
        <f>IF(ISBLANK(D559), "", VLOOKUP(D559,'Crafting Tables'!$A$2:$B1015, 2, false))</f>
        <v/>
      </c>
      <c r="F559" s="7" t="str">
        <f>IFERROR(IF(E559 = "None", 1, VLOOKUP(C559,General!$A$5:$L$35, SWITCH(E559, "Basic", 8, "Advanced", 10, "Modern", 12), false)),"")</f>
        <v/>
      </c>
      <c r="G559" s="29"/>
      <c r="H559" s="7">
        <f>IFERROR(VLOOKUP(C559, General!$A$5:$L$35, 6, false) * G559 / 1000, 0)</f>
        <v>0</v>
      </c>
      <c r="I559" s="29"/>
      <c r="J559" s="22" t="str">
        <f>IFERROR(I559*VLOOKUP(D559,'Crafting Tables'!$1:$1000, 4, false)*F559,"")</f>
        <v/>
      </c>
      <c r="K559" s="29" t="b">
        <v>0</v>
      </c>
      <c r="L559" s="37"/>
      <c r="M559" s="29"/>
      <c r="N559" s="21" t="str">
        <f t="shared" si="2"/>
        <v/>
      </c>
      <c r="P559" s="37"/>
      <c r="Q559" s="29"/>
      <c r="R559" s="29" t="b">
        <v>0</v>
      </c>
      <c r="S559" s="22" t="str">
        <f t="shared" si="3"/>
        <v/>
      </c>
      <c r="T559" s="7">
        <f>IF(ISBLANK(P559), 0, VLOOKUP(P559, 'Price Sheet'!$A$2:$B1015, 2, false))</f>
        <v>0</v>
      </c>
      <c r="U559" s="33" t="str">
        <f t="shared" si="4"/>
        <v/>
      </c>
      <c r="V559" s="37"/>
      <c r="W559" s="29"/>
      <c r="X559" s="29" t="b">
        <v>0</v>
      </c>
      <c r="Y559" s="22" t="str">
        <f t="shared" si="5"/>
        <v/>
      </c>
      <c r="Z559" s="7">
        <f>IF(ISBLANK(V559), 0, VLOOKUP(V559, 'Price Sheet'!$A$2:$B1015, 2, false))</f>
        <v>0</v>
      </c>
      <c r="AA559" s="33" t="str">
        <f t="shared" si="6"/>
        <v/>
      </c>
      <c r="AB559" s="37"/>
      <c r="AC559" s="29"/>
      <c r="AD559" s="29" t="b">
        <v>0</v>
      </c>
      <c r="AE559" s="22" t="str">
        <f t="shared" si="7"/>
        <v/>
      </c>
      <c r="AF559" s="7">
        <f>IF(ISBLANK(AB559), 0, VLOOKUP(AB559, 'Price Sheet'!$A$2:$B1015, 2, false))</f>
        <v>0</v>
      </c>
      <c r="AG559" s="33" t="str">
        <f t="shared" si="8"/>
        <v/>
      </c>
      <c r="AH559" s="37"/>
      <c r="AI559" s="29"/>
      <c r="AJ559" s="29" t="b">
        <v>0</v>
      </c>
      <c r="AK559" s="22" t="str">
        <f t="shared" si="9"/>
        <v/>
      </c>
      <c r="AL559" s="7">
        <f>IF(ISBLANK(AH559), 0, VLOOKUP(AH559, 'Price Sheet'!$A$2:$B1015, 2, false))</f>
        <v>0</v>
      </c>
      <c r="AM559" s="33" t="str">
        <f t="shared" si="10"/>
        <v/>
      </c>
      <c r="AN559" s="37"/>
      <c r="AO559" s="29"/>
      <c r="AP559" s="29" t="b">
        <v>0</v>
      </c>
      <c r="AQ559" s="22" t="str">
        <f t="shared" si="11"/>
        <v/>
      </c>
      <c r="AR559" s="7">
        <f>IF(ISBLANK(AN559), 0, VLOOKUP(AN559, 'Price Sheet'!$A$2:$B1015, 2, false))</f>
        <v>0</v>
      </c>
      <c r="AS559" s="33" t="str">
        <f t="shared" si="12"/>
        <v/>
      </c>
      <c r="AT559" s="37"/>
      <c r="AU559" s="29"/>
      <c r="AV559" s="29" t="b">
        <v>0</v>
      </c>
      <c r="AW559" s="22" t="str">
        <f t="shared" si="13"/>
        <v/>
      </c>
      <c r="AX559" s="7">
        <f>IF(ISBLANK(AT559), 0, VLOOKUP(AT559, 'Price Sheet'!$A$2:$B1015, 2, false))</f>
        <v>0</v>
      </c>
      <c r="AY559" s="33" t="str">
        <f t="shared" si="14"/>
        <v/>
      </c>
      <c r="AZ559" s="37"/>
      <c r="BA559" s="29"/>
      <c r="BB559" s="29" t="b">
        <v>0</v>
      </c>
      <c r="BC559" s="22" t="str">
        <f t="shared" si="15"/>
        <v/>
      </c>
      <c r="BD559" s="7">
        <f>IF(ISBLANK(AZ559), 0, VLOOKUP(AZ559, 'Price Sheet'!$A$2:$B1015, 2, false))</f>
        <v>0</v>
      </c>
      <c r="BE559" s="33" t="str">
        <f t="shared" si="16"/>
        <v/>
      </c>
      <c r="BF559" s="37"/>
      <c r="BG559" s="29"/>
      <c r="BH559" s="29" t="b">
        <v>0</v>
      </c>
      <c r="BI559" s="22" t="str">
        <f t="shared" si="17"/>
        <v/>
      </c>
      <c r="BJ559" s="7">
        <f>IF(ISBLANK(BF559), 0, VLOOKUP(BF559, 'Price Sheet'!$A$2:$B1015, 2, false))</f>
        <v>0</v>
      </c>
      <c r="BK559" s="33" t="str">
        <f t="shared" si="18"/>
        <v/>
      </c>
      <c r="BL559" s="37"/>
      <c r="BM559" s="29"/>
      <c r="BN559" s="29" t="b">
        <v>0</v>
      </c>
      <c r="BO559" s="22" t="str">
        <f t="shared" si="19"/>
        <v/>
      </c>
      <c r="BP559" s="7">
        <f>IF(ISBLANK(BL559), 0, VLOOKUP(BL559, 'Price Sheet'!$A$2:$B1015, 2, false))</f>
        <v>0</v>
      </c>
      <c r="BQ559" s="33" t="str">
        <f t="shared" si="20"/>
        <v/>
      </c>
    </row>
    <row r="560">
      <c r="B560" s="19"/>
      <c r="C560" s="29"/>
      <c r="D560" s="29"/>
      <c r="E560" s="7" t="str">
        <f>IF(ISBLANK(D560), "", VLOOKUP(D560,'Crafting Tables'!$A$2:$B1015, 2, false))</f>
        <v/>
      </c>
      <c r="F560" s="7" t="str">
        <f>IFERROR(IF(E560 = "None", 1, VLOOKUP(C560,General!$A$5:$L$35, SWITCH(E560, "Basic", 8, "Advanced", 10, "Modern", 12), false)),"")</f>
        <v/>
      </c>
      <c r="G560" s="29"/>
      <c r="H560" s="7">
        <f>IFERROR(VLOOKUP(C560, General!$A$5:$L$35, 6, false) * G560 / 1000, 0)</f>
        <v>0</v>
      </c>
      <c r="I560" s="29"/>
      <c r="J560" s="22" t="str">
        <f>IFERROR(I560*VLOOKUP(D560,'Crafting Tables'!$1:$1000, 4, false)*F560,"")</f>
        <v/>
      </c>
      <c r="K560" s="29" t="b">
        <v>0</v>
      </c>
      <c r="L560" s="37"/>
      <c r="M560" s="29"/>
      <c r="N560" s="21" t="str">
        <f t="shared" si="2"/>
        <v/>
      </c>
      <c r="P560" s="37"/>
      <c r="Q560" s="29"/>
      <c r="R560" s="29" t="b">
        <v>0</v>
      </c>
      <c r="S560" s="22" t="str">
        <f t="shared" si="3"/>
        <v/>
      </c>
      <c r="T560" s="7">
        <f>IF(ISBLANK(P560), 0, VLOOKUP(P560, 'Price Sheet'!$A$2:$B1015, 2, false))</f>
        <v>0</v>
      </c>
      <c r="U560" s="33" t="str">
        <f t="shared" si="4"/>
        <v/>
      </c>
      <c r="V560" s="37"/>
      <c r="W560" s="29"/>
      <c r="X560" s="29" t="b">
        <v>0</v>
      </c>
      <c r="Y560" s="22" t="str">
        <f t="shared" si="5"/>
        <v/>
      </c>
      <c r="Z560" s="7">
        <f>IF(ISBLANK(V560), 0, VLOOKUP(V560, 'Price Sheet'!$A$2:$B1015, 2, false))</f>
        <v>0</v>
      </c>
      <c r="AA560" s="33" t="str">
        <f t="shared" si="6"/>
        <v/>
      </c>
      <c r="AB560" s="37"/>
      <c r="AC560" s="29"/>
      <c r="AD560" s="29" t="b">
        <v>0</v>
      </c>
      <c r="AE560" s="22" t="str">
        <f t="shared" si="7"/>
        <v/>
      </c>
      <c r="AF560" s="7">
        <f>IF(ISBLANK(AB560), 0, VLOOKUP(AB560, 'Price Sheet'!$A$2:$B1015, 2, false))</f>
        <v>0</v>
      </c>
      <c r="AG560" s="33" t="str">
        <f t="shared" si="8"/>
        <v/>
      </c>
      <c r="AH560" s="37"/>
      <c r="AI560" s="29"/>
      <c r="AJ560" s="29" t="b">
        <v>0</v>
      </c>
      <c r="AK560" s="22" t="str">
        <f t="shared" si="9"/>
        <v/>
      </c>
      <c r="AL560" s="7">
        <f>IF(ISBLANK(AH560), 0, VLOOKUP(AH560, 'Price Sheet'!$A$2:$B1015, 2, false))</f>
        <v>0</v>
      </c>
      <c r="AM560" s="33" t="str">
        <f t="shared" si="10"/>
        <v/>
      </c>
      <c r="AN560" s="37"/>
      <c r="AO560" s="29"/>
      <c r="AP560" s="29" t="b">
        <v>0</v>
      </c>
      <c r="AQ560" s="22" t="str">
        <f t="shared" si="11"/>
        <v/>
      </c>
      <c r="AR560" s="7">
        <f>IF(ISBLANK(AN560), 0, VLOOKUP(AN560, 'Price Sheet'!$A$2:$B1015, 2, false))</f>
        <v>0</v>
      </c>
      <c r="AS560" s="33" t="str">
        <f t="shared" si="12"/>
        <v/>
      </c>
      <c r="AT560" s="37"/>
      <c r="AU560" s="29"/>
      <c r="AV560" s="29" t="b">
        <v>0</v>
      </c>
      <c r="AW560" s="22" t="str">
        <f t="shared" si="13"/>
        <v/>
      </c>
      <c r="AX560" s="7">
        <f>IF(ISBLANK(AT560), 0, VLOOKUP(AT560, 'Price Sheet'!$A$2:$B1015, 2, false))</f>
        <v>0</v>
      </c>
      <c r="AY560" s="33" t="str">
        <f t="shared" si="14"/>
        <v/>
      </c>
      <c r="AZ560" s="37"/>
      <c r="BA560" s="29"/>
      <c r="BB560" s="29" t="b">
        <v>0</v>
      </c>
      <c r="BC560" s="22" t="str">
        <f t="shared" si="15"/>
        <v/>
      </c>
      <c r="BD560" s="7">
        <f>IF(ISBLANK(AZ560), 0, VLOOKUP(AZ560, 'Price Sheet'!$A$2:$B1015, 2, false))</f>
        <v>0</v>
      </c>
      <c r="BE560" s="33" t="str">
        <f t="shared" si="16"/>
        <v/>
      </c>
      <c r="BF560" s="37"/>
      <c r="BG560" s="29"/>
      <c r="BH560" s="29" t="b">
        <v>0</v>
      </c>
      <c r="BI560" s="22" t="str">
        <f t="shared" si="17"/>
        <v/>
      </c>
      <c r="BJ560" s="7">
        <f>IF(ISBLANK(BF560), 0, VLOOKUP(BF560, 'Price Sheet'!$A$2:$B1015, 2, false))</f>
        <v>0</v>
      </c>
      <c r="BK560" s="33" t="str">
        <f t="shared" si="18"/>
        <v/>
      </c>
      <c r="BL560" s="37"/>
      <c r="BM560" s="29"/>
      <c r="BN560" s="29" t="b">
        <v>0</v>
      </c>
      <c r="BO560" s="22" t="str">
        <f t="shared" si="19"/>
        <v/>
      </c>
      <c r="BP560" s="7">
        <f>IF(ISBLANK(BL560), 0, VLOOKUP(BL560, 'Price Sheet'!$A$2:$B1015, 2, false))</f>
        <v>0</v>
      </c>
      <c r="BQ560" s="33" t="str">
        <f t="shared" si="20"/>
        <v/>
      </c>
    </row>
    <row r="561">
      <c r="B561" s="19"/>
      <c r="C561" s="29"/>
      <c r="D561" s="29"/>
      <c r="E561" s="7" t="str">
        <f>IF(ISBLANK(D561), "", VLOOKUP(D561,'Crafting Tables'!$A$2:$B1015, 2, false))</f>
        <v/>
      </c>
      <c r="F561" s="7" t="str">
        <f>IFERROR(IF(E561 = "None", 1, VLOOKUP(C561,General!$A$5:$L$35, SWITCH(E561, "Basic", 8, "Advanced", 10, "Modern", 12), false)),"")</f>
        <v/>
      </c>
      <c r="G561" s="29"/>
      <c r="H561" s="7">
        <f>IFERROR(VLOOKUP(C561, General!$A$5:$L$35, 6, false) * G561 / 1000, 0)</f>
        <v>0</v>
      </c>
      <c r="I561" s="29"/>
      <c r="J561" s="22" t="str">
        <f>IFERROR(I561*VLOOKUP(D561,'Crafting Tables'!$1:$1000, 4, false)*F561,"")</f>
        <v/>
      </c>
      <c r="K561" s="29" t="b">
        <v>0</v>
      </c>
      <c r="L561" s="37"/>
      <c r="M561" s="29"/>
      <c r="N561" s="21" t="str">
        <f t="shared" si="2"/>
        <v/>
      </c>
      <c r="P561" s="37"/>
      <c r="Q561" s="29"/>
      <c r="R561" s="29" t="b">
        <v>0</v>
      </c>
      <c r="S561" s="22" t="str">
        <f t="shared" si="3"/>
        <v/>
      </c>
      <c r="T561" s="7">
        <f>IF(ISBLANK(P561), 0, VLOOKUP(P561, 'Price Sheet'!$A$2:$B1015, 2, false))</f>
        <v>0</v>
      </c>
      <c r="U561" s="33" t="str">
        <f t="shared" si="4"/>
        <v/>
      </c>
      <c r="V561" s="37"/>
      <c r="W561" s="29"/>
      <c r="X561" s="29" t="b">
        <v>0</v>
      </c>
      <c r="Y561" s="22" t="str">
        <f t="shared" si="5"/>
        <v/>
      </c>
      <c r="Z561" s="7">
        <f>IF(ISBLANK(V561), 0, VLOOKUP(V561, 'Price Sheet'!$A$2:$B1015, 2, false))</f>
        <v>0</v>
      </c>
      <c r="AA561" s="33" t="str">
        <f t="shared" si="6"/>
        <v/>
      </c>
      <c r="AB561" s="37"/>
      <c r="AC561" s="29"/>
      <c r="AD561" s="29" t="b">
        <v>0</v>
      </c>
      <c r="AE561" s="22" t="str">
        <f t="shared" si="7"/>
        <v/>
      </c>
      <c r="AF561" s="7">
        <f>IF(ISBLANK(AB561), 0, VLOOKUP(AB561, 'Price Sheet'!$A$2:$B1015, 2, false))</f>
        <v>0</v>
      </c>
      <c r="AG561" s="33" t="str">
        <f t="shared" si="8"/>
        <v/>
      </c>
      <c r="AH561" s="37"/>
      <c r="AI561" s="29"/>
      <c r="AJ561" s="29" t="b">
        <v>0</v>
      </c>
      <c r="AK561" s="22" t="str">
        <f t="shared" si="9"/>
        <v/>
      </c>
      <c r="AL561" s="7">
        <f>IF(ISBLANK(AH561), 0, VLOOKUP(AH561, 'Price Sheet'!$A$2:$B1015, 2, false))</f>
        <v>0</v>
      </c>
      <c r="AM561" s="33" t="str">
        <f t="shared" si="10"/>
        <v/>
      </c>
      <c r="AN561" s="37"/>
      <c r="AO561" s="29"/>
      <c r="AP561" s="29" t="b">
        <v>0</v>
      </c>
      <c r="AQ561" s="22" t="str">
        <f t="shared" si="11"/>
        <v/>
      </c>
      <c r="AR561" s="7">
        <f>IF(ISBLANK(AN561), 0, VLOOKUP(AN561, 'Price Sheet'!$A$2:$B1015, 2, false))</f>
        <v>0</v>
      </c>
      <c r="AS561" s="33" t="str">
        <f t="shared" si="12"/>
        <v/>
      </c>
      <c r="AT561" s="37"/>
      <c r="AU561" s="29"/>
      <c r="AV561" s="29" t="b">
        <v>0</v>
      </c>
      <c r="AW561" s="22" t="str">
        <f t="shared" si="13"/>
        <v/>
      </c>
      <c r="AX561" s="7">
        <f>IF(ISBLANK(AT561), 0, VLOOKUP(AT561, 'Price Sheet'!$A$2:$B1015, 2, false))</f>
        <v>0</v>
      </c>
      <c r="AY561" s="33" t="str">
        <f t="shared" si="14"/>
        <v/>
      </c>
      <c r="AZ561" s="37"/>
      <c r="BA561" s="29"/>
      <c r="BB561" s="29" t="b">
        <v>0</v>
      </c>
      <c r="BC561" s="22" t="str">
        <f t="shared" si="15"/>
        <v/>
      </c>
      <c r="BD561" s="7">
        <f>IF(ISBLANK(AZ561), 0, VLOOKUP(AZ561, 'Price Sheet'!$A$2:$B1015, 2, false))</f>
        <v>0</v>
      </c>
      <c r="BE561" s="33" t="str">
        <f t="shared" si="16"/>
        <v/>
      </c>
      <c r="BF561" s="37"/>
      <c r="BG561" s="29"/>
      <c r="BH561" s="29" t="b">
        <v>0</v>
      </c>
      <c r="BI561" s="22" t="str">
        <f t="shared" si="17"/>
        <v/>
      </c>
      <c r="BJ561" s="7">
        <f>IF(ISBLANK(BF561), 0, VLOOKUP(BF561, 'Price Sheet'!$A$2:$B1015, 2, false))</f>
        <v>0</v>
      </c>
      <c r="BK561" s="33" t="str">
        <f t="shared" si="18"/>
        <v/>
      </c>
      <c r="BL561" s="37"/>
      <c r="BM561" s="29"/>
      <c r="BN561" s="29" t="b">
        <v>0</v>
      </c>
      <c r="BO561" s="22" t="str">
        <f t="shared" si="19"/>
        <v/>
      </c>
      <c r="BP561" s="7">
        <f>IF(ISBLANK(BL561), 0, VLOOKUP(BL561, 'Price Sheet'!$A$2:$B1015, 2, false))</f>
        <v>0</v>
      </c>
      <c r="BQ561" s="33" t="str">
        <f t="shared" si="20"/>
        <v/>
      </c>
    </row>
    <row r="562">
      <c r="B562" s="19"/>
      <c r="C562" s="29"/>
      <c r="D562" s="29"/>
      <c r="E562" s="7" t="str">
        <f>IF(ISBLANK(D562), "", VLOOKUP(D562,'Crafting Tables'!$A$2:$B1015, 2, false))</f>
        <v/>
      </c>
      <c r="F562" s="7" t="str">
        <f>IFERROR(IF(E562 = "None", 1, VLOOKUP(C562,General!$A$5:$L$35, SWITCH(E562, "Basic", 8, "Advanced", 10, "Modern", 12), false)),"")</f>
        <v/>
      </c>
      <c r="G562" s="29"/>
      <c r="H562" s="7">
        <f>IFERROR(VLOOKUP(C562, General!$A$5:$L$35, 6, false) * G562 / 1000, 0)</f>
        <v>0</v>
      </c>
      <c r="I562" s="29"/>
      <c r="J562" s="22" t="str">
        <f>IFERROR(I562*VLOOKUP(D562,'Crafting Tables'!$1:$1000, 4, false)*F562,"")</f>
        <v/>
      </c>
      <c r="K562" s="29" t="b">
        <v>0</v>
      </c>
      <c r="L562" s="37"/>
      <c r="M562" s="29"/>
      <c r="N562" s="21" t="str">
        <f t="shared" si="2"/>
        <v/>
      </c>
      <c r="P562" s="37"/>
      <c r="Q562" s="29"/>
      <c r="R562" s="29" t="b">
        <v>0</v>
      </c>
      <c r="S562" s="22" t="str">
        <f t="shared" si="3"/>
        <v/>
      </c>
      <c r="T562" s="7">
        <f>IF(ISBLANK(P562), 0, VLOOKUP(P562, 'Price Sheet'!$A$2:$B1015, 2, false))</f>
        <v>0</v>
      </c>
      <c r="U562" s="33" t="str">
        <f t="shared" si="4"/>
        <v/>
      </c>
      <c r="V562" s="37"/>
      <c r="W562" s="29"/>
      <c r="X562" s="29" t="b">
        <v>0</v>
      </c>
      <c r="Y562" s="22" t="str">
        <f t="shared" si="5"/>
        <v/>
      </c>
      <c r="Z562" s="7">
        <f>IF(ISBLANK(V562), 0, VLOOKUP(V562, 'Price Sheet'!$A$2:$B1015, 2, false))</f>
        <v>0</v>
      </c>
      <c r="AA562" s="33" t="str">
        <f t="shared" si="6"/>
        <v/>
      </c>
      <c r="AB562" s="37"/>
      <c r="AC562" s="29"/>
      <c r="AD562" s="29" t="b">
        <v>0</v>
      </c>
      <c r="AE562" s="22" t="str">
        <f t="shared" si="7"/>
        <v/>
      </c>
      <c r="AF562" s="7">
        <f>IF(ISBLANK(AB562), 0, VLOOKUP(AB562, 'Price Sheet'!$A$2:$B1015, 2, false))</f>
        <v>0</v>
      </c>
      <c r="AG562" s="33" t="str">
        <f t="shared" si="8"/>
        <v/>
      </c>
      <c r="AH562" s="37"/>
      <c r="AI562" s="29"/>
      <c r="AJ562" s="29" t="b">
        <v>0</v>
      </c>
      <c r="AK562" s="22" t="str">
        <f t="shared" si="9"/>
        <v/>
      </c>
      <c r="AL562" s="7">
        <f>IF(ISBLANK(AH562), 0, VLOOKUP(AH562, 'Price Sheet'!$A$2:$B1015, 2, false))</f>
        <v>0</v>
      </c>
      <c r="AM562" s="33" t="str">
        <f t="shared" si="10"/>
        <v/>
      </c>
      <c r="AN562" s="37"/>
      <c r="AO562" s="29"/>
      <c r="AP562" s="29" t="b">
        <v>0</v>
      </c>
      <c r="AQ562" s="22" t="str">
        <f t="shared" si="11"/>
        <v/>
      </c>
      <c r="AR562" s="7">
        <f>IF(ISBLANK(AN562), 0, VLOOKUP(AN562, 'Price Sheet'!$A$2:$B1015, 2, false))</f>
        <v>0</v>
      </c>
      <c r="AS562" s="33" t="str">
        <f t="shared" si="12"/>
        <v/>
      </c>
      <c r="AT562" s="37"/>
      <c r="AU562" s="29"/>
      <c r="AV562" s="29" t="b">
        <v>0</v>
      </c>
      <c r="AW562" s="22" t="str">
        <f t="shared" si="13"/>
        <v/>
      </c>
      <c r="AX562" s="7">
        <f>IF(ISBLANK(AT562), 0, VLOOKUP(AT562, 'Price Sheet'!$A$2:$B1015, 2, false))</f>
        <v>0</v>
      </c>
      <c r="AY562" s="33" t="str">
        <f t="shared" si="14"/>
        <v/>
      </c>
      <c r="AZ562" s="37"/>
      <c r="BA562" s="29"/>
      <c r="BB562" s="29" t="b">
        <v>0</v>
      </c>
      <c r="BC562" s="22" t="str">
        <f t="shared" si="15"/>
        <v/>
      </c>
      <c r="BD562" s="7">
        <f>IF(ISBLANK(AZ562), 0, VLOOKUP(AZ562, 'Price Sheet'!$A$2:$B1015, 2, false))</f>
        <v>0</v>
      </c>
      <c r="BE562" s="33" t="str">
        <f t="shared" si="16"/>
        <v/>
      </c>
      <c r="BF562" s="37"/>
      <c r="BG562" s="29"/>
      <c r="BH562" s="29" t="b">
        <v>0</v>
      </c>
      <c r="BI562" s="22" t="str">
        <f t="shared" si="17"/>
        <v/>
      </c>
      <c r="BJ562" s="7">
        <f>IF(ISBLANK(BF562), 0, VLOOKUP(BF562, 'Price Sheet'!$A$2:$B1015, 2, false))</f>
        <v>0</v>
      </c>
      <c r="BK562" s="33" t="str">
        <f t="shared" si="18"/>
        <v/>
      </c>
      <c r="BL562" s="37"/>
      <c r="BM562" s="29"/>
      <c r="BN562" s="29" t="b">
        <v>0</v>
      </c>
      <c r="BO562" s="22" t="str">
        <f t="shared" si="19"/>
        <v/>
      </c>
      <c r="BP562" s="7">
        <f>IF(ISBLANK(BL562), 0, VLOOKUP(BL562, 'Price Sheet'!$A$2:$B1015, 2, false))</f>
        <v>0</v>
      </c>
      <c r="BQ562" s="33" t="str">
        <f t="shared" si="20"/>
        <v/>
      </c>
    </row>
    <row r="563">
      <c r="B563" s="19"/>
      <c r="C563" s="29"/>
      <c r="D563" s="29"/>
      <c r="E563" s="7" t="str">
        <f>IF(ISBLANK(D563), "", VLOOKUP(D563,'Crafting Tables'!$A$2:$B1015, 2, false))</f>
        <v/>
      </c>
      <c r="F563" s="7" t="str">
        <f>IFERROR(IF(E563 = "None", 1, VLOOKUP(C563,General!$A$5:$L$35, SWITCH(E563, "Basic", 8, "Advanced", 10, "Modern", 12), false)),"")</f>
        <v/>
      </c>
      <c r="G563" s="29"/>
      <c r="H563" s="7">
        <f>IFERROR(VLOOKUP(C563, General!$A$5:$L$35, 6, false) * G563 / 1000, 0)</f>
        <v>0</v>
      </c>
      <c r="I563" s="29"/>
      <c r="J563" s="22" t="str">
        <f>IFERROR(I563*VLOOKUP(D563,'Crafting Tables'!$1:$1000, 4, false)*F563,"")</f>
        <v/>
      </c>
      <c r="K563" s="29" t="b">
        <v>0</v>
      </c>
      <c r="L563" s="37"/>
      <c r="M563" s="29"/>
      <c r="N563" s="21" t="str">
        <f t="shared" si="2"/>
        <v/>
      </c>
      <c r="P563" s="37"/>
      <c r="Q563" s="29"/>
      <c r="R563" s="29" t="b">
        <v>0</v>
      </c>
      <c r="S563" s="22" t="str">
        <f t="shared" si="3"/>
        <v/>
      </c>
      <c r="T563" s="7">
        <f>IF(ISBLANK(P563), 0, VLOOKUP(P563, 'Price Sheet'!$A$2:$B1015, 2, false))</f>
        <v>0</v>
      </c>
      <c r="U563" s="33" t="str">
        <f t="shared" si="4"/>
        <v/>
      </c>
      <c r="V563" s="37"/>
      <c r="W563" s="29"/>
      <c r="X563" s="29" t="b">
        <v>0</v>
      </c>
      <c r="Y563" s="22" t="str">
        <f t="shared" si="5"/>
        <v/>
      </c>
      <c r="Z563" s="7">
        <f>IF(ISBLANK(V563), 0, VLOOKUP(V563, 'Price Sheet'!$A$2:$B1015, 2, false))</f>
        <v>0</v>
      </c>
      <c r="AA563" s="33" t="str">
        <f t="shared" si="6"/>
        <v/>
      </c>
      <c r="AB563" s="37"/>
      <c r="AC563" s="29"/>
      <c r="AD563" s="29" t="b">
        <v>0</v>
      </c>
      <c r="AE563" s="22" t="str">
        <f t="shared" si="7"/>
        <v/>
      </c>
      <c r="AF563" s="7">
        <f>IF(ISBLANK(AB563), 0, VLOOKUP(AB563, 'Price Sheet'!$A$2:$B1015, 2, false))</f>
        <v>0</v>
      </c>
      <c r="AG563" s="33" t="str">
        <f t="shared" si="8"/>
        <v/>
      </c>
      <c r="AH563" s="37"/>
      <c r="AI563" s="29"/>
      <c r="AJ563" s="29" t="b">
        <v>0</v>
      </c>
      <c r="AK563" s="22" t="str">
        <f t="shared" si="9"/>
        <v/>
      </c>
      <c r="AL563" s="7">
        <f>IF(ISBLANK(AH563), 0, VLOOKUP(AH563, 'Price Sheet'!$A$2:$B1015, 2, false))</f>
        <v>0</v>
      </c>
      <c r="AM563" s="33" t="str">
        <f t="shared" si="10"/>
        <v/>
      </c>
      <c r="AN563" s="37"/>
      <c r="AO563" s="29"/>
      <c r="AP563" s="29" t="b">
        <v>0</v>
      </c>
      <c r="AQ563" s="22" t="str">
        <f t="shared" si="11"/>
        <v/>
      </c>
      <c r="AR563" s="7">
        <f>IF(ISBLANK(AN563), 0, VLOOKUP(AN563, 'Price Sheet'!$A$2:$B1015, 2, false))</f>
        <v>0</v>
      </c>
      <c r="AS563" s="33" t="str">
        <f t="shared" si="12"/>
        <v/>
      </c>
      <c r="AT563" s="37"/>
      <c r="AU563" s="29"/>
      <c r="AV563" s="29" t="b">
        <v>0</v>
      </c>
      <c r="AW563" s="22" t="str">
        <f t="shared" si="13"/>
        <v/>
      </c>
      <c r="AX563" s="7">
        <f>IF(ISBLANK(AT563), 0, VLOOKUP(AT563, 'Price Sheet'!$A$2:$B1015, 2, false))</f>
        <v>0</v>
      </c>
      <c r="AY563" s="33" t="str">
        <f t="shared" si="14"/>
        <v/>
      </c>
      <c r="AZ563" s="37"/>
      <c r="BA563" s="29"/>
      <c r="BB563" s="29" t="b">
        <v>0</v>
      </c>
      <c r="BC563" s="22" t="str">
        <f t="shared" si="15"/>
        <v/>
      </c>
      <c r="BD563" s="7">
        <f>IF(ISBLANK(AZ563), 0, VLOOKUP(AZ563, 'Price Sheet'!$A$2:$B1015, 2, false))</f>
        <v>0</v>
      </c>
      <c r="BE563" s="33" t="str">
        <f t="shared" si="16"/>
        <v/>
      </c>
      <c r="BF563" s="37"/>
      <c r="BG563" s="29"/>
      <c r="BH563" s="29" t="b">
        <v>0</v>
      </c>
      <c r="BI563" s="22" t="str">
        <f t="shared" si="17"/>
        <v/>
      </c>
      <c r="BJ563" s="7">
        <f>IF(ISBLANK(BF563), 0, VLOOKUP(BF563, 'Price Sheet'!$A$2:$B1015, 2, false))</f>
        <v>0</v>
      </c>
      <c r="BK563" s="33" t="str">
        <f t="shared" si="18"/>
        <v/>
      </c>
      <c r="BL563" s="37"/>
      <c r="BM563" s="29"/>
      <c r="BN563" s="29" t="b">
        <v>0</v>
      </c>
      <c r="BO563" s="22" t="str">
        <f t="shared" si="19"/>
        <v/>
      </c>
      <c r="BP563" s="7">
        <f>IF(ISBLANK(BL563), 0, VLOOKUP(BL563, 'Price Sheet'!$A$2:$B1015, 2, false))</f>
        <v>0</v>
      </c>
      <c r="BQ563" s="33" t="str">
        <f t="shared" si="20"/>
        <v/>
      </c>
    </row>
    <row r="564">
      <c r="B564" s="19"/>
      <c r="C564" s="29"/>
      <c r="D564" s="29"/>
      <c r="E564" s="7" t="str">
        <f>IF(ISBLANK(D564), "", VLOOKUP(D564,'Crafting Tables'!$A$2:$B1015, 2, false))</f>
        <v/>
      </c>
      <c r="F564" s="7" t="str">
        <f>IFERROR(IF(E564 = "None", 1, VLOOKUP(C564,General!$A$5:$L$35, SWITCH(E564, "Basic", 8, "Advanced", 10, "Modern", 12), false)),"")</f>
        <v/>
      </c>
      <c r="G564" s="29"/>
      <c r="H564" s="7">
        <f>IFERROR(VLOOKUP(C564, General!$A$5:$L$35, 6, false) * G564 / 1000, 0)</f>
        <v>0</v>
      </c>
      <c r="I564" s="29"/>
      <c r="J564" s="22" t="str">
        <f>IFERROR(I564*VLOOKUP(D564,'Crafting Tables'!$1:$1000, 4, false)*F564,"")</f>
        <v/>
      </c>
      <c r="K564" s="29" t="b">
        <v>0</v>
      </c>
      <c r="L564" s="37"/>
      <c r="M564" s="29"/>
      <c r="N564" s="21" t="str">
        <f t="shared" si="2"/>
        <v/>
      </c>
      <c r="P564" s="37"/>
      <c r="Q564" s="29"/>
      <c r="R564" s="29" t="b">
        <v>0</v>
      </c>
      <c r="S564" s="22" t="str">
        <f t="shared" si="3"/>
        <v/>
      </c>
      <c r="T564" s="7">
        <f>IF(ISBLANK(P564), 0, VLOOKUP(P564, 'Price Sheet'!$A$2:$B1015, 2, false))</f>
        <v>0</v>
      </c>
      <c r="U564" s="33" t="str">
        <f t="shared" si="4"/>
        <v/>
      </c>
      <c r="V564" s="37"/>
      <c r="W564" s="29"/>
      <c r="X564" s="29" t="b">
        <v>0</v>
      </c>
      <c r="Y564" s="22" t="str">
        <f t="shared" si="5"/>
        <v/>
      </c>
      <c r="Z564" s="7">
        <f>IF(ISBLANK(V564), 0, VLOOKUP(V564, 'Price Sheet'!$A$2:$B1015, 2, false))</f>
        <v>0</v>
      </c>
      <c r="AA564" s="33" t="str">
        <f t="shared" si="6"/>
        <v/>
      </c>
      <c r="AB564" s="37"/>
      <c r="AC564" s="29"/>
      <c r="AD564" s="29" t="b">
        <v>0</v>
      </c>
      <c r="AE564" s="22" t="str">
        <f t="shared" si="7"/>
        <v/>
      </c>
      <c r="AF564" s="7">
        <f>IF(ISBLANK(AB564), 0, VLOOKUP(AB564, 'Price Sheet'!$A$2:$B1015, 2, false))</f>
        <v>0</v>
      </c>
      <c r="AG564" s="33" t="str">
        <f t="shared" si="8"/>
        <v/>
      </c>
      <c r="AH564" s="37"/>
      <c r="AI564" s="29"/>
      <c r="AJ564" s="29" t="b">
        <v>0</v>
      </c>
      <c r="AK564" s="22" t="str">
        <f t="shared" si="9"/>
        <v/>
      </c>
      <c r="AL564" s="7">
        <f>IF(ISBLANK(AH564), 0, VLOOKUP(AH564, 'Price Sheet'!$A$2:$B1015, 2, false))</f>
        <v>0</v>
      </c>
      <c r="AM564" s="33" t="str">
        <f t="shared" si="10"/>
        <v/>
      </c>
      <c r="AN564" s="37"/>
      <c r="AO564" s="29"/>
      <c r="AP564" s="29" t="b">
        <v>0</v>
      </c>
      <c r="AQ564" s="22" t="str">
        <f t="shared" si="11"/>
        <v/>
      </c>
      <c r="AR564" s="7">
        <f>IF(ISBLANK(AN564), 0, VLOOKUP(AN564, 'Price Sheet'!$A$2:$B1015, 2, false))</f>
        <v>0</v>
      </c>
      <c r="AS564" s="33" t="str">
        <f t="shared" si="12"/>
        <v/>
      </c>
      <c r="AT564" s="37"/>
      <c r="AU564" s="29"/>
      <c r="AV564" s="29" t="b">
        <v>0</v>
      </c>
      <c r="AW564" s="22" t="str">
        <f t="shared" si="13"/>
        <v/>
      </c>
      <c r="AX564" s="7">
        <f>IF(ISBLANK(AT564), 0, VLOOKUP(AT564, 'Price Sheet'!$A$2:$B1015, 2, false))</f>
        <v>0</v>
      </c>
      <c r="AY564" s="33" t="str">
        <f t="shared" si="14"/>
        <v/>
      </c>
      <c r="AZ564" s="37"/>
      <c r="BA564" s="29"/>
      <c r="BB564" s="29" t="b">
        <v>0</v>
      </c>
      <c r="BC564" s="22" t="str">
        <f t="shared" si="15"/>
        <v/>
      </c>
      <c r="BD564" s="7">
        <f>IF(ISBLANK(AZ564), 0, VLOOKUP(AZ564, 'Price Sheet'!$A$2:$B1015, 2, false))</f>
        <v>0</v>
      </c>
      <c r="BE564" s="33" t="str">
        <f t="shared" si="16"/>
        <v/>
      </c>
      <c r="BF564" s="37"/>
      <c r="BG564" s="29"/>
      <c r="BH564" s="29" t="b">
        <v>0</v>
      </c>
      <c r="BI564" s="22" t="str">
        <f t="shared" si="17"/>
        <v/>
      </c>
      <c r="BJ564" s="7">
        <f>IF(ISBLANK(BF564), 0, VLOOKUP(BF564, 'Price Sheet'!$A$2:$B1015, 2, false))</f>
        <v>0</v>
      </c>
      <c r="BK564" s="33" t="str">
        <f t="shared" si="18"/>
        <v/>
      </c>
      <c r="BL564" s="37"/>
      <c r="BM564" s="29"/>
      <c r="BN564" s="29" t="b">
        <v>0</v>
      </c>
      <c r="BO564" s="22" t="str">
        <f t="shared" si="19"/>
        <v/>
      </c>
      <c r="BP564" s="7">
        <f>IF(ISBLANK(BL564), 0, VLOOKUP(BL564, 'Price Sheet'!$A$2:$B1015, 2, false))</f>
        <v>0</v>
      </c>
      <c r="BQ564" s="33" t="str">
        <f t="shared" si="20"/>
        <v/>
      </c>
    </row>
    <row r="565">
      <c r="B565" s="19"/>
      <c r="C565" s="29"/>
      <c r="D565" s="29"/>
      <c r="E565" s="7" t="str">
        <f>IF(ISBLANK(D565), "", VLOOKUP(D565,'Crafting Tables'!$A$2:$B1015, 2, false))</f>
        <v/>
      </c>
      <c r="F565" s="7" t="str">
        <f>IFERROR(IF(E565 = "None", 1, VLOOKUP(C565,General!$A$5:$L$35, SWITCH(E565, "Basic", 8, "Advanced", 10, "Modern", 12), false)),"")</f>
        <v/>
      </c>
      <c r="G565" s="29"/>
      <c r="H565" s="7">
        <f>IFERROR(VLOOKUP(C565, General!$A$5:$L$35, 6, false) * G565 / 1000, 0)</f>
        <v>0</v>
      </c>
      <c r="I565" s="29"/>
      <c r="J565" s="22" t="str">
        <f>IFERROR(I565*VLOOKUP(D565,'Crafting Tables'!$1:$1000, 4, false)*F565,"")</f>
        <v/>
      </c>
      <c r="K565" s="29" t="b">
        <v>0</v>
      </c>
      <c r="L565" s="37"/>
      <c r="M565" s="29"/>
      <c r="N565" s="21" t="str">
        <f t="shared" si="2"/>
        <v/>
      </c>
      <c r="P565" s="37"/>
      <c r="Q565" s="29"/>
      <c r="R565" s="29" t="b">
        <v>0</v>
      </c>
      <c r="S565" s="22" t="str">
        <f t="shared" si="3"/>
        <v/>
      </c>
      <c r="T565" s="7">
        <f>IF(ISBLANK(P565), 0, VLOOKUP(P565, 'Price Sheet'!$A$2:$B1015, 2, false))</f>
        <v>0</v>
      </c>
      <c r="U565" s="33" t="str">
        <f t="shared" si="4"/>
        <v/>
      </c>
      <c r="V565" s="37"/>
      <c r="W565" s="29"/>
      <c r="X565" s="29" t="b">
        <v>0</v>
      </c>
      <c r="Y565" s="22" t="str">
        <f t="shared" si="5"/>
        <v/>
      </c>
      <c r="Z565" s="7">
        <f>IF(ISBLANK(V565), 0, VLOOKUP(V565, 'Price Sheet'!$A$2:$B1015, 2, false))</f>
        <v>0</v>
      </c>
      <c r="AA565" s="33" t="str">
        <f t="shared" si="6"/>
        <v/>
      </c>
      <c r="AB565" s="37"/>
      <c r="AC565" s="29"/>
      <c r="AD565" s="29" t="b">
        <v>0</v>
      </c>
      <c r="AE565" s="22" t="str">
        <f t="shared" si="7"/>
        <v/>
      </c>
      <c r="AF565" s="7">
        <f>IF(ISBLANK(AB565), 0, VLOOKUP(AB565, 'Price Sheet'!$A$2:$B1015, 2, false))</f>
        <v>0</v>
      </c>
      <c r="AG565" s="33" t="str">
        <f t="shared" si="8"/>
        <v/>
      </c>
      <c r="AH565" s="37"/>
      <c r="AI565" s="29"/>
      <c r="AJ565" s="29" t="b">
        <v>0</v>
      </c>
      <c r="AK565" s="22" t="str">
        <f t="shared" si="9"/>
        <v/>
      </c>
      <c r="AL565" s="7">
        <f>IF(ISBLANK(AH565), 0, VLOOKUP(AH565, 'Price Sheet'!$A$2:$B1015, 2, false))</f>
        <v>0</v>
      </c>
      <c r="AM565" s="33" t="str">
        <f t="shared" si="10"/>
        <v/>
      </c>
      <c r="AN565" s="37"/>
      <c r="AO565" s="29"/>
      <c r="AP565" s="29" t="b">
        <v>0</v>
      </c>
      <c r="AQ565" s="22" t="str">
        <f t="shared" si="11"/>
        <v/>
      </c>
      <c r="AR565" s="7">
        <f>IF(ISBLANK(AN565), 0, VLOOKUP(AN565, 'Price Sheet'!$A$2:$B1015, 2, false))</f>
        <v>0</v>
      </c>
      <c r="AS565" s="33" t="str">
        <f t="shared" si="12"/>
        <v/>
      </c>
      <c r="AT565" s="37"/>
      <c r="AU565" s="29"/>
      <c r="AV565" s="29" t="b">
        <v>0</v>
      </c>
      <c r="AW565" s="22" t="str">
        <f t="shared" si="13"/>
        <v/>
      </c>
      <c r="AX565" s="7">
        <f>IF(ISBLANK(AT565), 0, VLOOKUP(AT565, 'Price Sheet'!$A$2:$B1015, 2, false))</f>
        <v>0</v>
      </c>
      <c r="AY565" s="33" t="str">
        <f t="shared" si="14"/>
        <v/>
      </c>
      <c r="AZ565" s="37"/>
      <c r="BA565" s="29"/>
      <c r="BB565" s="29" t="b">
        <v>0</v>
      </c>
      <c r="BC565" s="22" t="str">
        <f t="shared" si="15"/>
        <v/>
      </c>
      <c r="BD565" s="7">
        <f>IF(ISBLANK(AZ565), 0, VLOOKUP(AZ565, 'Price Sheet'!$A$2:$B1015, 2, false))</f>
        <v>0</v>
      </c>
      <c r="BE565" s="33" t="str">
        <f t="shared" si="16"/>
        <v/>
      </c>
      <c r="BF565" s="37"/>
      <c r="BG565" s="29"/>
      <c r="BH565" s="29" t="b">
        <v>0</v>
      </c>
      <c r="BI565" s="22" t="str">
        <f t="shared" si="17"/>
        <v/>
      </c>
      <c r="BJ565" s="7">
        <f>IF(ISBLANK(BF565), 0, VLOOKUP(BF565, 'Price Sheet'!$A$2:$B1015, 2, false))</f>
        <v>0</v>
      </c>
      <c r="BK565" s="33" t="str">
        <f t="shared" si="18"/>
        <v/>
      </c>
      <c r="BL565" s="37"/>
      <c r="BM565" s="29"/>
      <c r="BN565" s="29" t="b">
        <v>0</v>
      </c>
      <c r="BO565" s="22" t="str">
        <f t="shared" si="19"/>
        <v/>
      </c>
      <c r="BP565" s="7">
        <f>IF(ISBLANK(BL565), 0, VLOOKUP(BL565, 'Price Sheet'!$A$2:$B1015, 2, false))</f>
        <v>0</v>
      </c>
      <c r="BQ565" s="33" t="str">
        <f t="shared" si="20"/>
        <v/>
      </c>
    </row>
    <row r="566">
      <c r="B566" s="19"/>
      <c r="C566" s="29"/>
      <c r="D566" s="29"/>
      <c r="E566" s="7" t="str">
        <f>IF(ISBLANK(D566), "", VLOOKUP(D566,'Crafting Tables'!$A$2:$B1015, 2, false))</f>
        <v/>
      </c>
      <c r="F566" s="7" t="str">
        <f>IFERROR(IF(E566 = "None", 1, VLOOKUP(C566,General!$A$5:$L$35, SWITCH(E566, "Basic", 8, "Advanced", 10, "Modern", 12), false)),"")</f>
        <v/>
      </c>
      <c r="G566" s="29"/>
      <c r="H566" s="7">
        <f>IFERROR(VLOOKUP(C566, General!$A$5:$L$35, 6, false) * G566 / 1000, 0)</f>
        <v>0</v>
      </c>
      <c r="I566" s="29"/>
      <c r="J566" s="22" t="str">
        <f>IFERROR(I566*VLOOKUP(D566,'Crafting Tables'!$1:$1000, 4, false)*F566,"")</f>
        <v/>
      </c>
      <c r="K566" s="29" t="b">
        <v>0</v>
      </c>
      <c r="L566" s="37"/>
      <c r="M566" s="29"/>
      <c r="N566" s="21" t="str">
        <f t="shared" si="2"/>
        <v/>
      </c>
      <c r="P566" s="37"/>
      <c r="Q566" s="29"/>
      <c r="R566" s="29" t="b">
        <v>0</v>
      </c>
      <c r="S566" s="22" t="str">
        <f t="shared" si="3"/>
        <v/>
      </c>
      <c r="T566" s="7">
        <f>IF(ISBLANK(P566), 0, VLOOKUP(P566, 'Price Sheet'!$A$2:$B1015, 2, false))</f>
        <v>0</v>
      </c>
      <c r="U566" s="33" t="str">
        <f t="shared" si="4"/>
        <v/>
      </c>
      <c r="V566" s="37"/>
      <c r="W566" s="29"/>
      <c r="X566" s="29" t="b">
        <v>0</v>
      </c>
      <c r="Y566" s="22" t="str">
        <f t="shared" si="5"/>
        <v/>
      </c>
      <c r="Z566" s="7">
        <f>IF(ISBLANK(V566), 0, VLOOKUP(V566, 'Price Sheet'!$A$2:$B1015, 2, false))</f>
        <v>0</v>
      </c>
      <c r="AA566" s="33" t="str">
        <f t="shared" si="6"/>
        <v/>
      </c>
      <c r="AB566" s="37"/>
      <c r="AC566" s="29"/>
      <c r="AD566" s="29" t="b">
        <v>0</v>
      </c>
      <c r="AE566" s="22" t="str">
        <f t="shared" si="7"/>
        <v/>
      </c>
      <c r="AF566" s="7">
        <f>IF(ISBLANK(AB566), 0, VLOOKUP(AB566, 'Price Sheet'!$A$2:$B1015, 2, false))</f>
        <v>0</v>
      </c>
      <c r="AG566" s="33" t="str">
        <f t="shared" si="8"/>
        <v/>
      </c>
      <c r="AH566" s="37"/>
      <c r="AI566" s="29"/>
      <c r="AJ566" s="29" t="b">
        <v>0</v>
      </c>
      <c r="AK566" s="22" t="str">
        <f t="shared" si="9"/>
        <v/>
      </c>
      <c r="AL566" s="7">
        <f>IF(ISBLANK(AH566), 0, VLOOKUP(AH566, 'Price Sheet'!$A$2:$B1015, 2, false))</f>
        <v>0</v>
      </c>
      <c r="AM566" s="33" t="str">
        <f t="shared" si="10"/>
        <v/>
      </c>
      <c r="AN566" s="37"/>
      <c r="AO566" s="29"/>
      <c r="AP566" s="29" t="b">
        <v>0</v>
      </c>
      <c r="AQ566" s="22" t="str">
        <f t="shared" si="11"/>
        <v/>
      </c>
      <c r="AR566" s="7">
        <f>IF(ISBLANK(AN566), 0, VLOOKUP(AN566, 'Price Sheet'!$A$2:$B1015, 2, false))</f>
        <v>0</v>
      </c>
      <c r="AS566" s="33" t="str">
        <f t="shared" si="12"/>
        <v/>
      </c>
      <c r="AT566" s="37"/>
      <c r="AU566" s="29"/>
      <c r="AV566" s="29" t="b">
        <v>0</v>
      </c>
      <c r="AW566" s="22" t="str">
        <f t="shared" si="13"/>
        <v/>
      </c>
      <c r="AX566" s="7">
        <f>IF(ISBLANK(AT566), 0, VLOOKUP(AT566, 'Price Sheet'!$A$2:$B1015, 2, false))</f>
        <v>0</v>
      </c>
      <c r="AY566" s="33" t="str">
        <f t="shared" si="14"/>
        <v/>
      </c>
      <c r="AZ566" s="37"/>
      <c r="BA566" s="29"/>
      <c r="BB566" s="29" t="b">
        <v>0</v>
      </c>
      <c r="BC566" s="22" t="str">
        <f t="shared" si="15"/>
        <v/>
      </c>
      <c r="BD566" s="7">
        <f>IF(ISBLANK(AZ566), 0, VLOOKUP(AZ566, 'Price Sheet'!$A$2:$B1015, 2, false))</f>
        <v>0</v>
      </c>
      <c r="BE566" s="33" t="str">
        <f t="shared" si="16"/>
        <v/>
      </c>
      <c r="BF566" s="37"/>
      <c r="BG566" s="29"/>
      <c r="BH566" s="29" t="b">
        <v>0</v>
      </c>
      <c r="BI566" s="22" t="str">
        <f t="shared" si="17"/>
        <v/>
      </c>
      <c r="BJ566" s="7">
        <f>IF(ISBLANK(BF566), 0, VLOOKUP(BF566, 'Price Sheet'!$A$2:$B1015, 2, false))</f>
        <v>0</v>
      </c>
      <c r="BK566" s="33" t="str">
        <f t="shared" si="18"/>
        <v/>
      </c>
      <c r="BL566" s="37"/>
      <c r="BM566" s="29"/>
      <c r="BN566" s="29" t="b">
        <v>0</v>
      </c>
      <c r="BO566" s="22" t="str">
        <f t="shared" si="19"/>
        <v/>
      </c>
      <c r="BP566" s="7">
        <f>IF(ISBLANK(BL566), 0, VLOOKUP(BL566, 'Price Sheet'!$A$2:$B1015, 2, false))</f>
        <v>0</v>
      </c>
      <c r="BQ566" s="33" t="str">
        <f t="shared" si="20"/>
        <v/>
      </c>
    </row>
    <row r="567">
      <c r="B567" s="19"/>
      <c r="C567" s="29"/>
      <c r="D567" s="29"/>
      <c r="E567" s="7" t="str">
        <f>IF(ISBLANK(D567), "", VLOOKUP(D567,'Crafting Tables'!$A$2:$B1015, 2, false))</f>
        <v/>
      </c>
      <c r="F567" s="7" t="str">
        <f>IFERROR(IF(E567 = "None", 1, VLOOKUP(C567,General!$A$5:$L$35, SWITCH(E567, "Basic", 8, "Advanced", 10, "Modern", 12), false)),"")</f>
        <v/>
      </c>
      <c r="G567" s="29"/>
      <c r="H567" s="7">
        <f>IFERROR(VLOOKUP(C567, General!$A$5:$L$35, 6, false) * G567 / 1000, 0)</f>
        <v>0</v>
      </c>
      <c r="I567" s="29"/>
      <c r="J567" s="22" t="str">
        <f>IFERROR(I567*VLOOKUP(D567,'Crafting Tables'!$1:$1000, 4, false)*F567,"")</f>
        <v/>
      </c>
      <c r="K567" s="29" t="b">
        <v>0</v>
      </c>
      <c r="L567" s="37"/>
      <c r="M567" s="29"/>
      <c r="N567" s="21" t="str">
        <f t="shared" si="2"/>
        <v/>
      </c>
      <c r="P567" s="37"/>
      <c r="Q567" s="29"/>
      <c r="R567" s="29" t="b">
        <v>0</v>
      </c>
      <c r="S567" s="22" t="str">
        <f t="shared" si="3"/>
        <v/>
      </c>
      <c r="T567" s="7">
        <f>IF(ISBLANK(P567), 0, VLOOKUP(P567, 'Price Sheet'!$A$2:$B1015, 2, false))</f>
        <v>0</v>
      </c>
      <c r="U567" s="33" t="str">
        <f t="shared" si="4"/>
        <v/>
      </c>
      <c r="V567" s="37"/>
      <c r="W567" s="29"/>
      <c r="X567" s="29" t="b">
        <v>0</v>
      </c>
      <c r="Y567" s="22" t="str">
        <f t="shared" si="5"/>
        <v/>
      </c>
      <c r="Z567" s="7">
        <f>IF(ISBLANK(V567), 0, VLOOKUP(V567, 'Price Sheet'!$A$2:$B1015, 2, false))</f>
        <v>0</v>
      </c>
      <c r="AA567" s="33" t="str">
        <f t="shared" si="6"/>
        <v/>
      </c>
      <c r="AB567" s="37"/>
      <c r="AC567" s="29"/>
      <c r="AD567" s="29" t="b">
        <v>0</v>
      </c>
      <c r="AE567" s="22" t="str">
        <f t="shared" si="7"/>
        <v/>
      </c>
      <c r="AF567" s="7">
        <f>IF(ISBLANK(AB567), 0, VLOOKUP(AB567, 'Price Sheet'!$A$2:$B1015, 2, false))</f>
        <v>0</v>
      </c>
      <c r="AG567" s="33" t="str">
        <f t="shared" si="8"/>
        <v/>
      </c>
      <c r="AH567" s="37"/>
      <c r="AI567" s="29"/>
      <c r="AJ567" s="29" t="b">
        <v>0</v>
      </c>
      <c r="AK567" s="22" t="str">
        <f t="shared" si="9"/>
        <v/>
      </c>
      <c r="AL567" s="7">
        <f>IF(ISBLANK(AH567), 0, VLOOKUP(AH567, 'Price Sheet'!$A$2:$B1015, 2, false))</f>
        <v>0</v>
      </c>
      <c r="AM567" s="33" t="str">
        <f t="shared" si="10"/>
        <v/>
      </c>
      <c r="AN567" s="37"/>
      <c r="AO567" s="29"/>
      <c r="AP567" s="29" t="b">
        <v>0</v>
      </c>
      <c r="AQ567" s="22" t="str">
        <f t="shared" si="11"/>
        <v/>
      </c>
      <c r="AR567" s="7">
        <f>IF(ISBLANK(AN567), 0, VLOOKUP(AN567, 'Price Sheet'!$A$2:$B1015, 2, false))</f>
        <v>0</v>
      </c>
      <c r="AS567" s="33" t="str">
        <f t="shared" si="12"/>
        <v/>
      </c>
      <c r="AT567" s="37"/>
      <c r="AU567" s="29"/>
      <c r="AV567" s="29" t="b">
        <v>0</v>
      </c>
      <c r="AW567" s="22" t="str">
        <f t="shared" si="13"/>
        <v/>
      </c>
      <c r="AX567" s="7">
        <f>IF(ISBLANK(AT567), 0, VLOOKUP(AT567, 'Price Sheet'!$A$2:$B1015, 2, false))</f>
        <v>0</v>
      </c>
      <c r="AY567" s="33" t="str">
        <f t="shared" si="14"/>
        <v/>
      </c>
      <c r="AZ567" s="37"/>
      <c r="BA567" s="29"/>
      <c r="BB567" s="29" t="b">
        <v>0</v>
      </c>
      <c r="BC567" s="22" t="str">
        <f t="shared" si="15"/>
        <v/>
      </c>
      <c r="BD567" s="7">
        <f>IF(ISBLANK(AZ567), 0, VLOOKUP(AZ567, 'Price Sheet'!$A$2:$B1015, 2, false))</f>
        <v>0</v>
      </c>
      <c r="BE567" s="33" t="str">
        <f t="shared" si="16"/>
        <v/>
      </c>
      <c r="BF567" s="37"/>
      <c r="BG567" s="29"/>
      <c r="BH567" s="29" t="b">
        <v>0</v>
      </c>
      <c r="BI567" s="22" t="str">
        <f t="shared" si="17"/>
        <v/>
      </c>
      <c r="BJ567" s="7">
        <f>IF(ISBLANK(BF567), 0, VLOOKUP(BF567, 'Price Sheet'!$A$2:$B1015, 2, false))</f>
        <v>0</v>
      </c>
      <c r="BK567" s="33" t="str">
        <f t="shared" si="18"/>
        <v/>
      </c>
      <c r="BL567" s="37"/>
      <c r="BM567" s="29"/>
      <c r="BN567" s="29" t="b">
        <v>0</v>
      </c>
      <c r="BO567" s="22" t="str">
        <f t="shared" si="19"/>
        <v/>
      </c>
      <c r="BP567" s="7">
        <f>IF(ISBLANK(BL567), 0, VLOOKUP(BL567, 'Price Sheet'!$A$2:$B1015, 2, false))</f>
        <v>0</v>
      </c>
      <c r="BQ567" s="33" t="str">
        <f t="shared" si="20"/>
        <v/>
      </c>
    </row>
    <row r="568">
      <c r="B568" s="19"/>
      <c r="C568" s="29"/>
      <c r="D568" s="29"/>
      <c r="E568" s="7" t="str">
        <f>IF(ISBLANK(D568), "", VLOOKUP(D568,'Crafting Tables'!$A$2:$B1015, 2, false))</f>
        <v/>
      </c>
      <c r="F568" s="7" t="str">
        <f>IFERROR(IF(E568 = "None", 1, VLOOKUP(C568,General!$A$5:$L$35, SWITCH(E568, "Basic", 8, "Advanced", 10, "Modern", 12), false)),"")</f>
        <v/>
      </c>
      <c r="G568" s="29"/>
      <c r="H568" s="7">
        <f>IFERROR(VLOOKUP(C568, General!$A$5:$L$35, 6, false) * G568 / 1000, 0)</f>
        <v>0</v>
      </c>
      <c r="I568" s="29"/>
      <c r="J568" s="22" t="str">
        <f>IFERROR(I568*VLOOKUP(D568,'Crafting Tables'!$1:$1000, 4, false)*F568,"")</f>
        <v/>
      </c>
      <c r="K568" s="29" t="b">
        <v>0</v>
      </c>
      <c r="L568" s="37"/>
      <c r="M568" s="29"/>
      <c r="N568" s="21" t="str">
        <f t="shared" si="2"/>
        <v/>
      </c>
      <c r="P568" s="37"/>
      <c r="Q568" s="29"/>
      <c r="R568" s="29" t="b">
        <v>0</v>
      </c>
      <c r="S568" s="22" t="str">
        <f t="shared" si="3"/>
        <v/>
      </c>
      <c r="T568" s="7">
        <f>IF(ISBLANK(P568), 0, VLOOKUP(P568, 'Price Sheet'!$A$2:$B1015, 2, false))</f>
        <v>0</v>
      </c>
      <c r="U568" s="33" t="str">
        <f t="shared" si="4"/>
        <v/>
      </c>
      <c r="V568" s="37"/>
      <c r="W568" s="29"/>
      <c r="X568" s="29" t="b">
        <v>0</v>
      </c>
      <c r="Y568" s="22" t="str">
        <f t="shared" si="5"/>
        <v/>
      </c>
      <c r="Z568" s="7">
        <f>IF(ISBLANK(V568), 0, VLOOKUP(V568, 'Price Sheet'!$A$2:$B1015, 2, false))</f>
        <v>0</v>
      </c>
      <c r="AA568" s="33" t="str">
        <f t="shared" si="6"/>
        <v/>
      </c>
      <c r="AB568" s="37"/>
      <c r="AC568" s="29"/>
      <c r="AD568" s="29" t="b">
        <v>0</v>
      </c>
      <c r="AE568" s="22" t="str">
        <f t="shared" si="7"/>
        <v/>
      </c>
      <c r="AF568" s="7">
        <f>IF(ISBLANK(AB568), 0, VLOOKUP(AB568, 'Price Sheet'!$A$2:$B1015, 2, false))</f>
        <v>0</v>
      </c>
      <c r="AG568" s="33" t="str">
        <f t="shared" si="8"/>
        <v/>
      </c>
      <c r="AH568" s="37"/>
      <c r="AI568" s="29"/>
      <c r="AJ568" s="29" t="b">
        <v>0</v>
      </c>
      <c r="AK568" s="22" t="str">
        <f t="shared" si="9"/>
        <v/>
      </c>
      <c r="AL568" s="7">
        <f>IF(ISBLANK(AH568), 0, VLOOKUP(AH568, 'Price Sheet'!$A$2:$B1015, 2, false))</f>
        <v>0</v>
      </c>
      <c r="AM568" s="33" t="str">
        <f t="shared" si="10"/>
        <v/>
      </c>
      <c r="AN568" s="37"/>
      <c r="AO568" s="29"/>
      <c r="AP568" s="29" t="b">
        <v>0</v>
      </c>
      <c r="AQ568" s="22" t="str">
        <f t="shared" si="11"/>
        <v/>
      </c>
      <c r="AR568" s="7">
        <f>IF(ISBLANK(AN568), 0, VLOOKUP(AN568, 'Price Sheet'!$A$2:$B1015, 2, false))</f>
        <v>0</v>
      </c>
      <c r="AS568" s="33" t="str">
        <f t="shared" si="12"/>
        <v/>
      </c>
      <c r="AT568" s="37"/>
      <c r="AU568" s="29"/>
      <c r="AV568" s="29" t="b">
        <v>0</v>
      </c>
      <c r="AW568" s="22" t="str">
        <f t="shared" si="13"/>
        <v/>
      </c>
      <c r="AX568" s="7">
        <f>IF(ISBLANK(AT568), 0, VLOOKUP(AT568, 'Price Sheet'!$A$2:$B1015, 2, false))</f>
        <v>0</v>
      </c>
      <c r="AY568" s="33" t="str">
        <f t="shared" si="14"/>
        <v/>
      </c>
      <c r="AZ568" s="37"/>
      <c r="BA568" s="29"/>
      <c r="BB568" s="29" t="b">
        <v>0</v>
      </c>
      <c r="BC568" s="22" t="str">
        <f t="shared" si="15"/>
        <v/>
      </c>
      <c r="BD568" s="7">
        <f>IF(ISBLANK(AZ568), 0, VLOOKUP(AZ568, 'Price Sheet'!$A$2:$B1015, 2, false))</f>
        <v>0</v>
      </c>
      <c r="BE568" s="33" t="str">
        <f t="shared" si="16"/>
        <v/>
      </c>
      <c r="BF568" s="37"/>
      <c r="BG568" s="29"/>
      <c r="BH568" s="29" t="b">
        <v>0</v>
      </c>
      <c r="BI568" s="22" t="str">
        <f t="shared" si="17"/>
        <v/>
      </c>
      <c r="BJ568" s="7">
        <f>IF(ISBLANK(BF568), 0, VLOOKUP(BF568, 'Price Sheet'!$A$2:$B1015, 2, false))</f>
        <v>0</v>
      </c>
      <c r="BK568" s="33" t="str">
        <f t="shared" si="18"/>
        <v/>
      </c>
      <c r="BL568" s="37"/>
      <c r="BM568" s="29"/>
      <c r="BN568" s="29" t="b">
        <v>0</v>
      </c>
      <c r="BO568" s="22" t="str">
        <f t="shared" si="19"/>
        <v/>
      </c>
      <c r="BP568" s="7">
        <f>IF(ISBLANK(BL568), 0, VLOOKUP(BL568, 'Price Sheet'!$A$2:$B1015, 2, false))</f>
        <v>0</v>
      </c>
      <c r="BQ568" s="33" t="str">
        <f t="shared" si="20"/>
        <v/>
      </c>
    </row>
    <row r="569">
      <c r="B569" s="19"/>
      <c r="C569" s="29"/>
      <c r="D569" s="29"/>
      <c r="E569" s="7" t="str">
        <f>IF(ISBLANK(D569), "", VLOOKUP(D569,'Crafting Tables'!$A$2:$B1015, 2, false))</f>
        <v/>
      </c>
      <c r="F569" s="7" t="str">
        <f>IFERROR(IF(E569 = "None", 1, VLOOKUP(C569,General!$A$5:$L$35, SWITCH(E569, "Basic", 8, "Advanced", 10, "Modern", 12), false)),"")</f>
        <v/>
      </c>
      <c r="G569" s="29"/>
      <c r="H569" s="7">
        <f>IFERROR(VLOOKUP(C569, General!$A$5:$L$35, 6, false) * G569 / 1000, 0)</f>
        <v>0</v>
      </c>
      <c r="I569" s="29"/>
      <c r="J569" s="22" t="str">
        <f>IFERROR(I569*VLOOKUP(D569,'Crafting Tables'!$1:$1000, 4, false)*F569,"")</f>
        <v/>
      </c>
      <c r="K569" s="29" t="b">
        <v>0</v>
      </c>
      <c r="L569" s="37"/>
      <c r="M569" s="29"/>
      <c r="N569" s="21" t="str">
        <f t="shared" si="2"/>
        <v/>
      </c>
      <c r="P569" s="37"/>
      <c r="Q569" s="29"/>
      <c r="R569" s="29" t="b">
        <v>0</v>
      </c>
      <c r="S569" s="22" t="str">
        <f t="shared" si="3"/>
        <v/>
      </c>
      <c r="T569" s="7">
        <f>IF(ISBLANK(P569), 0, VLOOKUP(P569, 'Price Sheet'!$A$2:$B1015, 2, false))</f>
        <v>0</v>
      </c>
      <c r="U569" s="33" t="str">
        <f t="shared" si="4"/>
        <v/>
      </c>
      <c r="V569" s="37"/>
      <c r="W569" s="29"/>
      <c r="X569" s="29" t="b">
        <v>0</v>
      </c>
      <c r="Y569" s="22" t="str">
        <f t="shared" si="5"/>
        <v/>
      </c>
      <c r="Z569" s="7">
        <f>IF(ISBLANK(V569), 0, VLOOKUP(V569, 'Price Sheet'!$A$2:$B1015, 2, false))</f>
        <v>0</v>
      </c>
      <c r="AA569" s="33" t="str">
        <f t="shared" si="6"/>
        <v/>
      </c>
      <c r="AB569" s="37"/>
      <c r="AC569" s="29"/>
      <c r="AD569" s="29" t="b">
        <v>0</v>
      </c>
      <c r="AE569" s="22" t="str">
        <f t="shared" si="7"/>
        <v/>
      </c>
      <c r="AF569" s="7">
        <f>IF(ISBLANK(AB569), 0, VLOOKUP(AB569, 'Price Sheet'!$A$2:$B1015, 2, false))</f>
        <v>0</v>
      </c>
      <c r="AG569" s="33" t="str">
        <f t="shared" si="8"/>
        <v/>
      </c>
      <c r="AH569" s="37"/>
      <c r="AI569" s="29"/>
      <c r="AJ569" s="29" t="b">
        <v>0</v>
      </c>
      <c r="AK569" s="22" t="str">
        <f t="shared" si="9"/>
        <v/>
      </c>
      <c r="AL569" s="7">
        <f>IF(ISBLANK(AH569), 0, VLOOKUP(AH569, 'Price Sheet'!$A$2:$B1015, 2, false))</f>
        <v>0</v>
      </c>
      <c r="AM569" s="33" t="str">
        <f t="shared" si="10"/>
        <v/>
      </c>
      <c r="AN569" s="37"/>
      <c r="AO569" s="29"/>
      <c r="AP569" s="29" t="b">
        <v>0</v>
      </c>
      <c r="AQ569" s="22" t="str">
        <f t="shared" si="11"/>
        <v/>
      </c>
      <c r="AR569" s="7">
        <f>IF(ISBLANK(AN569), 0, VLOOKUP(AN569, 'Price Sheet'!$A$2:$B1015, 2, false))</f>
        <v>0</v>
      </c>
      <c r="AS569" s="33" t="str">
        <f t="shared" si="12"/>
        <v/>
      </c>
      <c r="AT569" s="37"/>
      <c r="AU569" s="29"/>
      <c r="AV569" s="29" t="b">
        <v>0</v>
      </c>
      <c r="AW569" s="22" t="str">
        <f t="shared" si="13"/>
        <v/>
      </c>
      <c r="AX569" s="7">
        <f>IF(ISBLANK(AT569), 0, VLOOKUP(AT569, 'Price Sheet'!$A$2:$B1015, 2, false))</f>
        <v>0</v>
      </c>
      <c r="AY569" s="33" t="str">
        <f t="shared" si="14"/>
        <v/>
      </c>
      <c r="AZ569" s="37"/>
      <c r="BA569" s="29"/>
      <c r="BB569" s="29" t="b">
        <v>0</v>
      </c>
      <c r="BC569" s="22" t="str">
        <f t="shared" si="15"/>
        <v/>
      </c>
      <c r="BD569" s="7">
        <f>IF(ISBLANK(AZ569), 0, VLOOKUP(AZ569, 'Price Sheet'!$A$2:$B1015, 2, false))</f>
        <v>0</v>
      </c>
      <c r="BE569" s="33" t="str">
        <f t="shared" si="16"/>
        <v/>
      </c>
      <c r="BF569" s="37"/>
      <c r="BG569" s="29"/>
      <c r="BH569" s="29" t="b">
        <v>0</v>
      </c>
      <c r="BI569" s="22" t="str">
        <f t="shared" si="17"/>
        <v/>
      </c>
      <c r="BJ569" s="7">
        <f>IF(ISBLANK(BF569), 0, VLOOKUP(BF569, 'Price Sheet'!$A$2:$B1015, 2, false))</f>
        <v>0</v>
      </c>
      <c r="BK569" s="33" t="str">
        <f t="shared" si="18"/>
        <v/>
      </c>
      <c r="BL569" s="37"/>
      <c r="BM569" s="29"/>
      <c r="BN569" s="29" t="b">
        <v>0</v>
      </c>
      <c r="BO569" s="22" t="str">
        <f t="shared" si="19"/>
        <v/>
      </c>
      <c r="BP569" s="7">
        <f>IF(ISBLANK(BL569), 0, VLOOKUP(BL569, 'Price Sheet'!$A$2:$B1015, 2, false))</f>
        <v>0</v>
      </c>
      <c r="BQ569" s="33" t="str">
        <f t="shared" si="20"/>
        <v/>
      </c>
    </row>
    <row r="570">
      <c r="B570" s="19"/>
      <c r="C570" s="29"/>
      <c r="D570" s="29"/>
      <c r="E570" s="7" t="str">
        <f>IF(ISBLANK(D570), "", VLOOKUP(D570,'Crafting Tables'!$A$2:$B1015, 2, false))</f>
        <v/>
      </c>
      <c r="F570" s="7" t="str">
        <f>IFERROR(IF(E570 = "None", 1, VLOOKUP(C570,General!$A$5:$L$35, SWITCH(E570, "Basic", 8, "Advanced", 10, "Modern", 12), false)),"")</f>
        <v/>
      </c>
      <c r="G570" s="29"/>
      <c r="H570" s="7">
        <f>IFERROR(VLOOKUP(C570, General!$A$5:$L$35, 6, false) * G570 / 1000, 0)</f>
        <v>0</v>
      </c>
      <c r="I570" s="29"/>
      <c r="J570" s="22" t="str">
        <f>IFERROR(I570*VLOOKUP(D570,'Crafting Tables'!$1:$1000, 4, false)*F570,"")</f>
        <v/>
      </c>
      <c r="K570" s="29" t="b">
        <v>0</v>
      </c>
      <c r="L570" s="37"/>
      <c r="M570" s="29"/>
      <c r="N570" s="21" t="str">
        <f t="shared" si="2"/>
        <v/>
      </c>
      <c r="P570" s="37"/>
      <c r="Q570" s="29"/>
      <c r="R570" s="29" t="b">
        <v>0</v>
      </c>
      <c r="S570" s="22" t="str">
        <f t="shared" si="3"/>
        <v/>
      </c>
      <c r="T570" s="7">
        <f>IF(ISBLANK(P570), 0, VLOOKUP(P570, 'Price Sheet'!$A$2:$B1015, 2, false))</f>
        <v>0</v>
      </c>
      <c r="U570" s="33" t="str">
        <f t="shared" si="4"/>
        <v/>
      </c>
      <c r="V570" s="37"/>
      <c r="W570" s="29"/>
      <c r="X570" s="29" t="b">
        <v>0</v>
      </c>
      <c r="Y570" s="22" t="str">
        <f t="shared" si="5"/>
        <v/>
      </c>
      <c r="Z570" s="7">
        <f>IF(ISBLANK(V570), 0, VLOOKUP(V570, 'Price Sheet'!$A$2:$B1015, 2, false))</f>
        <v>0</v>
      </c>
      <c r="AA570" s="33" t="str">
        <f t="shared" si="6"/>
        <v/>
      </c>
      <c r="AB570" s="37"/>
      <c r="AC570" s="29"/>
      <c r="AD570" s="29" t="b">
        <v>0</v>
      </c>
      <c r="AE570" s="22" t="str">
        <f t="shared" si="7"/>
        <v/>
      </c>
      <c r="AF570" s="7">
        <f>IF(ISBLANK(AB570), 0, VLOOKUP(AB570, 'Price Sheet'!$A$2:$B1015, 2, false))</f>
        <v>0</v>
      </c>
      <c r="AG570" s="33" t="str">
        <f t="shared" si="8"/>
        <v/>
      </c>
      <c r="AH570" s="37"/>
      <c r="AI570" s="29"/>
      <c r="AJ570" s="29" t="b">
        <v>0</v>
      </c>
      <c r="AK570" s="22" t="str">
        <f t="shared" si="9"/>
        <v/>
      </c>
      <c r="AL570" s="7">
        <f>IF(ISBLANK(AH570), 0, VLOOKUP(AH570, 'Price Sheet'!$A$2:$B1015, 2, false))</f>
        <v>0</v>
      </c>
      <c r="AM570" s="33" t="str">
        <f t="shared" si="10"/>
        <v/>
      </c>
      <c r="AN570" s="37"/>
      <c r="AO570" s="29"/>
      <c r="AP570" s="29" t="b">
        <v>0</v>
      </c>
      <c r="AQ570" s="22" t="str">
        <f t="shared" si="11"/>
        <v/>
      </c>
      <c r="AR570" s="7">
        <f>IF(ISBLANK(AN570), 0, VLOOKUP(AN570, 'Price Sheet'!$A$2:$B1015, 2, false))</f>
        <v>0</v>
      </c>
      <c r="AS570" s="33" t="str">
        <f t="shared" si="12"/>
        <v/>
      </c>
      <c r="AT570" s="37"/>
      <c r="AU570" s="29"/>
      <c r="AV570" s="29" t="b">
        <v>0</v>
      </c>
      <c r="AW570" s="22" t="str">
        <f t="shared" si="13"/>
        <v/>
      </c>
      <c r="AX570" s="7">
        <f>IF(ISBLANK(AT570), 0, VLOOKUP(AT570, 'Price Sheet'!$A$2:$B1015, 2, false))</f>
        <v>0</v>
      </c>
      <c r="AY570" s="33" t="str">
        <f t="shared" si="14"/>
        <v/>
      </c>
      <c r="AZ570" s="37"/>
      <c r="BA570" s="29"/>
      <c r="BB570" s="29" t="b">
        <v>0</v>
      </c>
      <c r="BC570" s="22" t="str">
        <f t="shared" si="15"/>
        <v/>
      </c>
      <c r="BD570" s="7">
        <f>IF(ISBLANK(AZ570), 0, VLOOKUP(AZ570, 'Price Sheet'!$A$2:$B1015, 2, false))</f>
        <v>0</v>
      </c>
      <c r="BE570" s="33" t="str">
        <f t="shared" si="16"/>
        <v/>
      </c>
      <c r="BF570" s="37"/>
      <c r="BG570" s="29"/>
      <c r="BH570" s="29" t="b">
        <v>0</v>
      </c>
      <c r="BI570" s="22" t="str">
        <f t="shared" si="17"/>
        <v/>
      </c>
      <c r="BJ570" s="7">
        <f>IF(ISBLANK(BF570), 0, VLOOKUP(BF570, 'Price Sheet'!$A$2:$B1015, 2, false))</f>
        <v>0</v>
      </c>
      <c r="BK570" s="33" t="str">
        <f t="shared" si="18"/>
        <v/>
      </c>
      <c r="BL570" s="37"/>
      <c r="BM570" s="29"/>
      <c r="BN570" s="29" t="b">
        <v>0</v>
      </c>
      <c r="BO570" s="22" t="str">
        <f t="shared" si="19"/>
        <v/>
      </c>
      <c r="BP570" s="7">
        <f>IF(ISBLANK(BL570), 0, VLOOKUP(BL570, 'Price Sheet'!$A$2:$B1015, 2, false))</f>
        <v>0</v>
      </c>
      <c r="BQ570" s="33" t="str">
        <f t="shared" si="20"/>
        <v/>
      </c>
    </row>
    <row r="571">
      <c r="B571" s="19"/>
      <c r="C571" s="29"/>
      <c r="D571" s="29"/>
      <c r="E571" s="7" t="str">
        <f>IF(ISBLANK(D571), "", VLOOKUP(D571,'Crafting Tables'!$A$2:$B1015, 2, false))</f>
        <v/>
      </c>
      <c r="F571" s="7" t="str">
        <f>IFERROR(IF(E571 = "None", 1, VLOOKUP(C571,General!$A$5:$L$35, SWITCH(E571, "Basic", 8, "Advanced", 10, "Modern", 12), false)),"")</f>
        <v/>
      </c>
      <c r="G571" s="29"/>
      <c r="H571" s="7">
        <f>IFERROR(VLOOKUP(C571, General!$A$5:$L$35, 6, false) * G571 / 1000, 0)</f>
        <v>0</v>
      </c>
      <c r="I571" s="29"/>
      <c r="J571" s="22" t="str">
        <f>IFERROR(I571*VLOOKUP(D571,'Crafting Tables'!$1:$1000, 4, false)*F571,"")</f>
        <v/>
      </c>
      <c r="K571" s="29" t="b">
        <v>0</v>
      </c>
      <c r="L571" s="37"/>
      <c r="M571" s="29"/>
      <c r="N571" s="21" t="str">
        <f t="shared" si="2"/>
        <v/>
      </c>
      <c r="P571" s="37"/>
      <c r="Q571" s="29"/>
      <c r="R571" s="29" t="b">
        <v>0</v>
      </c>
      <c r="S571" s="22" t="str">
        <f t="shared" si="3"/>
        <v/>
      </c>
      <c r="T571" s="7">
        <f>IF(ISBLANK(P571), 0, VLOOKUP(P571, 'Price Sheet'!$A$2:$B1015, 2, false))</f>
        <v>0</v>
      </c>
      <c r="U571" s="33" t="str">
        <f t="shared" si="4"/>
        <v/>
      </c>
      <c r="V571" s="37"/>
      <c r="W571" s="29"/>
      <c r="X571" s="29" t="b">
        <v>0</v>
      </c>
      <c r="Y571" s="22" t="str">
        <f t="shared" si="5"/>
        <v/>
      </c>
      <c r="Z571" s="7">
        <f>IF(ISBLANK(V571), 0, VLOOKUP(V571, 'Price Sheet'!$A$2:$B1015, 2, false))</f>
        <v>0</v>
      </c>
      <c r="AA571" s="33" t="str">
        <f t="shared" si="6"/>
        <v/>
      </c>
      <c r="AB571" s="37"/>
      <c r="AC571" s="29"/>
      <c r="AD571" s="29" t="b">
        <v>0</v>
      </c>
      <c r="AE571" s="22" t="str">
        <f t="shared" si="7"/>
        <v/>
      </c>
      <c r="AF571" s="7">
        <f>IF(ISBLANK(AB571), 0, VLOOKUP(AB571, 'Price Sheet'!$A$2:$B1015, 2, false))</f>
        <v>0</v>
      </c>
      <c r="AG571" s="33" t="str">
        <f t="shared" si="8"/>
        <v/>
      </c>
      <c r="AH571" s="37"/>
      <c r="AI571" s="29"/>
      <c r="AJ571" s="29" t="b">
        <v>0</v>
      </c>
      <c r="AK571" s="22" t="str">
        <f t="shared" si="9"/>
        <v/>
      </c>
      <c r="AL571" s="7">
        <f>IF(ISBLANK(AH571), 0, VLOOKUP(AH571, 'Price Sheet'!$A$2:$B1015, 2, false))</f>
        <v>0</v>
      </c>
      <c r="AM571" s="33" t="str">
        <f t="shared" si="10"/>
        <v/>
      </c>
      <c r="AN571" s="37"/>
      <c r="AO571" s="29"/>
      <c r="AP571" s="29" t="b">
        <v>0</v>
      </c>
      <c r="AQ571" s="22" t="str">
        <f t="shared" si="11"/>
        <v/>
      </c>
      <c r="AR571" s="7">
        <f>IF(ISBLANK(AN571), 0, VLOOKUP(AN571, 'Price Sheet'!$A$2:$B1015, 2, false))</f>
        <v>0</v>
      </c>
      <c r="AS571" s="33" t="str">
        <f t="shared" si="12"/>
        <v/>
      </c>
      <c r="AT571" s="37"/>
      <c r="AU571" s="29"/>
      <c r="AV571" s="29" t="b">
        <v>0</v>
      </c>
      <c r="AW571" s="22" t="str">
        <f t="shared" si="13"/>
        <v/>
      </c>
      <c r="AX571" s="7">
        <f>IF(ISBLANK(AT571), 0, VLOOKUP(AT571, 'Price Sheet'!$A$2:$B1015, 2, false))</f>
        <v>0</v>
      </c>
      <c r="AY571" s="33" t="str">
        <f t="shared" si="14"/>
        <v/>
      </c>
      <c r="AZ571" s="37"/>
      <c r="BA571" s="29"/>
      <c r="BB571" s="29" t="b">
        <v>0</v>
      </c>
      <c r="BC571" s="22" t="str">
        <f t="shared" si="15"/>
        <v/>
      </c>
      <c r="BD571" s="7">
        <f>IF(ISBLANK(AZ571), 0, VLOOKUP(AZ571, 'Price Sheet'!$A$2:$B1015, 2, false))</f>
        <v>0</v>
      </c>
      <c r="BE571" s="33" t="str">
        <f t="shared" si="16"/>
        <v/>
      </c>
      <c r="BF571" s="37"/>
      <c r="BG571" s="29"/>
      <c r="BH571" s="29" t="b">
        <v>0</v>
      </c>
      <c r="BI571" s="22" t="str">
        <f t="shared" si="17"/>
        <v/>
      </c>
      <c r="BJ571" s="7">
        <f>IF(ISBLANK(BF571), 0, VLOOKUP(BF571, 'Price Sheet'!$A$2:$B1015, 2, false))</f>
        <v>0</v>
      </c>
      <c r="BK571" s="33" t="str">
        <f t="shared" si="18"/>
        <v/>
      </c>
      <c r="BL571" s="37"/>
      <c r="BM571" s="29"/>
      <c r="BN571" s="29" t="b">
        <v>0</v>
      </c>
      <c r="BO571" s="22" t="str">
        <f t="shared" si="19"/>
        <v/>
      </c>
      <c r="BP571" s="7">
        <f>IF(ISBLANK(BL571), 0, VLOOKUP(BL571, 'Price Sheet'!$A$2:$B1015, 2, false))</f>
        <v>0</v>
      </c>
      <c r="BQ571" s="33" t="str">
        <f t="shared" si="20"/>
        <v/>
      </c>
    </row>
    <row r="572">
      <c r="B572" s="19"/>
      <c r="C572" s="29"/>
      <c r="D572" s="29"/>
      <c r="E572" s="7" t="str">
        <f>IF(ISBLANK(D572), "", VLOOKUP(D572,'Crafting Tables'!$A$2:$B1015, 2, false))</f>
        <v/>
      </c>
      <c r="F572" s="7" t="str">
        <f>IFERROR(IF(E572 = "None", 1, VLOOKUP(C572,General!$A$5:$L$35, SWITCH(E572, "Basic", 8, "Advanced", 10, "Modern", 12), false)),"")</f>
        <v/>
      </c>
      <c r="G572" s="29"/>
      <c r="H572" s="7">
        <f>IFERROR(VLOOKUP(C572, General!$A$5:$L$35, 6, false) * G572 / 1000, 0)</f>
        <v>0</v>
      </c>
      <c r="I572" s="29"/>
      <c r="J572" s="22" t="str">
        <f>IFERROR(I572*VLOOKUP(D572,'Crafting Tables'!$1:$1000, 4, false)*F572,"")</f>
        <v/>
      </c>
      <c r="K572" s="29" t="b">
        <v>0</v>
      </c>
      <c r="L572" s="37"/>
      <c r="M572" s="29"/>
      <c r="N572" s="21" t="str">
        <f t="shared" si="2"/>
        <v/>
      </c>
      <c r="P572" s="37"/>
      <c r="Q572" s="29"/>
      <c r="R572" s="29" t="b">
        <v>0</v>
      </c>
      <c r="S572" s="22" t="str">
        <f t="shared" si="3"/>
        <v/>
      </c>
      <c r="T572" s="7">
        <f>IF(ISBLANK(P572), 0, VLOOKUP(P572, 'Price Sheet'!$A$2:$B1015, 2, false))</f>
        <v>0</v>
      </c>
      <c r="U572" s="33" t="str">
        <f t="shared" si="4"/>
        <v/>
      </c>
      <c r="V572" s="37"/>
      <c r="W572" s="29"/>
      <c r="X572" s="29" t="b">
        <v>0</v>
      </c>
      <c r="Y572" s="22" t="str">
        <f t="shared" si="5"/>
        <v/>
      </c>
      <c r="Z572" s="7">
        <f>IF(ISBLANK(V572), 0, VLOOKUP(V572, 'Price Sheet'!$A$2:$B1015, 2, false))</f>
        <v>0</v>
      </c>
      <c r="AA572" s="33" t="str">
        <f t="shared" si="6"/>
        <v/>
      </c>
      <c r="AB572" s="37"/>
      <c r="AC572" s="29"/>
      <c r="AD572" s="29" t="b">
        <v>0</v>
      </c>
      <c r="AE572" s="22" t="str">
        <f t="shared" si="7"/>
        <v/>
      </c>
      <c r="AF572" s="7">
        <f>IF(ISBLANK(AB572), 0, VLOOKUP(AB572, 'Price Sheet'!$A$2:$B1015, 2, false))</f>
        <v>0</v>
      </c>
      <c r="AG572" s="33" t="str">
        <f t="shared" si="8"/>
        <v/>
      </c>
      <c r="AH572" s="37"/>
      <c r="AI572" s="29"/>
      <c r="AJ572" s="29" t="b">
        <v>0</v>
      </c>
      <c r="AK572" s="22" t="str">
        <f t="shared" si="9"/>
        <v/>
      </c>
      <c r="AL572" s="7">
        <f>IF(ISBLANK(AH572), 0, VLOOKUP(AH572, 'Price Sheet'!$A$2:$B1015, 2, false))</f>
        <v>0</v>
      </c>
      <c r="AM572" s="33" t="str">
        <f t="shared" si="10"/>
        <v/>
      </c>
      <c r="AN572" s="37"/>
      <c r="AO572" s="29"/>
      <c r="AP572" s="29" t="b">
        <v>0</v>
      </c>
      <c r="AQ572" s="22" t="str">
        <f t="shared" si="11"/>
        <v/>
      </c>
      <c r="AR572" s="7">
        <f>IF(ISBLANK(AN572), 0, VLOOKUP(AN572, 'Price Sheet'!$A$2:$B1015, 2, false))</f>
        <v>0</v>
      </c>
      <c r="AS572" s="33" t="str">
        <f t="shared" si="12"/>
        <v/>
      </c>
      <c r="AT572" s="37"/>
      <c r="AU572" s="29"/>
      <c r="AV572" s="29" t="b">
        <v>0</v>
      </c>
      <c r="AW572" s="22" t="str">
        <f t="shared" si="13"/>
        <v/>
      </c>
      <c r="AX572" s="7">
        <f>IF(ISBLANK(AT572), 0, VLOOKUP(AT572, 'Price Sheet'!$A$2:$B1015, 2, false))</f>
        <v>0</v>
      </c>
      <c r="AY572" s="33" t="str">
        <f t="shared" si="14"/>
        <v/>
      </c>
      <c r="AZ572" s="37"/>
      <c r="BA572" s="29"/>
      <c r="BB572" s="29" t="b">
        <v>0</v>
      </c>
      <c r="BC572" s="22" t="str">
        <f t="shared" si="15"/>
        <v/>
      </c>
      <c r="BD572" s="7">
        <f>IF(ISBLANK(AZ572), 0, VLOOKUP(AZ572, 'Price Sheet'!$A$2:$B1015, 2, false))</f>
        <v>0</v>
      </c>
      <c r="BE572" s="33" t="str">
        <f t="shared" si="16"/>
        <v/>
      </c>
      <c r="BF572" s="37"/>
      <c r="BG572" s="29"/>
      <c r="BH572" s="29" t="b">
        <v>0</v>
      </c>
      <c r="BI572" s="22" t="str">
        <f t="shared" si="17"/>
        <v/>
      </c>
      <c r="BJ572" s="7">
        <f>IF(ISBLANK(BF572), 0, VLOOKUP(BF572, 'Price Sheet'!$A$2:$B1015, 2, false))</f>
        <v>0</v>
      </c>
      <c r="BK572" s="33" t="str">
        <f t="shared" si="18"/>
        <v/>
      </c>
      <c r="BL572" s="37"/>
      <c r="BM572" s="29"/>
      <c r="BN572" s="29" t="b">
        <v>0</v>
      </c>
      <c r="BO572" s="22" t="str">
        <f t="shared" si="19"/>
        <v/>
      </c>
      <c r="BP572" s="7">
        <f>IF(ISBLANK(BL572), 0, VLOOKUP(BL572, 'Price Sheet'!$A$2:$B1015, 2, false))</f>
        <v>0</v>
      </c>
      <c r="BQ572" s="33" t="str">
        <f t="shared" si="20"/>
        <v/>
      </c>
    </row>
    <row r="573">
      <c r="B573" s="19"/>
      <c r="C573" s="29"/>
      <c r="D573" s="29"/>
      <c r="E573" s="7" t="str">
        <f>IF(ISBLANK(D573), "", VLOOKUP(D573,'Crafting Tables'!$A$2:$B1015, 2, false))</f>
        <v/>
      </c>
      <c r="F573" s="7" t="str">
        <f>IFERROR(IF(E573 = "None", 1, VLOOKUP(C573,General!$A$5:$L$35, SWITCH(E573, "Basic", 8, "Advanced", 10, "Modern", 12), false)),"")</f>
        <v/>
      </c>
      <c r="G573" s="29"/>
      <c r="H573" s="7">
        <f>IFERROR(VLOOKUP(C573, General!$A$5:$L$35, 6, false) * G573 / 1000, 0)</f>
        <v>0</v>
      </c>
      <c r="I573" s="29"/>
      <c r="J573" s="22" t="str">
        <f>IFERROR(I573*VLOOKUP(D573,'Crafting Tables'!$1:$1000, 4, false)*F573,"")</f>
        <v/>
      </c>
      <c r="K573" s="29" t="b">
        <v>0</v>
      </c>
      <c r="L573" s="37"/>
      <c r="M573" s="29"/>
      <c r="N573" s="21" t="str">
        <f t="shared" si="2"/>
        <v/>
      </c>
      <c r="P573" s="37"/>
      <c r="Q573" s="29"/>
      <c r="R573" s="29" t="b">
        <v>0</v>
      </c>
      <c r="S573" s="22" t="str">
        <f t="shared" si="3"/>
        <v/>
      </c>
      <c r="T573" s="7">
        <f>IF(ISBLANK(P573), 0, VLOOKUP(P573, 'Price Sheet'!$A$2:$B1015, 2, false))</f>
        <v>0</v>
      </c>
      <c r="U573" s="33" t="str">
        <f t="shared" si="4"/>
        <v/>
      </c>
      <c r="V573" s="37"/>
      <c r="W573" s="29"/>
      <c r="X573" s="29" t="b">
        <v>0</v>
      </c>
      <c r="Y573" s="22" t="str">
        <f t="shared" si="5"/>
        <v/>
      </c>
      <c r="Z573" s="7">
        <f>IF(ISBLANK(V573), 0, VLOOKUP(V573, 'Price Sheet'!$A$2:$B1015, 2, false))</f>
        <v>0</v>
      </c>
      <c r="AA573" s="33" t="str">
        <f t="shared" si="6"/>
        <v/>
      </c>
      <c r="AB573" s="37"/>
      <c r="AC573" s="29"/>
      <c r="AD573" s="29" t="b">
        <v>0</v>
      </c>
      <c r="AE573" s="22" t="str">
        <f t="shared" si="7"/>
        <v/>
      </c>
      <c r="AF573" s="7">
        <f>IF(ISBLANK(AB573), 0, VLOOKUP(AB573, 'Price Sheet'!$A$2:$B1015, 2, false))</f>
        <v>0</v>
      </c>
      <c r="AG573" s="33" t="str">
        <f t="shared" si="8"/>
        <v/>
      </c>
      <c r="AH573" s="37"/>
      <c r="AI573" s="29"/>
      <c r="AJ573" s="29" t="b">
        <v>0</v>
      </c>
      <c r="AK573" s="22" t="str">
        <f t="shared" si="9"/>
        <v/>
      </c>
      <c r="AL573" s="7">
        <f>IF(ISBLANK(AH573), 0, VLOOKUP(AH573, 'Price Sheet'!$A$2:$B1015, 2, false))</f>
        <v>0</v>
      </c>
      <c r="AM573" s="33" t="str">
        <f t="shared" si="10"/>
        <v/>
      </c>
      <c r="AN573" s="37"/>
      <c r="AO573" s="29"/>
      <c r="AP573" s="29" t="b">
        <v>0</v>
      </c>
      <c r="AQ573" s="22" t="str">
        <f t="shared" si="11"/>
        <v/>
      </c>
      <c r="AR573" s="7">
        <f>IF(ISBLANK(AN573), 0, VLOOKUP(AN573, 'Price Sheet'!$A$2:$B1015, 2, false))</f>
        <v>0</v>
      </c>
      <c r="AS573" s="33" t="str">
        <f t="shared" si="12"/>
        <v/>
      </c>
      <c r="AT573" s="37"/>
      <c r="AU573" s="29"/>
      <c r="AV573" s="29" t="b">
        <v>0</v>
      </c>
      <c r="AW573" s="22" t="str">
        <f t="shared" si="13"/>
        <v/>
      </c>
      <c r="AX573" s="7">
        <f>IF(ISBLANK(AT573), 0, VLOOKUP(AT573, 'Price Sheet'!$A$2:$B1015, 2, false))</f>
        <v>0</v>
      </c>
      <c r="AY573" s="33" t="str">
        <f t="shared" si="14"/>
        <v/>
      </c>
      <c r="AZ573" s="37"/>
      <c r="BA573" s="29"/>
      <c r="BB573" s="29" t="b">
        <v>0</v>
      </c>
      <c r="BC573" s="22" t="str">
        <f t="shared" si="15"/>
        <v/>
      </c>
      <c r="BD573" s="7">
        <f>IF(ISBLANK(AZ573), 0, VLOOKUP(AZ573, 'Price Sheet'!$A$2:$B1015, 2, false))</f>
        <v>0</v>
      </c>
      <c r="BE573" s="33" t="str">
        <f t="shared" si="16"/>
        <v/>
      </c>
      <c r="BF573" s="37"/>
      <c r="BG573" s="29"/>
      <c r="BH573" s="29" t="b">
        <v>0</v>
      </c>
      <c r="BI573" s="22" t="str">
        <f t="shared" si="17"/>
        <v/>
      </c>
      <c r="BJ573" s="7">
        <f>IF(ISBLANK(BF573), 0, VLOOKUP(BF573, 'Price Sheet'!$A$2:$B1015, 2, false))</f>
        <v>0</v>
      </c>
      <c r="BK573" s="33" t="str">
        <f t="shared" si="18"/>
        <v/>
      </c>
      <c r="BL573" s="37"/>
      <c r="BM573" s="29"/>
      <c r="BN573" s="29" t="b">
        <v>0</v>
      </c>
      <c r="BO573" s="22" t="str">
        <f t="shared" si="19"/>
        <v/>
      </c>
      <c r="BP573" s="7">
        <f>IF(ISBLANK(BL573), 0, VLOOKUP(BL573, 'Price Sheet'!$A$2:$B1015, 2, false))</f>
        <v>0</v>
      </c>
      <c r="BQ573" s="33" t="str">
        <f t="shared" si="20"/>
        <v/>
      </c>
    </row>
    <row r="574">
      <c r="B574" s="19"/>
      <c r="C574" s="29"/>
      <c r="D574" s="29"/>
      <c r="E574" s="7" t="str">
        <f>IF(ISBLANK(D574), "", VLOOKUP(D574,'Crafting Tables'!$A$2:$B1015, 2, false))</f>
        <v/>
      </c>
      <c r="F574" s="7" t="str">
        <f>IFERROR(IF(E574 = "None", 1, VLOOKUP(C574,General!$A$5:$L$35, SWITCH(E574, "Basic", 8, "Advanced", 10, "Modern", 12), false)),"")</f>
        <v/>
      </c>
      <c r="G574" s="29"/>
      <c r="H574" s="7">
        <f>IFERROR(VLOOKUP(C574, General!$A$5:$L$35, 6, false) * G574 / 1000, 0)</f>
        <v>0</v>
      </c>
      <c r="I574" s="29"/>
      <c r="J574" s="22" t="str">
        <f>IFERROR(I574*VLOOKUP(D574,'Crafting Tables'!$1:$1000, 4, false)*F574,"")</f>
        <v/>
      </c>
      <c r="K574" s="29" t="b">
        <v>0</v>
      </c>
      <c r="L574" s="37"/>
      <c r="M574" s="29"/>
      <c r="N574" s="21" t="str">
        <f t="shared" si="2"/>
        <v/>
      </c>
      <c r="P574" s="37"/>
      <c r="Q574" s="29"/>
      <c r="R574" s="29" t="b">
        <v>0</v>
      </c>
      <c r="S574" s="22" t="str">
        <f t="shared" si="3"/>
        <v/>
      </c>
      <c r="T574" s="7">
        <f>IF(ISBLANK(P574), 0, VLOOKUP(P574, 'Price Sheet'!$A$2:$B1015, 2, false))</f>
        <v>0</v>
      </c>
      <c r="U574" s="33" t="str">
        <f t="shared" si="4"/>
        <v/>
      </c>
      <c r="V574" s="37"/>
      <c r="W574" s="29"/>
      <c r="X574" s="29" t="b">
        <v>0</v>
      </c>
      <c r="Y574" s="22" t="str">
        <f t="shared" si="5"/>
        <v/>
      </c>
      <c r="Z574" s="7">
        <f>IF(ISBLANK(V574), 0, VLOOKUP(V574, 'Price Sheet'!$A$2:$B1015, 2, false))</f>
        <v>0</v>
      </c>
      <c r="AA574" s="33" t="str">
        <f t="shared" si="6"/>
        <v/>
      </c>
      <c r="AB574" s="37"/>
      <c r="AC574" s="29"/>
      <c r="AD574" s="29" t="b">
        <v>0</v>
      </c>
      <c r="AE574" s="22" t="str">
        <f t="shared" si="7"/>
        <v/>
      </c>
      <c r="AF574" s="7">
        <f>IF(ISBLANK(AB574), 0, VLOOKUP(AB574, 'Price Sheet'!$A$2:$B1015, 2, false))</f>
        <v>0</v>
      </c>
      <c r="AG574" s="33" t="str">
        <f t="shared" si="8"/>
        <v/>
      </c>
      <c r="AH574" s="37"/>
      <c r="AI574" s="29"/>
      <c r="AJ574" s="29" t="b">
        <v>0</v>
      </c>
      <c r="AK574" s="22" t="str">
        <f t="shared" si="9"/>
        <v/>
      </c>
      <c r="AL574" s="7">
        <f>IF(ISBLANK(AH574), 0, VLOOKUP(AH574, 'Price Sheet'!$A$2:$B1015, 2, false))</f>
        <v>0</v>
      </c>
      <c r="AM574" s="33" t="str">
        <f t="shared" si="10"/>
        <v/>
      </c>
      <c r="AN574" s="37"/>
      <c r="AO574" s="29"/>
      <c r="AP574" s="29" t="b">
        <v>0</v>
      </c>
      <c r="AQ574" s="22" t="str">
        <f t="shared" si="11"/>
        <v/>
      </c>
      <c r="AR574" s="7">
        <f>IF(ISBLANK(AN574), 0, VLOOKUP(AN574, 'Price Sheet'!$A$2:$B1015, 2, false))</f>
        <v>0</v>
      </c>
      <c r="AS574" s="33" t="str">
        <f t="shared" si="12"/>
        <v/>
      </c>
      <c r="AT574" s="37"/>
      <c r="AU574" s="29"/>
      <c r="AV574" s="29" t="b">
        <v>0</v>
      </c>
      <c r="AW574" s="22" t="str">
        <f t="shared" si="13"/>
        <v/>
      </c>
      <c r="AX574" s="7">
        <f>IF(ISBLANK(AT574), 0, VLOOKUP(AT574, 'Price Sheet'!$A$2:$B1015, 2, false))</f>
        <v>0</v>
      </c>
      <c r="AY574" s="33" t="str">
        <f t="shared" si="14"/>
        <v/>
      </c>
      <c r="AZ574" s="37"/>
      <c r="BA574" s="29"/>
      <c r="BB574" s="29" t="b">
        <v>0</v>
      </c>
      <c r="BC574" s="22" t="str">
        <f t="shared" si="15"/>
        <v/>
      </c>
      <c r="BD574" s="7">
        <f>IF(ISBLANK(AZ574), 0, VLOOKUP(AZ574, 'Price Sheet'!$A$2:$B1015, 2, false))</f>
        <v>0</v>
      </c>
      <c r="BE574" s="33" t="str">
        <f t="shared" si="16"/>
        <v/>
      </c>
      <c r="BF574" s="37"/>
      <c r="BG574" s="29"/>
      <c r="BH574" s="29" t="b">
        <v>0</v>
      </c>
      <c r="BI574" s="22" t="str">
        <f t="shared" si="17"/>
        <v/>
      </c>
      <c r="BJ574" s="7">
        <f>IF(ISBLANK(BF574), 0, VLOOKUP(BF574, 'Price Sheet'!$A$2:$B1015, 2, false))</f>
        <v>0</v>
      </c>
      <c r="BK574" s="33" t="str">
        <f t="shared" si="18"/>
        <v/>
      </c>
      <c r="BL574" s="37"/>
      <c r="BM574" s="29"/>
      <c r="BN574" s="29" t="b">
        <v>0</v>
      </c>
      <c r="BO574" s="22" t="str">
        <f t="shared" si="19"/>
        <v/>
      </c>
      <c r="BP574" s="7">
        <f>IF(ISBLANK(BL574), 0, VLOOKUP(BL574, 'Price Sheet'!$A$2:$B1015, 2, false))</f>
        <v>0</v>
      </c>
      <c r="BQ574" s="33" t="str">
        <f t="shared" si="20"/>
        <v/>
      </c>
    </row>
    <row r="575">
      <c r="B575" s="19"/>
      <c r="C575" s="29"/>
      <c r="D575" s="29"/>
      <c r="E575" s="7" t="str">
        <f>IF(ISBLANK(D575), "", VLOOKUP(D575,'Crafting Tables'!$A$2:$B1015, 2, false))</f>
        <v/>
      </c>
      <c r="F575" s="7" t="str">
        <f>IFERROR(IF(E575 = "None", 1, VLOOKUP(C575,General!$A$5:$L$35, SWITCH(E575, "Basic", 8, "Advanced", 10, "Modern", 12), false)),"")</f>
        <v/>
      </c>
      <c r="G575" s="29"/>
      <c r="H575" s="7">
        <f>IFERROR(VLOOKUP(C575, General!$A$5:$L$35, 6, false) * G575 / 1000, 0)</f>
        <v>0</v>
      </c>
      <c r="I575" s="29"/>
      <c r="J575" s="22" t="str">
        <f>IFERROR(I575*VLOOKUP(D575,'Crafting Tables'!$1:$1000, 4, false)*F575,"")</f>
        <v/>
      </c>
      <c r="K575" s="29" t="b">
        <v>0</v>
      </c>
      <c r="L575" s="37"/>
      <c r="M575" s="29"/>
      <c r="N575" s="21" t="str">
        <f t="shared" si="2"/>
        <v/>
      </c>
      <c r="P575" s="37"/>
      <c r="Q575" s="29"/>
      <c r="R575" s="29" t="b">
        <v>0</v>
      </c>
      <c r="S575" s="22" t="str">
        <f t="shared" si="3"/>
        <v/>
      </c>
      <c r="T575" s="7">
        <f>IF(ISBLANK(P575), 0, VLOOKUP(P575, 'Price Sheet'!$A$2:$B1015, 2, false))</f>
        <v>0</v>
      </c>
      <c r="U575" s="33" t="str">
        <f t="shared" si="4"/>
        <v/>
      </c>
      <c r="V575" s="37"/>
      <c r="W575" s="29"/>
      <c r="X575" s="29" t="b">
        <v>0</v>
      </c>
      <c r="Y575" s="22" t="str">
        <f t="shared" si="5"/>
        <v/>
      </c>
      <c r="Z575" s="7">
        <f>IF(ISBLANK(V575), 0, VLOOKUP(V575, 'Price Sheet'!$A$2:$B1015, 2, false))</f>
        <v>0</v>
      </c>
      <c r="AA575" s="33" t="str">
        <f t="shared" si="6"/>
        <v/>
      </c>
      <c r="AB575" s="37"/>
      <c r="AC575" s="29"/>
      <c r="AD575" s="29" t="b">
        <v>0</v>
      </c>
      <c r="AE575" s="22" t="str">
        <f t="shared" si="7"/>
        <v/>
      </c>
      <c r="AF575" s="7">
        <f>IF(ISBLANK(AB575), 0, VLOOKUP(AB575, 'Price Sheet'!$A$2:$B1015, 2, false))</f>
        <v>0</v>
      </c>
      <c r="AG575" s="33" t="str">
        <f t="shared" si="8"/>
        <v/>
      </c>
      <c r="AH575" s="37"/>
      <c r="AI575" s="29"/>
      <c r="AJ575" s="29" t="b">
        <v>0</v>
      </c>
      <c r="AK575" s="22" t="str">
        <f t="shared" si="9"/>
        <v/>
      </c>
      <c r="AL575" s="7">
        <f>IF(ISBLANK(AH575), 0, VLOOKUP(AH575, 'Price Sheet'!$A$2:$B1015, 2, false))</f>
        <v>0</v>
      </c>
      <c r="AM575" s="33" t="str">
        <f t="shared" si="10"/>
        <v/>
      </c>
      <c r="AN575" s="37"/>
      <c r="AO575" s="29"/>
      <c r="AP575" s="29" t="b">
        <v>0</v>
      </c>
      <c r="AQ575" s="22" t="str">
        <f t="shared" si="11"/>
        <v/>
      </c>
      <c r="AR575" s="7">
        <f>IF(ISBLANK(AN575), 0, VLOOKUP(AN575, 'Price Sheet'!$A$2:$B1015, 2, false))</f>
        <v>0</v>
      </c>
      <c r="AS575" s="33" t="str">
        <f t="shared" si="12"/>
        <v/>
      </c>
      <c r="AT575" s="37"/>
      <c r="AU575" s="29"/>
      <c r="AV575" s="29" t="b">
        <v>0</v>
      </c>
      <c r="AW575" s="22" t="str">
        <f t="shared" si="13"/>
        <v/>
      </c>
      <c r="AX575" s="7">
        <f>IF(ISBLANK(AT575), 0, VLOOKUP(AT575, 'Price Sheet'!$A$2:$B1015, 2, false))</f>
        <v>0</v>
      </c>
      <c r="AY575" s="33" t="str">
        <f t="shared" si="14"/>
        <v/>
      </c>
      <c r="AZ575" s="37"/>
      <c r="BA575" s="29"/>
      <c r="BB575" s="29" t="b">
        <v>0</v>
      </c>
      <c r="BC575" s="22" t="str">
        <f t="shared" si="15"/>
        <v/>
      </c>
      <c r="BD575" s="7">
        <f>IF(ISBLANK(AZ575), 0, VLOOKUP(AZ575, 'Price Sheet'!$A$2:$B1015, 2, false))</f>
        <v>0</v>
      </c>
      <c r="BE575" s="33" t="str">
        <f t="shared" si="16"/>
        <v/>
      </c>
      <c r="BF575" s="37"/>
      <c r="BG575" s="29"/>
      <c r="BH575" s="29" t="b">
        <v>0</v>
      </c>
      <c r="BI575" s="22" t="str">
        <f t="shared" si="17"/>
        <v/>
      </c>
      <c r="BJ575" s="7">
        <f>IF(ISBLANK(BF575), 0, VLOOKUP(BF575, 'Price Sheet'!$A$2:$B1015, 2, false))</f>
        <v>0</v>
      </c>
      <c r="BK575" s="33" t="str">
        <f t="shared" si="18"/>
        <v/>
      </c>
      <c r="BL575" s="37"/>
      <c r="BM575" s="29"/>
      <c r="BN575" s="29" t="b">
        <v>0</v>
      </c>
      <c r="BO575" s="22" t="str">
        <f t="shared" si="19"/>
        <v/>
      </c>
      <c r="BP575" s="7">
        <f>IF(ISBLANK(BL575), 0, VLOOKUP(BL575, 'Price Sheet'!$A$2:$B1015, 2, false))</f>
        <v>0</v>
      </c>
      <c r="BQ575" s="33" t="str">
        <f t="shared" si="20"/>
        <v/>
      </c>
    </row>
    <row r="576">
      <c r="B576" s="19"/>
      <c r="C576" s="29"/>
      <c r="D576" s="29"/>
      <c r="E576" s="7" t="str">
        <f>IF(ISBLANK(D576), "", VLOOKUP(D576,'Crafting Tables'!$A$2:$B1015, 2, false))</f>
        <v/>
      </c>
      <c r="F576" s="7" t="str">
        <f>IFERROR(IF(E576 = "None", 1, VLOOKUP(C576,General!$A$5:$L$35, SWITCH(E576, "Basic", 8, "Advanced", 10, "Modern", 12), false)),"")</f>
        <v/>
      </c>
      <c r="G576" s="29"/>
      <c r="H576" s="7">
        <f>IFERROR(VLOOKUP(C576, General!$A$5:$L$35, 6, false) * G576 / 1000, 0)</f>
        <v>0</v>
      </c>
      <c r="I576" s="29"/>
      <c r="J576" s="22" t="str">
        <f>IFERROR(I576*VLOOKUP(D576,'Crafting Tables'!$1:$1000, 4, false)*F576,"")</f>
        <v/>
      </c>
      <c r="K576" s="29" t="b">
        <v>0</v>
      </c>
      <c r="L576" s="37"/>
      <c r="M576" s="29"/>
      <c r="N576" s="21" t="str">
        <f t="shared" si="2"/>
        <v/>
      </c>
      <c r="P576" s="37"/>
      <c r="Q576" s="29"/>
      <c r="R576" s="29" t="b">
        <v>0</v>
      </c>
      <c r="S576" s="22" t="str">
        <f t="shared" si="3"/>
        <v/>
      </c>
      <c r="T576" s="7">
        <f>IF(ISBLANK(P576), 0, VLOOKUP(P576, 'Price Sheet'!$A$2:$B1015, 2, false))</f>
        <v>0</v>
      </c>
      <c r="U576" s="33" t="str">
        <f t="shared" si="4"/>
        <v/>
      </c>
      <c r="V576" s="37"/>
      <c r="W576" s="29"/>
      <c r="X576" s="29" t="b">
        <v>0</v>
      </c>
      <c r="Y576" s="22" t="str">
        <f t="shared" si="5"/>
        <v/>
      </c>
      <c r="Z576" s="7">
        <f>IF(ISBLANK(V576), 0, VLOOKUP(V576, 'Price Sheet'!$A$2:$B1015, 2, false))</f>
        <v>0</v>
      </c>
      <c r="AA576" s="33" t="str">
        <f t="shared" si="6"/>
        <v/>
      </c>
      <c r="AB576" s="37"/>
      <c r="AC576" s="29"/>
      <c r="AD576" s="29" t="b">
        <v>0</v>
      </c>
      <c r="AE576" s="22" t="str">
        <f t="shared" si="7"/>
        <v/>
      </c>
      <c r="AF576" s="7">
        <f>IF(ISBLANK(AB576), 0, VLOOKUP(AB576, 'Price Sheet'!$A$2:$B1015, 2, false))</f>
        <v>0</v>
      </c>
      <c r="AG576" s="33" t="str">
        <f t="shared" si="8"/>
        <v/>
      </c>
      <c r="AH576" s="37"/>
      <c r="AI576" s="29"/>
      <c r="AJ576" s="29" t="b">
        <v>0</v>
      </c>
      <c r="AK576" s="22" t="str">
        <f t="shared" si="9"/>
        <v/>
      </c>
      <c r="AL576" s="7">
        <f>IF(ISBLANK(AH576), 0, VLOOKUP(AH576, 'Price Sheet'!$A$2:$B1015, 2, false))</f>
        <v>0</v>
      </c>
      <c r="AM576" s="33" t="str">
        <f t="shared" si="10"/>
        <v/>
      </c>
      <c r="AN576" s="37"/>
      <c r="AO576" s="29"/>
      <c r="AP576" s="29" t="b">
        <v>0</v>
      </c>
      <c r="AQ576" s="22" t="str">
        <f t="shared" si="11"/>
        <v/>
      </c>
      <c r="AR576" s="7">
        <f>IF(ISBLANK(AN576), 0, VLOOKUP(AN576, 'Price Sheet'!$A$2:$B1015, 2, false))</f>
        <v>0</v>
      </c>
      <c r="AS576" s="33" t="str">
        <f t="shared" si="12"/>
        <v/>
      </c>
      <c r="AT576" s="37"/>
      <c r="AU576" s="29"/>
      <c r="AV576" s="29" t="b">
        <v>0</v>
      </c>
      <c r="AW576" s="22" t="str">
        <f t="shared" si="13"/>
        <v/>
      </c>
      <c r="AX576" s="7">
        <f>IF(ISBLANK(AT576), 0, VLOOKUP(AT576, 'Price Sheet'!$A$2:$B1015, 2, false))</f>
        <v>0</v>
      </c>
      <c r="AY576" s="33" t="str">
        <f t="shared" si="14"/>
        <v/>
      </c>
      <c r="AZ576" s="37"/>
      <c r="BA576" s="29"/>
      <c r="BB576" s="29" t="b">
        <v>0</v>
      </c>
      <c r="BC576" s="22" t="str">
        <f t="shared" si="15"/>
        <v/>
      </c>
      <c r="BD576" s="7">
        <f>IF(ISBLANK(AZ576), 0, VLOOKUP(AZ576, 'Price Sheet'!$A$2:$B1015, 2, false))</f>
        <v>0</v>
      </c>
      <c r="BE576" s="33" t="str">
        <f t="shared" si="16"/>
        <v/>
      </c>
      <c r="BF576" s="37"/>
      <c r="BG576" s="29"/>
      <c r="BH576" s="29" t="b">
        <v>0</v>
      </c>
      <c r="BI576" s="22" t="str">
        <f t="shared" si="17"/>
        <v/>
      </c>
      <c r="BJ576" s="7">
        <f>IF(ISBLANK(BF576), 0, VLOOKUP(BF576, 'Price Sheet'!$A$2:$B1015, 2, false))</f>
        <v>0</v>
      </c>
      <c r="BK576" s="33" t="str">
        <f t="shared" si="18"/>
        <v/>
      </c>
      <c r="BL576" s="37"/>
      <c r="BM576" s="29"/>
      <c r="BN576" s="29" t="b">
        <v>0</v>
      </c>
      <c r="BO576" s="22" t="str">
        <f t="shared" si="19"/>
        <v/>
      </c>
      <c r="BP576" s="7">
        <f>IF(ISBLANK(BL576), 0, VLOOKUP(BL576, 'Price Sheet'!$A$2:$B1015, 2, false))</f>
        <v>0</v>
      </c>
      <c r="BQ576" s="33" t="str">
        <f t="shared" si="20"/>
        <v/>
      </c>
    </row>
    <row r="577">
      <c r="B577" s="19"/>
      <c r="C577" s="29"/>
      <c r="D577" s="29"/>
      <c r="E577" s="7" t="str">
        <f>IF(ISBLANK(D577), "", VLOOKUP(D577,'Crafting Tables'!$A$2:$B1015, 2, false))</f>
        <v/>
      </c>
      <c r="F577" s="7" t="str">
        <f>IFERROR(IF(E577 = "None", 1, VLOOKUP(C577,General!$A$5:$L$35, SWITCH(E577, "Basic", 8, "Advanced", 10, "Modern", 12), false)),"")</f>
        <v/>
      </c>
      <c r="G577" s="29"/>
      <c r="H577" s="7">
        <f>IFERROR(VLOOKUP(C577, General!$A$5:$L$35, 6, false) * G577 / 1000, 0)</f>
        <v>0</v>
      </c>
      <c r="I577" s="29"/>
      <c r="J577" s="22" t="str">
        <f>IFERROR(I577*VLOOKUP(D577,'Crafting Tables'!$1:$1000, 4, false)*F577,"")</f>
        <v/>
      </c>
      <c r="K577" s="29" t="b">
        <v>0</v>
      </c>
      <c r="L577" s="37"/>
      <c r="M577" s="29"/>
      <c r="N577" s="21" t="str">
        <f t="shared" si="2"/>
        <v/>
      </c>
      <c r="P577" s="37"/>
      <c r="Q577" s="29"/>
      <c r="R577" s="29" t="b">
        <v>0</v>
      </c>
      <c r="S577" s="22" t="str">
        <f t="shared" si="3"/>
        <v/>
      </c>
      <c r="T577" s="7">
        <f>IF(ISBLANK(P577), 0, VLOOKUP(P577, 'Price Sheet'!$A$2:$B1015, 2, false))</f>
        <v>0</v>
      </c>
      <c r="U577" s="33" t="str">
        <f t="shared" si="4"/>
        <v/>
      </c>
      <c r="V577" s="37"/>
      <c r="W577" s="29"/>
      <c r="X577" s="29" t="b">
        <v>0</v>
      </c>
      <c r="Y577" s="22" t="str">
        <f t="shared" si="5"/>
        <v/>
      </c>
      <c r="Z577" s="7">
        <f>IF(ISBLANK(V577), 0, VLOOKUP(V577, 'Price Sheet'!$A$2:$B1015, 2, false))</f>
        <v>0</v>
      </c>
      <c r="AA577" s="33" t="str">
        <f t="shared" si="6"/>
        <v/>
      </c>
      <c r="AB577" s="37"/>
      <c r="AC577" s="29"/>
      <c r="AD577" s="29" t="b">
        <v>0</v>
      </c>
      <c r="AE577" s="22" t="str">
        <f t="shared" si="7"/>
        <v/>
      </c>
      <c r="AF577" s="7">
        <f>IF(ISBLANK(AB577), 0, VLOOKUP(AB577, 'Price Sheet'!$A$2:$B1015, 2, false))</f>
        <v>0</v>
      </c>
      <c r="AG577" s="33" t="str">
        <f t="shared" si="8"/>
        <v/>
      </c>
      <c r="AH577" s="37"/>
      <c r="AI577" s="29"/>
      <c r="AJ577" s="29" t="b">
        <v>0</v>
      </c>
      <c r="AK577" s="22" t="str">
        <f t="shared" si="9"/>
        <v/>
      </c>
      <c r="AL577" s="7">
        <f>IF(ISBLANK(AH577), 0, VLOOKUP(AH577, 'Price Sheet'!$A$2:$B1015, 2, false))</f>
        <v>0</v>
      </c>
      <c r="AM577" s="33" t="str">
        <f t="shared" si="10"/>
        <v/>
      </c>
      <c r="AN577" s="37"/>
      <c r="AO577" s="29"/>
      <c r="AP577" s="29" t="b">
        <v>0</v>
      </c>
      <c r="AQ577" s="22" t="str">
        <f t="shared" si="11"/>
        <v/>
      </c>
      <c r="AR577" s="7">
        <f>IF(ISBLANK(AN577), 0, VLOOKUP(AN577, 'Price Sheet'!$A$2:$B1015, 2, false))</f>
        <v>0</v>
      </c>
      <c r="AS577" s="33" t="str">
        <f t="shared" si="12"/>
        <v/>
      </c>
      <c r="AT577" s="37"/>
      <c r="AU577" s="29"/>
      <c r="AV577" s="29" t="b">
        <v>0</v>
      </c>
      <c r="AW577" s="22" t="str">
        <f t="shared" si="13"/>
        <v/>
      </c>
      <c r="AX577" s="7">
        <f>IF(ISBLANK(AT577), 0, VLOOKUP(AT577, 'Price Sheet'!$A$2:$B1015, 2, false))</f>
        <v>0</v>
      </c>
      <c r="AY577" s="33" t="str">
        <f t="shared" si="14"/>
        <v/>
      </c>
      <c r="AZ577" s="37"/>
      <c r="BA577" s="29"/>
      <c r="BB577" s="29" t="b">
        <v>0</v>
      </c>
      <c r="BC577" s="22" t="str">
        <f t="shared" si="15"/>
        <v/>
      </c>
      <c r="BD577" s="7">
        <f>IF(ISBLANK(AZ577), 0, VLOOKUP(AZ577, 'Price Sheet'!$A$2:$B1015, 2, false))</f>
        <v>0</v>
      </c>
      <c r="BE577" s="33" t="str">
        <f t="shared" si="16"/>
        <v/>
      </c>
      <c r="BF577" s="37"/>
      <c r="BG577" s="29"/>
      <c r="BH577" s="29" t="b">
        <v>0</v>
      </c>
      <c r="BI577" s="22" t="str">
        <f t="shared" si="17"/>
        <v/>
      </c>
      <c r="BJ577" s="7">
        <f>IF(ISBLANK(BF577), 0, VLOOKUP(BF577, 'Price Sheet'!$A$2:$B1015, 2, false))</f>
        <v>0</v>
      </c>
      <c r="BK577" s="33" t="str">
        <f t="shared" si="18"/>
        <v/>
      </c>
      <c r="BL577" s="37"/>
      <c r="BM577" s="29"/>
      <c r="BN577" s="29" t="b">
        <v>0</v>
      </c>
      <c r="BO577" s="22" t="str">
        <f t="shared" si="19"/>
        <v/>
      </c>
      <c r="BP577" s="7">
        <f>IF(ISBLANK(BL577), 0, VLOOKUP(BL577, 'Price Sheet'!$A$2:$B1015, 2, false))</f>
        <v>0</v>
      </c>
      <c r="BQ577" s="33" t="str">
        <f t="shared" si="20"/>
        <v/>
      </c>
    </row>
    <row r="578">
      <c r="B578" s="19"/>
      <c r="C578" s="29"/>
      <c r="D578" s="29"/>
      <c r="E578" s="7" t="str">
        <f>IF(ISBLANK(D578), "", VLOOKUP(D578,'Crafting Tables'!$A$2:$B1015, 2, false))</f>
        <v/>
      </c>
      <c r="F578" s="7" t="str">
        <f>IFERROR(IF(E578 = "None", 1, VLOOKUP(C578,General!$A$5:$L$35, SWITCH(E578, "Basic", 8, "Advanced", 10, "Modern", 12), false)),"")</f>
        <v/>
      </c>
      <c r="G578" s="29"/>
      <c r="H578" s="7">
        <f>IFERROR(VLOOKUP(C578, General!$A$5:$L$35, 6, false) * G578 / 1000, 0)</f>
        <v>0</v>
      </c>
      <c r="I578" s="29"/>
      <c r="J578" s="22" t="str">
        <f>IFERROR(I578*VLOOKUP(D578,'Crafting Tables'!$1:$1000, 4, false)*F578,"")</f>
        <v/>
      </c>
      <c r="K578" s="29" t="b">
        <v>0</v>
      </c>
      <c r="L578" s="37"/>
      <c r="M578" s="29"/>
      <c r="N578" s="21" t="str">
        <f t="shared" si="2"/>
        <v/>
      </c>
      <c r="P578" s="37"/>
      <c r="Q578" s="29"/>
      <c r="R578" s="29" t="b">
        <v>0</v>
      </c>
      <c r="S578" s="22" t="str">
        <f t="shared" si="3"/>
        <v/>
      </c>
      <c r="T578" s="7">
        <f>IF(ISBLANK(P578), 0, VLOOKUP(P578, 'Price Sheet'!$A$2:$B1015, 2, false))</f>
        <v>0</v>
      </c>
      <c r="U578" s="33" t="str">
        <f t="shared" si="4"/>
        <v/>
      </c>
      <c r="V578" s="37"/>
      <c r="W578" s="29"/>
      <c r="X578" s="29" t="b">
        <v>0</v>
      </c>
      <c r="Y578" s="22" t="str">
        <f t="shared" si="5"/>
        <v/>
      </c>
      <c r="Z578" s="7">
        <f>IF(ISBLANK(V578), 0, VLOOKUP(V578, 'Price Sheet'!$A$2:$B1015, 2, false))</f>
        <v>0</v>
      </c>
      <c r="AA578" s="33" t="str">
        <f t="shared" si="6"/>
        <v/>
      </c>
      <c r="AB578" s="37"/>
      <c r="AC578" s="29"/>
      <c r="AD578" s="29" t="b">
        <v>0</v>
      </c>
      <c r="AE578" s="22" t="str">
        <f t="shared" si="7"/>
        <v/>
      </c>
      <c r="AF578" s="7">
        <f>IF(ISBLANK(AB578), 0, VLOOKUP(AB578, 'Price Sheet'!$A$2:$B1015, 2, false))</f>
        <v>0</v>
      </c>
      <c r="AG578" s="33" t="str">
        <f t="shared" si="8"/>
        <v/>
      </c>
      <c r="AH578" s="37"/>
      <c r="AI578" s="29"/>
      <c r="AJ578" s="29" t="b">
        <v>0</v>
      </c>
      <c r="AK578" s="22" t="str">
        <f t="shared" si="9"/>
        <v/>
      </c>
      <c r="AL578" s="7">
        <f>IF(ISBLANK(AH578), 0, VLOOKUP(AH578, 'Price Sheet'!$A$2:$B1015, 2, false))</f>
        <v>0</v>
      </c>
      <c r="AM578" s="33" t="str">
        <f t="shared" si="10"/>
        <v/>
      </c>
      <c r="AN578" s="37"/>
      <c r="AO578" s="29"/>
      <c r="AP578" s="29" t="b">
        <v>0</v>
      </c>
      <c r="AQ578" s="22" t="str">
        <f t="shared" si="11"/>
        <v/>
      </c>
      <c r="AR578" s="7">
        <f>IF(ISBLANK(AN578), 0, VLOOKUP(AN578, 'Price Sheet'!$A$2:$B1015, 2, false))</f>
        <v>0</v>
      </c>
      <c r="AS578" s="33" t="str">
        <f t="shared" si="12"/>
        <v/>
      </c>
      <c r="AT578" s="37"/>
      <c r="AU578" s="29"/>
      <c r="AV578" s="29" t="b">
        <v>0</v>
      </c>
      <c r="AW578" s="22" t="str">
        <f t="shared" si="13"/>
        <v/>
      </c>
      <c r="AX578" s="7">
        <f>IF(ISBLANK(AT578), 0, VLOOKUP(AT578, 'Price Sheet'!$A$2:$B1015, 2, false))</f>
        <v>0</v>
      </c>
      <c r="AY578" s="33" t="str">
        <f t="shared" si="14"/>
        <v/>
      </c>
      <c r="AZ578" s="37"/>
      <c r="BA578" s="29"/>
      <c r="BB578" s="29" t="b">
        <v>0</v>
      </c>
      <c r="BC578" s="22" t="str">
        <f t="shared" si="15"/>
        <v/>
      </c>
      <c r="BD578" s="7">
        <f>IF(ISBLANK(AZ578), 0, VLOOKUP(AZ578, 'Price Sheet'!$A$2:$B1015, 2, false))</f>
        <v>0</v>
      </c>
      <c r="BE578" s="33" t="str">
        <f t="shared" si="16"/>
        <v/>
      </c>
      <c r="BF578" s="37"/>
      <c r="BG578" s="29"/>
      <c r="BH578" s="29" t="b">
        <v>0</v>
      </c>
      <c r="BI578" s="22" t="str">
        <f t="shared" si="17"/>
        <v/>
      </c>
      <c r="BJ578" s="7">
        <f>IF(ISBLANK(BF578), 0, VLOOKUP(BF578, 'Price Sheet'!$A$2:$B1015, 2, false))</f>
        <v>0</v>
      </c>
      <c r="BK578" s="33" t="str">
        <f t="shared" si="18"/>
        <v/>
      </c>
      <c r="BL578" s="37"/>
      <c r="BM578" s="29"/>
      <c r="BN578" s="29" t="b">
        <v>0</v>
      </c>
      <c r="BO578" s="22" t="str">
        <f t="shared" si="19"/>
        <v/>
      </c>
      <c r="BP578" s="7">
        <f>IF(ISBLANK(BL578), 0, VLOOKUP(BL578, 'Price Sheet'!$A$2:$B1015, 2, false))</f>
        <v>0</v>
      </c>
      <c r="BQ578" s="33" t="str">
        <f t="shared" si="20"/>
        <v/>
      </c>
    </row>
    <row r="579">
      <c r="B579" s="19"/>
      <c r="C579" s="29"/>
      <c r="D579" s="29"/>
      <c r="E579" s="7" t="str">
        <f>IF(ISBLANK(D579), "", VLOOKUP(D579,'Crafting Tables'!$A$2:$B1015, 2, false))</f>
        <v/>
      </c>
      <c r="F579" s="7" t="str">
        <f>IFERROR(IF(E579 = "None", 1, VLOOKUP(C579,General!$A$5:$L$35, SWITCH(E579, "Basic", 8, "Advanced", 10, "Modern", 12), false)),"")</f>
        <v/>
      </c>
      <c r="G579" s="29"/>
      <c r="H579" s="7">
        <f>IFERROR(VLOOKUP(C579, General!$A$5:$L$35, 6, false) * G579 / 1000, 0)</f>
        <v>0</v>
      </c>
      <c r="I579" s="29"/>
      <c r="J579" s="22" t="str">
        <f>IFERROR(I579*VLOOKUP(D579,'Crafting Tables'!$1:$1000, 4, false)*F579,"")</f>
        <v/>
      </c>
      <c r="K579" s="29" t="b">
        <v>0</v>
      </c>
      <c r="L579" s="37"/>
      <c r="M579" s="29"/>
      <c r="N579" s="21" t="str">
        <f t="shared" si="2"/>
        <v/>
      </c>
      <c r="P579" s="37"/>
      <c r="Q579" s="29"/>
      <c r="R579" s="29" t="b">
        <v>0</v>
      </c>
      <c r="S579" s="22" t="str">
        <f t="shared" si="3"/>
        <v/>
      </c>
      <c r="T579" s="7">
        <f>IF(ISBLANK(P579), 0, VLOOKUP(P579, 'Price Sheet'!$A$2:$B1015, 2, false))</f>
        <v>0</v>
      </c>
      <c r="U579" s="33" t="str">
        <f t="shared" si="4"/>
        <v/>
      </c>
      <c r="V579" s="37"/>
      <c r="W579" s="29"/>
      <c r="X579" s="29" t="b">
        <v>0</v>
      </c>
      <c r="Y579" s="22" t="str">
        <f t="shared" si="5"/>
        <v/>
      </c>
      <c r="Z579" s="7">
        <f>IF(ISBLANK(V579), 0, VLOOKUP(V579, 'Price Sheet'!$A$2:$B1015, 2, false))</f>
        <v>0</v>
      </c>
      <c r="AA579" s="33" t="str">
        <f t="shared" si="6"/>
        <v/>
      </c>
      <c r="AB579" s="37"/>
      <c r="AC579" s="29"/>
      <c r="AD579" s="29" t="b">
        <v>0</v>
      </c>
      <c r="AE579" s="22" t="str">
        <f t="shared" si="7"/>
        <v/>
      </c>
      <c r="AF579" s="7">
        <f>IF(ISBLANK(AB579), 0, VLOOKUP(AB579, 'Price Sheet'!$A$2:$B1015, 2, false))</f>
        <v>0</v>
      </c>
      <c r="AG579" s="33" t="str">
        <f t="shared" si="8"/>
        <v/>
      </c>
      <c r="AH579" s="37"/>
      <c r="AI579" s="29"/>
      <c r="AJ579" s="29" t="b">
        <v>0</v>
      </c>
      <c r="AK579" s="22" t="str">
        <f t="shared" si="9"/>
        <v/>
      </c>
      <c r="AL579" s="7">
        <f>IF(ISBLANK(AH579), 0, VLOOKUP(AH579, 'Price Sheet'!$A$2:$B1015, 2, false))</f>
        <v>0</v>
      </c>
      <c r="AM579" s="33" t="str">
        <f t="shared" si="10"/>
        <v/>
      </c>
      <c r="AN579" s="37"/>
      <c r="AO579" s="29"/>
      <c r="AP579" s="29" t="b">
        <v>0</v>
      </c>
      <c r="AQ579" s="22" t="str">
        <f t="shared" si="11"/>
        <v/>
      </c>
      <c r="AR579" s="7">
        <f>IF(ISBLANK(AN579), 0, VLOOKUP(AN579, 'Price Sheet'!$A$2:$B1015, 2, false))</f>
        <v>0</v>
      </c>
      <c r="AS579" s="33" t="str">
        <f t="shared" si="12"/>
        <v/>
      </c>
      <c r="AT579" s="37"/>
      <c r="AU579" s="29"/>
      <c r="AV579" s="29" t="b">
        <v>0</v>
      </c>
      <c r="AW579" s="22" t="str">
        <f t="shared" si="13"/>
        <v/>
      </c>
      <c r="AX579" s="7">
        <f>IF(ISBLANK(AT579), 0, VLOOKUP(AT579, 'Price Sheet'!$A$2:$B1015, 2, false))</f>
        <v>0</v>
      </c>
      <c r="AY579" s="33" t="str">
        <f t="shared" si="14"/>
        <v/>
      </c>
      <c r="AZ579" s="37"/>
      <c r="BA579" s="29"/>
      <c r="BB579" s="29" t="b">
        <v>0</v>
      </c>
      <c r="BC579" s="22" t="str">
        <f t="shared" si="15"/>
        <v/>
      </c>
      <c r="BD579" s="7">
        <f>IF(ISBLANK(AZ579), 0, VLOOKUP(AZ579, 'Price Sheet'!$A$2:$B1015, 2, false))</f>
        <v>0</v>
      </c>
      <c r="BE579" s="33" t="str">
        <f t="shared" si="16"/>
        <v/>
      </c>
      <c r="BF579" s="37"/>
      <c r="BG579" s="29"/>
      <c r="BH579" s="29" t="b">
        <v>0</v>
      </c>
      <c r="BI579" s="22" t="str">
        <f t="shared" si="17"/>
        <v/>
      </c>
      <c r="BJ579" s="7">
        <f>IF(ISBLANK(BF579), 0, VLOOKUP(BF579, 'Price Sheet'!$A$2:$B1015, 2, false))</f>
        <v>0</v>
      </c>
      <c r="BK579" s="33" t="str">
        <f t="shared" si="18"/>
        <v/>
      </c>
      <c r="BL579" s="37"/>
      <c r="BM579" s="29"/>
      <c r="BN579" s="29" t="b">
        <v>0</v>
      </c>
      <c r="BO579" s="22" t="str">
        <f t="shared" si="19"/>
        <v/>
      </c>
      <c r="BP579" s="7">
        <f>IF(ISBLANK(BL579), 0, VLOOKUP(BL579, 'Price Sheet'!$A$2:$B1015, 2, false))</f>
        <v>0</v>
      </c>
      <c r="BQ579" s="33" t="str">
        <f t="shared" si="20"/>
        <v/>
      </c>
    </row>
    <row r="580">
      <c r="B580" s="19"/>
      <c r="C580" s="29"/>
      <c r="D580" s="29"/>
      <c r="E580" s="7" t="str">
        <f>IF(ISBLANK(D580), "", VLOOKUP(D580,'Crafting Tables'!$A$2:$B1015, 2, false))</f>
        <v/>
      </c>
      <c r="F580" s="7" t="str">
        <f>IFERROR(IF(E580 = "None", 1, VLOOKUP(C580,General!$A$5:$L$35, SWITCH(E580, "Basic", 8, "Advanced", 10, "Modern", 12), false)),"")</f>
        <v/>
      </c>
      <c r="G580" s="29"/>
      <c r="H580" s="7">
        <f>IFERROR(VLOOKUP(C580, General!$A$5:$L$35, 6, false) * G580 / 1000, 0)</f>
        <v>0</v>
      </c>
      <c r="I580" s="29"/>
      <c r="J580" s="22" t="str">
        <f>IFERROR(I580*VLOOKUP(D580,'Crafting Tables'!$1:$1000, 4, false)*F580,"")</f>
        <v/>
      </c>
      <c r="K580" s="29" t="b">
        <v>0</v>
      </c>
      <c r="L580" s="37"/>
      <c r="M580" s="29"/>
      <c r="N580" s="21" t="str">
        <f t="shared" si="2"/>
        <v/>
      </c>
      <c r="P580" s="37"/>
      <c r="Q580" s="29"/>
      <c r="R580" s="29" t="b">
        <v>0</v>
      </c>
      <c r="S580" s="22" t="str">
        <f t="shared" si="3"/>
        <v/>
      </c>
      <c r="T580" s="7">
        <f>IF(ISBLANK(P580), 0, VLOOKUP(P580, 'Price Sheet'!$A$2:$B1015, 2, false))</f>
        <v>0</v>
      </c>
      <c r="U580" s="33" t="str">
        <f t="shared" si="4"/>
        <v/>
      </c>
      <c r="V580" s="37"/>
      <c r="W580" s="29"/>
      <c r="X580" s="29" t="b">
        <v>0</v>
      </c>
      <c r="Y580" s="22" t="str">
        <f t="shared" si="5"/>
        <v/>
      </c>
      <c r="Z580" s="7">
        <f>IF(ISBLANK(V580), 0, VLOOKUP(V580, 'Price Sheet'!$A$2:$B1015, 2, false))</f>
        <v>0</v>
      </c>
      <c r="AA580" s="33" t="str">
        <f t="shared" si="6"/>
        <v/>
      </c>
      <c r="AB580" s="37"/>
      <c r="AC580" s="29"/>
      <c r="AD580" s="29" t="b">
        <v>0</v>
      </c>
      <c r="AE580" s="22" t="str">
        <f t="shared" si="7"/>
        <v/>
      </c>
      <c r="AF580" s="7">
        <f>IF(ISBLANK(AB580), 0, VLOOKUP(AB580, 'Price Sheet'!$A$2:$B1015, 2, false))</f>
        <v>0</v>
      </c>
      <c r="AG580" s="33" t="str">
        <f t="shared" si="8"/>
        <v/>
      </c>
      <c r="AH580" s="37"/>
      <c r="AI580" s="29"/>
      <c r="AJ580" s="29" t="b">
        <v>0</v>
      </c>
      <c r="AK580" s="22" t="str">
        <f t="shared" si="9"/>
        <v/>
      </c>
      <c r="AL580" s="7">
        <f>IF(ISBLANK(AH580), 0, VLOOKUP(AH580, 'Price Sheet'!$A$2:$B1015, 2, false))</f>
        <v>0</v>
      </c>
      <c r="AM580" s="33" t="str">
        <f t="shared" si="10"/>
        <v/>
      </c>
      <c r="AN580" s="37"/>
      <c r="AO580" s="29"/>
      <c r="AP580" s="29" t="b">
        <v>0</v>
      </c>
      <c r="AQ580" s="22" t="str">
        <f t="shared" si="11"/>
        <v/>
      </c>
      <c r="AR580" s="7">
        <f>IF(ISBLANK(AN580), 0, VLOOKUP(AN580, 'Price Sheet'!$A$2:$B1015, 2, false))</f>
        <v>0</v>
      </c>
      <c r="AS580" s="33" t="str">
        <f t="shared" si="12"/>
        <v/>
      </c>
      <c r="AT580" s="37"/>
      <c r="AU580" s="29"/>
      <c r="AV580" s="29" t="b">
        <v>0</v>
      </c>
      <c r="AW580" s="22" t="str">
        <f t="shared" si="13"/>
        <v/>
      </c>
      <c r="AX580" s="7">
        <f>IF(ISBLANK(AT580), 0, VLOOKUP(AT580, 'Price Sheet'!$A$2:$B1015, 2, false))</f>
        <v>0</v>
      </c>
      <c r="AY580" s="33" t="str">
        <f t="shared" si="14"/>
        <v/>
      </c>
      <c r="AZ580" s="37"/>
      <c r="BA580" s="29"/>
      <c r="BB580" s="29" t="b">
        <v>0</v>
      </c>
      <c r="BC580" s="22" t="str">
        <f t="shared" si="15"/>
        <v/>
      </c>
      <c r="BD580" s="7">
        <f>IF(ISBLANK(AZ580), 0, VLOOKUP(AZ580, 'Price Sheet'!$A$2:$B1015, 2, false))</f>
        <v>0</v>
      </c>
      <c r="BE580" s="33" t="str">
        <f t="shared" si="16"/>
        <v/>
      </c>
      <c r="BF580" s="37"/>
      <c r="BG580" s="29"/>
      <c r="BH580" s="29" t="b">
        <v>0</v>
      </c>
      <c r="BI580" s="22" t="str">
        <f t="shared" si="17"/>
        <v/>
      </c>
      <c r="BJ580" s="7">
        <f>IF(ISBLANK(BF580), 0, VLOOKUP(BF580, 'Price Sheet'!$A$2:$B1015, 2, false))</f>
        <v>0</v>
      </c>
      <c r="BK580" s="33" t="str">
        <f t="shared" si="18"/>
        <v/>
      </c>
      <c r="BL580" s="37"/>
      <c r="BM580" s="29"/>
      <c r="BN580" s="29" t="b">
        <v>0</v>
      </c>
      <c r="BO580" s="22" t="str">
        <f t="shared" si="19"/>
        <v/>
      </c>
      <c r="BP580" s="7">
        <f>IF(ISBLANK(BL580), 0, VLOOKUP(BL580, 'Price Sheet'!$A$2:$B1015, 2, false))</f>
        <v>0</v>
      </c>
      <c r="BQ580" s="33" t="str">
        <f t="shared" si="20"/>
        <v/>
      </c>
    </row>
    <row r="581">
      <c r="B581" s="19"/>
      <c r="C581" s="29"/>
      <c r="D581" s="29"/>
      <c r="E581" s="7" t="str">
        <f>IF(ISBLANK(D581), "", VLOOKUP(D581,'Crafting Tables'!$A$2:$B1015, 2, false))</f>
        <v/>
      </c>
      <c r="F581" s="7" t="str">
        <f>IFERROR(IF(E581 = "None", 1, VLOOKUP(C581,General!$A$5:$L$35, SWITCH(E581, "Basic", 8, "Advanced", 10, "Modern", 12), false)),"")</f>
        <v/>
      </c>
      <c r="G581" s="29"/>
      <c r="H581" s="7">
        <f>IFERROR(VLOOKUP(C581, General!$A$5:$L$35, 6, false) * G581 / 1000, 0)</f>
        <v>0</v>
      </c>
      <c r="I581" s="29"/>
      <c r="J581" s="22" t="str">
        <f>IFERROR(I581*VLOOKUP(D581,'Crafting Tables'!$1:$1000, 4, false)*F581,"")</f>
        <v/>
      </c>
      <c r="K581" s="29" t="b">
        <v>0</v>
      </c>
      <c r="L581" s="37"/>
      <c r="M581" s="29"/>
      <c r="N581" s="21" t="str">
        <f t="shared" si="2"/>
        <v/>
      </c>
      <c r="P581" s="37"/>
      <c r="Q581" s="29"/>
      <c r="R581" s="29" t="b">
        <v>0</v>
      </c>
      <c r="S581" s="22" t="str">
        <f t="shared" si="3"/>
        <v/>
      </c>
      <c r="T581" s="7">
        <f>IF(ISBLANK(P581), 0, VLOOKUP(P581, 'Price Sheet'!$A$2:$B1015, 2, false))</f>
        <v>0</v>
      </c>
      <c r="U581" s="33" t="str">
        <f t="shared" si="4"/>
        <v/>
      </c>
      <c r="V581" s="37"/>
      <c r="W581" s="29"/>
      <c r="X581" s="29" t="b">
        <v>0</v>
      </c>
      <c r="Y581" s="22" t="str">
        <f t="shared" si="5"/>
        <v/>
      </c>
      <c r="Z581" s="7">
        <f>IF(ISBLANK(V581), 0, VLOOKUP(V581, 'Price Sheet'!$A$2:$B1015, 2, false))</f>
        <v>0</v>
      </c>
      <c r="AA581" s="33" t="str">
        <f t="shared" si="6"/>
        <v/>
      </c>
      <c r="AB581" s="37"/>
      <c r="AC581" s="29"/>
      <c r="AD581" s="29" t="b">
        <v>0</v>
      </c>
      <c r="AE581" s="22" t="str">
        <f t="shared" si="7"/>
        <v/>
      </c>
      <c r="AF581" s="7">
        <f>IF(ISBLANK(AB581), 0, VLOOKUP(AB581, 'Price Sheet'!$A$2:$B1015, 2, false))</f>
        <v>0</v>
      </c>
      <c r="AG581" s="33" t="str">
        <f t="shared" si="8"/>
        <v/>
      </c>
      <c r="AH581" s="37"/>
      <c r="AI581" s="29"/>
      <c r="AJ581" s="29" t="b">
        <v>0</v>
      </c>
      <c r="AK581" s="22" t="str">
        <f t="shared" si="9"/>
        <v/>
      </c>
      <c r="AL581" s="7">
        <f>IF(ISBLANK(AH581), 0, VLOOKUP(AH581, 'Price Sheet'!$A$2:$B1015, 2, false))</f>
        <v>0</v>
      </c>
      <c r="AM581" s="33" t="str">
        <f t="shared" si="10"/>
        <v/>
      </c>
      <c r="AN581" s="37"/>
      <c r="AO581" s="29"/>
      <c r="AP581" s="29" t="b">
        <v>0</v>
      </c>
      <c r="AQ581" s="22" t="str">
        <f t="shared" si="11"/>
        <v/>
      </c>
      <c r="AR581" s="7">
        <f>IF(ISBLANK(AN581), 0, VLOOKUP(AN581, 'Price Sheet'!$A$2:$B1015, 2, false))</f>
        <v>0</v>
      </c>
      <c r="AS581" s="33" t="str">
        <f t="shared" si="12"/>
        <v/>
      </c>
      <c r="AT581" s="37"/>
      <c r="AU581" s="29"/>
      <c r="AV581" s="29" t="b">
        <v>0</v>
      </c>
      <c r="AW581" s="22" t="str">
        <f t="shared" si="13"/>
        <v/>
      </c>
      <c r="AX581" s="7">
        <f>IF(ISBLANK(AT581), 0, VLOOKUP(AT581, 'Price Sheet'!$A$2:$B1015, 2, false))</f>
        <v>0</v>
      </c>
      <c r="AY581" s="33" t="str">
        <f t="shared" si="14"/>
        <v/>
      </c>
      <c r="AZ581" s="37"/>
      <c r="BA581" s="29"/>
      <c r="BB581" s="29" t="b">
        <v>0</v>
      </c>
      <c r="BC581" s="22" t="str">
        <f t="shared" si="15"/>
        <v/>
      </c>
      <c r="BD581" s="7">
        <f>IF(ISBLANK(AZ581), 0, VLOOKUP(AZ581, 'Price Sheet'!$A$2:$B1015, 2, false))</f>
        <v>0</v>
      </c>
      <c r="BE581" s="33" t="str">
        <f t="shared" si="16"/>
        <v/>
      </c>
      <c r="BF581" s="37"/>
      <c r="BG581" s="29"/>
      <c r="BH581" s="29" t="b">
        <v>0</v>
      </c>
      <c r="BI581" s="22" t="str">
        <f t="shared" si="17"/>
        <v/>
      </c>
      <c r="BJ581" s="7">
        <f>IF(ISBLANK(BF581), 0, VLOOKUP(BF581, 'Price Sheet'!$A$2:$B1015, 2, false))</f>
        <v>0</v>
      </c>
      <c r="BK581" s="33" t="str">
        <f t="shared" si="18"/>
        <v/>
      </c>
      <c r="BL581" s="37"/>
      <c r="BM581" s="29"/>
      <c r="BN581" s="29" t="b">
        <v>0</v>
      </c>
      <c r="BO581" s="22" t="str">
        <f t="shared" si="19"/>
        <v/>
      </c>
      <c r="BP581" s="7">
        <f>IF(ISBLANK(BL581), 0, VLOOKUP(BL581, 'Price Sheet'!$A$2:$B1015, 2, false))</f>
        <v>0</v>
      </c>
      <c r="BQ581" s="33" t="str">
        <f t="shared" si="20"/>
        <v/>
      </c>
    </row>
    <row r="582">
      <c r="B582" s="19"/>
      <c r="C582" s="29"/>
      <c r="D582" s="29"/>
      <c r="E582" s="7" t="str">
        <f>IF(ISBLANK(D582), "", VLOOKUP(D582,'Crafting Tables'!$A$2:$B1015, 2, false))</f>
        <v/>
      </c>
      <c r="F582" s="7" t="str">
        <f>IFERROR(IF(E582 = "None", 1, VLOOKUP(C582,General!$A$5:$L$35, SWITCH(E582, "Basic", 8, "Advanced", 10, "Modern", 12), false)),"")</f>
        <v/>
      </c>
      <c r="G582" s="29"/>
      <c r="H582" s="7">
        <f>IFERROR(VLOOKUP(C582, General!$A$5:$L$35, 6, false) * G582 / 1000, 0)</f>
        <v>0</v>
      </c>
      <c r="I582" s="29"/>
      <c r="J582" s="22" t="str">
        <f>IFERROR(I582*VLOOKUP(D582,'Crafting Tables'!$1:$1000, 4, false)*F582,"")</f>
        <v/>
      </c>
      <c r="K582" s="29" t="b">
        <v>0</v>
      </c>
      <c r="L582" s="37"/>
      <c r="M582" s="29"/>
      <c r="N582" s="21" t="str">
        <f t="shared" si="2"/>
        <v/>
      </c>
      <c r="P582" s="37"/>
      <c r="Q582" s="29"/>
      <c r="R582" s="29" t="b">
        <v>0</v>
      </c>
      <c r="S582" s="22" t="str">
        <f t="shared" si="3"/>
        <v/>
      </c>
      <c r="T582" s="7">
        <f>IF(ISBLANK(P582), 0, VLOOKUP(P582, 'Price Sheet'!$A$2:$B1015, 2, false))</f>
        <v>0</v>
      </c>
      <c r="U582" s="33" t="str">
        <f t="shared" si="4"/>
        <v/>
      </c>
      <c r="V582" s="37"/>
      <c r="W582" s="29"/>
      <c r="X582" s="29" t="b">
        <v>0</v>
      </c>
      <c r="Y582" s="22" t="str">
        <f t="shared" si="5"/>
        <v/>
      </c>
      <c r="Z582" s="7">
        <f>IF(ISBLANK(V582), 0, VLOOKUP(V582, 'Price Sheet'!$A$2:$B1015, 2, false))</f>
        <v>0</v>
      </c>
      <c r="AA582" s="33" t="str">
        <f t="shared" si="6"/>
        <v/>
      </c>
      <c r="AB582" s="37"/>
      <c r="AC582" s="29"/>
      <c r="AD582" s="29" t="b">
        <v>0</v>
      </c>
      <c r="AE582" s="22" t="str">
        <f t="shared" si="7"/>
        <v/>
      </c>
      <c r="AF582" s="7">
        <f>IF(ISBLANK(AB582), 0, VLOOKUP(AB582, 'Price Sheet'!$A$2:$B1015, 2, false))</f>
        <v>0</v>
      </c>
      <c r="AG582" s="33" t="str">
        <f t="shared" si="8"/>
        <v/>
      </c>
      <c r="AH582" s="37"/>
      <c r="AI582" s="29"/>
      <c r="AJ582" s="29" t="b">
        <v>0</v>
      </c>
      <c r="AK582" s="22" t="str">
        <f t="shared" si="9"/>
        <v/>
      </c>
      <c r="AL582" s="7">
        <f>IF(ISBLANK(AH582), 0, VLOOKUP(AH582, 'Price Sheet'!$A$2:$B1015, 2, false))</f>
        <v>0</v>
      </c>
      <c r="AM582" s="33" t="str">
        <f t="shared" si="10"/>
        <v/>
      </c>
      <c r="AN582" s="37"/>
      <c r="AO582" s="29"/>
      <c r="AP582" s="29" t="b">
        <v>0</v>
      </c>
      <c r="AQ582" s="22" t="str">
        <f t="shared" si="11"/>
        <v/>
      </c>
      <c r="AR582" s="7">
        <f>IF(ISBLANK(AN582), 0, VLOOKUP(AN582, 'Price Sheet'!$A$2:$B1015, 2, false))</f>
        <v>0</v>
      </c>
      <c r="AS582" s="33" t="str">
        <f t="shared" si="12"/>
        <v/>
      </c>
      <c r="AT582" s="37"/>
      <c r="AU582" s="29"/>
      <c r="AV582" s="29" t="b">
        <v>0</v>
      </c>
      <c r="AW582" s="22" t="str">
        <f t="shared" si="13"/>
        <v/>
      </c>
      <c r="AX582" s="7">
        <f>IF(ISBLANK(AT582), 0, VLOOKUP(AT582, 'Price Sheet'!$A$2:$B1015, 2, false))</f>
        <v>0</v>
      </c>
      <c r="AY582" s="33" t="str">
        <f t="shared" si="14"/>
        <v/>
      </c>
      <c r="AZ582" s="37"/>
      <c r="BA582" s="29"/>
      <c r="BB582" s="29" t="b">
        <v>0</v>
      </c>
      <c r="BC582" s="22" t="str">
        <f t="shared" si="15"/>
        <v/>
      </c>
      <c r="BD582" s="7">
        <f>IF(ISBLANK(AZ582), 0, VLOOKUP(AZ582, 'Price Sheet'!$A$2:$B1015, 2, false))</f>
        <v>0</v>
      </c>
      <c r="BE582" s="33" t="str">
        <f t="shared" si="16"/>
        <v/>
      </c>
      <c r="BF582" s="37"/>
      <c r="BG582" s="29"/>
      <c r="BH582" s="29" t="b">
        <v>0</v>
      </c>
      <c r="BI582" s="22" t="str">
        <f t="shared" si="17"/>
        <v/>
      </c>
      <c r="BJ582" s="7">
        <f>IF(ISBLANK(BF582), 0, VLOOKUP(BF582, 'Price Sheet'!$A$2:$B1015, 2, false))</f>
        <v>0</v>
      </c>
      <c r="BK582" s="33" t="str">
        <f t="shared" si="18"/>
        <v/>
      </c>
      <c r="BL582" s="37"/>
      <c r="BM582" s="29"/>
      <c r="BN582" s="29" t="b">
        <v>0</v>
      </c>
      <c r="BO582" s="22" t="str">
        <f t="shared" si="19"/>
        <v/>
      </c>
      <c r="BP582" s="7">
        <f>IF(ISBLANK(BL582), 0, VLOOKUP(BL582, 'Price Sheet'!$A$2:$B1015, 2, false))</f>
        <v>0</v>
      </c>
      <c r="BQ582" s="33" t="str">
        <f t="shared" si="20"/>
        <v/>
      </c>
    </row>
    <row r="583">
      <c r="B583" s="19"/>
      <c r="C583" s="29"/>
      <c r="D583" s="29"/>
      <c r="E583" s="7" t="str">
        <f>IF(ISBLANK(D583), "", VLOOKUP(D583,'Crafting Tables'!$A$2:$B1015, 2, false))</f>
        <v/>
      </c>
      <c r="F583" s="7" t="str">
        <f>IFERROR(IF(E583 = "None", 1, VLOOKUP(C583,General!$A$5:$L$35, SWITCH(E583, "Basic", 8, "Advanced", 10, "Modern", 12), false)),"")</f>
        <v/>
      </c>
      <c r="G583" s="29"/>
      <c r="H583" s="7">
        <f>IFERROR(VLOOKUP(C583, General!$A$5:$L$35, 6, false) * G583 / 1000, 0)</f>
        <v>0</v>
      </c>
      <c r="I583" s="29"/>
      <c r="J583" s="22" t="str">
        <f>IFERROR(I583*VLOOKUP(D583,'Crafting Tables'!$1:$1000, 4, false)*F583,"")</f>
        <v/>
      </c>
      <c r="K583" s="29" t="b">
        <v>0</v>
      </c>
      <c r="L583" s="37"/>
      <c r="M583" s="29"/>
      <c r="N583" s="21" t="str">
        <f t="shared" si="2"/>
        <v/>
      </c>
      <c r="P583" s="37"/>
      <c r="Q583" s="29"/>
      <c r="R583" s="29" t="b">
        <v>0</v>
      </c>
      <c r="S583" s="22" t="str">
        <f t="shared" si="3"/>
        <v/>
      </c>
      <c r="T583" s="7">
        <f>IF(ISBLANK(P583), 0, VLOOKUP(P583, 'Price Sheet'!$A$2:$B1015, 2, false))</f>
        <v>0</v>
      </c>
      <c r="U583" s="33" t="str">
        <f t="shared" si="4"/>
        <v/>
      </c>
      <c r="V583" s="37"/>
      <c r="W583" s="29"/>
      <c r="X583" s="29" t="b">
        <v>0</v>
      </c>
      <c r="Y583" s="22" t="str">
        <f t="shared" si="5"/>
        <v/>
      </c>
      <c r="Z583" s="7">
        <f>IF(ISBLANK(V583), 0, VLOOKUP(V583, 'Price Sheet'!$A$2:$B1015, 2, false))</f>
        <v>0</v>
      </c>
      <c r="AA583" s="33" t="str">
        <f t="shared" si="6"/>
        <v/>
      </c>
      <c r="AB583" s="37"/>
      <c r="AC583" s="29"/>
      <c r="AD583" s="29" t="b">
        <v>0</v>
      </c>
      <c r="AE583" s="22" t="str">
        <f t="shared" si="7"/>
        <v/>
      </c>
      <c r="AF583" s="7">
        <f>IF(ISBLANK(AB583), 0, VLOOKUP(AB583, 'Price Sheet'!$A$2:$B1015, 2, false))</f>
        <v>0</v>
      </c>
      <c r="AG583" s="33" t="str">
        <f t="shared" si="8"/>
        <v/>
      </c>
      <c r="AH583" s="37"/>
      <c r="AI583" s="29"/>
      <c r="AJ583" s="29" t="b">
        <v>0</v>
      </c>
      <c r="AK583" s="22" t="str">
        <f t="shared" si="9"/>
        <v/>
      </c>
      <c r="AL583" s="7">
        <f>IF(ISBLANK(AH583), 0, VLOOKUP(AH583, 'Price Sheet'!$A$2:$B1015, 2, false))</f>
        <v>0</v>
      </c>
      <c r="AM583" s="33" t="str">
        <f t="shared" si="10"/>
        <v/>
      </c>
      <c r="AN583" s="37"/>
      <c r="AO583" s="29"/>
      <c r="AP583" s="29" t="b">
        <v>0</v>
      </c>
      <c r="AQ583" s="22" t="str">
        <f t="shared" si="11"/>
        <v/>
      </c>
      <c r="AR583" s="7">
        <f>IF(ISBLANK(AN583), 0, VLOOKUP(AN583, 'Price Sheet'!$A$2:$B1015, 2, false))</f>
        <v>0</v>
      </c>
      <c r="AS583" s="33" t="str">
        <f t="shared" si="12"/>
        <v/>
      </c>
      <c r="AT583" s="37"/>
      <c r="AU583" s="29"/>
      <c r="AV583" s="29" t="b">
        <v>0</v>
      </c>
      <c r="AW583" s="22" t="str">
        <f t="shared" si="13"/>
        <v/>
      </c>
      <c r="AX583" s="7">
        <f>IF(ISBLANK(AT583), 0, VLOOKUP(AT583, 'Price Sheet'!$A$2:$B1015, 2, false))</f>
        <v>0</v>
      </c>
      <c r="AY583" s="33" t="str">
        <f t="shared" si="14"/>
        <v/>
      </c>
      <c r="AZ583" s="37"/>
      <c r="BA583" s="29"/>
      <c r="BB583" s="29" t="b">
        <v>0</v>
      </c>
      <c r="BC583" s="22" t="str">
        <f t="shared" si="15"/>
        <v/>
      </c>
      <c r="BD583" s="7">
        <f>IF(ISBLANK(AZ583), 0, VLOOKUP(AZ583, 'Price Sheet'!$A$2:$B1015, 2, false))</f>
        <v>0</v>
      </c>
      <c r="BE583" s="33" t="str">
        <f t="shared" si="16"/>
        <v/>
      </c>
      <c r="BF583" s="37"/>
      <c r="BG583" s="29"/>
      <c r="BH583" s="29" t="b">
        <v>0</v>
      </c>
      <c r="BI583" s="22" t="str">
        <f t="shared" si="17"/>
        <v/>
      </c>
      <c r="BJ583" s="7">
        <f>IF(ISBLANK(BF583), 0, VLOOKUP(BF583, 'Price Sheet'!$A$2:$B1015, 2, false))</f>
        <v>0</v>
      </c>
      <c r="BK583" s="33" t="str">
        <f t="shared" si="18"/>
        <v/>
      </c>
      <c r="BL583" s="37"/>
      <c r="BM583" s="29"/>
      <c r="BN583" s="29" t="b">
        <v>0</v>
      </c>
      <c r="BO583" s="22" t="str">
        <f t="shared" si="19"/>
        <v/>
      </c>
      <c r="BP583" s="7">
        <f>IF(ISBLANK(BL583), 0, VLOOKUP(BL583, 'Price Sheet'!$A$2:$B1015, 2, false))</f>
        <v>0</v>
      </c>
      <c r="BQ583" s="33" t="str">
        <f t="shared" si="20"/>
        <v/>
      </c>
    </row>
    <row r="584">
      <c r="B584" s="19"/>
      <c r="C584" s="29"/>
      <c r="D584" s="29"/>
      <c r="E584" s="7" t="str">
        <f>IF(ISBLANK(D584), "", VLOOKUP(D584,'Crafting Tables'!$A$2:$B1015, 2, false))</f>
        <v/>
      </c>
      <c r="F584" s="7" t="str">
        <f>IFERROR(IF(E584 = "None", 1, VLOOKUP(C584,General!$A$5:$L$35, SWITCH(E584, "Basic", 8, "Advanced", 10, "Modern", 12), false)),"")</f>
        <v/>
      </c>
      <c r="G584" s="29"/>
      <c r="H584" s="7">
        <f>IFERROR(VLOOKUP(C584, General!$A$5:$L$35, 6, false) * G584 / 1000, 0)</f>
        <v>0</v>
      </c>
      <c r="I584" s="29"/>
      <c r="J584" s="22" t="str">
        <f>IFERROR(I584*VLOOKUP(D584,'Crafting Tables'!$1:$1000, 4, false)*F584,"")</f>
        <v/>
      </c>
      <c r="K584" s="29" t="b">
        <v>0</v>
      </c>
      <c r="L584" s="37"/>
      <c r="M584" s="29"/>
      <c r="N584" s="21" t="str">
        <f t="shared" si="2"/>
        <v/>
      </c>
      <c r="P584" s="37"/>
      <c r="Q584" s="29"/>
      <c r="R584" s="29" t="b">
        <v>0</v>
      </c>
      <c r="S584" s="22" t="str">
        <f t="shared" si="3"/>
        <v/>
      </c>
      <c r="T584" s="7">
        <f>IF(ISBLANK(P584), 0, VLOOKUP(P584, 'Price Sheet'!$A$2:$B1015, 2, false))</f>
        <v>0</v>
      </c>
      <c r="U584" s="33" t="str">
        <f t="shared" si="4"/>
        <v/>
      </c>
      <c r="V584" s="37"/>
      <c r="W584" s="29"/>
      <c r="X584" s="29" t="b">
        <v>0</v>
      </c>
      <c r="Y584" s="22" t="str">
        <f t="shared" si="5"/>
        <v/>
      </c>
      <c r="Z584" s="7">
        <f>IF(ISBLANK(V584), 0, VLOOKUP(V584, 'Price Sheet'!$A$2:$B1015, 2, false))</f>
        <v>0</v>
      </c>
      <c r="AA584" s="33" t="str">
        <f t="shared" si="6"/>
        <v/>
      </c>
      <c r="AB584" s="37"/>
      <c r="AC584" s="29"/>
      <c r="AD584" s="29" t="b">
        <v>0</v>
      </c>
      <c r="AE584" s="22" t="str">
        <f t="shared" si="7"/>
        <v/>
      </c>
      <c r="AF584" s="7">
        <f>IF(ISBLANK(AB584), 0, VLOOKUP(AB584, 'Price Sheet'!$A$2:$B1015, 2, false))</f>
        <v>0</v>
      </c>
      <c r="AG584" s="33" t="str">
        <f t="shared" si="8"/>
        <v/>
      </c>
      <c r="AH584" s="37"/>
      <c r="AI584" s="29"/>
      <c r="AJ584" s="29" t="b">
        <v>0</v>
      </c>
      <c r="AK584" s="22" t="str">
        <f t="shared" si="9"/>
        <v/>
      </c>
      <c r="AL584" s="7">
        <f>IF(ISBLANK(AH584), 0, VLOOKUP(AH584, 'Price Sheet'!$A$2:$B1015, 2, false))</f>
        <v>0</v>
      </c>
      <c r="AM584" s="33" t="str">
        <f t="shared" si="10"/>
        <v/>
      </c>
      <c r="AN584" s="37"/>
      <c r="AO584" s="29"/>
      <c r="AP584" s="29" t="b">
        <v>0</v>
      </c>
      <c r="AQ584" s="22" t="str">
        <f t="shared" si="11"/>
        <v/>
      </c>
      <c r="AR584" s="7">
        <f>IF(ISBLANK(AN584), 0, VLOOKUP(AN584, 'Price Sheet'!$A$2:$B1015, 2, false))</f>
        <v>0</v>
      </c>
      <c r="AS584" s="33" t="str">
        <f t="shared" si="12"/>
        <v/>
      </c>
      <c r="AT584" s="37"/>
      <c r="AU584" s="29"/>
      <c r="AV584" s="29" t="b">
        <v>0</v>
      </c>
      <c r="AW584" s="22" t="str">
        <f t="shared" si="13"/>
        <v/>
      </c>
      <c r="AX584" s="7">
        <f>IF(ISBLANK(AT584), 0, VLOOKUP(AT584, 'Price Sheet'!$A$2:$B1015, 2, false))</f>
        <v>0</v>
      </c>
      <c r="AY584" s="33" t="str">
        <f t="shared" si="14"/>
        <v/>
      </c>
      <c r="AZ584" s="37"/>
      <c r="BA584" s="29"/>
      <c r="BB584" s="29" t="b">
        <v>0</v>
      </c>
      <c r="BC584" s="22" t="str">
        <f t="shared" si="15"/>
        <v/>
      </c>
      <c r="BD584" s="7">
        <f>IF(ISBLANK(AZ584), 0, VLOOKUP(AZ584, 'Price Sheet'!$A$2:$B1015, 2, false))</f>
        <v>0</v>
      </c>
      <c r="BE584" s="33" t="str">
        <f t="shared" si="16"/>
        <v/>
      </c>
      <c r="BF584" s="37"/>
      <c r="BG584" s="29"/>
      <c r="BH584" s="29" t="b">
        <v>0</v>
      </c>
      <c r="BI584" s="22" t="str">
        <f t="shared" si="17"/>
        <v/>
      </c>
      <c r="BJ584" s="7">
        <f>IF(ISBLANK(BF584), 0, VLOOKUP(BF584, 'Price Sheet'!$A$2:$B1015, 2, false))</f>
        <v>0</v>
      </c>
      <c r="BK584" s="33" t="str">
        <f t="shared" si="18"/>
        <v/>
      </c>
      <c r="BL584" s="37"/>
      <c r="BM584" s="29"/>
      <c r="BN584" s="29" t="b">
        <v>0</v>
      </c>
      <c r="BO584" s="22" t="str">
        <f t="shared" si="19"/>
        <v/>
      </c>
      <c r="BP584" s="7">
        <f>IF(ISBLANK(BL584), 0, VLOOKUP(BL584, 'Price Sheet'!$A$2:$B1015, 2, false))</f>
        <v>0</v>
      </c>
      <c r="BQ584" s="33" t="str">
        <f t="shared" si="20"/>
        <v/>
      </c>
    </row>
    <row r="585">
      <c r="B585" s="19"/>
      <c r="C585" s="29"/>
      <c r="D585" s="29"/>
      <c r="E585" s="7" t="str">
        <f>IF(ISBLANK(D585), "", VLOOKUP(D585,'Crafting Tables'!$A$2:$B1015, 2, false))</f>
        <v/>
      </c>
      <c r="F585" s="7" t="str">
        <f>IFERROR(IF(E585 = "None", 1, VLOOKUP(C585,General!$A$5:$L$35, SWITCH(E585, "Basic", 8, "Advanced", 10, "Modern", 12), false)),"")</f>
        <v/>
      </c>
      <c r="G585" s="29"/>
      <c r="H585" s="7">
        <f>IFERROR(VLOOKUP(C585, General!$A$5:$L$35, 6, false) * G585 / 1000, 0)</f>
        <v>0</v>
      </c>
      <c r="I585" s="29"/>
      <c r="J585" s="22" t="str">
        <f>IFERROR(I585*VLOOKUP(D585,'Crafting Tables'!$1:$1000, 4, false)*F585,"")</f>
        <v/>
      </c>
      <c r="K585" s="29" t="b">
        <v>0</v>
      </c>
      <c r="L585" s="37"/>
      <c r="M585" s="29"/>
      <c r="N585" s="21" t="str">
        <f t="shared" si="2"/>
        <v/>
      </c>
      <c r="P585" s="37"/>
      <c r="Q585" s="29"/>
      <c r="R585" s="29" t="b">
        <v>0</v>
      </c>
      <c r="S585" s="22" t="str">
        <f t="shared" si="3"/>
        <v/>
      </c>
      <c r="T585" s="7">
        <f>IF(ISBLANK(P585), 0, VLOOKUP(P585, 'Price Sheet'!$A$2:$B1015, 2, false))</f>
        <v>0</v>
      </c>
      <c r="U585" s="33" t="str">
        <f t="shared" si="4"/>
        <v/>
      </c>
      <c r="V585" s="37"/>
      <c r="W585" s="29"/>
      <c r="X585" s="29" t="b">
        <v>0</v>
      </c>
      <c r="Y585" s="22" t="str">
        <f t="shared" si="5"/>
        <v/>
      </c>
      <c r="Z585" s="7">
        <f>IF(ISBLANK(V585), 0, VLOOKUP(V585, 'Price Sheet'!$A$2:$B1015, 2, false))</f>
        <v>0</v>
      </c>
      <c r="AA585" s="33" t="str">
        <f t="shared" si="6"/>
        <v/>
      </c>
      <c r="AB585" s="37"/>
      <c r="AC585" s="29"/>
      <c r="AD585" s="29" t="b">
        <v>0</v>
      </c>
      <c r="AE585" s="22" t="str">
        <f t="shared" si="7"/>
        <v/>
      </c>
      <c r="AF585" s="7">
        <f>IF(ISBLANK(AB585), 0, VLOOKUP(AB585, 'Price Sheet'!$A$2:$B1015, 2, false))</f>
        <v>0</v>
      </c>
      <c r="AG585" s="33" t="str">
        <f t="shared" si="8"/>
        <v/>
      </c>
      <c r="AH585" s="37"/>
      <c r="AI585" s="29"/>
      <c r="AJ585" s="29" t="b">
        <v>0</v>
      </c>
      <c r="AK585" s="22" t="str">
        <f t="shared" si="9"/>
        <v/>
      </c>
      <c r="AL585" s="7">
        <f>IF(ISBLANK(AH585), 0, VLOOKUP(AH585, 'Price Sheet'!$A$2:$B1015, 2, false))</f>
        <v>0</v>
      </c>
      <c r="AM585" s="33" t="str">
        <f t="shared" si="10"/>
        <v/>
      </c>
      <c r="AN585" s="37"/>
      <c r="AO585" s="29"/>
      <c r="AP585" s="29" t="b">
        <v>0</v>
      </c>
      <c r="AQ585" s="22" t="str">
        <f t="shared" si="11"/>
        <v/>
      </c>
      <c r="AR585" s="7">
        <f>IF(ISBLANK(AN585), 0, VLOOKUP(AN585, 'Price Sheet'!$A$2:$B1015, 2, false))</f>
        <v>0</v>
      </c>
      <c r="AS585" s="33" t="str">
        <f t="shared" si="12"/>
        <v/>
      </c>
      <c r="AT585" s="37"/>
      <c r="AU585" s="29"/>
      <c r="AV585" s="29" t="b">
        <v>0</v>
      </c>
      <c r="AW585" s="22" t="str">
        <f t="shared" si="13"/>
        <v/>
      </c>
      <c r="AX585" s="7">
        <f>IF(ISBLANK(AT585), 0, VLOOKUP(AT585, 'Price Sheet'!$A$2:$B1015, 2, false))</f>
        <v>0</v>
      </c>
      <c r="AY585" s="33" t="str">
        <f t="shared" si="14"/>
        <v/>
      </c>
      <c r="AZ585" s="37"/>
      <c r="BA585" s="29"/>
      <c r="BB585" s="29" t="b">
        <v>0</v>
      </c>
      <c r="BC585" s="22" t="str">
        <f t="shared" si="15"/>
        <v/>
      </c>
      <c r="BD585" s="7">
        <f>IF(ISBLANK(AZ585), 0, VLOOKUP(AZ585, 'Price Sheet'!$A$2:$B1015, 2, false))</f>
        <v>0</v>
      </c>
      <c r="BE585" s="33" t="str">
        <f t="shared" si="16"/>
        <v/>
      </c>
      <c r="BF585" s="37"/>
      <c r="BG585" s="29"/>
      <c r="BH585" s="29" t="b">
        <v>0</v>
      </c>
      <c r="BI585" s="22" t="str">
        <f t="shared" si="17"/>
        <v/>
      </c>
      <c r="BJ585" s="7">
        <f>IF(ISBLANK(BF585), 0, VLOOKUP(BF585, 'Price Sheet'!$A$2:$B1015, 2, false))</f>
        <v>0</v>
      </c>
      <c r="BK585" s="33" t="str">
        <f t="shared" si="18"/>
        <v/>
      </c>
      <c r="BL585" s="37"/>
      <c r="BM585" s="29"/>
      <c r="BN585" s="29" t="b">
        <v>0</v>
      </c>
      <c r="BO585" s="22" t="str">
        <f t="shared" si="19"/>
        <v/>
      </c>
      <c r="BP585" s="7">
        <f>IF(ISBLANK(BL585), 0, VLOOKUP(BL585, 'Price Sheet'!$A$2:$B1015, 2, false))</f>
        <v>0</v>
      </c>
      <c r="BQ585" s="33" t="str">
        <f t="shared" si="20"/>
        <v/>
      </c>
    </row>
    <row r="586">
      <c r="B586" s="19"/>
      <c r="C586" s="29"/>
      <c r="D586" s="29"/>
      <c r="E586" s="7" t="str">
        <f>IF(ISBLANK(D586), "", VLOOKUP(D586,'Crafting Tables'!$A$2:$B1015, 2, false))</f>
        <v/>
      </c>
      <c r="F586" s="7" t="str">
        <f>IFERROR(IF(E586 = "None", 1, VLOOKUP(C586,General!$A$5:$L$35, SWITCH(E586, "Basic", 8, "Advanced", 10, "Modern", 12), false)),"")</f>
        <v/>
      </c>
      <c r="G586" s="29"/>
      <c r="H586" s="7">
        <f>IFERROR(VLOOKUP(C586, General!$A$5:$L$35, 6, false) * G586 / 1000, 0)</f>
        <v>0</v>
      </c>
      <c r="I586" s="29"/>
      <c r="J586" s="22" t="str">
        <f>IFERROR(I586*VLOOKUP(D586,'Crafting Tables'!$1:$1000, 4, false)*F586,"")</f>
        <v/>
      </c>
      <c r="K586" s="29" t="b">
        <v>0</v>
      </c>
      <c r="L586" s="37"/>
      <c r="M586" s="29"/>
      <c r="N586" s="21" t="str">
        <f t="shared" si="2"/>
        <v/>
      </c>
      <c r="P586" s="37"/>
      <c r="Q586" s="29"/>
      <c r="R586" s="29" t="b">
        <v>0</v>
      </c>
      <c r="S586" s="22" t="str">
        <f t="shared" si="3"/>
        <v/>
      </c>
      <c r="T586" s="7">
        <f>IF(ISBLANK(P586), 0, VLOOKUP(P586, 'Price Sheet'!$A$2:$B1015, 2, false))</f>
        <v>0</v>
      </c>
      <c r="U586" s="33" t="str">
        <f t="shared" si="4"/>
        <v/>
      </c>
      <c r="V586" s="37"/>
      <c r="W586" s="29"/>
      <c r="X586" s="29" t="b">
        <v>0</v>
      </c>
      <c r="Y586" s="22" t="str">
        <f t="shared" si="5"/>
        <v/>
      </c>
      <c r="Z586" s="7">
        <f>IF(ISBLANK(V586), 0, VLOOKUP(V586, 'Price Sheet'!$A$2:$B1015, 2, false))</f>
        <v>0</v>
      </c>
      <c r="AA586" s="33" t="str">
        <f t="shared" si="6"/>
        <v/>
      </c>
      <c r="AB586" s="37"/>
      <c r="AC586" s="29"/>
      <c r="AD586" s="29" t="b">
        <v>0</v>
      </c>
      <c r="AE586" s="22" t="str">
        <f t="shared" si="7"/>
        <v/>
      </c>
      <c r="AF586" s="7">
        <f>IF(ISBLANK(AB586), 0, VLOOKUP(AB586, 'Price Sheet'!$A$2:$B1015, 2, false))</f>
        <v>0</v>
      </c>
      <c r="AG586" s="33" t="str">
        <f t="shared" si="8"/>
        <v/>
      </c>
      <c r="AH586" s="37"/>
      <c r="AI586" s="29"/>
      <c r="AJ586" s="29" t="b">
        <v>0</v>
      </c>
      <c r="AK586" s="22" t="str">
        <f t="shared" si="9"/>
        <v/>
      </c>
      <c r="AL586" s="7">
        <f>IF(ISBLANK(AH586), 0, VLOOKUP(AH586, 'Price Sheet'!$A$2:$B1015, 2, false))</f>
        <v>0</v>
      </c>
      <c r="AM586" s="33" t="str">
        <f t="shared" si="10"/>
        <v/>
      </c>
      <c r="AN586" s="37"/>
      <c r="AO586" s="29"/>
      <c r="AP586" s="29" t="b">
        <v>0</v>
      </c>
      <c r="AQ586" s="22" t="str">
        <f t="shared" si="11"/>
        <v/>
      </c>
      <c r="AR586" s="7">
        <f>IF(ISBLANK(AN586), 0, VLOOKUP(AN586, 'Price Sheet'!$A$2:$B1015, 2, false))</f>
        <v>0</v>
      </c>
      <c r="AS586" s="33" t="str">
        <f t="shared" si="12"/>
        <v/>
      </c>
      <c r="AT586" s="37"/>
      <c r="AU586" s="29"/>
      <c r="AV586" s="29" t="b">
        <v>0</v>
      </c>
      <c r="AW586" s="22" t="str">
        <f t="shared" si="13"/>
        <v/>
      </c>
      <c r="AX586" s="7">
        <f>IF(ISBLANK(AT586), 0, VLOOKUP(AT586, 'Price Sheet'!$A$2:$B1015, 2, false))</f>
        <v>0</v>
      </c>
      <c r="AY586" s="33" t="str">
        <f t="shared" si="14"/>
        <v/>
      </c>
      <c r="AZ586" s="37"/>
      <c r="BA586" s="29"/>
      <c r="BB586" s="29" t="b">
        <v>0</v>
      </c>
      <c r="BC586" s="22" t="str">
        <f t="shared" si="15"/>
        <v/>
      </c>
      <c r="BD586" s="7">
        <f>IF(ISBLANK(AZ586), 0, VLOOKUP(AZ586, 'Price Sheet'!$A$2:$B1015, 2, false))</f>
        <v>0</v>
      </c>
      <c r="BE586" s="33" t="str">
        <f t="shared" si="16"/>
        <v/>
      </c>
      <c r="BF586" s="37"/>
      <c r="BG586" s="29"/>
      <c r="BH586" s="29" t="b">
        <v>0</v>
      </c>
      <c r="BI586" s="22" t="str">
        <f t="shared" si="17"/>
        <v/>
      </c>
      <c r="BJ586" s="7">
        <f>IF(ISBLANK(BF586), 0, VLOOKUP(BF586, 'Price Sheet'!$A$2:$B1015, 2, false))</f>
        <v>0</v>
      </c>
      <c r="BK586" s="33" t="str">
        <f t="shared" si="18"/>
        <v/>
      </c>
      <c r="BL586" s="37"/>
      <c r="BM586" s="29"/>
      <c r="BN586" s="29" t="b">
        <v>0</v>
      </c>
      <c r="BO586" s="22" t="str">
        <f t="shared" si="19"/>
        <v/>
      </c>
      <c r="BP586" s="7">
        <f>IF(ISBLANK(BL586), 0, VLOOKUP(BL586, 'Price Sheet'!$A$2:$B1015, 2, false))</f>
        <v>0</v>
      </c>
      <c r="BQ586" s="33" t="str">
        <f t="shared" si="20"/>
        <v/>
      </c>
    </row>
    <row r="587">
      <c r="B587" s="19"/>
      <c r="C587" s="29"/>
      <c r="D587" s="29"/>
      <c r="E587" s="7" t="str">
        <f>IF(ISBLANK(D587), "", VLOOKUP(D587,'Crafting Tables'!$A$2:$B1015, 2, false))</f>
        <v/>
      </c>
      <c r="F587" s="7" t="str">
        <f>IFERROR(IF(E587 = "None", 1, VLOOKUP(C587,General!$A$5:$L$35, SWITCH(E587, "Basic", 8, "Advanced", 10, "Modern", 12), false)),"")</f>
        <v/>
      </c>
      <c r="G587" s="29"/>
      <c r="H587" s="7">
        <f>IFERROR(VLOOKUP(C587, General!$A$5:$L$35, 6, false) * G587 / 1000, 0)</f>
        <v>0</v>
      </c>
      <c r="I587" s="29"/>
      <c r="J587" s="22" t="str">
        <f>IFERROR(I587*VLOOKUP(D587,'Crafting Tables'!$1:$1000, 4, false)*F587,"")</f>
        <v/>
      </c>
      <c r="K587" s="29" t="b">
        <v>0</v>
      </c>
      <c r="L587" s="37"/>
      <c r="M587" s="29"/>
      <c r="N587" s="21" t="str">
        <f t="shared" si="2"/>
        <v/>
      </c>
      <c r="P587" s="37"/>
      <c r="Q587" s="29"/>
      <c r="R587" s="29" t="b">
        <v>0</v>
      </c>
      <c r="S587" s="22" t="str">
        <f t="shared" si="3"/>
        <v/>
      </c>
      <c r="T587" s="7">
        <f>IF(ISBLANK(P587), 0, VLOOKUP(P587, 'Price Sheet'!$A$2:$B1015, 2, false))</f>
        <v>0</v>
      </c>
      <c r="U587" s="33" t="str">
        <f t="shared" si="4"/>
        <v/>
      </c>
      <c r="V587" s="37"/>
      <c r="W587" s="29"/>
      <c r="X587" s="29" t="b">
        <v>0</v>
      </c>
      <c r="Y587" s="22" t="str">
        <f t="shared" si="5"/>
        <v/>
      </c>
      <c r="Z587" s="7">
        <f>IF(ISBLANK(V587), 0, VLOOKUP(V587, 'Price Sheet'!$A$2:$B1015, 2, false))</f>
        <v>0</v>
      </c>
      <c r="AA587" s="33" t="str">
        <f t="shared" si="6"/>
        <v/>
      </c>
      <c r="AB587" s="37"/>
      <c r="AC587" s="29"/>
      <c r="AD587" s="29" t="b">
        <v>0</v>
      </c>
      <c r="AE587" s="22" t="str">
        <f t="shared" si="7"/>
        <v/>
      </c>
      <c r="AF587" s="7">
        <f>IF(ISBLANK(AB587), 0, VLOOKUP(AB587, 'Price Sheet'!$A$2:$B1015, 2, false))</f>
        <v>0</v>
      </c>
      <c r="AG587" s="33" t="str">
        <f t="shared" si="8"/>
        <v/>
      </c>
      <c r="AH587" s="37"/>
      <c r="AI587" s="29"/>
      <c r="AJ587" s="29" t="b">
        <v>0</v>
      </c>
      <c r="AK587" s="22" t="str">
        <f t="shared" si="9"/>
        <v/>
      </c>
      <c r="AL587" s="7">
        <f>IF(ISBLANK(AH587), 0, VLOOKUP(AH587, 'Price Sheet'!$A$2:$B1015, 2, false))</f>
        <v>0</v>
      </c>
      <c r="AM587" s="33" t="str">
        <f t="shared" si="10"/>
        <v/>
      </c>
      <c r="AN587" s="37"/>
      <c r="AO587" s="29"/>
      <c r="AP587" s="29" t="b">
        <v>0</v>
      </c>
      <c r="AQ587" s="22" t="str">
        <f t="shared" si="11"/>
        <v/>
      </c>
      <c r="AR587" s="7">
        <f>IF(ISBLANK(AN587), 0, VLOOKUP(AN587, 'Price Sheet'!$A$2:$B1015, 2, false))</f>
        <v>0</v>
      </c>
      <c r="AS587" s="33" t="str">
        <f t="shared" si="12"/>
        <v/>
      </c>
      <c r="AT587" s="37"/>
      <c r="AU587" s="29"/>
      <c r="AV587" s="29" t="b">
        <v>0</v>
      </c>
      <c r="AW587" s="22" t="str">
        <f t="shared" si="13"/>
        <v/>
      </c>
      <c r="AX587" s="7">
        <f>IF(ISBLANK(AT587), 0, VLOOKUP(AT587, 'Price Sheet'!$A$2:$B1015, 2, false))</f>
        <v>0</v>
      </c>
      <c r="AY587" s="33" t="str">
        <f t="shared" si="14"/>
        <v/>
      </c>
      <c r="AZ587" s="37"/>
      <c r="BA587" s="29"/>
      <c r="BB587" s="29" t="b">
        <v>0</v>
      </c>
      <c r="BC587" s="22" t="str">
        <f t="shared" si="15"/>
        <v/>
      </c>
      <c r="BD587" s="7">
        <f>IF(ISBLANK(AZ587), 0, VLOOKUP(AZ587, 'Price Sheet'!$A$2:$B1015, 2, false))</f>
        <v>0</v>
      </c>
      <c r="BE587" s="33" t="str">
        <f t="shared" si="16"/>
        <v/>
      </c>
      <c r="BF587" s="37"/>
      <c r="BG587" s="29"/>
      <c r="BH587" s="29" t="b">
        <v>0</v>
      </c>
      <c r="BI587" s="22" t="str">
        <f t="shared" si="17"/>
        <v/>
      </c>
      <c r="BJ587" s="7">
        <f>IF(ISBLANK(BF587), 0, VLOOKUP(BF587, 'Price Sheet'!$A$2:$B1015, 2, false))</f>
        <v>0</v>
      </c>
      <c r="BK587" s="33" t="str">
        <f t="shared" si="18"/>
        <v/>
      </c>
      <c r="BL587" s="37"/>
      <c r="BM587" s="29"/>
      <c r="BN587" s="29" t="b">
        <v>0</v>
      </c>
      <c r="BO587" s="22" t="str">
        <f t="shared" si="19"/>
        <v/>
      </c>
      <c r="BP587" s="7">
        <f>IF(ISBLANK(BL587), 0, VLOOKUP(BL587, 'Price Sheet'!$A$2:$B1015, 2, false))</f>
        <v>0</v>
      </c>
      <c r="BQ587" s="33" t="str">
        <f t="shared" si="20"/>
        <v/>
      </c>
    </row>
    <row r="588">
      <c r="B588" s="19"/>
      <c r="C588" s="29"/>
      <c r="D588" s="29"/>
      <c r="E588" s="7" t="str">
        <f>IF(ISBLANK(D588), "", VLOOKUP(D588,'Crafting Tables'!$A$2:$B1015, 2, false))</f>
        <v/>
      </c>
      <c r="F588" s="7" t="str">
        <f>IFERROR(IF(E588 = "None", 1, VLOOKUP(C588,General!$A$5:$L$35, SWITCH(E588, "Basic", 8, "Advanced", 10, "Modern", 12), false)),"")</f>
        <v/>
      </c>
      <c r="G588" s="29"/>
      <c r="H588" s="7">
        <f>IFERROR(VLOOKUP(C588, General!$A$5:$L$35, 6, false) * G588 / 1000, 0)</f>
        <v>0</v>
      </c>
      <c r="I588" s="29"/>
      <c r="J588" s="22" t="str">
        <f>IFERROR(I588*VLOOKUP(D588,'Crafting Tables'!$1:$1000, 4, false)*F588,"")</f>
        <v/>
      </c>
      <c r="K588" s="29" t="b">
        <v>0</v>
      </c>
      <c r="L588" s="37"/>
      <c r="M588" s="29"/>
      <c r="N588" s="21" t="str">
        <f t="shared" si="2"/>
        <v/>
      </c>
      <c r="P588" s="37"/>
      <c r="Q588" s="29"/>
      <c r="R588" s="29" t="b">
        <v>0</v>
      </c>
      <c r="S588" s="22" t="str">
        <f t="shared" si="3"/>
        <v/>
      </c>
      <c r="T588" s="7">
        <f>IF(ISBLANK(P588), 0, VLOOKUP(P588, 'Price Sheet'!$A$2:$B1015, 2, false))</f>
        <v>0</v>
      </c>
      <c r="U588" s="33" t="str">
        <f t="shared" si="4"/>
        <v/>
      </c>
      <c r="V588" s="37"/>
      <c r="W588" s="29"/>
      <c r="X588" s="29" t="b">
        <v>0</v>
      </c>
      <c r="Y588" s="22" t="str">
        <f t="shared" si="5"/>
        <v/>
      </c>
      <c r="Z588" s="7">
        <f>IF(ISBLANK(V588), 0, VLOOKUP(V588, 'Price Sheet'!$A$2:$B1015, 2, false))</f>
        <v>0</v>
      </c>
      <c r="AA588" s="33" t="str">
        <f t="shared" si="6"/>
        <v/>
      </c>
      <c r="AB588" s="37"/>
      <c r="AC588" s="29"/>
      <c r="AD588" s="29" t="b">
        <v>0</v>
      </c>
      <c r="AE588" s="22" t="str">
        <f t="shared" si="7"/>
        <v/>
      </c>
      <c r="AF588" s="7">
        <f>IF(ISBLANK(AB588), 0, VLOOKUP(AB588, 'Price Sheet'!$A$2:$B1015, 2, false))</f>
        <v>0</v>
      </c>
      <c r="AG588" s="33" t="str">
        <f t="shared" si="8"/>
        <v/>
      </c>
      <c r="AH588" s="37"/>
      <c r="AI588" s="29"/>
      <c r="AJ588" s="29" t="b">
        <v>0</v>
      </c>
      <c r="AK588" s="22" t="str">
        <f t="shared" si="9"/>
        <v/>
      </c>
      <c r="AL588" s="7">
        <f>IF(ISBLANK(AH588), 0, VLOOKUP(AH588, 'Price Sheet'!$A$2:$B1015, 2, false))</f>
        <v>0</v>
      </c>
      <c r="AM588" s="33" t="str">
        <f t="shared" si="10"/>
        <v/>
      </c>
      <c r="AN588" s="37"/>
      <c r="AO588" s="29"/>
      <c r="AP588" s="29" t="b">
        <v>0</v>
      </c>
      <c r="AQ588" s="22" t="str">
        <f t="shared" si="11"/>
        <v/>
      </c>
      <c r="AR588" s="7">
        <f>IF(ISBLANK(AN588), 0, VLOOKUP(AN588, 'Price Sheet'!$A$2:$B1015, 2, false))</f>
        <v>0</v>
      </c>
      <c r="AS588" s="33" t="str">
        <f t="shared" si="12"/>
        <v/>
      </c>
      <c r="AT588" s="37"/>
      <c r="AU588" s="29"/>
      <c r="AV588" s="29" t="b">
        <v>0</v>
      </c>
      <c r="AW588" s="22" t="str">
        <f t="shared" si="13"/>
        <v/>
      </c>
      <c r="AX588" s="7">
        <f>IF(ISBLANK(AT588), 0, VLOOKUP(AT588, 'Price Sheet'!$A$2:$B1015, 2, false))</f>
        <v>0</v>
      </c>
      <c r="AY588" s="33" t="str">
        <f t="shared" si="14"/>
        <v/>
      </c>
      <c r="AZ588" s="37"/>
      <c r="BA588" s="29"/>
      <c r="BB588" s="29" t="b">
        <v>0</v>
      </c>
      <c r="BC588" s="22" t="str">
        <f t="shared" si="15"/>
        <v/>
      </c>
      <c r="BD588" s="7">
        <f>IF(ISBLANK(AZ588), 0, VLOOKUP(AZ588, 'Price Sheet'!$A$2:$B1015, 2, false))</f>
        <v>0</v>
      </c>
      <c r="BE588" s="33" t="str">
        <f t="shared" si="16"/>
        <v/>
      </c>
      <c r="BF588" s="37"/>
      <c r="BG588" s="29"/>
      <c r="BH588" s="29" t="b">
        <v>0</v>
      </c>
      <c r="BI588" s="22" t="str">
        <f t="shared" si="17"/>
        <v/>
      </c>
      <c r="BJ588" s="7">
        <f>IF(ISBLANK(BF588), 0, VLOOKUP(BF588, 'Price Sheet'!$A$2:$B1015, 2, false))</f>
        <v>0</v>
      </c>
      <c r="BK588" s="33" t="str">
        <f t="shared" si="18"/>
        <v/>
      </c>
      <c r="BL588" s="37"/>
      <c r="BM588" s="29"/>
      <c r="BN588" s="29" t="b">
        <v>0</v>
      </c>
      <c r="BO588" s="22" t="str">
        <f t="shared" si="19"/>
        <v/>
      </c>
      <c r="BP588" s="7">
        <f>IF(ISBLANK(BL588), 0, VLOOKUP(BL588, 'Price Sheet'!$A$2:$B1015, 2, false))</f>
        <v>0</v>
      </c>
      <c r="BQ588" s="33" t="str">
        <f t="shared" si="20"/>
        <v/>
      </c>
    </row>
    <row r="589">
      <c r="B589" s="19"/>
      <c r="C589" s="29"/>
      <c r="D589" s="29"/>
      <c r="E589" s="7" t="str">
        <f>IF(ISBLANK(D589), "", VLOOKUP(D589,'Crafting Tables'!$A$2:$B1015, 2, false))</f>
        <v/>
      </c>
      <c r="F589" s="7" t="str">
        <f>IFERROR(IF(E589 = "None", 1, VLOOKUP(C589,General!$A$5:$L$35, SWITCH(E589, "Basic", 8, "Advanced", 10, "Modern", 12), false)),"")</f>
        <v/>
      </c>
      <c r="G589" s="29"/>
      <c r="H589" s="7">
        <f>IFERROR(VLOOKUP(C589, General!$A$5:$L$35, 6, false) * G589 / 1000, 0)</f>
        <v>0</v>
      </c>
      <c r="I589" s="29"/>
      <c r="J589" s="22" t="str">
        <f>IFERROR(I589*VLOOKUP(D589,'Crafting Tables'!$1:$1000, 4, false)*F589,"")</f>
        <v/>
      </c>
      <c r="K589" s="29" t="b">
        <v>0</v>
      </c>
      <c r="L589" s="37"/>
      <c r="M589" s="29"/>
      <c r="N589" s="21" t="str">
        <f t="shared" si="2"/>
        <v/>
      </c>
      <c r="P589" s="37"/>
      <c r="Q589" s="29"/>
      <c r="R589" s="29" t="b">
        <v>0</v>
      </c>
      <c r="S589" s="22" t="str">
        <f t="shared" si="3"/>
        <v/>
      </c>
      <c r="T589" s="7">
        <f>IF(ISBLANK(P589), 0, VLOOKUP(P589, 'Price Sheet'!$A$2:$B1015, 2, false))</f>
        <v>0</v>
      </c>
      <c r="U589" s="33" t="str">
        <f t="shared" si="4"/>
        <v/>
      </c>
      <c r="V589" s="37"/>
      <c r="W589" s="29"/>
      <c r="X589" s="29" t="b">
        <v>0</v>
      </c>
      <c r="Y589" s="22" t="str">
        <f t="shared" si="5"/>
        <v/>
      </c>
      <c r="Z589" s="7">
        <f>IF(ISBLANK(V589), 0, VLOOKUP(V589, 'Price Sheet'!$A$2:$B1015, 2, false))</f>
        <v>0</v>
      </c>
      <c r="AA589" s="33" t="str">
        <f t="shared" si="6"/>
        <v/>
      </c>
      <c r="AB589" s="37"/>
      <c r="AC589" s="29"/>
      <c r="AD589" s="29" t="b">
        <v>0</v>
      </c>
      <c r="AE589" s="22" t="str">
        <f t="shared" si="7"/>
        <v/>
      </c>
      <c r="AF589" s="7">
        <f>IF(ISBLANK(AB589), 0, VLOOKUP(AB589, 'Price Sheet'!$A$2:$B1015, 2, false))</f>
        <v>0</v>
      </c>
      <c r="AG589" s="33" t="str">
        <f t="shared" si="8"/>
        <v/>
      </c>
      <c r="AH589" s="37"/>
      <c r="AI589" s="29"/>
      <c r="AJ589" s="29" t="b">
        <v>0</v>
      </c>
      <c r="AK589" s="22" t="str">
        <f t="shared" si="9"/>
        <v/>
      </c>
      <c r="AL589" s="7">
        <f>IF(ISBLANK(AH589), 0, VLOOKUP(AH589, 'Price Sheet'!$A$2:$B1015, 2, false))</f>
        <v>0</v>
      </c>
      <c r="AM589" s="33" t="str">
        <f t="shared" si="10"/>
        <v/>
      </c>
      <c r="AN589" s="37"/>
      <c r="AO589" s="29"/>
      <c r="AP589" s="29" t="b">
        <v>0</v>
      </c>
      <c r="AQ589" s="22" t="str">
        <f t="shared" si="11"/>
        <v/>
      </c>
      <c r="AR589" s="7">
        <f>IF(ISBLANK(AN589), 0, VLOOKUP(AN589, 'Price Sheet'!$A$2:$B1015, 2, false))</f>
        <v>0</v>
      </c>
      <c r="AS589" s="33" t="str">
        <f t="shared" si="12"/>
        <v/>
      </c>
      <c r="AT589" s="37"/>
      <c r="AU589" s="29"/>
      <c r="AV589" s="29" t="b">
        <v>0</v>
      </c>
      <c r="AW589" s="22" t="str">
        <f t="shared" si="13"/>
        <v/>
      </c>
      <c r="AX589" s="7">
        <f>IF(ISBLANK(AT589), 0, VLOOKUP(AT589, 'Price Sheet'!$A$2:$B1015, 2, false))</f>
        <v>0</v>
      </c>
      <c r="AY589" s="33" t="str">
        <f t="shared" si="14"/>
        <v/>
      </c>
      <c r="AZ589" s="37"/>
      <c r="BA589" s="29"/>
      <c r="BB589" s="29" t="b">
        <v>0</v>
      </c>
      <c r="BC589" s="22" t="str">
        <f t="shared" si="15"/>
        <v/>
      </c>
      <c r="BD589" s="7">
        <f>IF(ISBLANK(AZ589), 0, VLOOKUP(AZ589, 'Price Sheet'!$A$2:$B1015, 2, false))</f>
        <v>0</v>
      </c>
      <c r="BE589" s="33" t="str">
        <f t="shared" si="16"/>
        <v/>
      </c>
      <c r="BF589" s="37"/>
      <c r="BG589" s="29"/>
      <c r="BH589" s="29" t="b">
        <v>0</v>
      </c>
      <c r="BI589" s="22" t="str">
        <f t="shared" si="17"/>
        <v/>
      </c>
      <c r="BJ589" s="7">
        <f>IF(ISBLANK(BF589), 0, VLOOKUP(BF589, 'Price Sheet'!$A$2:$B1015, 2, false))</f>
        <v>0</v>
      </c>
      <c r="BK589" s="33" t="str">
        <f t="shared" si="18"/>
        <v/>
      </c>
      <c r="BL589" s="37"/>
      <c r="BM589" s="29"/>
      <c r="BN589" s="29" t="b">
        <v>0</v>
      </c>
      <c r="BO589" s="22" t="str">
        <f t="shared" si="19"/>
        <v/>
      </c>
      <c r="BP589" s="7">
        <f>IF(ISBLANK(BL589), 0, VLOOKUP(BL589, 'Price Sheet'!$A$2:$B1015, 2, false))</f>
        <v>0</v>
      </c>
      <c r="BQ589" s="33" t="str">
        <f t="shared" si="20"/>
        <v/>
      </c>
    </row>
    <row r="590">
      <c r="B590" s="19"/>
      <c r="C590" s="29"/>
      <c r="D590" s="29"/>
      <c r="E590" s="7" t="str">
        <f>IF(ISBLANK(D590), "", VLOOKUP(D590,'Crafting Tables'!$A$2:$B1015, 2, false))</f>
        <v/>
      </c>
      <c r="F590" s="7" t="str">
        <f>IFERROR(IF(E590 = "None", 1, VLOOKUP(C590,General!$A$5:$L$35, SWITCH(E590, "Basic", 8, "Advanced", 10, "Modern", 12), false)),"")</f>
        <v/>
      </c>
      <c r="G590" s="29"/>
      <c r="H590" s="7">
        <f>IFERROR(VLOOKUP(C590, General!$A$5:$L$35, 6, false) * G590 / 1000, 0)</f>
        <v>0</v>
      </c>
      <c r="I590" s="29"/>
      <c r="J590" s="22" t="str">
        <f>IFERROR(I590*VLOOKUP(D590,'Crafting Tables'!$1:$1000, 4, false)*F590,"")</f>
        <v/>
      </c>
      <c r="K590" s="29" t="b">
        <v>0</v>
      </c>
      <c r="L590" s="37"/>
      <c r="M590" s="29"/>
      <c r="N590" s="21" t="str">
        <f t="shared" si="2"/>
        <v/>
      </c>
      <c r="P590" s="37"/>
      <c r="Q590" s="29"/>
      <c r="R590" s="29" t="b">
        <v>0</v>
      </c>
      <c r="S590" s="22" t="str">
        <f t="shared" si="3"/>
        <v/>
      </c>
      <c r="T590" s="7">
        <f>IF(ISBLANK(P590), 0, VLOOKUP(P590, 'Price Sheet'!$A$2:$B1015, 2, false))</f>
        <v>0</v>
      </c>
      <c r="U590" s="33" t="str">
        <f t="shared" si="4"/>
        <v/>
      </c>
      <c r="V590" s="37"/>
      <c r="W590" s="29"/>
      <c r="X590" s="29" t="b">
        <v>0</v>
      </c>
      <c r="Y590" s="22" t="str">
        <f t="shared" si="5"/>
        <v/>
      </c>
      <c r="Z590" s="7">
        <f>IF(ISBLANK(V590), 0, VLOOKUP(V590, 'Price Sheet'!$A$2:$B1015, 2, false))</f>
        <v>0</v>
      </c>
      <c r="AA590" s="33" t="str">
        <f t="shared" si="6"/>
        <v/>
      </c>
      <c r="AB590" s="37"/>
      <c r="AC590" s="29"/>
      <c r="AD590" s="29" t="b">
        <v>0</v>
      </c>
      <c r="AE590" s="22" t="str">
        <f t="shared" si="7"/>
        <v/>
      </c>
      <c r="AF590" s="7">
        <f>IF(ISBLANK(AB590), 0, VLOOKUP(AB590, 'Price Sheet'!$A$2:$B1015, 2, false))</f>
        <v>0</v>
      </c>
      <c r="AG590" s="33" t="str">
        <f t="shared" si="8"/>
        <v/>
      </c>
      <c r="AH590" s="37"/>
      <c r="AI590" s="29"/>
      <c r="AJ590" s="29" t="b">
        <v>0</v>
      </c>
      <c r="AK590" s="22" t="str">
        <f t="shared" si="9"/>
        <v/>
      </c>
      <c r="AL590" s="7">
        <f>IF(ISBLANK(AH590), 0, VLOOKUP(AH590, 'Price Sheet'!$A$2:$B1015, 2, false))</f>
        <v>0</v>
      </c>
      <c r="AM590" s="33" t="str">
        <f t="shared" si="10"/>
        <v/>
      </c>
      <c r="AN590" s="37"/>
      <c r="AO590" s="29"/>
      <c r="AP590" s="29" t="b">
        <v>0</v>
      </c>
      <c r="AQ590" s="22" t="str">
        <f t="shared" si="11"/>
        <v/>
      </c>
      <c r="AR590" s="7">
        <f>IF(ISBLANK(AN590), 0, VLOOKUP(AN590, 'Price Sheet'!$A$2:$B1015, 2, false))</f>
        <v>0</v>
      </c>
      <c r="AS590" s="33" t="str">
        <f t="shared" si="12"/>
        <v/>
      </c>
      <c r="AT590" s="37"/>
      <c r="AU590" s="29"/>
      <c r="AV590" s="29" t="b">
        <v>0</v>
      </c>
      <c r="AW590" s="22" t="str">
        <f t="shared" si="13"/>
        <v/>
      </c>
      <c r="AX590" s="7">
        <f>IF(ISBLANK(AT590), 0, VLOOKUP(AT590, 'Price Sheet'!$A$2:$B1015, 2, false))</f>
        <v>0</v>
      </c>
      <c r="AY590" s="33" t="str">
        <f t="shared" si="14"/>
        <v/>
      </c>
      <c r="AZ590" s="37"/>
      <c r="BA590" s="29"/>
      <c r="BB590" s="29" t="b">
        <v>0</v>
      </c>
      <c r="BC590" s="22" t="str">
        <f t="shared" si="15"/>
        <v/>
      </c>
      <c r="BD590" s="7">
        <f>IF(ISBLANK(AZ590), 0, VLOOKUP(AZ590, 'Price Sheet'!$A$2:$B1015, 2, false))</f>
        <v>0</v>
      </c>
      <c r="BE590" s="33" t="str">
        <f t="shared" si="16"/>
        <v/>
      </c>
      <c r="BF590" s="37"/>
      <c r="BG590" s="29"/>
      <c r="BH590" s="29" t="b">
        <v>0</v>
      </c>
      <c r="BI590" s="22" t="str">
        <f t="shared" si="17"/>
        <v/>
      </c>
      <c r="BJ590" s="7">
        <f>IF(ISBLANK(BF590), 0, VLOOKUP(BF590, 'Price Sheet'!$A$2:$B1015, 2, false))</f>
        <v>0</v>
      </c>
      <c r="BK590" s="33" t="str">
        <f t="shared" si="18"/>
        <v/>
      </c>
      <c r="BL590" s="37"/>
      <c r="BM590" s="29"/>
      <c r="BN590" s="29" t="b">
        <v>0</v>
      </c>
      <c r="BO590" s="22" t="str">
        <f t="shared" si="19"/>
        <v/>
      </c>
      <c r="BP590" s="7">
        <f>IF(ISBLANK(BL590), 0, VLOOKUP(BL590, 'Price Sheet'!$A$2:$B1015, 2, false))</f>
        <v>0</v>
      </c>
      <c r="BQ590" s="33" t="str">
        <f t="shared" si="20"/>
        <v/>
      </c>
    </row>
    <row r="591">
      <c r="B591" s="19"/>
      <c r="C591" s="29"/>
      <c r="D591" s="29"/>
      <c r="E591" s="7" t="str">
        <f>IF(ISBLANK(D591), "", VLOOKUP(D591,'Crafting Tables'!$A$2:$B1015, 2, false))</f>
        <v/>
      </c>
      <c r="F591" s="7" t="str">
        <f>IFERROR(IF(E591 = "None", 1, VLOOKUP(C591,General!$A$5:$L$35, SWITCH(E591, "Basic", 8, "Advanced", 10, "Modern", 12), false)),"")</f>
        <v/>
      </c>
      <c r="G591" s="29"/>
      <c r="H591" s="7">
        <f>IFERROR(VLOOKUP(C591, General!$A$5:$L$35, 6, false) * G591 / 1000, 0)</f>
        <v>0</v>
      </c>
      <c r="I591" s="29"/>
      <c r="J591" s="22" t="str">
        <f>IFERROR(I591*VLOOKUP(D591,'Crafting Tables'!$1:$1000, 4, false)*F591,"")</f>
        <v/>
      </c>
      <c r="K591" s="29" t="b">
        <v>0</v>
      </c>
      <c r="L591" s="37"/>
      <c r="M591" s="29"/>
      <c r="N591" s="21" t="str">
        <f t="shared" si="2"/>
        <v/>
      </c>
      <c r="P591" s="37"/>
      <c r="Q591" s="29"/>
      <c r="R591" s="29" t="b">
        <v>0</v>
      </c>
      <c r="S591" s="22" t="str">
        <f t="shared" si="3"/>
        <v/>
      </c>
      <c r="T591" s="7">
        <f>IF(ISBLANK(P591), 0, VLOOKUP(P591, 'Price Sheet'!$A$2:$B1015, 2, false))</f>
        <v>0</v>
      </c>
      <c r="U591" s="33" t="str">
        <f t="shared" si="4"/>
        <v/>
      </c>
      <c r="V591" s="37"/>
      <c r="W591" s="29"/>
      <c r="X591" s="29" t="b">
        <v>0</v>
      </c>
      <c r="Y591" s="22" t="str">
        <f t="shared" si="5"/>
        <v/>
      </c>
      <c r="Z591" s="7">
        <f>IF(ISBLANK(V591), 0, VLOOKUP(V591, 'Price Sheet'!$A$2:$B1015, 2, false))</f>
        <v>0</v>
      </c>
      <c r="AA591" s="33" t="str">
        <f t="shared" si="6"/>
        <v/>
      </c>
      <c r="AB591" s="37"/>
      <c r="AC591" s="29"/>
      <c r="AD591" s="29" t="b">
        <v>0</v>
      </c>
      <c r="AE591" s="22" t="str">
        <f t="shared" si="7"/>
        <v/>
      </c>
      <c r="AF591" s="7">
        <f>IF(ISBLANK(AB591), 0, VLOOKUP(AB591, 'Price Sheet'!$A$2:$B1015, 2, false))</f>
        <v>0</v>
      </c>
      <c r="AG591" s="33" t="str">
        <f t="shared" si="8"/>
        <v/>
      </c>
      <c r="AH591" s="37"/>
      <c r="AI591" s="29"/>
      <c r="AJ591" s="29" t="b">
        <v>0</v>
      </c>
      <c r="AK591" s="22" t="str">
        <f t="shared" si="9"/>
        <v/>
      </c>
      <c r="AL591" s="7">
        <f>IF(ISBLANK(AH591), 0, VLOOKUP(AH591, 'Price Sheet'!$A$2:$B1015, 2, false))</f>
        <v>0</v>
      </c>
      <c r="AM591" s="33" t="str">
        <f t="shared" si="10"/>
        <v/>
      </c>
      <c r="AN591" s="37"/>
      <c r="AO591" s="29"/>
      <c r="AP591" s="29" t="b">
        <v>0</v>
      </c>
      <c r="AQ591" s="22" t="str">
        <f t="shared" si="11"/>
        <v/>
      </c>
      <c r="AR591" s="7">
        <f>IF(ISBLANK(AN591), 0, VLOOKUP(AN591, 'Price Sheet'!$A$2:$B1015, 2, false))</f>
        <v>0</v>
      </c>
      <c r="AS591" s="33" t="str">
        <f t="shared" si="12"/>
        <v/>
      </c>
      <c r="AT591" s="37"/>
      <c r="AU591" s="29"/>
      <c r="AV591" s="29" t="b">
        <v>0</v>
      </c>
      <c r="AW591" s="22" t="str">
        <f t="shared" si="13"/>
        <v/>
      </c>
      <c r="AX591" s="7">
        <f>IF(ISBLANK(AT591), 0, VLOOKUP(AT591, 'Price Sheet'!$A$2:$B1015, 2, false))</f>
        <v>0</v>
      </c>
      <c r="AY591" s="33" t="str">
        <f t="shared" si="14"/>
        <v/>
      </c>
      <c r="AZ591" s="37"/>
      <c r="BA591" s="29"/>
      <c r="BB591" s="29" t="b">
        <v>0</v>
      </c>
      <c r="BC591" s="22" t="str">
        <f t="shared" si="15"/>
        <v/>
      </c>
      <c r="BD591" s="7">
        <f>IF(ISBLANK(AZ591), 0, VLOOKUP(AZ591, 'Price Sheet'!$A$2:$B1015, 2, false))</f>
        <v>0</v>
      </c>
      <c r="BE591" s="33" t="str">
        <f t="shared" si="16"/>
        <v/>
      </c>
      <c r="BF591" s="37"/>
      <c r="BG591" s="29"/>
      <c r="BH591" s="29" t="b">
        <v>0</v>
      </c>
      <c r="BI591" s="22" t="str">
        <f t="shared" si="17"/>
        <v/>
      </c>
      <c r="BJ591" s="7">
        <f>IF(ISBLANK(BF591), 0, VLOOKUP(BF591, 'Price Sheet'!$A$2:$B1015, 2, false))</f>
        <v>0</v>
      </c>
      <c r="BK591" s="33" t="str">
        <f t="shared" si="18"/>
        <v/>
      </c>
      <c r="BL591" s="37"/>
      <c r="BM591" s="29"/>
      <c r="BN591" s="29" t="b">
        <v>0</v>
      </c>
      <c r="BO591" s="22" t="str">
        <f t="shared" si="19"/>
        <v/>
      </c>
      <c r="BP591" s="7">
        <f>IF(ISBLANK(BL591), 0, VLOOKUP(BL591, 'Price Sheet'!$A$2:$B1015, 2, false))</f>
        <v>0</v>
      </c>
      <c r="BQ591" s="33" t="str">
        <f t="shared" si="20"/>
        <v/>
      </c>
    </row>
    <row r="592">
      <c r="B592" s="19"/>
      <c r="C592" s="29"/>
      <c r="D592" s="29"/>
      <c r="E592" s="7" t="str">
        <f>IF(ISBLANK(D592), "", VLOOKUP(D592,'Crafting Tables'!$A$2:$B1015, 2, false))</f>
        <v/>
      </c>
      <c r="F592" s="7" t="str">
        <f>IFERROR(IF(E592 = "None", 1, VLOOKUP(C592,General!$A$5:$L$35, SWITCH(E592, "Basic", 8, "Advanced", 10, "Modern", 12), false)),"")</f>
        <v/>
      </c>
      <c r="G592" s="29"/>
      <c r="H592" s="7">
        <f>IFERROR(VLOOKUP(C592, General!$A$5:$L$35, 6, false) * G592 / 1000, 0)</f>
        <v>0</v>
      </c>
      <c r="I592" s="29"/>
      <c r="J592" s="22" t="str">
        <f>IFERROR(I592*VLOOKUP(D592,'Crafting Tables'!$1:$1000, 4, false)*F592,"")</f>
        <v/>
      </c>
      <c r="K592" s="29" t="b">
        <v>0</v>
      </c>
      <c r="L592" s="37"/>
      <c r="M592" s="29"/>
      <c r="N592" s="21" t="str">
        <f t="shared" si="2"/>
        <v/>
      </c>
      <c r="P592" s="37"/>
      <c r="Q592" s="29"/>
      <c r="R592" s="29" t="b">
        <v>0</v>
      </c>
      <c r="S592" s="22" t="str">
        <f t="shared" si="3"/>
        <v/>
      </c>
      <c r="T592" s="7">
        <f>IF(ISBLANK(P592), 0, VLOOKUP(P592, 'Price Sheet'!$A$2:$B1015, 2, false))</f>
        <v>0</v>
      </c>
      <c r="U592" s="33" t="str">
        <f t="shared" si="4"/>
        <v/>
      </c>
      <c r="V592" s="37"/>
      <c r="W592" s="29"/>
      <c r="X592" s="29" t="b">
        <v>0</v>
      </c>
      <c r="Y592" s="22" t="str">
        <f t="shared" si="5"/>
        <v/>
      </c>
      <c r="Z592" s="7">
        <f>IF(ISBLANK(V592), 0, VLOOKUP(V592, 'Price Sheet'!$A$2:$B1015, 2, false))</f>
        <v>0</v>
      </c>
      <c r="AA592" s="33" t="str">
        <f t="shared" si="6"/>
        <v/>
      </c>
      <c r="AB592" s="37"/>
      <c r="AC592" s="29"/>
      <c r="AD592" s="29" t="b">
        <v>0</v>
      </c>
      <c r="AE592" s="22" t="str">
        <f t="shared" si="7"/>
        <v/>
      </c>
      <c r="AF592" s="7">
        <f>IF(ISBLANK(AB592), 0, VLOOKUP(AB592, 'Price Sheet'!$A$2:$B1015, 2, false))</f>
        <v>0</v>
      </c>
      <c r="AG592" s="33" t="str">
        <f t="shared" si="8"/>
        <v/>
      </c>
      <c r="AH592" s="37"/>
      <c r="AI592" s="29"/>
      <c r="AJ592" s="29" t="b">
        <v>0</v>
      </c>
      <c r="AK592" s="22" t="str">
        <f t="shared" si="9"/>
        <v/>
      </c>
      <c r="AL592" s="7">
        <f>IF(ISBLANK(AH592), 0, VLOOKUP(AH592, 'Price Sheet'!$A$2:$B1015, 2, false))</f>
        <v>0</v>
      </c>
      <c r="AM592" s="33" t="str">
        <f t="shared" si="10"/>
        <v/>
      </c>
      <c r="AN592" s="37"/>
      <c r="AO592" s="29"/>
      <c r="AP592" s="29" t="b">
        <v>0</v>
      </c>
      <c r="AQ592" s="22" t="str">
        <f t="shared" si="11"/>
        <v/>
      </c>
      <c r="AR592" s="7">
        <f>IF(ISBLANK(AN592), 0, VLOOKUP(AN592, 'Price Sheet'!$A$2:$B1015, 2, false))</f>
        <v>0</v>
      </c>
      <c r="AS592" s="33" t="str">
        <f t="shared" si="12"/>
        <v/>
      </c>
      <c r="AT592" s="37"/>
      <c r="AU592" s="29"/>
      <c r="AV592" s="29" t="b">
        <v>0</v>
      </c>
      <c r="AW592" s="22" t="str">
        <f t="shared" si="13"/>
        <v/>
      </c>
      <c r="AX592" s="7">
        <f>IF(ISBLANK(AT592), 0, VLOOKUP(AT592, 'Price Sheet'!$A$2:$B1015, 2, false))</f>
        <v>0</v>
      </c>
      <c r="AY592" s="33" t="str">
        <f t="shared" si="14"/>
        <v/>
      </c>
      <c r="AZ592" s="37"/>
      <c r="BA592" s="29"/>
      <c r="BB592" s="29" t="b">
        <v>0</v>
      </c>
      <c r="BC592" s="22" t="str">
        <f t="shared" si="15"/>
        <v/>
      </c>
      <c r="BD592" s="7">
        <f>IF(ISBLANK(AZ592), 0, VLOOKUP(AZ592, 'Price Sheet'!$A$2:$B1015, 2, false))</f>
        <v>0</v>
      </c>
      <c r="BE592" s="33" t="str">
        <f t="shared" si="16"/>
        <v/>
      </c>
      <c r="BF592" s="37"/>
      <c r="BG592" s="29"/>
      <c r="BH592" s="29" t="b">
        <v>0</v>
      </c>
      <c r="BI592" s="22" t="str">
        <f t="shared" si="17"/>
        <v/>
      </c>
      <c r="BJ592" s="7">
        <f>IF(ISBLANK(BF592), 0, VLOOKUP(BF592, 'Price Sheet'!$A$2:$B1015, 2, false))</f>
        <v>0</v>
      </c>
      <c r="BK592" s="33" t="str">
        <f t="shared" si="18"/>
        <v/>
      </c>
      <c r="BL592" s="37"/>
      <c r="BM592" s="29"/>
      <c r="BN592" s="29" t="b">
        <v>0</v>
      </c>
      <c r="BO592" s="22" t="str">
        <f t="shared" si="19"/>
        <v/>
      </c>
      <c r="BP592" s="7">
        <f>IF(ISBLANK(BL592), 0, VLOOKUP(BL592, 'Price Sheet'!$A$2:$B1015, 2, false))</f>
        <v>0</v>
      </c>
      <c r="BQ592" s="33" t="str">
        <f t="shared" si="20"/>
        <v/>
      </c>
    </row>
    <row r="593">
      <c r="B593" s="19"/>
      <c r="C593" s="29"/>
      <c r="D593" s="29"/>
      <c r="E593" s="7" t="str">
        <f>IF(ISBLANK(D593), "", VLOOKUP(D593,'Crafting Tables'!$A$2:$B1015, 2, false))</f>
        <v/>
      </c>
      <c r="F593" s="7" t="str">
        <f>IFERROR(IF(E593 = "None", 1, VLOOKUP(C593,General!$A$5:$L$35, SWITCH(E593, "Basic", 8, "Advanced", 10, "Modern", 12), false)),"")</f>
        <v/>
      </c>
      <c r="G593" s="29"/>
      <c r="H593" s="7">
        <f>IFERROR(VLOOKUP(C593, General!$A$5:$L$35, 6, false) * G593 / 1000, 0)</f>
        <v>0</v>
      </c>
      <c r="I593" s="29"/>
      <c r="J593" s="22" t="str">
        <f>IFERROR(I593*VLOOKUP(D593,'Crafting Tables'!$1:$1000, 4, false)*F593,"")</f>
        <v/>
      </c>
      <c r="K593" s="29" t="b">
        <v>0</v>
      </c>
      <c r="L593" s="37"/>
      <c r="M593" s="29"/>
      <c r="N593" s="21" t="str">
        <f t="shared" si="2"/>
        <v/>
      </c>
      <c r="P593" s="37"/>
      <c r="Q593" s="29"/>
      <c r="R593" s="29" t="b">
        <v>0</v>
      </c>
      <c r="S593" s="22" t="str">
        <f t="shared" si="3"/>
        <v/>
      </c>
      <c r="T593" s="7">
        <f>IF(ISBLANK(P593), 0, VLOOKUP(P593, 'Price Sheet'!$A$2:$B1015, 2, false))</f>
        <v>0</v>
      </c>
      <c r="U593" s="33" t="str">
        <f t="shared" si="4"/>
        <v/>
      </c>
      <c r="V593" s="37"/>
      <c r="W593" s="29"/>
      <c r="X593" s="29" t="b">
        <v>0</v>
      </c>
      <c r="Y593" s="22" t="str">
        <f t="shared" si="5"/>
        <v/>
      </c>
      <c r="Z593" s="7">
        <f>IF(ISBLANK(V593), 0, VLOOKUP(V593, 'Price Sheet'!$A$2:$B1015, 2, false))</f>
        <v>0</v>
      </c>
      <c r="AA593" s="33" t="str">
        <f t="shared" si="6"/>
        <v/>
      </c>
      <c r="AB593" s="37"/>
      <c r="AC593" s="29"/>
      <c r="AD593" s="29" t="b">
        <v>0</v>
      </c>
      <c r="AE593" s="22" t="str">
        <f t="shared" si="7"/>
        <v/>
      </c>
      <c r="AF593" s="7">
        <f>IF(ISBLANK(AB593), 0, VLOOKUP(AB593, 'Price Sheet'!$A$2:$B1015, 2, false))</f>
        <v>0</v>
      </c>
      <c r="AG593" s="33" t="str">
        <f t="shared" si="8"/>
        <v/>
      </c>
      <c r="AH593" s="37"/>
      <c r="AI593" s="29"/>
      <c r="AJ593" s="29" t="b">
        <v>0</v>
      </c>
      <c r="AK593" s="22" t="str">
        <f t="shared" si="9"/>
        <v/>
      </c>
      <c r="AL593" s="7">
        <f>IF(ISBLANK(AH593), 0, VLOOKUP(AH593, 'Price Sheet'!$A$2:$B1015, 2, false))</f>
        <v>0</v>
      </c>
      <c r="AM593" s="33" t="str">
        <f t="shared" si="10"/>
        <v/>
      </c>
      <c r="AN593" s="37"/>
      <c r="AO593" s="29"/>
      <c r="AP593" s="29" t="b">
        <v>0</v>
      </c>
      <c r="AQ593" s="22" t="str">
        <f t="shared" si="11"/>
        <v/>
      </c>
      <c r="AR593" s="7">
        <f>IF(ISBLANK(AN593), 0, VLOOKUP(AN593, 'Price Sheet'!$A$2:$B1015, 2, false))</f>
        <v>0</v>
      </c>
      <c r="AS593" s="33" t="str">
        <f t="shared" si="12"/>
        <v/>
      </c>
      <c r="AT593" s="37"/>
      <c r="AU593" s="29"/>
      <c r="AV593" s="29" t="b">
        <v>0</v>
      </c>
      <c r="AW593" s="22" t="str">
        <f t="shared" si="13"/>
        <v/>
      </c>
      <c r="AX593" s="7">
        <f>IF(ISBLANK(AT593), 0, VLOOKUP(AT593, 'Price Sheet'!$A$2:$B1015, 2, false))</f>
        <v>0</v>
      </c>
      <c r="AY593" s="33" t="str">
        <f t="shared" si="14"/>
        <v/>
      </c>
      <c r="AZ593" s="37"/>
      <c r="BA593" s="29"/>
      <c r="BB593" s="29" t="b">
        <v>0</v>
      </c>
      <c r="BC593" s="22" t="str">
        <f t="shared" si="15"/>
        <v/>
      </c>
      <c r="BD593" s="7">
        <f>IF(ISBLANK(AZ593), 0, VLOOKUP(AZ593, 'Price Sheet'!$A$2:$B1015, 2, false))</f>
        <v>0</v>
      </c>
      <c r="BE593" s="33" t="str">
        <f t="shared" si="16"/>
        <v/>
      </c>
      <c r="BF593" s="37"/>
      <c r="BG593" s="29"/>
      <c r="BH593" s="29" t="b">
        <v>0</v>
      </c>
      <c r="BI593" s="22" t="str">
        <f t="shared" si="17"/>
        <v/>
      </c>
      <c r="BJ593" s="7">
        <f>IF(ISBLANK(BF593), 0, VLOOKUP(BF593, 'Price Sheet'!$A$2:$B1015, 2, false))</f>
        <v>0</v>
      </c>
      <c r="BK593" s="33" t="str">
        <f t="shared" si="18"/>
        <v/>
      </c>
      <c r="BL593" s="37"/>
      <c r="BM593" s="29"/>
      <c r="BN593" s="29" t="b">
        <v>0</v>
      </c>
      <c r="BO593" s="22" t="str">
        <f t="shared" si="19"/>
        <v/>
      </c>
      <c r="BP593" s="7">
        <f>IF(ISBLANK(BL593), 0, VLOOKUP(BL593, 'Price Sheet'!$A$2:$B1015, 2, false))</f>
        <v>0</v>
      </c>
      <c r="BQ593" s="33" t="str">
        <f t="shared" si="20"/>
        <v/>
      </c>
    </row>
    <row r="594">
      <c r="B594" s="19"/>
      <c r="C594" s="29"/>
      <c r="D594" s="29"/>
      <c r="E594" s="7" t="str">
        <f>IF(ISBLANK(D594), "", VLOOKUP(D594,'Crafting Tables'!$A$2:$B1015, 2, false))</f>
        <v/>
      </c>
      <c r="F594" s="7" t="str">
        <f>IFERROR(IF(E594 = "None", 1, VLOOKUP(C594,General!$A$5:$L$35, SWITCH(E594, "Basic", 8, "Advanced", 10, "Modern", 12), false)),"")</f>
        <v/>
      </c>
      <c r="G594" s="29"/>
      <c r="H594" s="7">
        <f>IFERROR(VLOOKUP(C594, General!$A$5:$L$35, 6, false) * G594 / 1000, 0)</f>
        <v>0</v>
      </c>
      <c r="I594" s="29"/>
      <c r="J594" s="22" t="str">
        <f>IFERROR(I594*VLOOKUP(D594,'Crafting Tables'!$1:$1000, 4, false)*F594,"")</f>
        <v/>
      </c>
      <c r="K594" s="29" t="b">
        <v>0</v>
      </c>
      <c r="L594" s="37"/>
      <c r="M594" s="29"/>
      <c r="N594" s="21" t="str">
        <f t="shared" si="2"/>
        <v/>
      </c>
      <c r="P594" s="37"/>
      <c r="Q594" s="29"/>
      <c r="R594" s="29" t="b">
        <v>0</v>
      </c>
      <c r="S594" s="22" t="str">
        <f t="shared" si="3"/>
        <v/>
      </c>
      <c r="T594" s="7">
        <f>IF(ISBLANK(P594), 0, VLOOKUP(P594, 'Price Sheet'!$A$2:$B1015, 2, false))</f>
        <v>0</v>
      </c>
      <c r="U594" s="33" t="str">
        <f t="shared" si="4"/>
        <v/>
      </c>
      <c r="V594" s="37"/>
      <c r="W594" s="29"/>
      <c r="X594" s="29" t="b">
        <v>0</v>
      </c>
      <c r="Y594" s="22" t="str">
        <f t="shared" si="5"/>
        <v/>
      </c>
      <c r="Z594" s="7">
        <f>IF(ISBLANK(V594), 0, VLOOKUP(V594, 'Price Sheet'!$A$2:$B1015, 2, false))</f>
        <v>0</v>
      </c>
      <c r="AA594" s="33" t="str">
        <f t="shared" si="6"/>
        <v/>
      </c>
      <c r="AB594" s="37"/>
      <c r="AC594" s="29"/>
      <c r="AD594" s="29" t="b">
        <v>0</v>
      </c>
      <c r="AE594" s="22" t="str">
        <f t="shared" si="7"/>
        <v/>
      </c>
      <c r="AF594" s="7">
        <f>IF(ISBLANK(AB594), 0, VLOOKUP(AB594, 'Price Sheet'!$A$2:$B1015, 2, false))</f>
        <v>0</v>
      </c>
      <c r="AG594" s="33" t="str">
        <f t="shared" si="8"/>
        <v/>
      </c>
      <c r="AH594" s="37"/>
      <c r="AI594" s="29"/>
      <c r="AJ594" s="29" t="b">
        <v>0</v>
      </c>
      <c r="AK594" s="22" t="str">
        <f t="shared" si="9"/>
        <v/>
      </c>
      <c r="AL594" s="7">
        <f>IF(ISBLANK(AH594), 0, VLOOKUP(AH594, 'Price Sheet'!$A$2:$B1015, 2, false))</f>
        <v>0</v>
      </c>
      <c r="AM594" s="33" t="str">
        <f t="shared" si="10"/>
        <v/>
      </c>
      <c r="AN594" s="37"/>
      <c r="AO594" s="29"/>
      <c r="AP594" s="29" t="b">
        <v>0</v>
      </c>
      <c r="AQ594" s="22" t="str">
        <f t="shared" si="11"/>
        <v/>
      </c>
      <c r="AR594" s="7">
        <f>IF(ISBLANK(AN594), 0, VLOOKUP(AN594, 'Price Sheet'!$A$2:$B1015, 2, false))</f>
        <v>0</v>
      </c>
      <c r="AS594" s="33" t="str">
        <f t="shared" si="12"/>
        <v/>
      </c>
      <c r="AT594" s="37"/>
      <c r="AU594" s="29"/>
      <c r="AV594" s="29" t="b">
        <v>0</v>
      </c>
      <c r="AW594" s="22" t="str">
        <f t="shared" si="13"/>
        <v/>
      </c>
      <c r="AX594" s="7">
        <f>IF(ISBLANK(AT594), 0, VLOOKUP(AT594, 'Price Sheet'!$A$2:$B1015, 2, false))</f>
        <v>0</v>
      </c>
      <c r="AY594" s="33" t="str">
        <f t="shared" si="14"/>
        <v/>
      </c>
      <c r="AZ594" s="37"/>
      <c r="BA594" s="29"/>
      <c r="BB594" s="29" t="b">
        <v>0</v>
      </c>
      <c r="BC594" s="22" t="str">
        <f t="shared" si="15"/>
        <v/>
      </c>
      <c r="BD594" s="7">
        <f>IF(ISBLANK(AZ594), 0, VLOOKUP(AZ594, 'Price Sheet'!$A$2:$B1015, 2, false))</f>
        <v>0</v>
      </c>
      <c r="BE594" s="33" t="str">
        <f t="shared" si="16"/>
        <v/>
      </c>
      <c r="BF594" s="37"/>
      <c r="BG594" s="29"/>
      <c r="BH594" s="29" t="b">
        <v>0</v>
      </c>
      <c r="BI594" s="22" t="str">
        <f t="shared" si="17"/>
        <v/>
      </c>
      <c r="BJ594" s="7">
        <f>IF(ISBLANK(BF594), 0, VLOOKUP(BF594, 'Price Sheet'!$A$2:$B1015, 2, false))</f>
        <v>0</v>
      </c>
      <c r="BK594" s="33" t="str">
        <f t="shared" si="18"/>
        <v/>
      </c>
      <c r="BL594" s="37"/>
      <c r="BM594" s="29"/>
      <c r="BN594" s="29" t="b">
        <v>0</v>
      </c>
      <c r="BO594" s="22" t="str">
        <f t="shared" si="19"/>
        <v/>
      </c>
      <c r="BP594" s="7">
        <f>IF(ISBLANK(BL594), 0, VLOOKUP(BL594, 'Price Sheet'!$A$2:$B1015, 2, false))</f>
        <v>0</v>
      </c>
      <c r="BQ594" s="33" t="str">
        <f t="shared" si="20"/>
        <v/>
      </c>
    </row>
    <row r="595">
      <c r="B595" s="19"/>
      <c r="C595" s="29"/>
      <c r="D595" s="29"/>
      <c r="E595" s="7" t="str">
        <f>IF(ISBLANK(D595), "", VLOOKUP(D595,'Crafting Tables'!$A$2:$B1015, 2, false))</f>
        <v/>
      </c>
      <c r="F595" s="7" t="str">
        <f>IFERROR(IF(E595 = "None", 1, VLOOKUP(C595,General!$A$5:$L$35, SWITCH(E595, "Basic", 8, "Advanced", 10, "Modern", 12), false)),"")</f>
        <v/>
      </c>
      <c r="G595" s="29"/>
      <c r="H595" s="7">
        <f>IFERROR(VLOOKUP(C595, General!$A$5:$L$35, 6, false) * G595 / 1000, 0)</f>
        <v>0</v>
      </c>
      <c r="I595" s="29"/>
      <c r="J595" s="22" t="str">
        <f>IFERROR(I595*VLOOKUP(D595,'Crafting Tables'!$1:$1000, 4, false)*F595,"")</f>
        <v/>
      </c>
      <c r="K595" s="29" t="b">
        <v>0</v>
      </c>
      <c r="L595" s="37"/>
      <c r="M595" s="29"/>
      <c r="N595" s="21" t="str">
        <f t="shared" si="2"/>
        <v/>
      </c>
      <c r="P595" s="37"/>
      <c r="Q595" s="29"/>
      <c r="R595" s="29" t="b">
        <v>0</v>
      </c>
      <c r="S595" s="22" t="str">
        <f t="shared" si="3"/>
        <v/>
      </c>
      <c r="T595" s="7">
        <f>IF(ISBLANK(P595), 0, VLOOKUP(P595, 'Price Sheet'!$A$2:$B1015, 2, false))</f>
        <v>0</v>
      </c>
      <c r="U595" s="33" t="str">
        <f t="shared" si="4"/>
        <v/>
      </c>
      <c r="V595" s="37"/>
      <c r="W595" s="29"/>
      <c r="X595" s="29" t="b">
        <v>0</v>
      </c>
      <c r="Y595" s="22" t="str">
        <f t="shared" si="5"/>
        <v/>
      </c>
      <c r="Z595" s="7">
        <f>IF(ISBLANK(V595), 0, VLOOKUP(V595, 'Price Sheet'!$A$2:$B1015, 2, false))</f>
        <v>0</v>
      </c>
      <c r="AA595" s="33" t="str">
        <f t="shared" si="6"/>
        <v/>
      </c>
      <c r="AB595" s="37"/>
      <c r="AC595" s="29"/>
      <c r="AD595" s="29" t="b">
        <v>0</v>
      </c>
      <c r="AE595" s="22" t="str">
        <f t="shared" si="7"/>
        <v/>
      </c>
      <c r="AF595" s="7">
        <f>IF(ISBLANK(AB595), 0, VLOOKUP(AB595, 'Price Sheet'!$A$2:$B1015, 2, false))</f>
        <v>0</v>
      </c>
      <c r="AG595" s="33" t="str">
        <f t="shared" si="8"/>
        <v/>
      </c>
      <c r="AH595" s="37"/>
      <c r="AI595" s="29"/>
      <c r="AJ595" s="29" t="b">
        <v>0</v>
      </c>
      <c r="AK595" s="22" t="str">
        <f t="shared" si="9"/>
        <v/>
      </c>
      <c r="AL595" s="7">
        <f>IF(ISBLANK(AH595), 0, VLOOKUP(AH595, 'Price Sheet'!$A$2:$B1015, 2, false))</f>
        <v>0</v>
      </c>
      <c r="AM595" s="33" t="str">
        <f t="shared" si="10"/>
        <v/>
      </c>
      <c r="AN595" s="37"/>
      <c r="AO595" s="29"/>
      <c r="AP595" s="29" t="b">
        <v>0</v>
      </c>
      <c r="AQ595" s="22" t="str">
        <f t="shared" si="11"/>
        <v/>
      </c>
      <c r="AR595" s="7">
        <f>IF(ISBLANK(AN595), 0, VLOOKUP(AN595, 'Price Sheet'!$A$2:$B1015, 2, false))</f>
        <v>0</v>
      </c>
      <c r="AS595" s="33" t="str">
        <f t="shared" si="12"/>
        <v/>
      </c>
      <c r="AT595" s="37"/>
      <c r="AU595" s="29"/>
      <c r="AV595" s="29" t="b">
        <v>0</v>
      </c>
      <c r="AW595" s="22" t="str">
        <f t="shared" si="13"/>
        <v/>
      </c>
      <c r="AX595" s="7">
        <f>IF(ISBLANK(AT595), 0, VLOOKUP(AT595, 'Price Sheet'!$A$2:$B1015, 2, false))</f>
        <v>0</v>
      </c>
      <c r="AY595" s="33" t="str">
        <f t="shared" si="14"/>
        <v/>
      </c>
      <c r="AZ595" s="37"/>
      <c r="BA595" s="29"/>
      <c r="BB595" s="29" t="b">
        <v>0</v>
      </c>
      <c r="BC595" s="22" t="str">
        <f t="shared" si="15"/>
        <v/>
      </c>
      <c r="BD595" s="7">
        <f>IF(ISBLANK(AZ595), 0, VLOOKUP(AZ595, 'Price Sheet'!$A$2:$B1015, 2, false))</f>
        <v>0</v>
      </c>
      <c r="BE595" s="33" t="str">
        <f t="shared" si="16"/>
        <v/>
      </c>
      <c r="BF595" s="37"/>
      <c r="BG595" s="29"/>
      <c r="BH595" s="29" t="b">
        <v>0</v>
      </c>
      <c r="BI595" s="22" t="str">
        <f t="shared" si="17"/>
        <v/>
      </c>
      <c r="BJ595" s="7">
        <f>IF(ISBLANK(BF595), 0, VLOOKUP(BF595, 'Price Sheet'!$A$2:$B1015, 2, false))</f>
        <v>0</v>
      </c>
      <c r="BK595" s="33" t="str">
        <f t="shared" si="18"/>
        <v/>
      </c>
      <c r="BL595" s="37"/>
      <c r="BM595" s="29"/>
      <c r="BN595" s="29" t="b">
        <v>0</v>
      </c>
      <c r="BO595" s="22" t="str">
        <f t="shared" si="19"/>
        <v/>
      </c>
      <c r="BP595" s="7">
        <f>IF(ISBLANK(BL595), 0, VLOOKUP(BL595, 'Price Sheet'!$A$2:$B1015, 2, false))</f>
        <v>0</v>
      </c>
      <c r="BQ595" s="33" t="str">
        <f t="shared" si="20"/>
        <v/>
      </c>
    </row>
    <row r="596">
      <c r="B596" s="19"/>
      <c r="C596" s="29"/>
      <c r="D596" s="29"/>
      <c r="E596" s="7" t="str">
        <f>IF(ISBLANK(D596), "", VLOOKUP(D596,'Crafting Tables'!$A$2:$B1015, 2, false))</f>
        <v/>
      </c>
      <c r="F596" s="7" t="str">
        <f>IFERROR(IF(E596 = "None", 1, VLOOKUP(C596,General!$A$5:$L$35, SWITCH(E596, "Basic", 8, "Advanced", 10, "Modern", 12), false)),"")</f>
        <v/>
      </c>
      <c r="G596" s="29"/>
      <c r="H596" s="7">
        <f>IFERROR(VLOOKUP(C596, General!$A$5:$L$35, 6, false) * G596 / 1000, 0)</f>
        <v>0</v>
      </c>
      <c r="I596" s="29"/>
      <c r="J596" s="22" t="str">
        <f>IFERROR(I596*VLOOKUP(D596,'Crafting Tables'!$1:$1000, 4, false)*F596,"")</f>
        <v/>
      </c>
      <c r="K596" s="29" t="b">
        <v>0</v>
      </c>
      <c r="L596" s="37"/>
      <c r="M596" s="29"/>
      <c r="N596" s="21" t="str">
        <f t="shared" si="2"/>
        <v/>
      </c>
      <c r="P596" s="37"/>
      <c r="Q596" s="29"/>
      <c r="R596" s="29" t="b">
        <v>0</v>
      </c>
      <c r="S596" s="22" t="str">
        <f t="shared" si="3"/>
        <v/>
      </c>
      <c r="T596" s="7">
        <f>IF(ISBLANK(P596), 0, VLOOKUP(P596, 'Price Sheet'!$A$2:$B1015, 2, false))</f>
        <v>0</v>
      </c>
      <c r="U596" s="33" t="str">
        <f t="shared" si="4"/>
        <v/>
      </c>
      <c r="V596" s="37"/>
      <c r="W596" s="29"/>
      <c r="X596" s="29" t="b">
        <v>0</v>
      </c>
      <c r="Y596" s="22" t="str">
        <f t="shared" si="5"/>
        <v/>
      </c>
      <c r="Z596" s="7">
        <f>IF(ISBLANK(V596), 0, VLOOKUP(V596, 'Price Sheet'!$A$2:$B1015, 2, false))</f>
        <v>0</v>
      </c>
      <c r="AA596" s="33" t="str">
        <f t="shared" si="6"/>
        <v/>
      </c>
      <c r="AB596" s="37"/>
      <c r="AC596" s="29"/>
      <c r="AD596" s="29" t="b">
        <v>0</v>
      </c>
      <c r="AE596" s="22" t="str">
        <f t="shared" si="7"/>
        <v/>
      </c>
      <c r="AF596" s="7">
        <f>IF(ISBLANK(AB596), 0, VLOOKUP(AB596, 'Price Sheet'!$A$2:$B1015, 2, false))</f>
        <v>0</v>
      </c>
      <c r="AG596" s="33" t="str">
        <f t="shared" si="8"/>
        <v/>
      </c>
      <c r="AH596" s="37"/>
      <c r="AI596" s="29"/>
      <c r="AJ596" s="29" t="b">
        <v>0</v>
      </c>
      <c r="AK596" s="22" t="str">
        <f t="shared" si="9"/>
        <v/>
      </c>
      <c r="AL596" s="7">
        <f>IF(ISBLANK(AH596), 0, VLOOKUP(AH596, 'Price Sheet'!$A$2:$B1015, 2, false))</f>
        <v>0</v>
      </c>
      <c r="AM596" s="33" t="str">
        <f t="shared" si="10"/>
        <v/>
      </c>
      <c r="AN596" s="37"/>
      <c r="AO596" s="29"/>
      <c r="AP596" s="29" t="b">
        <v>0</v>
      </c>
      <c r="AQ596" s="22" t="str">
        <f t="shared" si="11"/>
        <v/>
      </c>
      <c r="AR596" s="7">
        <f>IF(ISBLANK(AN596), 0, VLOOKUP(AN596, 'Price Sheet'!$A$2:$B1015, 2, false))</f>
        <v>0</v>
      </c>
      <c r="AS596" s="33" t="str">
        <f t="shared" si="12"/>
        <v/>
      </c>
      <c r="AT596" s="37"/>
      <c r="AU596" s="29"/>
      <c r="AV596" s="29" t="b">
        <v>0</v>
      </c>
      <c r="AW596" s="22" t="str">
        <f t="shared" si="13"/>
        <v/>
      </c>
      <c r="AX596" s="7">
        <f>IF(ISBLANK(AT596), 0, VLOOKUP(AT596, 'Price Sheet'!$A$2:$B1015, 2, false))</f>
        <v>0</v>
      </c>
      <c r="AY596" s="33" t="str">
        <f t="shared" si="14"/>
        <v/>
      </c>
      <c r="AZ596" s="37"/>
      <c r="BA596" s="29"/>
      <c r="BB596" s="29" t="b">
        <v>0</v>
      </c>
      <c r="BC596" s="22" t="str">
        <f t="shared" si="15"/>
        <v/>
      </c>
      <c r="BD596" s="7">
        <f>IF(ISBLANK(AZ596), 0, VLOOKUP(AZ596, 'Price Sheet'!$A$2:$B1015, 2, false))</f>
        <v>0</v>
      </c>
      <c r="BE596" s="33" t="str">
        <f t="shared" si="16"/>
        <v/>
      </c>
      <c r="BF596" s="37"/>
      <c r="BG596" s="29"/>
      <c r="BH596" s="29" t="b">
        <v>0</v>
      </c>
      <c r="BI596" s="22" t="str">
        <f t="shared" si="17"/>
        <v/>
      </c>
      <c r="BJ596" s="7">
        <f>IF(ISBLANK(BF596), 0, VLOOKUP(BF596, 'Price Sheet'!$A$2:$B1015, 2, false))</f>
        <v>0</v>
      </c>
      <c r="BK596" s="33" t="str">
        <f t="shared" si="18"/>
        <v/>
      </c>
      <c r="BL596" s="37"/>
      <c r="BM596" s="29"/>
      <c r="BN596" s="29" t="b">
        <v>0</v>
      </c>
      <c r="BO596" s="22" t="str">
        <f t="shared" si="19"/>
        <v/>
      </c>
      <c r="BP596" s="7">
        <f>IF(ISBLANK(BL596), 0, VLOOKUP(BL596, 'Price Sheet'!$A$2:$B1015, 2, false))</f>
        <v>0</v>
      </c>
      <c r="BQ596" s="33" t="str">
        <f t="shared" si="20"/>
        <v/>
      </c>
    </row>
    <row r="597">
      <c r="B597" s="19"/>
      <c r="C597" s="29"/>
      <c r="D597" s="29"/>
      <c r="E597" s="7" t="str">
        <f>IF(ISBLANK(D597), "", VLOOKUP(D597,'Crafting Tables'!$A$2:$B1015, 2, false))</f>
        <v/>
      </c>
      <c r="F597" s="7" t="str">
        <f>IFERROR(IF(E597 = "None", 1, VLOOKUP(C597,General!$A$5:$L$35, SWITCH(E597, "Basic", 8, "Advanced", 10, "Modern", 12), false)),"")</f>
        <v/>
      </c>
      <c r="G597" s="29"/>
      <c r="H597" s="7">
        <f>IFERROR(VLOOKUP(C597, General!$A$5:$L$35, 6, false) * G597 / 1000, 0)</f>
        <v>0</v>
      </c>
      <c r="I597" s="29"/>
      <c r="J597" s="22" t="str">
        <f>IFERROR(I597*VLOOKUP(D597,'Crafting Tables'!$1:$1000, 4, false)*F597,"")</f>
        <v/>
      </c>
      <c r="K597" s="29" t="b">
        <v>0</v>
      </c>
      <c r="L597" s="37"/>
      <c r="M597" s="29"/>
      <c r="N597" s="21" t="str">
        <f t="shared" si="2"/>
        <v/>
      </c>
      <c r="P597" s="37"/>
      <c r="Q597" s="29"/>
      <c r="R597" s="29" t="b">
        <v>0</v>
      </c>
      <c r="S597" s="22" t="str">
        <f t="shared" si="3"/>
        <v/>
      </c>
      <c r="T597" s="7">
        <f>IF(ISBLANK(P597), 0, VLOOKUP(P597, 'Price Sheet'!$A$2:$B1015, 2, false))</f>
        <v>0</v>
      </c>
      <c r="U597" s="33" t="str">
        <f t="shared" si="4"/>
        <v/>
      </c>
      <c r="V597" s="37"/>
      <c r="W597" s="29"/>
      <c r="X597" s="29" t="b">
        <v>0</v>
      </c>
      <c r="Y597" s="22" t="str">
        <f t="shared" si="5"/>
        <v/>
      </c>
      <c r="Z597" s="7">
        <f>IF(ISBLANK(V597), 0, VLOOKUP(V597, 'Price Sheet'!$A$2:$B1015, 2, false))</f>
        <v>0</v>
      </c>
      <c r="AA597" s="33" t="str">
        <f t="shared" si="6"/>
        <v/>
      </c>
      <c r="AB597" s="37"/>
      <c r="AC597" s="29"/>
      <c r="AD597" s="29" t="b">
        <v>0</v>
      </c>
      <c r="AE597" s="22" t="str">
        <f t="shared" si="7"/>
        <v/>
      </c>
      <c r="AF597" s="7">
        <f>IF(ISBLANK(AB597), 0, VLOOKUP(AB597, 'Price Sheet'!$A$2:$B1015, 2, false))</f>
        <v>0</v>
      </c>
      <c r="AG597" s="33" t="str">
        <f t="shared" si="8"/>
        <v/>
      </c>
      <c r="AH597" s="37"/>
      <c r="AI597" s="29"/>
      <c r="AJ597" s="29" t="b">
        <v>0</v>
      </c>
      <c r="AK597" s="22" t="str">
        <f t="shared" si="9"/>
        <v/>
      </c>
      <c r="AL597" s="7">
        <f>IF(ISBLANK(AH597), 0, VLOOKUP(AH597, 'Price Sheet'!$A$2:$B1015, 2, false))</f>
        <v>0</v>
      </c>
      <c r="AM597" s="33" t="str">
        <f t="shared" si="10"/>
        <v/>
      </c>
      <c r="AN597" s="37"/>
      <c r="AO597" s="29"/>
      <c r="AP597" s="29" t="b">
        <v>0</v>
      </c>
      <c r="AQ597" s="22" t="str">
        <f t="shared" si="11"/>
        <v/>
      </c>
      <c r="AR597" s="7">
        <f>IF(ISBLANK(AN597), 0, VLOOKUP(AN597, 'Price Sheet'!$A$2:$B1015, 2, false))</f>
        <v>0</v>
      </c>
      <c r="AS597" s="33" t="str">
        <f t="shared" si="12"/>
        <v/>
      </c>
      <c r="AT597" s="37"/>
      <c r="AU597" s="29"/>
      <c r="AV597" s="29" t="b">
        <v>0</v>
      </c>
      <c r="AW597" s="22" t="str">
        <f t="shared" si="13"/>
        <v/>
      </c>
      <c r="AX597" s="7">
        <f>IF(ISBLANK(AT597), 0, VLOOKUP(AT597, 'Price Sheet'!$A$2:$B1015, 2, false))</f>
        <v>0</v>
      </c>
      <c r="AY597" s="33" t="str">
        <f t="shared" si="14"/>
        <v/>
      </c>
      <c r="AZ597" s="37"/>
      <c r="BA597" s="29"/>
      <c r="BB597" s="29" t="b">
        <v>0</v>
      </c>
      <c r="BC597" s="22" t="str">
        <f t="shared" si="15"/>
        <v/>
      </c>
      <c r="BD597" s="7">
        <f>IF(ISBLANK(AZ597), 0, VLOOKUP(AZ597, 'Price Sheet'!$A$2:$B1015, 2, false))</f>
        <v>0</v>
      </c>
      <c r="BE597" s="33" t="str">
        <f t="shared" si="16"/>
        <v/>
      </c>
      <c r="BF597" s="37"/>
      <c r="BG597" s="29"/>
      <c r="BH597" s="29" t="b">
        <v>0</v>
      </c>
      <c r="BI597" s="22" t="str">
        <f t="shared" si="17"/>
        <v/>
      </c>
      <c r="BJ597" s="7">
        <f>IF(ISBLANK(BF597), 0, VLOOKUP(BF597, 'Price Sheet'!$A$2:$B1015, 2, false))</f>
        <v>0</v>
      </c>
      <c r="BK597" s="33" t="str">
        <f t="shared" si="18"/>
        <v/>
      </c>
      <c r="BL597" s="37"/>
      <c r="BM597" s="29"/>
      <c r="BN597" s="29" t="b">
        <v>0</v>
      </c>
      <c r="BO597" s="22" t="str">
        <f t="shared" si="19"/>
        <v/>
      </c>
      <c r="BP597" s="7">
        <f>IF(ISBLANK(BL597), 0, VLOOKUP(BL597, 'Price Sheet'!$A$2:$B1015, 2, false))</f>
        <v>0</v>
      </c>
      <c r="BQ597" s="33" t="str">
        <f t="shared" si="20"/>
        <v/>
      </c>
    </row>
    <row r="598">
      <c r="B598" s="19"/>
      <c r="C598" s="29"/>
      <c r="D598" s="29"/>
      <c r="E598" s="7" t="str">
        <f>IF(ISBLANK(D598), "", VLOOKUP(D598,'Crafting Tables'!$A$2:$B1015, 2, false))</f>
        <v/>
      </c>
      <c r="F598" s="7" t="str">
        <f>IFERROR(IF(E598 = "None", 1, VLOOKUP(C598,General!$A$5:$L$35, SWITCH(E598, "Basic", 8, "Advanced", 10, "Modern", 12), false)),"")</f>
        <v/>
      </c>
      <c r="G598" s="29"/>
      <c r="H598" s="7">
        <f>IFERROR(VLOOKUP(C598, General!$A$5:$L$35, 6, false) * G598 / 1000, 0)</f>
        <v>0</v>
      </c>
      <c r="I598" s="29"/>
      <c r="J598" s="22" t="str">
        <f>IFERROR(I598*VLOOKUP(D598,'Crafting Tables'!$1:$1000, 4, false)*F598,"")</f>
        <v/>
      </c>
      <c r="K598" s="29" t="b">
        <v>0</v>
      </c>
      <c r="L598" s="37"/>
      <c r="M598" s="29"/>
      <c r="N598" s="21" t="str">
        <f t="shared" si="2"/>
        <v/>
      </c>
      <c r="P598" s="37"/>
      <c r="Q598" s="29"/>
      <c r="R598" s="29" t="b">
        <v>0</v>
      </c>
      <c r="S598" s="22" t="str">
        <f t="shared" si="3"/>
        <v/>
      </c>
      <c r="T598" s="7">
        <f>IF(ISBLANK(P598), 0, VLOOKUP(P598, 'Price Sheet'!$A$2:$B1015, 2, false))</f>
        <v>0</v>
      </c>
      <c r="U598" s="33" t="str">
        <f t="shared" si="4"/>
        <v/>
      </c>
      <c r="V598" s="37"/>
      <c r="W598" s="29"/>
      <c r="X598" s="29" t="b">
        <v>0</v>
      </c>
      <c r="Y598" s="22" t="str">
        <f t="shared" si="5"/>
        <v/>
      </c>
      <c r="Z598" s="7">
        <f>IF(ISBLANK(V598), 0, VLOOKUP(V598, 'Price Sheet'!$A$2:$B1015, 2, false))</f>
        <v>0</v>
      </c>
      <c r="AA598" s="33" t="str">
        <f t="shared" si="6"/>
        <v/>
      </c>
      <c r="AB598" s="37"/>
      <c r="AC598" s="29"/>
      <c r="AD598" s="29" t="b">
        <v>0</v>
      </c>
      <c r="AE598" s="22" t="str">
        <f t="shared" si="7"/>
        <v/>
      </c>
      <c r="AF598" s="7">
        <f>IF(ISBLANK(AB598), 0, VLOOKUP(AB598, 'Price Sheet'!$A$2:$B1015, 2, false))</f>
        <v>0</v>
      </c>
      <c r="AG598" s="33" t="str">
        <f t="shared" si="8"/>
        <v/>
      </c>
      <c r="AH598" s="37"/>
      <c r="AI598" s="29"/>
      <c r="AJ598" s="29" t="b">
        <v>0</v>
      </c>
      <c r="AK598" s="22" t="str">
        <f t="shared" si="9"/>
        <v/>
      </c>
      <c r="AL598" s="7">
        <f>IF(ISBLANK(AH598), 0, VLOOKUP(AH598, 'Price Sheet'!$A$2:$B1015, 2, false))</f>
        <v>0</v>
      </c>
      <c r="AM598" s="33" t="str">
        <f t="shared" si="10"/>
        <v/>
      </c>
      <c r="AN598" s="37"/>
      <c r="AO598" s="29"/>
      <c r="AP598" s="29" t="b">
        <v>0</v>
      </c>
      <c r="AQ598" s="22" t="str">
        <f t="shared" si="11"/>
        <v/>
      </c>
      <c r="AR598" s="7">
        <f>IF(ISBLANK(AN598), 0, VLOOKUP(AN598, 'Price Sheet'!$A$2:$B1015, 2, false))</f>
        <v>0</v>
      </c>
      <c r="AS598" s="33" t="str">
        <f t="shared" si="12"/>
        <v/>
      </c>
      <c r="AT598" s="37"/>
      <c r="AU598" s="29"/>
      <c r="AV598" s="29" t="b">
        <v>0</v>
      </c>
      <c r="AW598" s="22" t="str">
        <f t="shared" si="13"/>
        <v/>
      </c>
      <c r="AX598" s="7">
        <f>IF(ISBLANK(AT598), 0, VLOOKUP(AT598, 'Price Sheet'!$A$2:$B1015, 2, false))</f>
        <v>0</v>
      </c>
      <c r="AY598" s="33" t="str">
        <f t="shared" si="14"/>
        <v/>
      </c>
      <c r="AZ598" s="37"/>
      <c r="BA598" s="29"/>
      <c r="BB598" s="29" t="b">
        <v>0</v>
      </c>
      <c r="BC598" s="22" t="str">
        <f t="shared" si="15"/>
        <v/>
      </c>
      <c r="BD598" s="7">
        <f>IF(ISBLANK(AZ598), 0, VLOOKUP(AZ598, 'Price Sheet'!$A$2:$B1015, 2, false))</f>
        <v>0</v>
      </c>
      <c r="BE598" s="33" t="str">
        <f t="shared" si="16"/>
        <v/>
      </c>
      <c r="BF598" s="37"/>
      <c r="BG598" s="29"/>
      <c r="BH598" s="29" t="b">
        <v>0</v>
      </c>
      <c r="BI598" s="22" t="str">
        <f t="shared" si="17"/>
        <v/>
      </c>
      <c r="BJ598" s="7">
        <f>IF(ISBLANK(BF598), 0, VLOOKUP(BF598, 'Price Sheet'!$A$2:$B1015, 2, false))</f>
        <v>0</v>
      </c>
      <c r="BK598" s="33" t="str">
        <f t="shared" si="18"/>
        <v/>
      </c>
      <c r="BL598" s="37"/>
      <c r="BM598" s="29"/>
      <c r="BN598" s="29" t="b">
        <v>0</v>
      </c>
      <c r="BO598" s="22" t="str">
        <f t="shared" si="19"/>
        <v/>
      </c>
      <c r="BP598" s="7">
        <f>IF(ISBLANK(BL598), 0, VLOOKUP(BL598, 'Price Sheet'!$A$2:$B1015, 2, false))</f>
        <v>0</v>
      </c>
      <c r="BQ598" s="33" t="str">
        <f t="shared" si="20"/>
        <v/>
      </c>
    </row>
    <row r="599">
      <c r="B599" s="19"/>
      <c r="C599" s="29"/>
      <c r="D599" s="29"/>
      <c r="E599" s="7" t="str">
        <f>IF(ISBLANK(D599), "", VLOOKUP(D599,'Crafting Tables'!$A$2:$B1015, 2, false))</f>
        <v/>
      </c>
      <c r="F599" s="7" t="str">
        <f>IFERROR(IF(E599 = "None", 1, VLOOKUP(C599,General!$A$5:$L$35, SWITCH(E599, "Basic", 8, "Advanced", 10, "Modern", 12), false)),"")</f>
        <v/>
      </c>
      <c r="G599" s="29"/>
      <c r="H599" s="7">
        <f>IFERROR(VLOOKUP(C599, General!$A$5:$L$35, 6, false) * G599 / 1000, 0)</f>
        <v>0</v>
      </c>
      <c r="I599" s="29"/>
      <c r="J599" s="22" t="str">
        <f>IFERROR(I599*VLOOKUP(D599,'Crafting Tables'!$1:$1000, 4, false)*F599,"")</f>
        <v/>
      </c>
      <c r="K599" s="29" t="b">
        <v>0</v>
      </c>
      <c r="L599" s="37"/>
      <c r="M599" s="29"/>
      <c r="N599" s="21" t="str">
        <f t="shared" si="2"/>
        <v/>
      </c>
      <c r="P599" s="37"/>
      <c r="Q599" s="29"/>
      <c r="R599" s="29" t="b">
        <v>0</v>
      </c>
      <c r="S599" s="22" t="str">
        <f t="shared" si="3"/>
        <v/>
      </c>
      <c r="T599" s="7">
        <f>IF(ISBLANK(P599), 0, VLOOKUP(P599, 'Price Sheet'!$A$2:$B1015, 2, false))</f>
        <v>0</v>
      </c>
      <c r="U599" s="33" t="str">
        <f t="shared" si="4"/>
        <v/>
      </c>
      <c r="V599" s="37"/>
      <c r="W599" s="29"/>
      <c r="X599" s="29" t="b">
        <v>0</v>
      </c>
      <c r="Y599" s="22" t="str">
        <f t="shared" si="5"/>
        <v/>
      </c>
      <c r="Z599" s="7">
        <f>IF(ISBLANK(V599), 0, VLOOKUP(V599, 'Price Sheet'!$A$2:$B1015, 2, false))</f>
        <v>0</v>
      </c>
      <c r="AA599" s="33" t="str">
        <f t="shared" si="6"/>
        <v/>
      </c>
      <c r="AB599" s="37"/>
      <c r="AC599" s="29"/>
      <c r="AD599" s="29" t="b">
        <v>0</v>
      </c>
      <c r="AE599" s="22" t="str">
        <f t="shared" si="7"/>
        <v/>
      </c>
      <c r="AF599" s="7">
        <f>IF(ISBLANK(AB599), 0, VLOOKUP(AB599, 'Price Sheet'!$A$2:$B1015, 2, false))</f>
        <v>0</v>
      </c>
      <c r="AG599" s="33" t="str">
        <f t="shared" si="8"/>
        <v/>
      </c>
      <c r="AH599" s="37"/>
      <c r="AI599" s="29"/>
      <c r="AJ599" s="29" t="b">
        <v>0</v>
      </c>
      <c r="AK599" s="22" t="str">
        <f t="shared" si="9"/>
        <v/>
      </c>
      <c r="AL599" s="7">
        <f>IF(ISBLANK(AH599), 0, VLOOKUP(AH599, 'Price Sheet'!$A$2:$B1015, 2, false))</f>
        <v>0</v>
      </c>
      <c r="AM599" s="33" t="str">
        <f t="shared" si="10"/>
        <v/>
      </c>
      <c r="AN599" s="37"/>
      <c r="AO599" s="29"/>
      <c r="AP599" s="29" t="b">
        <v>0</v>
      </c>
      <c r="AQ599" s="22" t="str">
        <f t="shared" si="11"/>
        <v/>
      </c>
      <c r="AR599" s="7">
        <f>IF(ISBLANK(AN599), 0, VLOOKUP(AN599, 'Price Sheet'!$A$2:$B1015, 2, false))</f>
        <v>0</v>
      </c>
      <c r="AS599" s="33" t="str">
        <f t="shared" si="12"/>
        <v/>
      </c>
      <c r="AT599" s="37"/>
      <c r="AU599" s="29"/>
      <c r="AV599" s="29" t="b">
        <v>0</v>
      </c>
      <c r="AW599" s="22" t="str">
        <f t="shared" si="13"/>
        <v/>
      </c>
      <c r="AX599" s="7">
        <f>IF(ISBLANK(AT599), 0, VLOOKUP(AT599, 'Price Sheet'!$A$2:$B1015, 2, false))</f>
        <v>0</v>
      </c>
      <c r="AY599" s="33" t="str">
        <f t="shared" si="14"/>
        <v/>
      </c>
      <c r="AZ599" s="37"/>
      <c r="BA599" s="29"/>
      <c r="BB599" s="29" t="b">
        <v>0</v>
      </c>
      <c r="BC599" s="22" t="str">
        <f t="shared" si="15"/>
        <v/>
      </c>
      <c r="BD599" s="7">
        <f>IF(ISBLANK(AZ599), 0, VLOOKUP(AZ599, 'Price Sheet'!$A$2:$B1015, 2, false))</f>
        <v>0</v>
      </c>
      <c r="BE599" s="33" t="str">
        <f t="shared" si="16"/>
        <v/>
      </c>
      <c r="BF599" s="37"/>
      <c r="BG599" s="29"/>
      <c r="BH599" s="29" t="b">
        <v>0</v>
      </c>
      <c r="BI599" s="22" t="str">
        <f t="shared" si="17"/>
        <v/>
      </c>
      <c r="BJ599" s="7">
        <f>IF(ISBLANK(BF599), 0, VLOOKUP(BF599, 'Price Sheet'!$A$2:$B1015, 2, false))</f>
        <v>0</v>
      </c>
      <c r="BK599" s="33" t="str">
        <f t="shared" si="18"/>
        <v/>
      </c>
      <c r="BL599" s="37"/>
      <c r="BM599" s="29"/>
      <c r="BN599" s="29" t="b">
        <v>0</v>
      </c>
      <c r="BO599" s="22" t="str">
        <f t="shared" si="19"/>
        <v/>
      </c>
      <c r="BP599" s="7">
        <f>IF(ISBLANK(BL599), 0, VLOOKUP(BL599, 'Price Sheet'!$A$2:$B1015, 2, false))</f>
        <v>0</v>
      </c>
      <c r="BQ599" s="33" t="str">
        <f t="shared" si="20"/>
        <v/>
      </c>
    </row>
    <row r="600">
      <c r="B600" s="19"/>
      <c r="C600" s="29"/>
      <c r="D600" s="29"/>
      <c r="E600" s="7" t="str">
        <f>IF(ISBLANK(D600), "", VLOOKUP(D600,'Crafting Tables'!$A$2:$B1015, 2, false))</f>
        <v/>
      </c>
      <c r="F600" s="7" t="str">
        <f>IFERROR(IF(E600 = "None", 1, VLOOKUP(C600,General!$A$5:$L$35, SWITCH(E600, "Basic", 8, "Advanced", 10, "Modern", 12), false)),"")</f>
        <v/>
      </c>
      <c r="G600" s="29"/>
      <c r="H600" s="7">
        <f>IFERROR(VLOOKUP(C600, General!$A$5:$L$35, 6, false) * G600 / 1000, 0)</f>
        <v>0</v>
      </c>
      <c r="I600" s="29"/>
      <c r="J600" s="22" t="str">
        <f>IFERROR(I600*VLOOKUP(D600,'Crafting Tables'!$1:$1000, 4, false)*F600,"")</f>
        <v/>
      </c>
      <c r="K600" s="29" t="b">
        <v>0</v>
      </c>
      <c r="L600" s="37"/>
      <c r="M600" s="29"/>
      <c r="N600" s="21" t="str">
        <f t="shared" si="2"/>
        <v/>
      </c>
      <c r="P600" s="37"/>
      <c r="Q600" s="29"/>
      <c r="R600" s="29" t="b">
        <v>0</v>
      </c>
      <c r="S600" s="22" t="str">
        <f t="shared" si="3"/>
        <v/>
      </c>
      <c r="T600" s="7">
        <f>IF(ISBLANK(P600), 0, VLOOKUP(P600, 'Price Sheet'!$A$2:$B1015, 2, false))</f>
        <v>0</v>
      </c>
      <c r="U600" s="33" t="str">
        <f t="shared" si="4"/>
        <v/>
      </c>
      <c r="V600" s="37"/>
      <c r="W600" s="29"/>
      <c r="X600" s="29" t="b">
        <v>0</v>
      </c>
      <c r="Y600" s="22" t="str">
        <f t="shared" si="5"/>
        <v/>
      </c>
      <c r="Z600" s="7">
        <f>IF(ISBLANK(V600), 0, VLOOKUP(V600, 'Price Sheet'!$A$2:$B1015, 2, false))</f>
        <v>0</v>
      </c>
      <c r="AA600" s="33" t="str">
        <f t="shared" si="6"/>
        <v/>
      </c>
      <c r="AB600" s="37"/>
      <c r="AC600" s="29"/>
      <c r="AD600" s="29" t="b">
        <v>0</v>
      </c>
      <c r="AE600" s="22" t="str">
        <f t="shared" si="7"/>
        <v/>
      </c>
      <c r="AF600" s="7">
        <f>IF(ISBLANK(AB600), 0, VLOOKUP(AB600, 'Price Sheet'!$A$2:$B1015, 2, false))</f>
        <v>0</v>
      </c>
      <c r="AG600" s="33" t="str">
        <f t="shared" si="8"/>
        <v/>
      </c>
      <c r="AH600" s="37"/>
      <c r="AI600" s="29"/>
      <c r="AJ600" s="29" t="b">
        <v>0</v>
      </c>
      <c r="AK600" s="22" t="str">
        <f t="shared" si="9"/>
        <v/>
      </c>
      <c r="AL600" s="7">
        <f>IF(ISBLANK(AH600), 0, VLOOKUP(AH600, 'Price Sheet'!$A$2:$B1015, 2, false))</f>
        <v>0</v>
      </c>
      <c r="AM600" s="33" t="str">
        <f t="shared" si="10"/>
        <v/>
      </c>
      <c r="AN600" s="37"/>
      <c r="AO600" s="29"/>
      <c r="AP600" s="29" t="b">
        <v>0</v>
      </c>
      <c r="AQ600" s="22" t="str">
        <f t="shared" si="11"/>
        <v/>
      </c>
      <c r="AR600" s="7">
        <f>IF(ISBLANK(AN600), 0, VLOOKUP(AN600, 'Price Sheet'!$A$2:$B1015, 2, false))</f>
        <v>0</v>
      </c>
      <c r="AS600" s="33" t="str">
        <f t="shared" si="12"/>
        <v/>
      </c>
      <c r="AT600" s="37"/>
      <c r="AU600" s="29"/>
      <c r="AV600" s="29" t="b">
        <v>0</v>
      </c>
      <c r="AW600" s="22" t="str">
        <f t="shared" si="13"/>
        <v/>
      </c>
      <c r="AX600" s="7">
        <f>IF(ISBLANK(AT600), 0, VLOOKUP(AT600, 'Price Sheet'!$A$2:$B1015, 2, false))</f>
        <v>0</v>
      </c>
      <c r="AY600" s="33" t="str">
        <f t="shared" si="14"/>
        <v/>
      </c>
      <c r="AZ600" s="37"/>
      <c r="BA600" s="29"/>
      <c r="BB600" s="29" t="b">
        <v>0</v>
      </c>
      <c r="BC600" s="22" t="str">
        <f t="shared" si="15"/>
        <v/>
      </c>
      <c r="BD600" s="7">
        <f>IF(ISBLANK(AZ600), 0, VLOOKUP(AZ600, 'Price Sheet'!$A$2:$B1015, 2, false))</f>
        <v>0</v>
      </c>
      <c r="BE600" s="33" t="str">
        <f t="shared" si="16"/>
        <v/>
      </c>
      <c r="BF600" s="37"/>
      <c r="BG600" s="29"/>
      <c r="BH600" s="29" t="b">
        <v>0</v>
      </c>
      <c r="BI600" s="22" t="str">
        <f t="shared" si="17"/>
        <v/>
      </c>
      <c r="BJ600" s="7">
        <f>IF(ISBLANK(BF600), 0, VLOOKUP(BF600, 'Price Sheet'!$A$2:$B1015, 2, false))</f>
        <v>0</v>
      </c>
      <c r="BK600" s="33" t="str">
        <f t="shared" si="18"/>
        <v/>
      </c>
      <c r="BL600" s="37"/>
      <c r="BM600" s="29"/>
      <c r="BN600" s="29" t="b">
        <v>0</v>
      </c>
      <c r="BO600" s="22" t="str">
        <f t="shared" si="19"/>
        <v/>
      </c>
      <c r="BP600" s="7">
        <f>IF(ISBLANK(BL600), 0, VLOOKUP(BL600, 'Price Sheet'!$A$2:$B1015, 2, false))</f>
        <v>0</v>
      </c>
      <c r="BQ600" s="33" t="str">
        <f t="shared" si="20"/>
        <v/>
      </c>
    </row>
    <row r="601">
      <c r="B601" s="19"/>
      <c r="C601" s="29"/>
      <c r="D601" s="29"/>
      <c r="E601" s="7" t="str">
        <f>IF(ISBLANK(D601), "", VLOOKUP(D601,'Crafting Tables'!$A$2:$B1015, 2, false))</f>
        <v/>
      </c>
      <c r="F601" s="7" t="str">
        <f>IFERROR(IF(E601 = "None", 1, VLOOKUP(C601,General!$A$5:$L$35, SWITCH(E601, "Basic", 8, "Advanced", 10, "Modern", 12), false)),"")</f>
        <v/>
      </c>
      <c r="G601" s="29"/>
      <c r="H601" s="7">
        <f>IFERROR(VLOOKUP(C601, General!$A$5:$L$35, 6, false) * G601 / 1000, 0)</f>
        <v>0</v>
      </c>
      <c r="I601" s="29"/>
      <c r="J601" s="22" t="str">
        <f>IFERROR(I601*VLOOKUP(D601,'Crafting Tables'!$1:$1000, 4, false)*F601,"")</f>
        <v/>
      </c>
      <c r="K601" s="29" t="b">
        <v>0</v>
      </c>
      <c r="L601" s="37"/>
      <c r="M601" s="29"/>
      <c r="N601" s="21" t="str">
        <f t="shared" si="2"/>
        <v/>
      </c>
      <c r="P601" s="37"/>
      <c r="Q601" s="29"/>
      <c r="R601" s="29" t="b">
        <v>0</v>
      </c>
      <c r="S601" s="22" t="str">
        <f t="shared" si="3"/>
        <v/>
      </c>
      <c r="T601" s="7">
        <f>IF(ISBLANK(P601), 0, VLOOKUP(P601, 'Price Sheet'!$A$2:$B1015, 2, false))</f>
        <v>0</v>
      </c>
      <c r="U601" s="33" t="str">
        <f t="shared" si="4"/>
        <v/>
      </c>
      <c r="V601" s="37"/>
      <c r="W601" s="29"/>
      <c r="X601" s="29" t="b">
        <v>0</v>
      </c>
      <c r="Y601" s="22" t="str">
        <f t="shared" si="5"/>
        <v/>
      </c>
      <c r="Z601" s="7">
        <f>IF(ISBLANK(V601), 0, VLOOKUP(V601, 'Price Sheet'!$A$2:$B1015, 2, false))</f>
        <v>0</v>
      </c>
      <c r="AA601" s="33" t="str">
        <f t="shared" si="6"/>
        <v/>
      </c>
      <c r="AB601" s="37"/>
      <c r="AC601" s="29"/>
      <c r="AD601" s="29" t="b">
        <v>0</v>
      </c>
      <c r="AE601" s="22" t="str">
        <f t="shared" si="7"/>
        <v/>
      </c>
      <c r="AF601" s="7">
        <f>IF(ISBLANK(AB601), 0, VLOOKUP(AB601, 'Price Sheet'!$A$2:$B1015, 2, false))</f>
        <v>0</v>
      </c>
      <c r="AG601" s="33" t="str">
        <f t="shared" si="8"/>
        <v/>
      </c>
      <c r="AH601" s="37"/>
      <c r="AI601" s="29"/>
      <c r="AJ601" s="29" t="b">
        <v>0</v>
      </c>
      <c r="AK601" s="22" t="str">
        <f t="shared" si="9"/>
        <v/>
      </c>
      <c r="AL601" s="7">
        <f>IF(ISBLANK(AH601), 0, VLOOKUP(AH601, 'Price Sheet'!$A$2:$B1015, 2, false))</f>
        <v>0</v>
      </c>
      <c r="AM601" s="33" t="str">
        <f t="shared" si="10"/>
        <v/>
      </c>
      <c r="AN601" s="37"/>
      <c r="AO601" s="29"/>
      <c r="AP601" s="29" t="b">
        <v>0</v>
      </c>
      <c r="AQ601" s="22" t="str">
        <f t="shared" si="11"/>
        <v/>
      </c>
      <c r="AR601" s="7">
        <f>IF(ISBLANK(AN601), 0, VLOOKUP(AN601, 'Price Sheet'!$A$2:$B1015, 2, false))</f>
        <v>0</v>
      </c>
      <c r="AS601" s="33" t="str">
        <f t="shared" si="12"/>
        <v/>
      </c>
      <c r="AT601" s="37"/>
      <c r="AU601" s="29"/>
      <c r="AV601" s="29" t="b">
        <v>0</v>
      </c>
      <c r="AW601" s="22" t="str">
        <f t="shared" si="13"/>
        <v/>
      </c>
      <c r="AX601" s="7">
        <f>IF(ISBLANK(AT601), 0, VLOOKUP(AT601, 'Price Sheet'!$A$2:$B1015, 2, false))</f>
        <v>0</v>
      </c>
      <c r="AY601" s="33" t="str">
        <f t="shared" si="14"/>
        <v/>
      </c>
      <c r="AZ601" s="37"/>
      <c r="BA601" s="29"/>
      <c r="BB601" s="29" t="b">
        <v>0</v>
      </c>
      <c r="BC601" s="22" t="str">
        <f t="shared" si="15"/>
        <v/>
      </c>
      <c r="BD601" s="7">
        <f>IF(ISBLANK(AZ601), 0, VLOOKUP(AZ601, 'Price Sheet'!$A$2:$B1015, 2, false))</f>
        <v>0</v>
      </c>
      <c r="BE601" s="33" t="str">
        <f t="shared" si="16"/>
        <v/>
      </c>
      <c r="BF601" s="37"/>
      <c r="BG601" s="29"/>
      <c r="BH601" s="29" t="b">
        <v>0</v>
      </c>
      <c r="BI601" s="22" t="str">
        <f t="shared" si="17"/>
        <v/>
      </c>
      <c r="BJ601" s="7">
        <f>IF(ISBLANK(BF601), 0, VLOOKUP(BF601, 'Price Sheet'!$A$2:$B1015, 2, false))</f>
        <v>0</v>
      </c>
      <c r="BK601" s="33" t="str">
        <f t="shared" si="18"/>
        <v/>
      </c>
      <c r="BL601" s="37"/>
      <c r="BM601" s="29"/>
      <c r="BN601" s="29" t="b">
        <v>0</v>
      </c>
      <c r="BO601" s="22" t="str">
        <f t="shared" si="19"/>
        <v/>
      </c>
      <c r="BP601" s="7">
        <f>IF(ISBLANK(BL601), 0, VLOOKUP(BL601, 'Price Sheet'!$A$2:$B1015, 2, false))</f>
        <v>0</v>
      </c>
      <c r="BQ601" s="33" t="str">
        <f t="shared" si="20"/>
        <v/>
      </c>
    </row>
    <row r="602">
      <c r="B602" s="19"/>
      <c r="C602" s="29"/>
      <c r="D602" s="29"/>
      <c r="E602" s="7" t="str">
        <f>IF(ISBLANK(D602), "", VLOOKUP(D602,'Crafting Tables'!$A$2:$B1015, 2, false))</f>
        <v/>
      </c>
      <c r="F602" s="7" t="str">
        <f>IFERROR(IF(E602 = "None", 1, VLOOKUP(C602,General!$A$5:$L$35, SWITCH(E602, "Basic", 8, "Advanced", 10, "Modern", 12), false)),"")</f>
        <v/>
      </c>
      <c r="G602" s="29"/>
      <c r="H602" s="7">
        <f>IFERROR(VLOOKUP(C602, General!$A$5:$L$35, 6, false) * G602 / 1000, 0)</f>
        <v>0</v>
      </c>
      <c r="I602" s="29"/>
      <c r="J602" s="22" t="str">
        <f>IFERROR(I602*VLOOKUP(D602,'Crafting Tables'!$1:$1000, 4, false)*F602,"")</f>
        <v/>
      </c>
      <c r="K602" s="29" t="b">
        <v>0</v>
      </c>
      <c r="L602" s="37"/>
      <c r="M602" s="29"/>
      <c r="N602" s="21" t="str">
        <f t="shared" si="2"/>
        <v/>
      </c>
      <c r="P602" s="37"/>
      <c r="Q602" s="29"/>
      <c r="R602" s="29" t="b">
        <v>0</v>
      </c>
      <c r="S602" s="22" t="str">
        <f t="shared" si="3"/>
        <v/>
      </c>
      <c r="T602" s="7">
        <f>IF(ISBLANK(P602), 0, VLOOKUP(P602, 'Price Sheet'!$A$2:$B1015, 2, false))</f>
        <v>0</v>
      </c>
      <c r="U602" s="33" t="str">
        <f t="shared" si="4"/>
        <v/>
      </c>
      <c r="V602" s="37"/>
      <c r="W602" s="29"/>
      <c r="X602" s="29" t="b">
        <v>0</v>
      </c>
      <c r="Y602" s="22" t="str">
        <f t="shared" si="5"/>
        <v/>
      </c>
      <c r="Z602" s="7">
        <f>IF(ISBLANK(V602), 0, VLOOKUP(V602, 'Price Sheet'!$A$2:$B1015, 2, false))</f>
        <v>0</v>
      </c>
      <c r="AA602" s="33" t="str">
        <f t="shared" si="6"/>
        <v/>
      </c>
      <c r="AB602" s="37"/>
      <c r="AC602" s="29"/>
      <c r="AD602" s="29" t="b">
        <v>0</v>
      </c>
      <c r="AE602" s="22" t="str">
        <f t="shared" si="7"/>
        <v/>
      </c>
      <c r="AF602" s="7">
        <f>IF(ISBLANK(AB602), 0, VLOOKUP(AB602, 'Price Sheet'!$A$2:$B1015, 2, false))</f>
        <v>0</v>
      </c>
      <c r="AG602" s="33" t="str">
        <f t="shared" si="8"/>
        <v/>
      </c>
      <c r="AH602" s="37"/>
      <c r="AI602" s="29"/>
      <c r="AJ602" s="29" t="b">
        <v>0</v>
      </c>
      <c r="AK602" s="22" t="str">
        <f t="shared" si="9"/>
        <v/>
      </c>
      <c r="AL602" s="7">
        <f>IF(ISBLANK(AH602), 0, VLOOKUP(AH602, 'Price Sheet'!$A$2:$B1015, 2, false))</f>
        <v>0</v>
      </c>
      <c r="AM602" s="33" t="str">
        <f t="shared" si="10"/>
        <v/>
      </c>
      <c r="AN602" s="37"/>
      <c r="AO602" s="29"/>
      <c r="AP602" s="29" t="b">
        <v>0</v>
      </c>
      <c r="AQ602" s="22" t="str">
        <f t="shared" si="11"/>
        <v/>
      </c>
      <c r="AR602" s="7">
        <f>IF(ISBLANK(AN602), 0, VLOOKUP(AN602, 'Price Sheet'!$A$2:$B1015, 2, false))</f>
        <v>0</v>
      </c>
      <c r="AS602" s="33" t="str">
        <f t="shared" si="12"/>
        <v/>
      </c>
      <c r="AT602" s="37"/>
      <c r="AU602" s="29"/>
      <c r="AV602" s="29" t="b">
        <v>0</v>
      </c>
      <c r="AW602" s="22" t="str">
        <f t="shared" si="13"/>
        <v/>
      </c>
      <c r="AX602" s="7">
        <f>IF(ISBLANK(AT602), 0, VLOOKUP(AT602, 'Price Sheet'!$A$2:$B1015, 2, false))</f>
        <v>0</v>
      </c>
      <c r="AY602" s="33" t="str">
        <f t="shared" si="14"/>
        <v/>
      </c>
      <c r="AZ602" s="37"/>
      <c r="BA602" s="29"/>
      <c r="BB602" s="29" t="b">
        <v>0</v>
      </c>
      <c r="BC602" s="22" t="str">
        <f t="shared" si="15"/>
        <v/>
      </c>
      <c r="BD602" s="7">
        <f>IF(ISBLANK(AZ602), 0, VLOOKUP(AZ602, 'Price Sheet'!$A$2:$B1015, 2, false))</f>
        <v>0</v>
      </c>
      <c r="BE602" s="33" t="str">
        <f t="shared" si="16"/>
        <v/>
      </c>
      <c r="BF602" s="37"/>
      <c r="BG602" s="29"/>
      <c r="BH602" s="29" t="b">
        <v>0</v>
      </c>
      <c r="BI602" s="22" t="str">
        <f t="shared" si="17"/>
        <v/>
      </c>
      <c r="BJ602" s="7">
        <f>IF(ISBLANK(BF602), 0, VLOOKUP(BF602, 'Price Sheet'!$A$2:$B1015, 2, false))</f>
        <v>0</v>
      </c>
      <c r="BK602" s="33" t="str">
        <f t="shared" si="18"/>
        <v/>
      </c>
      <c r="BL602" s="37"/>
      <c r="BM602" s="29"/>
      <c r="BN602" s="29" t="b">
        <v>0</v>
      </c>
      <c r="BO602" s="22" t="str">
        <f t="shared" si="19"/>
        <v/>
      </c>
      <c r="BP602" s="7">
        <f>IF(ISBLANK(BL602), 0, VLOOKUP(BL602, 'Price Sheet'!$A$2:$B1015, 2, false))</f>
        <v>0</v>
      </c>
      <c r="BQ602" s="33" t="str">
        <f t="shared" si="20"/>
        <v/>
      </c>
    </row>
    <row r="603">
      <c r="B603" s="19"/>
      <c r="C603" s="29"/>
      <c r="D603" s="29"/>
      <c r="E603" s="7" t="str">
        <f>IF(ISBLANK(D603), "", VLOOKUP(D603,'Crafting Tables'!$A$2:$B1015, 2, false))</f>
        <v/>
      </c>
      <c r="F603" s="7" t="str">
        <f>IFERROR(IF(E603 = "None", 1, VLOOKUP(C603,General!$A$5:$L$35, SWITCH(E603, "Basic", 8, "Advanced", 10, "Modern", 12), false)),"")</f>
        <v/>
      </c>
      <c r="G603" s="29"/>
      <c r="H603" s="7">
        <f>IFERROR(VLOOKUP(C603, General!$A$5:$L$35, 6, false) * G603 / 1000, 0)</f>
        <v>0</v>
      </c>
      <c r="I603" s="29"/>
      <c r="J603" s="22" t="str">
        <f>IFERROR(I603*VLOOKUP(D603,'Crafting Tables'!$1:$1000, 4, false)*F603,"")</f>
        <v/>
      </c>
      <c r="K603" s="29" t="b">
        <v>0</v>
      </c>
      <c r="L603" s="37"/>
      <c r="M603" s="29"/>
      <c r="N603" s="21" t="str">
        <f t="shared" si="2"/>
        <v/>
      </c>
      <c r="P603" s="37"/>
      <c r="Q603" s="29"/>
      <c r="R603" s="29" t="b">
        <v>0</v>
      </c>
      <c r="S603" s="22" t="str">
        <f t="shared" si="3"/>
        <v/>
      </c>
      <c r="T603" s="7">
        <f>IF(ISBLANK(P603), 0, VLOOKUP(P603, 'Price Sheet'!$A$2:$B1015, 2, false))</f>
        <v>0</v>
      </c>
      <c r="U603" s="33" t="str">
        <f t="shared" si="4"/>
        <v/>
      </c>
      <c r="V603" s="37"/>
      <c r="W603" s="29"/>
      <c r="X603" s="29" t="b">
        <v>0</v>
      </c>
      <c r="Y603" s="22" t="str">
        <f t="shared" si="5"/>
        <v/>
      </c>
      <c r="Z603" s="7">
        <f>IF(ISBLANK(V603), 0, VLOOKUP(V603, 'Price Sheet'!$A$2:$B1015, 2, false))</f>
        <v>0</v>
      </c>
      <c r="AA603" s="33" t="str">
        <f t="shared" si="6"/>
        <v/>
      </c>
      <c r="AB603" s="37"/>
      <c r="AC603" s="29"/>
      <c r="AD603" s="29" t="b">
        <v>0</v>
      </c>
      <c r="AE603" s="22" t="str">
        <f t="shared" si="7"/>
        <v/>
      </c>
      <c r="AF603" s="7">
        <f>IF(ISBLANK(AB603), 0, VLOOKUP(AB603, 'Price Sheet'!$A$2:$B1015, 2, false))</f>
        <v>0</v>
      </c>
      <c r="AG603" s="33" t="str">
        <f t="shared" si="8"/>
        <v/>
      </c>
      <c r="AH603" s="37"/>
      <c r="AI603" s="29"/>
      <c r="AJ603" s="29" t="b">
        <v>0</v>
      </c>
      <c r="AK603" s="22" t="str">
        <f t="shared" si="9"/>
        <v/>
      </c>
      <c r="AL603" s="7">
        <f>IF(ISBLANK(AH603), 0, VLOOKUP(AH603, 'Price Sheet'!$A$2:$B1015, 2, false))</f>
        <v>0</v>
      </c>
      <c r="AM603" s="33" t="str">
        <f t="shared" si="10"/>
        <v/>
      </c>
      <c r="AN603" s="37"/>
      <c r="AO603" s="29"/>
      <c r="AP603" s="29" t="b">
        <v>0</v>
      </c>
      <c r="AQ603" s="22" t="str">
        <f t="shared" si="11"/>
        <v/>
      </c>
      <c r="AR603" s="7">
        <f>IF(ISBLANK(AN603), 0, VLOOKUP(AN603, 'Price Sheet'!$A$2:$B1015, 2, false))</f>
        <v>0</v>
      </c>
      <c r="AS603" s="33" t="str">
        <f t="shared" si="12"/>
        <v/>
      </c>
      <c r="AT603" s="37"/>
      <c r="AU603" s="29"/>
      <c r="AV603" s="29" t="b">
        <v>0</v>
      </c>
      <c r="AW603" s="22" t="str">
        <f t="shared" si="13"/>
        <v/>
      </c>
      <c r="AX603" s="7">
        <f>IF(ISBLANK(AT603), 0, VLOOKUP(AT603, 'Price Sheet'!$A$2:$B1015, 2, false))</f>
        <v>0</v>
      </c>
      <c r="AY603" s="33" t="str">
        <f t="shared" si="14"/>
        <v/>
      </c>
      <c r="AZ603" s="37"/>
      <c r="BA603" s="29"/>
      <c r="BB603" s="29" t="b">
        <v>0</v>
      </c>
      <c r="BC603" s="22" t="str">
        <f t="shared" si="15"/>
        <v/>
      </c>
      <c r="BD603" s="7">
        <f>IF(ISBLANK(AZ603), 0, VLOOKUP(AZ603, 'Price Sheet'!$A$2:$B1015, 2, false))</f>
        <v>0</v>
      </c>
      <c r="BE603" s="33" t="str">
        <f t="shared" si="16"/>
        <v/>
      </c>
      <c r="BF603" s="37"/>
      <c r="BG603" s="29"/>
      <c r="BH603" s="29" t="b">
        <v>0</v>
      </c>
      <c r="BI603" s="22" t="str">
        <f t="shared" si="17"/>
        <v/>
      </c>
      <c r="BJ603" s="7">
        <f>IF(ISBLANK(BF603), 0, VLOOKUP(BF603, 'Price Sheet'!$A$2:$B1015, 2, false))</f>
        <v>0</v>
      </c>
      <c r="BK603" s="33" t="str">
        <f t="shared" si="18"/>
        <v/>
      </c>
      <c r="BL603" s="37"/>
      <c r="BM603" s="29"/>
      <c r="BN603" s="29" t="b">
        <v>0</v>
      </c>
      <c r="BO603" s="22" t="str">
        <f t="shared" si="19"/>
        <v/>
      </c>
      <c r="BP603" s="7">
        <f>IF(ISBLANK(BL603), 0, VLOOKUP(BL603, 'Price Sheet'!$A$2:$B1015, 2, false))</f>
        <v>0</v>
      </c>
      <c r="BQ603" s="33" t="str">
        <f t="shared" si="20"/>
        <v/>
      </c>
    </row>
    <row r="604">
      <c r="B604" s="19"/>
      <c r="C604" s="29"/>
      <c r="D604" s="29"/>
      <c r="E604" s="7" t="str">
        <f>IF(ISBLANK(D604), "", VLOOKUP(D604,'Crafting Tables'!$A$2:$B1015, 2, false))</f>
        <v/>
      </c>
      <c r="F604" s="7" t="str">
        <f>IFERROR(IF(E604 = "None", 1, VLOOKUP(C604,General!$A$5:$L$35, SWITCH(E604, "Basic", 8, "Advanced", 10, "Modern", 12), false)),"")</f>
        <v/>
      </c>
      <c r="G604" s="29"/>
      <c r="H604" s="7">
        <f>IFERROR(VLOOKUP(C604, General!$A$5:$L$35, 6, false) * G604 / 1000, 0)</f>
        <v>0</v>
      </c>
      <c r="I604" s="29"/>
      <c r="J604" s="22" t="str">
        <f>IFERROR(I604*VLOOKUP(D604,'Crafting Tables'!$1:$1000, 4, false)*F604,"")</f>
        <v/>
      </c>
      <c r="K604" s="29" t="b">
        <v>0</v>
      </c>
      <c r="L604" s="37"/>
      <c r="M604" s="29"/>
      <c r="N604" s="21" t="str">
        <f t="shared" si="2"/>
        <v/>
      </c>
      <c r="P604" s="37"/>
      <c r="Q604" s="29"/>
      <c r="R604" s="29" t="b">
        <v>0</v>
      </c>
      <c r="S604" s="22" t="str">
        <f t="shared" si="3"/>
        <v/>
      </c>
      <c r="T604" s="7">
        <f>IF(ISBLANK(P604), 0, VLOOKUP(P604, 'Price Sheet'!$A$2:$B1015, 2, false))</f>
        <v>0</v>
      </c>
      <c r="U604" s="33" t="str">
        <f t="shared" si="4"/>
        <v/>
      </c>
      <c r="V604" s="37"/>
      <c r="W604" s="29"/>
      <c r="X604" s="29" t="b">
        <v>0</v>
      </c>
      <c r="Y604" s="22" t="str">
        <f t="shared" si="5"/>
        <v/>
      </c>
      <c r="Z604" s="7">
        <f>IF(ISBLANK(V604), 0, VLOOKUP(V604, 'Price Sheet'!$A$2:$B1015, 2, false))</f>
        <v>0</v>
      </c>
      <c r="AA604" s="33" t="str">
        <f t="shared" si="6"/>
        <v/>
      </c>
      <c r="AB604" s="37"/>
      <c r="AC604" s="29"/>
      <c r="AD604" s="29" t="b">
        <v>0</v>
      </c>
      <c r="AE604" s="22" t="str">
        <f t="shared" si="7"/>
        <v/>
      </c>
      <c r="AF604" s="7">
        <f>IF(ISBLANK(AB604), 0, VLOOKUP(AB604, 'Price Sheet'!$A$2:$B1015, 2, false))</f>
        <v>0</v>
      </c>
      <c r="AG604" s="33" t="str">
        <f t="shared" si="8"/>
        <v/>
      </c>
      <c r="AH604" s="37"/>
      <c r="AI604" s="29"/>
      <c r="AJ604" s="29" t="b">
        <v>0</v>
      </c>
      <c r="AK604" s="22" t="str">
        <f t="shared" si="9"/>
        <v/>
      </c>
      <c r="AL604" s="7">
        <f>IF(ISBLANK(AH604), 0, VLOOKUP(AH604, 'Price Sheet'!$A$2:$B1015, 2, false))</f>
        <v>0</v>
      </c>
      <c r="AM604" s="33" t="str">
        <f t="shared" si="10"/>
        <v/>
      </c>
      <c r="AN604" s="37"/>
      <c r="AO604" s="29"/>
      <c r="AP604" s="29" t="b">
        <v>0</v>
      </c>
      <c r="AQ604" s="22" t="str">
        <f t="shared" si="11"/>
        <v/>
      </c>
      <c r="AR604" s="7">
        <f>IF(ISBLANK(AN604), 0, VLOOKUP(AN604, 'Price Sheet'!$A$2:$B1015, 2, false))</f>
        <v>0</v>
      </c>
      <c r="AS604" s="33" t="str">
        <f t="shared" si="12"/>
        <v/>
      </c>
      <c r="AT604" s="37"/>
      <c r="AU604" s="29"/>
      <c r="AV604" s="29" t="b">
        <v>0</v>
      </c>
      <c r="AW604" s="22" t="str">
        <f t="shared" si="13"/>
        <v/>
      </c>
      <c r="AX604" s="7">
        <f>IF(ISBLANK(AT604), 0, VLOOKUP(AT604, 'Price Sheet'!$A$2:$B1015, 2, false))</f>
        <v>0</v>
      </c>
      <c r="AY604" s="33" t="str">
        <f t="shared" si="14"/>
        <v/>
      </c>
      <c r="AZ604" s="37"/>
      <c r="BA604" s="29"/>
      <c r="BB604" s="29" t="b">
        <v>0</v>
      </c>
      <c r="BC604" s="22" t="str">
        <f t="shared" si="15"/>
        <v/>
      </c>
      <c r="BD604" s="7">
        <f>IF(ISBLANK(AZ604), 0, VLOOKUP(AZ604, 'Price Sheet'!$A$2:$B1015, 2, false))</f>
        <v>0</v>
      </c>
      <c r="BE604" s="33" t="str">
        <f t="shared" si="16"/>
        <v/>
      </c>
      <c r="BF604" s="37"/>
      <c r="BG604" s="29"/>
      <c r="BH604" s="29" t="b">
        <v>0</v>
      </c>
      <c r="BI604" s="22" t="str">
        <f t="shared" si="17"/>
        <v/>
      </c>
      <c r="BJ604" s="7">
        <f>IF(ISBLANK(BF604), 0, VLOOKUP(BF604, 'Price Sheet'!$A$2:$B1015, 2, false))</f>
        <v>0</v>
      </c>
      <c r="BK604" s="33" t="str">
        <f t="shared" si="18"/>
        <v/>
      </c>
      <c r="BL604" s="37"/>
      <c r="BM604" s="29"/>
      <c r="BN604" s="29" t="b">
        <v>0</v>
      </c>
      <c r="BO604" s="22" t="str">
        <f t="shared" si="19"/>
        <v/>
      </c>
      <c r="BP604" s="7">
        <f>IF(ISBLANK(BL604), 0, VLOOKUP(BL604, 'Price Sheet'!$A$2:$B1015, 2, false))</f>
        <v>0</v>
      </c>
      <c r="BQ604" s="33" t="str">
        <f t="shared" si="20"/>
        <v/>
      </c>
    </row>
    <row r="605">
      <c r="B605" s="19"/>
      <c r="C605" s="29"/>
      <c r="D605" s="29"/>
      <c r="E605" s="7" t="str">
        <f>IF(ISBLANK(D605), "", VLOOKUP(D605,'Crafting Tables'!$A$2:$B1015, 2, false))</f>
        <v/>
      </c>
      <c r="F605" s="7" t="str">
        <f>IFERROR(IF(E605 = "None", 1, VLOOKUP(C605,General!$A$5:$L$35, SWITCH(E605, "Basic", 8, "Advanced", 10, "Modern", 12), false)),"")</f>
        <v/>
      </c>
      <c r="G605" s="29"/>
      <c r="H605" s="7">
        <f>IFERROR(VLOOKUP(C605, General!$A$5:$L$35, 6, false) * G605 / 1000, 0)</f>
        <v>0</v>
      </c>
      <c r="I605" s="29"/>
      <c r="J605" s="22" t="str">
        <f>IFERROR(I605*VLOOKUP(D605,'Crafting Tables'!$1:$1000, 4, false)*F605,"")</f>
        <v/>
      </c>
      <c r="K605" s="29" t="b">
        <v>0</v>
      </c>
      <c r="L605" s="37"/>
      <c r="M605" s="29"/>
      <c r="N605" s="21" t="str">
        <f t="shared" si="2"/>
        <v/>
      </c>
      <c r="P605" s="37"/>
      <c r="Q605" s="29"/>
      <c r="R605" s="29" t="b">
        <v>0</v>
      </c>
      <c r="S605" s="22" t="str">
        <f t="shared" si="3"/>
        <v/>
      </c>
      <c r="T605" s="7">
        <f>IF(ISBLANK(P605), 0, VLOOKUP(P605, 'Price Sheet'!$A$2:$B1015, 2, false))</f>
        <v>0</v>
      </c>
      <c r="U605" s="33" t="str">
        <f t="shared" si="4"/>
        <v/>
      </c>
      <c r="V605" s="37"/>
      <c r="W605" s="29"/>
      <c r="X605" s="29" t="b">
        <v>0</v>
      </c>
      <c r="Y605" s="22" t="str">
        <f t="shared" si="5"/>
        <v/>
      </c>
      <c r="Z605" s="7">
        <f>IF(ISBLANK(V605), 0, VLOOKUP(V605, 'Price Sheet'!$A$2:$B1015, 2, false))</f>
        <v>0</v>
      </c>
      <c r="AA605" s="33" t="str">
        <f t="shared" si="6"/>
        <v/>
      </c>
      <c r="AB605" s="37"/>
      <c r="AC605" s="29"/>
      <c r="AD605" s="29" t="b">
        <v>0</v>
      </c>
      <c r="AE605" s="22" t="str">
        <f t="shared" si="7"/>
        <v/>
      </c>
      <c r="AF605" s="7">
        <f>IF(ISBLANK(AB605), 0, VLOOKUP(AB605, 'Price Sheet'!$A$2:$B1015, 2, false))</f>
        <v>0</v>
      </c>
      <c r="AG605" s="33" t="str">
        <f t="shared" si="8"/>
        <v/>
      </c>
      <c r="AH605" s="37"/>
      <c r="AI605" s="29"/>
      <c r="AJ605" s="29" t="b">
        <v>0</v>
      </c>
      <c r="AK605" s="22" t="str">
        <f t="shared" si="9"/>
        <v/>
      </c>
      <c r="AL605" s="7">
        <f>IF(ISBLANK(AH605), 0, VLOOKUP(AH605, 'Price Sheet'!$A$2:$B1015, 2, false))</f>
        <v>0</v>
      </c>
      <c r="AM605" s="33" t="str">
        <f t="shared" si="10"/>
        <v/>
      </c>
      <c r="AN605" s="37"/>
      <c r="AO605" s="29"/>
      <c r="AP605" s="29" t="b">
        <v>0</v>
      </c>
      <c r="AQ605" s="22" t="str">
        <f t="shared" si="11"/>
        <v/>
      </c>
      <c r="AR605" s="7">
        <f>IF(ISBLANK(AN605), 0, VLOOKUP(AN605, 'Price Sheet'!$A$2:$B1015, 2, false))</f>
        <v>0</v>
      </c>
      <c r="AS605" s="33" t="str">
        <f t="shared" si="12"/>
        <v/>
      </c>
      <c r="AT605" s="37"/>
      <c r="AU605" s="29"/>
      <c r="AV605" s="29" t="b">
        <v>0</v>
      </c>
      <c r="AW605" s="22" t="str">
        <f t="shared" si="13"/>
        <v/>
      </c>
      <c r="AX605" s="7">
        <f>IF(ISBLANK(AT605), 0, VLOOKUP(AT605, 'Price Sheet'!$A$2:$B1015, 2, false))</f>
        <v>0</v>
      </c>
      <c r="AY605" s="33" t="str">
        <f t="shared" si="14"/>
        <v/>
      </c>
      <c r="AZ605" s="37"/>
      <c r="BA605" s="29"/>
      <c r="BB605" s="29" t="b">
        <v>0</v>
      </c>
      <c r="BC605" s="22" t="str">
        <f t="shared" si="15"/>
        <v/>
      </c>
      <c r="BD605" s="7">
        <f>IF(ISBLANK(AZ605), 0, VLOOKUP(AZ605, 'Price Sheet'!$A$2:$B1015, 2, false))</f>
        <v>0</v>
      </c>
      <c r="BE605" s="33" t="str">
        <f t="shared" si="16"/>
        <v/>
      </c>
      <c r="BF605" s="37"/>
      <c r="BG605" s="29"/>
      <c r="BH605" s="29" t="b">
        <v>0</v>
      </c>
      <c r="BI605" s="22" t="str">
        <f t="shared" si="17"/>
        <v/>
      </c>
      <c r="BJ605" s="7">
        <f>IF(ISBLANK(BF605), 0, VLOOKUP(BF605, 'Price Sheet'!$A$2:$B1015, 2, false))</f>
        <v>0</v>
      </c>
      <c r="BK605" s="33" t="str">
        <f t="shared" si="18"/>
        <v/>
      </c>
      <c r="BL605" s="37"/>
      <c r="BM605" s="29"/>
      <c r="BN605" s="29" t="b">
        <v>0</v>
      </c>
      <c r="BO605" s="22" t="str">
        <f t="shared" si="19"/>
        <v/>
      </c>
      <c r="BP605" s="7">
        <f>IF(ISBLANK(BL605), 0, VLOOKUP(BL605, 'Price Sheet'!$A$2:$B1015, 2, false))</f>
        <v>0</v>
      </c>
      <c r="BQ605" s="33" t="str">
        <f t="shared" si="20"/>
        <v/>
      </c>
    </row>
    <row r="606">
      <c r="B606" s="19"/>
      <c r="C606" s="29"/>
      <c r="D606" s="29"/>
      <c r="E606" s="7" t="str">
        <f>IF(ISBLANK(D606), "", VLOOKUP(D606,'Crafting Tables'!$A$2:$B1015, 2, false))</f>
        <v/>
      </c>
      <c r="F606" s="7" t="str">
        <f>IFERROR(IF(E606 = "None", 1, VLOOKUP(C606,General!$A$5:$L$35, SWITCH(E606, "Basic", 8, "Advanced", 10, "Modern", 12), false)),"")</f>
        <v/>
      </c>
      <c r="G606" s="29"/>
      <c r="H606" s="7">
        <f>IFERROR(VLOOKUP(C606, General!$A$5:$L$35, 6, false) * G606 / 1000, 0)</f>
        <v>0</v>
      </c>
      <c r="I606" s="29"/>
      <c r="J606" s="22" t="str">
        <f>IFERROR(I606*VLOOKUP(D606,'Crafting Tables'!$1:$1000, 4, false)*F606,"")</f>
        <v/>
      </c>
      <c r="K606" s="29" t="b">
        <v>0</v>
      </c>
      <c r="L606" s="37"/>
      <c r="M606" s="29"/>
      <c r="N606" s="21" t="str">
        <f t="shared" si="2"/>
        <v/>
      </c>
      <c r="P606" s="37"/>
      <c r="Q606" s="29"/>
      <c r="R606" s="29" t="b">
        <v>0</v>
      </c>
      <c r="S606" s="22" t="str">
        <f t="shared" si="3"/>
        <v/>
      </c>
      <c r="T606" s="7">
        <f>IF(ISBLANK(P606), 0, VLOOKUP(P606, 'Price Sheet'!$A$2:$B1015, 2, false))</f>
        <v>0</v>
      </c>
      <c r="U606" s="33" t="str">
        <f t="shared" si="4"/>
        <v/>
      </c>
      <c r="V606" s="37"/>
      <c r="W606" s="29"/>
      <c r="X606" s="29" t="b">
        <v>0</v>
      </c>
      <c r="Y606" s="22" t="str">
        <f t="shared" si="5"/>
        <v/>
      </c>
      <c r="Z606" s="7">
        <f>IF(ISBLANK(V606), 0, VLOOKUP(V606, 'Price Sheet'!$A$2:$B1015, 2, false))</f>
        <v>0</v>
      </c>
      <c r="AA606" s="33" t="str">
        <f t="shared" si="6"/>
        <v/>
      </c>
      <c r="AB606" s="37"/>
      <c r="AC606" s="29"/>
      <c r="AD606" s="29" t="b">
        <v>0</v>
      </c>
      <c r="AE606" s="22" t="str">
        <f t="shared" si="7"/>
        <v/>
      </c>
      <c r="AF606" s="7">
        <f>IF(ISBLANK(AB606), 0, VLOOKUP(AB606, 'Price Sheet'!$A$2:$B1015, 2, false))</f>
        <v>0</v>
      </c>
      <c r="AG606" s="33" t="str">
        <f t="shared" si="8"/>
        <v/>
      </c>
      <c r="AH606" s="37"/>
      <c r="AI606" s="29"/>
      <c r="AJ606" s="29" t="b">
        <v>0</v>
      </c>
      <c r="AK606" s="22" t="str">
        <f t="shared" si="9"/>
        <v/>
      </c>
      <c r="AL606" s="7">
        <f>IF(ISBLANK(AH606), 0, VLOOKUP(AH606, 'Price Sheet'!$A$2:$B1015, 2, false))</f>
        <v>0</v>
      </c>
      <c r="AM606" s="33" t="str">
        <f t="shared" si="10"/>
        <v/>
      </c>
      <c r="AN606" s="37"/>
      <c r="AO606" s="29"/>
      <c r="AP606" s="29" t="b">
        <v>0</v>
      </c>
      <c r="AQ606" s="22" t="str">
        <f t="shared" si="11"/>
        <v/>
      </c>
      <c r="AR606" s="7">
        <f>IF(ISBLANK(AN606), 0, VLOOKUP(AN606, 'Price Sheet'!$A$2:$B1015, 2, false))</f>
        <v>0</v>
      </c>
      <c r="AS606" s="33" t="str">
        <f t="shared" si="12"/>
        <v/>
      </c>
      <c r="AT606" s="37"/>
      <c r="AU606" s="29"/>
      <c r="AV606" s="29" t="b">
        <v>0</v>
      </c>
      <c r="AW606" s="22" t="str">
        <f t="shared" si="13"/>
        <v/>
      </c>
      <c r="AX606" s="7">
        <f>IF(ISBLANK(AT606), 0, VLOOKUP(AT606, 'Price Sheet'!$A$2:$B1015, 2, false))</f>
        <v>0</v>
      </c>
      <c r="AY606" s="33" t="str">
        <f t="shared" si="14"/>
        <v/>
      </c>
      <c r="AZ606" s="37"/>
      <c r="BA606" s="29"/>
      <c r="BB606" s="29" t="b">
        <v>0</v>
      </c>
      <c r="BC606" s="22" t="str">
        <f t="shared" si="15"/>
        <v/>
      </c>
      <c r="BD606" s="7">
        <f>IF(ISBLANK(AZ606), 0, VLOOKUP(AZ606, 'Price Sheet'!$A$2:$B1015, 2, false))</f>
        <v>0</v>
      </c>
      <c r="BE606" s="33" t="str">
        <f t="shared" si="16"/>
        <v/>
      </c>
      <c r="BF606" s="37"/>
      <c r="BG606" s="29"/>
      <c r="BH606" s="29" t="b">
        <v>0</v>
      </c>
      <c r="BI606" s="22" t="str">
        <f t="shared" si="17"/>
        <v/>
      </c>
      <c r="BJ606" s="7">
        <f>IF(ISBLANK(BF606), 0, VLOOKUP(BF606, 'Price Sheet'!$A$2:$B1015, 2, false))</f>
        <v>0</v>
      </c>
      <c r="BK606" s="33" t="str">
        <f t="shared" si="18"/>
        <v/>
      </c>
      <c r="BL606" s="37"/>
      <c r="BM606" s="29"/>
      <c r="BN606" s="29" t="b">
        <v>0</v>
      </c>
      <c r="BO606" s="22" t="str">
        <f t="shared" si="19"/>
        <v/>
      </c>
      <c r="BP606" s="7">
        <f>IF(ISBLANK(BL606), 0, VLOOKUP(BL606, 'Price Sheet'!$A$2:$B1015, 2, false))</f>
        <v>0</v>
      </c>
      <c r="BQ606" s="33" t="str">
        <f t="shared" si="20"/>
        <v/>
      </c>
    </row>
    <row r="607">
      <c r="B607" s="19"/>
      <c r="C607" s="29"/>
      <c r="D607" s="29"/>
      <c r="E607" s="7" t="str">
        <f>IF(ISBLANK(D607), "", VLOOKUP(D607,'Crafting Tables'!$A$2:$B1015, 2, false))</f>
        <v/>
      </c>
      <c r="F607" s="7" t="str">
        <f>IFERROR(IF(E607 = "None", 1, VLOOKUP(C607,General!$A$5:$L$35, SWITCH(E607, "Basic", 8, "Advanced", 10, "Modern", 12), false)),"")</f>
        <v/>
      </c>
      <c r="G607" s="29"/>
      <c r="H607" s="7">
        <f>IFERROR(VLOOKUP(C607, General!$A$5:$L$35, 6, false) * G607 / 1000, 0)</f>
        <v>0</v>
      </c>
      <c r="I607" s="29"/>
      <c r="J607" s="22" t="str">
        <f>IFERROR(I607*VLOOKUP(D607,'Crafting Tables'!$1:$1000, 4, false)*F607,"")</f>
        <v/>
      </c>
      <c r="K607" s="29" t="b">
        <v>0</v>
      </c>
      <c r="L607" s="37"/>
      <c r="M607" s="29"/>
      <c r="N607" s="21" t="str">
        <f t="shared" si="2"/>
        <v/>
      </c>
      <c r="P607" s="37"/>
      <c r="Q607" s="29"/>
      <c r="R607" s="29" t="b">
        <v>0</v>
      </c>
      <c r="S607" s="22" t="str">
        <f t="shared" si="3"/>
        <v/>
      </c>
      <c r="T607" s="7">
        <f>IF(ISBLANK(P607), 0, VLOOKUP(P607, 'Price Sheet'!$A$2:$B1015, 2, false))</f>
        <v>0</v>
      </c>
      <c r="U607" s="33" t="str">
        <f t="shared" si="4"/>
        <v/>
      </c>
      <c r="V607" s="37"/>
      <c r="W607" s="29"/>
      <c r="X607" s="29" t="b">
        <v>0</v>
      </c>
      <c r="Y607" s="22" t="str">
        <f t="shared" si="5"/>
        <v/>
      </c>
      <c r="Z607" s="7">
        <f>IF(ISBLANK(V607), 0, VLOOKUP(V607, 'Price Sheet'!$A$2:$B1015, 2, false))</f>
        <v>0</v>
      </c>
      <c r="AA607" s="33" t="str">
        <f t="shared" si="6"/>
        <v/>
      </c>
      <c r="AB607" s="37"/>
      <c r="AC607" s="29"/>
      <c r="AD607" s="29" t="b">
        <v>0</v>
      </c>
      <c r="AE607" s="22" t="str">
        <f t="shared" si="7"/>
        <v/>
      </c>
      <c r="AF607" s="7">
        <f>IF(ISBLANK(AB607), 0, VLOOKUP(AB607, 'Price Sheet'!$A$2:$B1015, 2, false))</f>
        <v>0</v>
      </c>
      <c r="AG607" s="33" t="str">
        <f t="shared" si="8"/>
        <v/>
      </c>
      <c r="AH607" s="37"/>
      <c r="AI607" s="29"/>
      <c r="AJ607" s="29" t="b">
        <v>0</v>
      </c>
      <c r="AK607" s="22" t="str">
        <f t="shared" si="9"/>
        <v/>
      </c>
      <c r="AL607" s="7">
        <f>IF(ISBLANK(AH607), 0, VLOOKUP(AH607, 'Price Sheet'!$A$2:$B1015, 2, false))</f>
        <v>0</v>
      </c>
      <c r="AM607" s="33" t="str">
        <f t="shared" si="10"/>
        <v/>
      </c>
      <c r="AN607" s="37"/>
      <c r="AO607" s="29"/>
      <c r="AP607" s="29" t="b">
        <v>0</v>
      </c>
      <c r="AQ607" s="22" t="str">
        <f t="shared" si="11"/>
        <v/>
      </c>
      <c r="AR607" s="7">
        <f>IF(ISBLANK(AN607), 0, VLOOKUP(AN607, 'Price Sheet'!$A$2:$B1015, 2, false))</f>
        <v>0</v>
      </c>
      <c r="AS607" s="33" t="str">
        <f t="shared" si="12"/>
        <v/>
      </c>
      <c r="AT607" s="37"/>
      <c r="AU607" s="29"/>
      <c r="AV607" s="29" t="b">
        <v>0</v>
      </c>
      <c r="AW607" s="22" t="str">
        <f t="shared" si="13"/>
        <v/>
      </c>
      <c r="AX607" s="7">
        <f>IF(ISBLANK(AT607), 0, VLOOKUP(AT607, 'Price Sheet'!$A$2:$B1015, 2, false))</f>
        <v>0</v>
      </c>
      <c r="AY607" s="33" t="str">
        <f t="shared" si="14"/>
        <v/>
      </c>
      <c r="AZ607" s="37"/>
      <c r="BA607" s="29"/>
      <c r="BB607" s="29" t="b">
        <v>0</v>
      </c>
      <c r="BC607" s="22" t="str">
        <f t="shared" si="15"/>
        <v/>
      </c>
      <c r="BD607" s="7">
        <f>IF(ISBLANK(AZ607), 0, VLOOKUP(AZ607, 'Price Sheet'!$A$2:$B1015, 2, false))</f>
        <v>0</v>
      </c>
      <c r="BE607" s="33" t="str">
        <f t="shared" si="16"/>
        <v/>
      </c>
      <c r="BF607" s="37"/>
      <c r="BG607" s="29"/>
      <c r="BH607" s="29" t="b">
        <v>0</v>
      </c>
      <c r="BI607" s="22" t="str">
        <f t="shared" si="17"/>
        <v/>
      </c>
      <c r="BJ607" s="7">
        <f>IF(ISBLANK(BF607), 0, VLOOKUP(BF607, 'Price Sheet'!$A$2:$B1015, 2, false))</f>
        <v>0</v>
      </c>
      <c r="BK607" s="33" t="str">
        <f t="shared" si="18"/>
        <v/>
      </c>
      <c r="BL607" s="37"/>
      <c r="BM607" s="29"/>
      <c r="BN607" s="29" t="b">
        <v>0</v>
      </c>
      <c r="BO607" s="22" t="str">
        <f t="shared" si="19"/>
        <v/>
      </c>
      <c r="BP607" s="7">
        <f>IF(ISBLANK(BL607), 0, VLOOKUP(BL607, 'Price Sheet'!$A$2:$B1015, 2, false))</f>
        <v>0</v>
      </c>
      <c r="BQ607" s="33" t="str">
        <f t="shared" si="20"/>
        <v/>
      </c>
    </row>
    <row r="608">
      <c r="B608" s="19"/>
      <c r="C608" s="29"/>
      <c r="D608" s="29"/>
      <c r="E608" s="7" t="str">
        <f>IF(ISBLANK(D608), "", VLOOKUP(D608,'Crafting Tables'!$A$2:$B1015, 2, false))</f>
        <v/>
      </c>
      <c r="F608" s="7" t="str">
        <f>IFERROR(IF(E608 = "None", 1, VLOOKUP(C608,General!$A$5:$L$35, SWITCH(E608, "Basic", 8, "Advanced", 10, "Modern", 12), false)),"")</f>
        <v/>
      </c>
      <c r="G608" s="29"/>
      <c r="H608" s="7">
        <f>IFERROR(VLOOKUP(C608, General!$A$5:$L$35, 6, false) * G608 / 1000, 0)</f>
        <v>0</v>
      </c>
      <c r="I608" s="29"/>
      <c r="J608" s="22" t="str">
        <f>IFERROR(I608*VLOOKUP(D608,'Crafting Tables'!$1:$1000, 4, false)*F608,"")</f>
        <v/>
      </c>
      <c r="K608" s="29" t="b">
        <v>0</v>
      </c>
      <c r="L608" s="37"/>
      <c r="M608" s="29"/>
      <c r="N608" s="21" t="str">
        <f t="shared" si="2"/>
        <v/>
      </c>
      <c r="P608" s="37"/>
      <c r="Q608" s="29"/>
      <c r="R608" s="29" t="b">
        <v>0</v>
      </c>
      <c r="S608" s="22" t="str">
        <f t="shared" si="3"/>
        <v/>
      </c>
      <c r="T608" s="7">
        <f>IF(ISBLANK(P608), 0, VLOOKUP(P608, 'Price Sheet'!$A$2:$B1015, 2, false))</f>
        <v>0</v>
      </c>
      <c r="U608" s="33" t="str">
        <f t="shared" si="4"/>
        <v/>
      </c>
      <c r="V608" s="37"/>
      <c r="W608" s="29"/>
      <c r="X608" s="29" t="b">
        <v>0</v>
      </c>
      <c r="Y608" s="22" t="str">
        <f t="shared" si="5"/>
        <v/>
      </c>
      <c r="Z608" s="7">
        <f>IF(ISBLANK(V608), 0, VLOOKUP(V608, 'Price Sheet'!$A$2:$B1015, 2, false))</f>
        <v>0</v>
      </c>
      <c r="AA608" s="33" t="str">
        <f t="shared" si="6"/>
        <v/>
      </c>
      <c r="AB608" s="37"/>
      <c r="AC608" s="29"/>
      <c r="AD608" s="29" t="b">
        <v>0</v>
      </c>
      <c r="AE608" s="22" t="str">
        <f t="shared" si="7"/>
        <v/>
      </c>
      <c r="AF608" s="7">
        <f>IF(ISBLANK(AB608), 0, VLOOKUP(AB608, 'Price Sheet'!$A$2:$B1015, 2, false))</f>
        <v>0</v>
      </c>
      <c r="AG608" s="33" t="str">
        <f t="shared" si="8"/>
        <v/>
      </c>
      <c r="AH608" s="37"/>
      <c r="AI608" s="29"/>
      <c r="AJ608" s="29" t="b">
        <v>0</v>
      </c>
      <c r="AK608" s="22" t="str">
        <f t="shared" si="9"/>
        <v/>
      </c>
      <c r="AL608" s="7">
        <f>IF(ISBLANK(AH608), 0, VLOOKUP(AH608, 'Price Sheet'!$A$2:$B1015, 2, false))</f>
        <v>0</v>
      </c>
      <c r="AM608" s="33" t="str">
        <f t="shared" si="10"/>
        <v/>
      </c>
      <c r="AN608" s="37"/>
      <c r="AO608" s="29"/>
      <c r="AP608" s="29" t="b">
        <v>0</v>
      </c>
      <c r="AQ608" s="22" t="str">
        <f t="shared" si="11"/>
        <v/>
      </c>
      <c r="AR608" s="7">
        <f>IF(ISBLANK(AN608), 0, VLOOKUP(AN608, 'Price Sheet'!$A$2:$B1015, 2, false))</f>
        <v>0</v>
      </c>
      <c r="AS608" s="33" t="str">
        <f t="shared" si="12"/>
        <v/>
      </c>
      <c r="AT608" s="37"/>
      <c r="AU608" s="29"/>
      <c r="AV608" s="29" t="b">
        <v>0</v>
      </c>
      <c r="AW608" s="22" t="str">
        <f t="shared" si="13"/>
        <v/>
      </c>
      <c r="AX608" s="7">
        <f>IF(ISBLANK(AT608), 0, VLOOKUP(AT608, 'Price Sheet'!$A$2:$B1015, 2, false))</f>
        <v>0</v>
      </c>
      <c r="AY608" s="33" t="str">
        <f t="shared" si="14"/>
        <v/>
      </c>
      <c r="AZ608" s="37"/>
      <c r="BA608" s="29"/>
      <c r="BB608" s="29" t="b">
        <v>0</v>
      </c>
      <c r="BC608" s="22" t="str">
        <f t="shared" si="15"/>
        <v/>
      </c>
      <c r="BD608" s="7">
        <f>IF(ISBLANK(AZ608), 0, VLOOKUP(AZ608, 'Price Sheet'!$A$2:$B1015, 2, false))</f>
        <v>0</v>
      </c>
      <c r="BE608" s="33" t="str">
        <f t="shared" si="16"/>
        <v/>
      </c>
      <c r="BF608" s="37"/>
      <c r="BG608" s="29"/>
      <c r="BH608" s="29" t="b">
        <v>0</v>
      </c>
      <c r="BI608" s="22" t="str">
        <f t="shared" si="17"/>
        <v/>
      </c>
      <c r="BJ608" s="7">
        <f>IF(ISBLANK(BF608), 0, VLOOKUP(BF608, 'Price Sheet'!$A$2:$B1015, 2, false))</f>
        <v>0</v>
      </c>
      <c r="BK608" s="33" t="str">
        <f t="shared" si="18"/>
        <v/>
      </c>
      <c r="BL608" s="37"/>
      <c r="BM608" s="29"/>
      <c r="BN608" s="29" t="b">
        <v>0</v>
      </c>
      <c r="BO608" s="22" t="str">
        <f t="shared" si="19"/>
        <v/>
      </c>
      <c r="BP608" s="7">
        <f>IF(ISBLANK(BL608), 0, VLOOKUP(BL608, 'Price Sheet'!$A$2:$B1015, 2, false))</f>
        <v>0</v>
      </c>
      <c r="BQ608" s="33" t="str">
        <f t="shared" si="20"/>
        <v/>
      </c>
    </row>
    <row r="609">
      <c r="B609" s="19"/>
      <c r="C609" s="29"/>
      <c r="D609" s="29"/>
      <c r="E609" s="7" t="str">
        <f>IF(ISBLANK(D609), "", VLOOKUP(D609,'Crafting Tables'!$A$2:$B1015, 2, false))</f>
        <v/>
      </c>
      <c r="F609" s="7" t="str">
        <f>IFERROR(IF(E609 = "None", 1, VLOOKUP(C609,General!$A$5:$L$35, SWITCH(E609, "Basic", 8, "Advanced", 10, "Modern", 12), false)),"")</f>
        <v/>
      </c>
      <c r="G609" s="29"/>
      <c r="H609" s="7">
        <f>IFERROR(VLOOKUP(C609, General!$A$5:$L$35, 6, false) * G609 / 1000, 0)</f>
        <v>0</v>
      </c>
      <c r="I609" s="29"/>
      <c r="J609" s="22" t="str">
        <f>IFERROR(I609*VLOOKUP(D609,'Crafting Tables'!$1:$1000, 4, false)*F609,"")</f>
        <v/>
      </c>
      <c r="K609" s="29" t="b">
        <v>0</v>
      </c>
      <c r="L609" s="37"/>
      <c r="M609" s="29"/>
      <c r="N609" s="21" t="str">
        <f t="shared" si="2"/>
        <v/>
      </c>
      <c r="P609" s="37"/>
      <c r="Q609" s="29"/>
      <c r="R609" s="29" t="b">
        <v>0</v>
      </c>
      <c r="S609" s="22" t="str">
        <f t="shared" si="3"/>
        <v/>
      </c>
      <c r="T609" s="7">
        <f>IF(ISBLANK(P609), 0, VLOOKUP(P609, 'Price Sheet'!$A$2:$B1015, 2, false))</f>
        <v>0</v>
      </c>
      <c r="U609" s="33" t="str">
        <f t="shared" si="4"/>
        <v/>
      </c>
      <c r="V609" s="37"/>
      <c r="W609" s="29"/>
      <c r="X609" s="29" t="b">
        <v>0</v>
      </c>
      <c r="Y609" s="22" t="str">
        <f t="shared" si="5"/>
        <v/>
      </c>
      <c r="Z609" s="7">
        <f>IF(ISBLANK(V609), 0, VLOOKUP(V609, 'Price Sheet'!$A$2:$B1015, 2, false))</f>
        <v>0</v>
      </c>
      <c r="AA609" s="33" t="str">
        <f t="shared" si="6"/>
        <v/>
      </c>
      <c r="AB609" s="37"/>
      <c r="AC609" s="29"/>
      <c r="AD609" s="29" t="b">
        <v>0</v>
      </c>
      <c r="AE609" s="22" t="str">
        <f t="shared" si="7"/>
        <v/>
      </c>
      <c r="AF609" s="7">
        <f>IF(ISBLANK(AB609), 0, VLOOKUP(AB609, 'Price Sheet'!$A$2:$B1015, 2, false))</f>
        <v>0</v>
      </c>
      <c r="AG609" s="33" t="str">
        <f t="shared" si="8"/>
        <v/>
      </c>
      <c r="AH609" s="37"/>
      <c r="AI609" s="29"/>
      <c r="AJ609" s="29" t="b">
        <v>0</v>
      </c>
      <c r="AK609" s="22" t="str">
        <f t="shared" si="9"/>
        <v/>
      </c>
      <c r="AL609" s="7">
        <f>IF(ISBLANK(AH609), 0, VLOOKUP(AH609, 'Price Sheet'!$A$2:$B1015, 2, false))</f>
        <v>0</v>
      </c>
      <c r="AM609" s="33" t="str">
        <f t="shared" si="10"/>
        <v/>
      </c>
      <c r="AN609" s="37"/>
      <c r="AO609" s="29"/>
      <c r="AP609" s="29" t="b">
        <v>0</v>
      </c>
      <c r="AQ609" s="22" t="str">
        <f t="shared" si="11"/>
        <v/>
      </c>
      <c r="AR609" s="7">
        <f>IF(ISBLANK(AN609), 0, VLOOKUP(AN609, 'Price Sheet'!$A$2:$B1015, 2, false))</f>
        <v>0</v>
      </c>
      <c r="AS609" s="33" t="str">
        <f t="shared" si="12"/>
        <v/>
      </c>
      <c r="AT609" s="37"/>
      <c r="AU609" s="29"/>
      <c r="AV609" s="29" t="b">
        <v>0</v>
      </c>
      <c r="AW609" s="22" t="str">
        <f t="shared" si="13"/>
        <v/>
      </c>
      <c r="AX609" s="7">
        <f>IF(ISBLANK(AT609), 0, VLOOKUP(AT609, 'Price Sheet'!$A$2:$B1015, 2, false))</f>
        <v>0</v>
      </c>
      <c r="AY609" s="33" t="str">
        <f t="shared" si="14"/>
        <v/>
      </c>
      <c r="AZ609" s="37"/>
      <c r="BA609" s="29"/>
      <c r="BB609" s="29" t="b">
        <v>0</v>
      </c>
      <c r="BC609" s="22" t="str">
        <f t="shared" si="15"/>
        <v/>
      </c>
      <c r="BD609" s="7">
        <f>IF(ISBLANK(AZ609), 0, VLOOKUP(AZ609, 'Price Sheet'!$A$2:$B1015, 2, false))</f>
        <v>0</v>
      </c>
      <c r="BE609" s="33" t="str">
        <f t="shared" si="16"/>
        <v/>
      </c>
      <c r="BF609" s="37"/>
      <c r="BG609" s="29"/>
      <c r="BH609" s="29" t="b">
        <v>0</v>
      </c>
      <c r="BI609" s="22" t="str">
        <f t="shared" si="17"/>
        <v/>
      </c>
      <c r="BJ609" s="7">
        <f>IF(ISBLANK(BF609), 0, VLOOKUP(BF609, 'Price Sheet'!$A$2:$B1015, 2, false))</f>
        <v>0</v>
      </c>
      <c r="BK609" s="33" t="str">
        <f t="shared" si="18"/>
        <v/>
      </c>
      <c r="BL609" s="37"/>
      <c r="BM609" s="29"/>
      <c r="BN609" s="29" t="b">
        <v>0</v>
      </c>
      <c r="BO609" s="22" t="str">
        <f t="shared" si="19"/>
        <v/>
      </c>
      <c r="BP609" s="7">
        <f>IF(ISBLANK(BL609), 0, VLOOKUP(BL609, 'Price Sheet'!$A$2:$B1015, 2, false))</f>
        <v>0</v>
      </c>
      <c r="BQ609" s="33" t="str">
        <f t="shared" si="20"/>
        <v/>
      </c>
    </row>
    <row r="610">
      <c r="B610" s="19"/>
      <c r="C610" s="29"/>
      <c r="D610" s="29"/>
      <c r="E610" s="7" t="str">
        <f>IF(ISBLANK(D610), "", VLOOKUP(D610,'Crafting Tables'!$A$2:$B1015, 2, false))</f>
        <v/>
      </c>
      <c r="F610" s="7" t="str">
        <f>IFERROR(IF(E610 = "None", 1, VLOOKUP(C610,General!$A$5:$L$35, SWITCH(E610, "Basic", 8, "Advanced", 10, "Modern", 12), false)),"")</f>
        <v/>
      </c>
      <c r="G610" s="29"/>
      <c r="H610" s="7">
        <f>IFERROR(VLOOKUP(C610, General!$A$5:$L$35, 6, false) * G610 / 1000, 0)</f>
        <v>0</v>
      </c>
      <c r="I610" s="29"/>
      <c r="J610" s="22" t="str">
        <f>IFERROR(I610*VLOOKUP(D610,'Crafting Tables'!$1:$1000, 4, false)*F610,"")</f>
        <v/>
      </c>
      <c r="K610" s="29" t="b">
        <v>0</v>
      </c>
      <c r="L610" s="37"/>
      <c r="M610" s="29"/>
      <c r="N610" s="21" t="str">
        <f t="shared" si="2"/>
        <v/>
      </c>
      <c r="P610" s="37"/>
      <c r="Q610" s="29"/>
      <c r="R610" s="29" t="b">
        <v>0</v>
      </c>
      <c r="S610" s="22" t="str">
        <f t="shared" si="3"/>
        <v/>
      </c>
      <c r="T610" s="7">
        <f>IF(ISBLANK(P610), 0, VLOOKUP(P610, 'Price Sheet'!$A$2:$B1015, 2, false))</f>
        <v>0</v>
      </c>
      <c r="U610" s="33" t="str">
        <f t="shared" si="4"/>
        <v/>
      </c>
      <c r="V610" s="37"/>
      <c r="W610" s="29"/>
      <c r="X610" s="29" t="b">
        <v>0</v>
      </c>
      <c r="Y610" s="22" t="str">
        <f t="shared" si="5"/>
        <v/>
      </c>
      <c r="Z610" s="7">
        <f>IF(ISBLANK(V610), 0, VLOOKUP(V610, 'Price Sheet'!$A$2:$B1015, 2, false))</f>
        <v>0</v>
      </c>
      <c r="AA610" s="33" t="str">
        <f t="shared" si="6"/>
        <v/>
      </c>
      <c r="AB610" s="37"/>
      <c r="AC610" s="29"/>
      <c r="AD610" s="29" t="b">
        <v>0</v>
      </c>
      <c r="AE610" s="22" t="str">
        <f t="shared" si="7"/>
        <v/>
      </c>
      <c r="AF610" s="7">
        <f>IF(ISBLANK(AB610), 0, VLOOKUP(AB610, 'Price Sheet'!$A$2:$B1015, 2, false))</f>
        <v>0</v>
      </c>
      <c r="AG610" s="33" t="str">
        <f t="shared" si="8"/>
        <v/>
      </c>
      <c r="AH610" s="37"/>
      <c r="AI610" s="29"/>
      <c r="AJ610" s="29" t="b">
        <v>0</v>
      </c>
      <c r="AK610" s="22" t="str">
        <f t="shared" si="9"/>
        <v/>
      </c>
      <c r="AL610" s="7">
        <f>IF(ISBLANK(AH610), 0, VLOOKUP(AH610, 'Price Sheet'!$A$2:$B1015, 2, false))</f>
        <v>0</v>
      </c>
      <c r="AM610" s="33" t="str">
        <f t="shared" si="10"/>
        <v/>
      </c>
      <c r="AN610" s="37"/>
      <c r="AO610" s="29"/>
      <c r="AP610" s="29" t="b">
        <v>0</v>
      </c>
      <c r="AQ610" s="22" t="str">
        <f t="shared" si="11"/>
        <v/>
      </c>
      <c r="AR610" s="7">
        <f>IF(ISBLANK(AN610), 0, VLOOKUP(AN610, 'Price Sheet'!$A$2:$B1015, 2, false))</f>
        <v>0</v>
      </c>
      <c r="AS610" s="33" t="str">
        <f t="shared" si="12"/>
        <v/>
      </c>
      <c r="AT610" s="37"/>
      <c r="AU610" s="29"/>
      <c r="AV610" s="29" t="b">
        <v>0</v>
      </c>
      <c r="AW610" s="22" t="str">
        <f t="shared" si="13"/>
        <v/>
      </c>
      <c r="AX610" s="7">
        <f>IF(ISBLANK(AT610), 0, VLOOKUP(AT610, 'Price Sheet'!$A$2:$B1015, 2, false))</f>
        <v>0</v>
      </c>
      <c r="AY610" s="33" t="str">
        <f t="shared" si="14"/>
        <v/>
      </c>
      <c r="AZ610" s="37"/>
      <c r="BA610" s="29"/>
      <c r="BB610" s="29" t="b">
        <v>0</v>
      </c>
      <c r="BC610" s="22" t="str">
        <f t="shared" si="15"/>
        <v/>
      </c>
      <c r="BD610" s="7">
        <f>IF(ISBLANK(AZ610), 0, VLOOKUP(AZ610, 'Price Sheet'!$A$2:$B1015, 2, false))</f>
        <v>0</v>
      </c>
      <c r="BE610" s="33" t="str">
        <f t="shared" si="16"/>
        <v/>
      </c>
      <c r="BF610" s="37"/>
      <c r="BG610" s="29"/>
      <c r="BH610" s="29" t="b">
        <v>0</v>
      </c>
      <c r="BI610" s="22" t="str">
        <f t="shared" si="17"/>
        <v/>
      </c>
      <c r="BJ610" s="7">
        <f>IF(ISBLANK(BF610), 0, VLOOKUP(BF610, 'Price Sheet'!$A$2:$B1015, 2, false))</f>
        <v>0</v>
      </c>
      <c r="BK610" s="33" t="str">
        <f t="shared" si="18"/>
        <v/>
      </c>
      <c r="BL610" s="37"/>
      <c r="BM610" s="29"/>
      <c r="BN610" s="29" t="b">
        <v>0</v>
      </c>
      <c r="BO610" s="22" t="str">
        <f t="shared" si="19"/>
        <v/>
      </c>
      <c r="BP610" s="7">
        <f>IF(ISBLANK(BL610), 0, VLOOKUP(BL610, 'Price Sheet'!$A$2:$B1015, 2, false))</f>
        <v>0</v>
      </c>
      <c r="BQ610" s="33" t="str">
        <f t="shared" si="20"/>
        <v/>
      </c>
    </row>
    <row r="611">
      <c r="B611" s="19"/>
      <c r="C611" s="29"/>
      <c r="D611" s="29"/>
      <c r="E611" s="7" t="str">
        <f>IF(ISBLANK(D611), "", VLOOKUP(D611,'Crafting Tables'!$A$2:$B1015, 2, false))</f>
        <v/>
      </c>
      <c r="F611" s="7" t="str">
        <f>IFERROR(IF(E611 = "None", 1, VLOOKUP(C611,General!$A$5:$L$35, SWITCH(E611, "Basic", 8, "Advanced", 10, "Modern", 12), false)),"")</f>
        <v/>
      </c>
      <c r="G611" s="29"/>
      <c r="H611" s="7">
        <f>IFERROR(VLOOKUP(C611, General!$A$5:$L$35, 6, false) * G611 / 1000, 0)</f>
        <v>0</v>
      </c>
      <c r="I611" s="29"/>
      <c r="J611" s="22" t="str">
        <f>IFERROR(I611*VLOOKUP(D611,'Crafting Tables'!$1:$1000, 4, false)*F611,"")</f>
        <v/>
      </c>
      <c r="K611" s="29" t="b">
        <v>0</v>
      </c>
      <c r="L611" s="37"/>
      <c r="M611" s="29"/>
      <c r="N611" s="21" t="str">
        <f t="shared" si="2"/>
        <v/>
      </c>
      <c r="P611" s="37"/>
      <c r="Q611" s="29"/>
      <c r="R611" s="29" t="b">
        <v>0</v>
      </c>
      <c r="S611" s="22" t="str">
        <f t="shared" si="3"/>
        <v/>
      </c>
      <c r="T611" s="7">
        <f>IF(ISBLANK(P611), 0, VLOOKUP(P611, 'Price Sheet'!$A$2:$B1015, 2, false))</f>
        <v>0</v>
      </c>
      <c r="U611" s="33" t="str">
        <f t="shared" si="4"/>
        <v/>
      </c>
      <c r="V611" s="37"/>
      <c r="W611" s="29"/>
      <c r="X611" s="29" t="b">
        <v>0</v>
      </c>
      <c r="Y611" s="22" t="str">
        <f t="shared" si="5"/>
        <v/>
      </c>
      <c r="Z611" s="7">
        <f>IF(ISBLANK(V611), 0, VLOOKUP(V611, 'Price Sheet'!$A$2:$B1015, 2, false))</f>
        <v>0</v>
      </c>
      <c r="AA611" s="33" t="str">
        <f t="shared" si="6"/>
        <v/>
      </c>
      <c r="AB611" s="37"/>
      <c r="AC611" s="29"/>
      <c r="AD611" s="29" t="b">
        <v>0</v>
      </c>
      <c r="AE611" s="22" t="str">
        <f t="shared" si="7"/>
        <v/>
      </c>
      <c r="AF611" s="7">
        <f>IF(ISBLANK(AB611), 0, VLOOKUP(AB611, 'Price Sheet'!$A$2:$B1015, 2, false))</f>
        <v>0</v>
      </c>
      <c r="AG611" s="33" t="str">
        <f t="shared" si="8"/>
        <v/>
      </c>
      <c r="AH611" s="37"/>
      <c r="AI611" s="29"/>
      <c r="AJ611" s="29" t="b">
        <v>0</v>
      </c>
      <c r="AK611" s="22" t="str">
        <f t="shared" si="9"/>
        <v/>
      </c>
      <c r="AL611" s="7">
        <f>IF(ISBLANK(AH611), 0, VLOOKUP(AH611, 'Price Sheet'!$A$2:$B1015, 2, false))</f>
        <v>0</v>
      </c>
      <c r="AM611" s="33" t="str">
        <f t="shared" si="10"/>
        <v/>
      </c>
      <c r="AN611" s="37"/>
      <c r="AO611" s="29"/>
      <c r="AP611" s="29" t="b">
        <v>0</v>
      </c>
      <c r="AQ611" s="22" t="str">
        <f t="shared" si="11"/>
        <v/>
      </c>
      <c r="AR611" s="7">
        <f>IF(ISBLANK(AN611), 0, VLOOKUP(AN611, 'Price Sheet'!$A$2:$B1015, 2, false))</f>
        <v>0</v>
      </c>
      <c r="AS611" s="33" t="str">
        <f t="shared" si="12"/>
        <v/>
      </c>
      <c r="AT611" s="37"/>
      <c r="AU611" s="29"/>
      <c r="AV611" s="29" t="b">
        <v>0</v>
      </c>
      <c r="AW611" s="22" t="str">
        <f t="shared" si="13"/>
        <v/>
      </c>
      <c r="AX611" s="7">
        <f>IF(ISBLANK(AT611), 0, VLOOKUP(AT611, 'Price Sheet'!$A$2:$B1015, 2, false))</f>
        <v>0</v>
      </c>
      <c r="AY611" s="33" t="str">
        <f t="shared" si="14"/>
        <v/>
      </c>
      <c r="AZ611" s="37"/>
      <c r="BA611" s="29"/>
      <c r="BB611" s="29" t="b">
        <v>0</v>
      </c>
      <c r="BC611" s="22" t="str">
        <f t="shared" si="15"/>
        <v/>
      </c>
      <c r="BD611" s="7">
        <f>IF(ISBLANK(AZ611), 0, VLOOKUP(AZ611, 'Price Sheet'!$A$2:$B1015, 2, false))</f>
        <v>0</v>
      </c>
      <c r="BE611" s="33" t="str">
        <f t="shared" si="16"/>
        <v/>
      </c>
      <c r="BF611" s="37"/>
      <c r="BG611" s="29"/>
      <c r="BH611" s="29" t="b">
        <v>0</v>
      </c>
      <c r="BI611" s="22" t="str">
        <f t="shared" si="17"/>
        <v/>
      </c>
      <c r="BJ611" s="7">
        <f>IF(ISBLANK(BF611), 0, VLOOKUP(BF611, 'Price Sheet'!$A$2:$B1015, 2, false))</f>
        <v>0</v>
      </c>
      <c r="BK611" s="33" t="str">
        <f t="shared" si="18"/>
        <v/>
      </c>
      <c r="BL611" s="37"/>
      <c r="BM611" s="29"/>
      <c r="BN611" s="29" t="b">
        <v>0</v>
      </c>
      <c r="BO611" s="22" t="str">
        <f t="shared" si="19"/>
        <v/>
      </c>
      <c r="BP611" s="7">
        <f>IF(ISBLANK(BL611), 0, VLOOKUP(BL611, 'Price Sheet'!$A$2:$B1015, 2, false))</f>
        <v>0</v>
      </c>
      <c r="BQ611" s="33" t="str">
        <f t="shared" si="20"/>
        <v/>
      </c>
    </row>
    <row r="612">
      <c r="B612" s="19"/>
      <c r="C612" s="29"/>
      <c r="D612" s="29"/>
      <c r="E612" s="7" t="str">
        <f>IF(ISBLANK(D612), "", VLOOKUP(D612,'Crafting Tables'!$A$2:$B1015, 2, false))</f>
        <v/>
      </c>
      <c r="F612" s="7" t="str">
        <f>IFERROR(IF(E612 = "None", 1, VLOOKUP(C612,General!$A$5:$L$35, SWITCH(E612, "Basic", 8, "Advanced", 10, "Modern", 12), false)),"")</f>
        <v/>
      </c>
      <c r="G612" s="29"/>
      <c r="H612" s="7">
        <f>IFERROR(VLOOKUP(C612, General!$A$5:$L$35, 6, false) * G612 / 1000, 0)</f>
        <v>0</v>
      </c>
      <c r="I612" s="29"/>
      <c r="J612" s="22" t="str">
        <f>IFERROR(I612*VLOOKUP(D612,'Crafting Tables'!$1:$1000, 4, false)*F612,"")</f>
        <v/>
      </c>
      <c r="K612" s="29" t="b">
        <v>0</v>
      </c>
      <c r="L612" s="37"/>
      <c r="M612" s="29"/>
      <c r="N612" s="21" t="str">
        <f t="shared" si="2"/>
        <v/>
      </c>
      <c r="P612" s="37"/>
      <c r="Q612" s="29"/>
      <c r="R612" s="29" t="b">
        <v>0</v>
      </c>
      <c r="S612" s="22" t="str">
        <f t="shared" si="3"/>
        <v/>
      </c>
      <c r="T612" s="7">
        <f>IF(ISBLANK(P612), 0, VLOOKUP(P612, 'Price Sheet'!$A$2:$B1015, 2, false))</f>
        <v>0</v>
      </c>
      <c r="U612" s="33" t="str">
        <f t="shared" si="4"/>
        <v/>
      </c>
      <c r="V612" s="37"/>
      <c r="W612" s="29"/>
      <c r="X612" s="29" t="b">
        <v>0</v>
      </c>
      <c r="Y612" s="22" t="str">
        <f t="shared" si="5"/>
        <v/>
      </c>
      <c r="Z612" s="7">
        <f>IF(ISBLANK(V612), 0, VLOOKUP(V612, 'Price Sheet'!$A$2:$B1015, 2, false))</f>
        <v>0</v>
      </c>
      <c r="AA612" s="33" t="str">
        <f t="shared" si="6"/>
        <v/>
      </c>
      <c r="AB612" s="37"/>
      <c r="AC612" s="29"/>
      <c r="AD612" s="29" t="b">
        <v>0</v>
      </c>
      <c r="AE612" s="22" t="str">
        <f t="shared" si="7"/>
        <v/>
      </c>
      <c r="AF612" s="7">
        <f>IF(ISBLANK(AB612), 0, VLOOKUP(AB612, 'Price Sheet'!$A$2:$B1015, 2, false))</f>
        <v>0</v>
      </c>
      <c r="AG612" s="33" t="str">
        <f t="shared" si="8"/>
        <v/>
      </c>
      <c r="AH612" s="37"/>
      <c r="AI612" s="29"/>
      <c r="AJ612" s="29" t="b">
        <v>0</v>
      </c>
      <c r="AK612" s="22" t="str">
        <f t="shared" si="9"/>
        <v/>
      </c>
      <c r="AL612" s="7">
        <f>IF(ISBLANK(AH612), 0, VLOOKUP(AH612, 'Price Sheet'!$A$2:$B1015, 2, false))</f>
        <v>0</v>
      </c>
      <c r="AM612" s="33" t="str">
        <f t="shared" si="10"/>
        <v/>
      </c>
      <c r="AN612" s="37"/>
      <c r="AO612" s="29"/>
      <c r="AP612" s="29" t="b">
        <v>0</v>
      </c>
      <c r="AQ612" s="22" t="str">
        <f t="shared" si="11"/>
        <v/>
      </c>
      <c r="AR612" s="7">
        <f>IF(ISBLANK(AN612), 0, VLOOKUP(AN612, 'Price Sheet'!$A$2:$B1015, 2, false))</f>
        <v>0</v>
      </c>
      <c r="AS612" s="33" t="str">
        <f t="shared" si="12"/>
        <v/>
      </c>
      <c r="AT612" s="37"/>
      <c r="AU612" s="29"/>
      <c r="AV612" s="29" t="b">
        <v>0</v>
      </c>
      <c r="AW612" s="22" t="str">
        <f t="shared" si="13"/>
        <v/>
      </c>
      <c r="AX612" s="7">
        <f>IF(ISBLANK(AT612), 0, VLOOKUP(AT612, 'Price Sheet'!$A$2:$B1015, 2, false))</f>
        <v>0</v>
      </c>
      <c r="AY612" s="33" t="str">
        <f t="shared" si="14"/>
        <v/>
      </c>
      <c r="AZ612" s="37"/>
      <c r="BA612" s="29"/>
      <c r="BB612" s="29" t="b">
        <v>0</v>
      </c>
      <c r="BC612" s="22" t="str">
        <f t="shared" si="15"/>
        <v/>
      </c>
      <c r="BD612" s="7">
        <f>IF(ISBLANK(AZ612), 0, VLOOKUP(AZ612, 'Price Sheet'!$A$2:$B1015, 2, false))</f>
        <v>0</v>
      </c>
      <c r="BE612" s="33" t="str">
        <f t="shared" si="16"/>
        <v/>
      </c>
      <c r="BF612" s="37"/>
      <c r="BG612" s="29"/>
      <c r="BH612" s="29" t="b">
        <v>0</v>
      </c>
      <c r="BI612" s="22" t="str">
        <f t="shared" si="17"/>
        <v/>
      </c>
      <c r="BJ612" s="7">
        <f>IF(ISBLANK(BF612), 0, VLOOKUP(BF612, 'Price Sheet'!$A$2:$B1015, 2, false))</f>
        <v>0</v>
      </c>
      <c r="BK612" s="33" t="str">
        <f t="shared" si="18"/>
        <v/>
      </c>
      <c r="BL612" s="37"/>
      <c r="BM612" s="29"/>
      <c r="BN612" s="29" t="b">
        <v>0</v>
      </c>
      <c r="BO612" s="22" t="str">
        <f t="shared" si="19"/>
        <v/>
      </c>
      <c r="BP612" s="7">
        <f>IF(ISBLANK(BL612), 0, VLOOKUP(BL612, 'Price Sheet'!$A$2:$B1015, 2, false))</f>
        <v>0</v>
      </c>
      <c r="BQ612" s="33" t="str">
        <f t="shared" si="20"/>
        <v/>
      </c>
    </row>
    <row r="613">
      <c r="B613" s="19"/>
      <c r="C613" s="29"/>
      <c r="D613" s="29"/>
      <c r="E613" s="7" t="str">
        <f>IF(ISBLANK(D613), "", VLOOKUP(D613,'Crafting Tables'!$A$2:$B1015, 2, false))</f>
        <v/>
      </c>
      <c r="F613" s="7" t="str">
        <f>IFERROR(IF(E613 = "None", 1, VLOOKUP(C613,General!$A$5:$L$35, SWITCH(E613, "Basic", 8, "Advanced", 10, "Modern", 12), false)),"")</f>
        <v/>
      </c>
      <c r="G613" s="29"/>
      <c r="H613" s="7">
        <f>IFERROR(VLOOKUP(C613, General!$A$5:$L$35, 6, false) * G613 / 1000, 0)</f>
        <v>0</v>
      </c>
      <c r="I613" s="29"/>
      <c r="J613" s="22" t="str">
        <f>IFERROR(I613*VLOOKUP(D613,'Crafting Tables'!$1:$1000, 4, false)*F613,"")</f>
        <v/>
      </c>
      <c r="K613" s="29" t="b">
        <v>0</v>
      </c>
      <c r="L613" s="37"/>
      <c r="M613" s="29"/>
      <c r="N613" s="21" t="str">
        <f t="shared" si="2"/>
        <v/>
      </c>
      <c r="P613" s="37"/>
      <c r="Q613" s="29"/>
      <c r="R613" s="29" t="b">
        <v>0</v>
      </c>
      <c r="S613" s="22" t="str">
        <f t="shared" si="3"/>
        <v/>
      </c>
      <c r="T613" s="7">
        <f>IF(ISBLANK(P613), 0, VLOOKUP(P613, 'Price Sheet'!$A$2:$B1015, 2, false))</f>
        <v>0</v>
      </c>
      <c r="U613" s="33" t="str">
        <f t="shared" si="4"/>
        <v/>
      </c>
      <c r="V613" s="37"/>
      <c r="W613" s="29"/>
      <c r="X613" s="29" t="b">
        <v>0</v>
      </c>
      <c r="Y613" s="22" t="str">
        <f t="shared" si="5"/>
        <v/>
      </c>
      <c r="Z613" s="7">
        <f>IF(ISBLANK(V613), 0, VLOOKUP(V613, 'Price Sheet'!$A$2:$B1015, 2, false))</f>
        <v>0</v>
      </c>
      <c r="AA613" s="33" t="str">
        <f t="shared" si="6"/>
        <v/>
      </c>
      <c r="AB613" s="37"/>
      <c r="AC613" s="29"/>
      <c r="AD613" s="29" t="b">
        <v>0</v>
      </c>
      <c r="AE613" s="22" t="str">
        <f t="shared" si="7"/>
        <v/>
      </c>
      <c r="AF613" s="7">
        <f>IF(ISBLANK(AB613), 0, VLOOKUP(AB613, 'Price Sheet'!$A$2:$B1015, 2, false))</f>
        <v>0</v>
      </c>
      <c r="AG613" s="33" t="str">
        <f t="shared" si="8"/>
        <v/>
      </c>
      <c r="AH613" s="37"/>
      <c r="AI613" s="29"/>
      <c r="AJ613" s="29" t="b">
        <v>0</v>
      </c>
      <c r="AK613" s="22" t="str">
        <f t="shared" si="9"/>
        <v/>
      </c>
      <c r="AL613" s="7">
        <f>IF(ISBLANK(AH613), 0, VLOOKUP(AH613, 'Price Sheet'!$A$2:$B1015, 2, false))</f>
        <v>0</v>
      </c>
      <c r="AM613" s="33" t="str">
        <f t="shared" si="10"/>
        <v/>
      </c>
      <c r="AN613" s="37"/>
      <c r="AO613" s="29"/>
      <c r="AP613" s="29" t="b">
        <v>0</v>
      </c>
      <c r="AQ613" s="22" t="str">
        <f t="shared" si="11"/>
        <v/>
      </c>
      <c r="AR613" s="7">
        <f>IF(ISBLANK(AN613), 0, VLOOKUP(AN613, 'Price Sheet'!$A$2:$B1015, 2, false))</f>
        <v>0</v>
      </c>
      <c r="AS613" s="33" t="str">
        <f t="shared" si="12"/>
        <v/>
      </c>
      <c r="AT613" s="37"/>
      <c r="AU613" s="29"/>
      <c r="AV613" s="29" t="b">
        <v>0</v>
      </c>
      <c r="AW613" s="22" t="str">
        <f t="shared" si="13"/>
        <v/>
      </c>
      <c r="AX613" s="7">
        <f>IF(ISBLANK(AT613), 0, VLOOKUP(AT613, 'Price Sheet'!$A$2:$B1015, 2, false))</f>
        <v>0</v>
      </c>
      <c r="AY613" s="33" t="str">
        <f t="shared" si="14"/>
        <v/>
      </c>
      <c r="AZ613" s="37"/>
      <c r="BA613" s="29"/>
      <c r="BB613" s="29" t="b">
        <v>0</v>
      </c>
      <c r="BC613" s="22" t="str">
        <f t="shared" si="15"/>
        <v/>
      </c>
      <c r="BD613" s="7">
        <f>IF(ISBLANK(AZ613), 0, VLOOKUP(AZ613, 'Price Sheet'!$A$2:$B1015, 2, false))</f>
        <v>0</v>
      </c>
      <c r="BE613" s="33" t="str">
        <f t="shared" si="16"/>
        <v/>
      </c>
      <c r="BF613" s="37"/>
      <c r="BG613" s="29"/>
      <c r="BH613" s="29" t="b">
        <v>0</v>
      </c>
      <c r="BI613" s="22" t="str">
        <f t="shared" si="17"/>
        <v/>
      </c>
      <c r="BJ613" s="7">
        <f>IF(ISBLANK(BF613), 0, VLOOKUP(BF613, 'Price Sheet'!$A$2:$B1015, 2, false))</f>
        <v>0</v>
      </c>
      <c r="BK613" s="33" t="str">
        <f t="shared" si="18"/>
        <v/>
      </c>
      <c r="BL613" s="37"/>
      <c r="BM613" s="29"/>
      <c r="BN613" s="29" t="b">
        <v>0</v>
      </c>
      <c r="BO613" s="22" t="str">
        <f t="shared" si="19"/>
        <v/>
      </c>
      <c r="BP613" s="7">
        <f>IF(ISBLANK(BL613), 0, VLOOKUP(BL613, 'Price Sheet'!$A$2:$B1015, 2, false))</f>
        <v>0</v>
      </c>
      <c r="BQ613" s="33" t="str">
        <f t="shared" si="20"/>
        <v/>
      </c>
    </row>
    <row r="614">
      <c r="B614" s="19"/>
      <c r="C614" s="29"/>
      <c r="D614" s="29"/>
      <c r="E614" s="7" t="str">
        <f>IF(ISBLANK(D614), "", VLOOKUP(D614,'Crafting Tables'!$A$2:$B1015, 2, false))</f>
        <v/>
      </c>
      <c r="F614" s="7" t="str">
        <f>IFERROR(IF(E614 = "None", 1, VLOOKUP(C614,General!$A$5:$L$35, SWITCH(E614, "Basic", 8, "Advanced", 10, "Modern", 12), false)),"")</f>
        <v/>
      </c>
      <c r="G614" s="29"/>
      <c r="H614" s="7">
        <f>IFERROR(VLOOKUP(C614, General!$A$5:$L$35, 6, false) * G614 / 1000, 0)</f>
        <v>0</v>
      </c>
      <c r="I614" s="29"/>
      <c r="J614" s="22" t="str">
        <f>IFERROR(I614*VLOOKUP(D614,'Crafting Tables'!$1:$1000, 4, false)*F614,"")</f>
        <v/>
      </c>
      <c r="K614" s="29" t="b">
        <v>0</v>
      </c>
      <c r="L614" s="37"/>
      <c r="M614" s="29"/>
      <c r="N614" s="21" t="str">
        <f t="shared" si="2"/>
        <v/>
      </c>
      <c r="P614" s="37"/>
      <c r="Q614" s="29"/>
      <c r="R614" s="29" t="b">
        <v>0</v>
      </c>
      <c r="S614" s="22" t="str">
        <f t="shared" si="3"/>
        <v/>
      </c>
      <c r="T614" s="7">
        <f>IF(ISBLANK(P614), 0, VLOOKUP(P614, 'Price Sheet'!$A$2:$B1015, 2, false))</f>
        <v>0</v>
      </c>
      <c r="U614" s="33" t="str">
        <f t="shared" si="4"/>
        <v/>
      </c>
      <c r="V614" s="37"/>
      <c r="W614" s="29"/>
      <c r="X614" s="29" t="b">
        <v>0</v>
      </c>
      <c r="Y614" s="22" t="str">
        <f t="shared" si="5"/>
        <v/>
      </c>
      <c r="Z614" s="7">
        <f>IF(ISBLANK(V614), 0, VLOOKUP(V614, 'Price Sheet'!$A$2:$B1015, 2, false))</f>
        <v>0</v>
      </c>
      <c r="AA614" s="33" t="str">
        <f t="shared" si="6"/>
        <v/>
      </c>
      <c r="AB614" s="37"/>
      <c r="AC614" s="29"/>
      <c r="AD614" s="29" t="b">
        <v>0</v>
      </c>
      <c r="AE614" s="22" t="str">
        <f t="shared" si="7"/>
        <v/>
      </c>
      <c r="AF614" s="7">
        <f>IF(ISBLANK(AB614), 0, VLOOKUP(AB614, 'Price Sheet'!$A$2:$B1015, 2, false))</f>
        <v>0</v>
      </c>
      <c r="AG614" s="33" t="str">
        <f t="shared" si="8"/>
        <v/>
      </c>
      <c r="AH614" s="37"/>
      <c r="AI614" s="29"/>
      <c r="AJ614" s="29" t="b">
        <v>0</v>
      </c>
      <c r="AK614" s="22" t="str">
        <f t="shared" si="9"/>
        <v/>
      </c>
      <c r="AL614" s="7">
        <f>IF(ISBLANK(AH614), 0, VLOOKUP(AH614, 'Price Sheet'!$A$2:$B1015, 2, false))</f>
        <v>0</v>
      </c>
      <c r="AM614" s="33" t="str">
        <f t="shared" si="10"/>
        <v/>
      </c>
      <c r="AN614" s="37"/>
      <c r="AO614" s="29"/>
      <c r="AP614" s="29" t="b">
        <v>0</v>
      </c>
      <c r="AQ614" s="22" t="str">
        <f t="shared" si="11"/>
        <v/>
      </c>
      <c r="AR614" s="7">
        <f>IF(ISBLANK(AN614), 0, VLOOKUP(AN614, 'Price Sheet'!$A$2:$B1015, 2, false))</f>
        <v>0</v>
      </c>
      <c r="AS614" s="33" t="str">
        <f t="shared" si="12"/>
        <v/>
      </c>
      <c r="AT614" s="37"/>
      <c r="AU614" s="29"/>
      <c r="AV614" s="29" t="b">
        <v>0</v>
      </c>
      <c r="AW614" s="22" t="str">
        <f t="shared" si="13"/>
        <v/>
      </c>
      <c r="AX614" s="7">
        <f>IF(ISBLANK(AT614), 0, VLOOKUP(AT614, 'Price Sheet'!$A$2:$B1015, 2, false))</f>
        <v>0</v>
      </c>
      <c r="AY614" s="33" t="str">
        <f t="shared" si="14"/>
        <v/>
      </c>
      <c r="AZ614" s="37"/>
      <c r="BA614" s="29"/>
      <c r="BB614" s="29" t="b">
        <v>0</v>
      </c>
      <c r="BC614" s="22" t="str">
        <f t="shared" si="15"/>
        <v/>
      </c>
      <c r="BD614" s="7">
        <f>IF(ISBLANK(AZ614), 0, VLOOKUP(AZ614, 'Price Sheet'!$A$2:$B1015, 2, false))</f>
        <v>0</v>
      </c>
      <c r="BE614" s="33" t="str">
        <f t="shared" si="16"/>
        <v/>
      </c>
      <c r="BF614" s="37"/>
      <c r="BG614" s="29"/>
      <c r="BH614" s="29" t="b">
        <v>0</v>
      </c>
      <c r="BI614" s="22" t="str">
        <f t="shared" si="17"/>
        <v/>
      </c>
      <c r="BJ614" s="7">
        <f>IF(ISBLANK(BF614), 0, VLOOKUP(BF614, 'Price Sheet'!$A$2:$B1015, 2, false))</f>
        <v>0</v>
      </c>
      <c r="BK614" s="33" t="str">
        <f t="shared" si="18"/>
        <v/>
      </c>
      <c r="BL614" s="37"/>
      <c r="BM614" s="29"/>
      <c r="BN614" s="29" t="b">
        <v>0</v>
      </c>
      <c r="BO614" s="22" t="str">
        <f t="shared" si="19"/>
        <v/>
      </c>
      <c r="BP614" s="7">
        <f>IF(ISBLANK(BL614), 0, VLOOKUP(BL614, 'Price Sheet'!$A$2:$B1015, 2, false))</f>
        <v>0</v>
      </c>
      <c r="BQ614" s="33" t="str">
        <f t="shared" si="20"/>
        <v/>
      </c>
    </row>
    <row r="615">
      <c r="B615" s="19"/>
      <c r="C615" s="29"/>
      <c r="D615" s="29"/>
      <c r="E615" s="7" t="str">
        <f>IF(ISBLANK(D615), "", VLOOKUP(D615,'Crafting Tables'!$A$2:$B1015, 2, false))</f>
        <v/>
      </c>
      <c r="F615" s="7" t="str">
        <f>IFERROR(IF(E615 = "None", 1, VLOOKUP(C615,General!$A$5:$L$35, SWITCH(E615, "Basic", 8, "Advanced", 10, "Modern", 12), false)),"")</f>
        <v/>
      </c>
      <c r="G615" s="29"/>
      <c r="H615" s="7">
        <f>IFERROR(VLOOKUP(C615, General!$A$5:$L$35, 6, false) * G615 / 1000, 0)</f>
        <v>0</v>
      </c>
      <c r="I615" s="29"/>
      <c r="J615" s="22" t="str">
        <f>IFERROR(I615*VLOOKUP(D615,'Crafting Tables'!$1:$1000, 4, false)*F615,"")</f>
        <v/>
      </c>
      <c r="K615" s="29" t="b">
        <v>0</v>
      </c>
      <c r="L615" s="37"/>
      <c r="M615" s="29"/>
      <c r="N615" s="21" t="str">
        <f t="shared" si="2"/>
        <v/>
      </c>
      <c r="P615" s="37"/>
      <c r="Q615" s="29"/>
      <c r="R615" s="29" t="b">
        <v>0</v>
      </c>
      <c r="S615" s="22" t="str">
        <f t="shared" si="3"/>
        <v/>
      </c>
      <c r="T615" s="7">
        <f>IF(ISBLANK(P615), 0, VLOOKUP(P615, 'Price Sheet'!$A$2:$B1015, 2, false))</f>
        <v>0</v>
      </c>
      <c r="U615" s="33" t="str">
        <f t="shared" si="4"/>
        <v/>
      </c>
      <c r="V615" s="37"/>
      <c r="W615" s="29"/>
      <c r="X615" s="29" t="b">
        <v>0</v>
      </c>
      <c r="Y615" s="22" t="str">
        <f t="shared" si="5"/>
        <v/>
      </c>
      <c r="Z615" s="7">
        <f>IF(ISBLANK(V615), 0, VLOOKUP(V615, 'Price Sheet'!$A$2:$B1015, 2, false))</f>
        <v>0</v>
      </c>
      <c r="AA615" s="33" t="str">
        <f t="shared" si="6"/>
        <v/>
      </c>
      <c r="AB615" s="37"/>
      <c r="AC615" s="29"/>
      <c r="AD615" s="29" t="b">
        <v>0</v>
      </c>
      <c r="AE615" s="22" t="str">
        <f t="shared" si="7"/>
        <v/>
      </c>
      <c r="AF615" s="7">
        <f>IF(ISBLANK(AB615), 0, VLOOKUP(AB615, 'Price Sheet'!$A$2:$B1015, 2, false))</f>
        <v>0</v>
      </c>
      <c r="AG615" s="33" t="str">
        <f t="shared" si="8"/>
        <v/>
      </c>
      <c r="AH615" s="37"/>
      <c r="AI615" s="29"/>
      <c r="AJ615" s="29" t="b">
        <v>0</v>
      </c>
      <c r="AK615" s="22" t="str">
        <f t="shared" si="9"/>
        <v/>
      </c>
      <c r="AL615" s="7">
        <f>IF(ISBLANK(AH615), 0, VLOOKUP(AH615, 'Price Sheet'!$A$2:$B1015, 2, false))</f>
        <v>0</v>
      </c>
      <c r="AM615" s="33" t="str">
        <f t="shared" si="10"/>
        <v/>
      </c>
      <c r="AN615" s="37"/>
      <c r="AO615" s="29"/>
      <c r="AP615" s="29" t="b">
        <v>0</v>
      </c>
      <c r="AQ615" s="22" t="str">
        <f t="shared" si="11"/>
        <v/>
      </c>
      <c r="AR615" s="7">
        <f>IF(ISBLANK(AN615), 0, VLOOKUP(AN615, 'Price Sheet'!$A$2:$B1015, 2, false))</f>
        <v>0</v>
      </c>
      <c r="AS615" s="33" t="str">
        <f t="shared" si="12"/>
        <v/>
      </c>
      <c r="AT615" s="37"/>
      <c r="AU615" s="29"/>
      <c r="AV615" s="29" t="b">
        <v>0</v>
      </c>
      <c r="AW615" s="22" t="str">
        <f t="shared" si="13"/>
        <v/>
      </c>
      <c r="AX615" s="7">
        <f>IF(ISBLANK(AT615), 0, VLOOKUP(AT615, 'Price Sheet'!$A$2:$B1015, 2, false))</f>
        <v>0</v>
      </c>
      <c r="AY615" s="33" t="str">
        <f t="shared" si="14"/>
        <v/>
      </c>
      <c r="AZ615" s="37"/>
      <c r="BA615" s="29"/>
      <c r="BB615" s="29" t="b">
        <v>0</v>
      </c>
      <c r="BC615" s="22" t="str">
        <f t="shared" si="15"/>
        <v/>
      </c>
      <c r="BD615" s="7">
        <f>IF(ISBLANK(AZ615), 0, VLOOKUP(AZ615, 'Price Sheet'!$A$2:$B1015, 2, false))</f>
        <v>0</v>
      </c>
      <c r="BE615" s="33" t="str">
        <f t="shared" si="16"/>
        <v/>
      </c>
      <c r="BF615" s="37"/>
      <c r="BG615" s="29"/>
      <c r="BH615" s="29" t="b">
        <v>0</v>
      </c>
      <c r="BI615" s="22" t="str">
        <f t="shared" si="17"/>
        <v/>
      </c>
      <c r="BJ615" s="7">
        <f>IF(ISBLANK(BF615), 0, VLOOKUP(BF615, 'Price Sheet'!$A$2:$B1015, 2, false))</f>
        <v>0</v>
      </c>
      <c r="BK615" s="33" t="str">
        <f t="shared" si="18"/>
        <v/>
      </c>
      <c r="BL615" s="37"/>
      <c r="BM615" s="29"/>
      <c r="BN615" s="29" t="b">
        <v>0</v>
      </c>
      <c r="BO615" s="22" t="str">
        <f t="shared" si="19"/>
        <v/>
      </c>
      <c r="BP615" s="7">
        <f>IF(ISBLANK(BL615), 0, VLOOKUP(BL615, 'Price Sheet'!$A$2:$B1015, 2, false))</f>
        <v>0</v>
      </c>
      <c r="BQ615" s="33" t="str">
        <f t="shared" si="20"/>
        <v/>
      </c>
    </row>
    <row r="616">
      <c r="B616" s="19"/>
      <c r="C616" s="29"/>
      <c r="D616" s="29"/>
      <c r="E616" s="7" t="str">
        <f>IF(ISBLANK(D616), "", VLOOKUP(D616,'Crafting Tables'!$A$2:$B1015, 2, false))</f>
        <v/>
      </c>
      <c r="F616" s="7" t="str">
        <f>IFERROR(IF(E616 = "None", 1, VLOOKUP(C616,General!$A$5:$L$35, SWITCH(E616, "Basic", 8, "Advanced", 10, "Modern", 12), false)),"")</f>
        <v/>
      </c>
      <c r="G616" s="29"/>
      <c r="H616" s="7">
        <f>IFERROR(VLOOKUP(C616, General!$A$5:$L$35, 6, false) * G616 / 1000, 0)</f>
        <v>0</v>
      </c>
      <c r="I616" s="29"/>
      <c r="J616" s="22" t="str">
        <f>IFERROR(I616*VLOOKUP(D616,'Crafting Tables'!$1:$1000, 4, false)*F616,"")</f>
        <v/>
      </c>
      <c r="K616" s="29" t="b">
        <v>0</v>
      </c>
      <c r="L616" s="37"/>
      <c r="M616" s="29"/>
      <c r="N616" s="21" t="str">
        <f t="shared" si="2"/>
        <v/>
      </c>
      <c r="P616" s="37"/>
      <c r="Q616" s="29"/>
      <c r="R616" s="29" t="b">
        <v>0</v>
      </c>
      <c r="S616" s="22" t="str">
        <f t="shared" si="3"/>
        <v/>
      </c>
      <c r="T616" s="7">
        <f>IF(ISBLANK(P616), 0, VLOOKUP(P616, 'Price Sheet'!$A$2:$B1015, 2, false))</f>
        <v>0</v>
      </c>
      <c r="U616" s="33" t="str">
        <f t="shared" si="4"/>
        <v/>
      </c>
      <c r="V616" s="37"/>
      <c r="W616" s="29"/>
      <c r="X616" s="29" t="b">
        <v>0</v>
      </c>
      <c r="Y616" s="22" t="str">
        <f t="shared" si="5"/>
        <v/>
      </c>
      <c r="Z616" s="7">
        <f>IF(ISBLANK(V616), 0, VLOOKUP(V616, 'Price Sheet'!$A$2:$B1015, 2, false))</f>
        <v>0</v>
      </c>
      <c r="AA616" s="33" t="str">
        <f t="shared" si="6"/>
        <v/>
      </c>
      <c r="AB616" s="37"/>
      <c r="AC616" s="29"/>
      <c r="AD616" s="29" t="b">
        <v>0</v>
      </c>
      <c r="AE616" s="22" t="str">
        <f t="shared" si="7"/>
        <v/>
      </c>
      <c r="AF616" s="7">
        <f>IF(ISBLANK(AB616), 0, VLOOKUP(AB616, 'Price Sheet'!$A$2:$B1015, 2, false))</f>
        <v>0</v>
      </c>
      <c r="AG616" s="33" t="str">
        <f t="shared" si="8"/>
        <v/>
      </c>
      <c r="AH616" s="37"/>
      <c r="AI616" s="29"/>
      <c r="AJ616" s="29" t="b">
        <v>0</v>
      </c>
      <c r="AK616" s="22" t="str">
        <f t="shared" si="9"/>
        <v/>
      </c>
      <c r="AL616" s="7">
        <f>IF(ISBLANK(AH616), 0, VLOOKUP(AH616, 'Price Sheet'!$A$2:$B1015, 2, false))</f>
        <v>0</v>
      </c>
      <c r="AM616" s="33" t="str">
        <f t="shared" si="10"/>
        <v/>
      </c>
      <c r="AN616" s="37"/>
      <c r="AO616" s="29"/>
      <c r="AP616" s="29" t="b">
        <v>0</v>
      </c>
      <c r="AQ616" s="22" t="str">
        <f t="shared" si="11"/>
        <v/>
      </c>
      <c r="AR616" s="7">
        <f>IF(ISBLANK(AN616), 0, VLOOKUP(AN616, 'Price Sheet'!$A$2:$B1015, 2, false))</f>
        <v>0</v>
      </c>
      <c r="AS616" s="33" t="str">
        <f t="shared" si="12"/>
        <v/>
      </c>
      <c r="AT616" s="37"/>
      <c r="AU616" s="29"/>
      <c r="AV616" s="29" t="b">
        <v>0</v>
      </c>
      <c r="AW616" s="22" t="str">
        <f t="shared" si="13"/>
        <v/>
      </c>
      <c r="AX616" s="7">
        <f>IF(ISBLANK(AT616), 0, VLOOKUP(AT616, 'Price Sheet'!$A$2:$B1015, 2, false))</f>
        <v>0</v>
      </c>
      <c r="AY616" s="33" t="str">
        <f t="shared" si="14"/>
        <v/>
      </c>
      <c r="AZ616" s="37"/>
      <c r="BA616" s="29"/>
      <c r="BB616" s="29" t="b">
        <v>0</v>
      </c>
      <c r="BC616" s="22" t="str">
        <f t="shared" si="15"/>
        <v/>
      </c>
      <c r="BD616" s="7">
        <f>IF(ISBLANK(AZ616), 0, VLOOKUP(AZ616, 'Price Sheet'!$A$2:$B1015, 2, false))</f>
        <v>0</v>
      </c>
      <c r="BE616" s="33" t="str">
        <f t="shared" si="16"/>
        <v/>
      </c>
      <c r="BF616" s="37"/>
      <c r="BG616" s="29"/>
      <c r="BH616" s="29" t="b">
        <v>0</v>
      </c>
      <c r="BI616" s="22" t="str">
        <f t="shared" si="17"/>
        <v/>
      </c>
      <c r="BJ616" s="7">
        <f>IF(ISBLANK(BF616), 0, VLOOKUP(BF616, 'Price Sheet'!$A$2:$B1015, 2, false))</f>
        <v>0</v>
      </c>
      <c r="BK616" s="33" t="str">
        <f t="shared" si="18"/>
        <v/>
      </c>
      <c r="BL616" s="37"/>
      <c r="BM616" s="29"/>
      <c r="BN616" s="29" t="b">
        <v>0</v>
      </c>
      <c r="BO616" s="22" t="str">
        <f t="shared" si="19"/>
        <v/>
      </c>
      <c r="BP616" s="7">
        <f>IF(ISBLANK(BL616), 0, VLOOKUP(BL616, 'Price Sheet'!$A$2:$B1015, 2, false))</f>
        <v>0</v>
      </c>
      <c r="BQ616" s="33" t="str">
        <f t="shared" si="20"/>
        <v/>
      </c>
    </row>
    <row r="617">
      <c r="B617" s="19"/>
      <c r="C617" s="29"/>
      <c r="D617" s="29"/>
      <c r="E617" s="7" t="str">
        <f>IF(ISBLANK(D617), "", VLOOKUP(D617,'Crafting Tables'!$A$2:$B1015, 2, false))</f>
        <v/>
      </c>
      <c r="F617" s="7" t="str">
        <f>IFERROR(IF(E617 = "None", 1, VLOOKUP(C617,General!$A$5:$L$35, SWITCH(E617, "Basic", 8, "Advanced", 10, "Modern", 12), false)),"")</f>
        <v/>
      </c>
      <c r="G617" s="29"/>
      <c r="H617" s="7">
        <f>IFERROR(VLOOKUP(C617, General!$A$5:$L$35, 6, false) * G617 / 1000, 0)</f>
        <v>0</v>
      </c>
      <c r="I617" s="29"/>
      <c r="J617" s="22" t="str">
        <f>IFERROR(I617*VLOOKUP(D617,'Crafting Tables'!$1:$1000, 4, false)*F617,"")</f>
        <v/>
      </c>
      <c r="K617" s="29" t="b">
        <v>0</v>
      </c>
      <c r="L617" s="37"/>
      <c r="M617" s="29"/>
      <c r="N617" s="21" t="str">
        <f t="shared" si="2"/>
        <v/>
      </c>
      <c r="P617" s="37"/>
      <c r="Q617" s="29"/>
      <c r="R617" s="29" t="b">
        <v>0</v>
      </c>
      <c r="S617" s="22" t="str">
        <f t="shared" si="3"/>
        <v/>
      </c>
      <c r="T617" s="7">
        <f>IF(ISBLANK(P617), 0, VLOOKUP(P617, 'Price Sheet'!$A$2:$B1015, 2, false))</f>
        <v>0</v>
      </c>
      <c r="U617" s="33" t="str">
        <f t="shared" si="4"/>
        <v/>
      </c>
      <c r="V617" s="37"/>
      <c r="W617" s="29"/>
      <c r="X617" s="29" t="b">
        <v>0</v>
      </c>
      <c r="Y617" s="22" t="str">
        <f t="shared" si="5"/>
        <v/>
      </c>
      <c r="Z617" s="7">
        <f>IF(ISBLANK(V617), 0, VLOOKUP(V617, 'Price Sheet'!$A$2:$B1015, 2, false))</f>
        <v>0</v>
      </c>
      <c r="AA617" s="33" t="str">
        <f t="shared" si="6"/>
        <v/>
      </c>
      <c r="AB617" s="37"/>
      <c r="AC617" s="29"/>
      <c r="AD617" s="29" t="b">
        <v>0</v>
      </c>
      <c r="AE617" s="22" t="str">
        <f t="shared" si="7"/>
        <v/>
      </c>
      <c r="AF617" s="7">
        <f>IF(ISBLANK(AB617), 0, VLOOKUP(AB617, 'Price Sheet'!$A$2:$B1015, 2, false))</f>
        <v>0</v>
      </c>
      <c r="AG617" s="33" t="str">
        <f t="shared" si="8"/>
        <v/>
      </c>
      <c r="AH617" s="37"/>
      <c r="AI617" s="29"/>
      <c r="AJ617" s="29" t="b">
        <v>0</v>
      </c>
      <c r="AK617" s="22" t="str">
        <f t="shared" si="9"/>
        <v/>
      </c>
      <c r="AL617" s="7">
        <f>IF(ISBLANK(AH617), 0, VLOOKUP(AH617, 'Price Sheet'!$A$2:$B1015, 2, false))</f>
        <v>0</v>
      </c>
      <c r="AM617" s="33" t="str">
        <f t="shared" si="10"/>
        <v/>
      </c>
      <c r="AN617" s="37"/>
      <c r="AO617" s="29"/>
      <c r="AP617" s="29" t="b">
        <v>0</v>
      </c>
      <c r="AQ617" s="22" t="str">
        <f t="shared" si="11"/>
        <v/>
      </c>
      <c r="AR617" s="7">
        <f>IF(ISBLANK(AN617), 0, VLOOKUP(AN617, 'Price Sheet'!$A$2:$B1015, 2, false))</f>
        <v>0</v>
      </c>
      <c r="AS617" s="33" t="str">
        <f t="shared" si="12"/>
        <v/>
      </c>
      <c r="AT617" s="37"/>
      <c r="AU617" s="29"/>
      <c r="AV617" s="29" t="b">
        <v>0</v>
      </c>
      <c r="AW617" s="22" t="str">
        <f t="shared" si="13"/>
        <v/>
      </c>
      <c r="AX617" s="7">
        <f>IF(ISBLANK(AT617), 0, VLOOKUP(AT617, 'Price Sheet'!$A$2:$B1015, 2, false))</f>
        <v>0</v>
      </c>
      <c r="AY617" s="33" t="str">
        <f t="shared" si="14"/>
        <v/>
      </c>
      <c r="AZ617" s="37"/>
      <c r="BA617" s="29"/>
      <c r="BB617" s="29" t="b">
        <v>0</v>
      </c>
      <c r="BC617" s="22" t="str">
        <f t="shared" si="15"/>
        <v/>
      </c>
      <c r="BD617" s="7">
        <f>IF(ISBLANK(AZ617), 0, VLOOKUP(AZ617, 'Price Sheet'!$A$2:$B1015, 2, false))</f>
        <v>0</v>
      </c>
      <c r="BE617" s="33" t="str">
        <f t="shared" si="16"/>
        <v/>
      </c>
      <c r="BF617" s="37"/>
      <c r="BG617" s="29"/>
      <c r="BH617" s="29" t="b">
        <v>0</v>
      </c>
      <c r="BI617" s="22" t="str">
        <f t="shared" si="17"/>
        <v/>
      </c>
      <c r="BJ617" s="7">
        <f>IF(ISBLANK(BF617), 0, VLOOKUP(BF617, 'Price Sheet'!$A$2:$B1015, 2, false))</f>
        <v>0</v>
      </c>
      <c r="BK617" s="33" t="str">
        <f t="shared" si="18"/>
        <v/>
      </c>
      <c r="BL617" s="37"/>
      <c r="BM617" s="29"/>
      <c r="BN617" s="29" t="b">
        <v>0</v>
      </c>
      <c r="BO617" s="22" t="str">
        <f t="shared" si="19"/>
        <v/>
      </c>
      <c r="BP617" s="7">
        <f>IF(ISBLANK(BL617), 0, VLOOKUP(BL617, 'Price Sheet'!$A$2:$B1015, 2, false))</f>
        <v>0</v>
      </c>
      <c r="BQ617" s="33" t="str">
        <f t="shared" si="20"/>
        <v/>
      </c>
    </row>
    <row r="618">
      <c r="B618" s="19"/>
      <c r="C618" s="29"/>
      <c r="D618" s="29"/>
      <c r="E618" s="7" t="str">
        <f>IF(ISBLANK(D618), "", VLOOKUP(D618,'Crafting Tables'!$A$2:$B1015, 2, false))</f>
        <v/>
      </c>
      <c r="F618" s="7" t="str">
        <f>IFERROR(IF(E618 = "None", 1, VLOOKUP(C618,General!$A$5:$L$35, SWITCH(E618, "Basic", 8, "Advanced", 10, "Modern", 12), false)),"")</f>
        <v/>
      </c>
      <c r="G618" s="29"/>
      <c r="H618" s="7">
        <f>IFERROR(VLOOKUP(C618, General!$A$5:$L$35, 6, false) * G618 / 1000, 0)</f>
        <v>0</v>
      </c>
      <c r="I618" s="29"/>
      <c r="J618" s="22" t="str">
        <f>IFERROR(I618*VLOOKUP(D618,'Crafting Tables'!$1:$1000, 4, false)*F618,"")</f>
        <v/>
      </c>
      <c r="K618" s="29" t="b">
        <v>0</v>
      </c>
      <c r="L618" s="37"/>
      <c r="M618" s="29"/>
      <c r="N618" s="21" t="str">
        <f t="shared" si="2"/>
        <v/>
      </c>
      <c r="P618" s="37"/>
      <c r="Q618" s="29"/>
      <c r="R618" s="29" t="b">
        <v>0</v>
      </c>
      <c r="S618" s="22" t="str">
        <f t="shared" si="3"/>
        <v/>
      </c>
      <c r="T618" s="7">
        <f>IF(ISBLANK(P618), 0, VLOOKUP(P618, 'Price Sheet'!$A$2:$B1015, 2, false))</f>
        <v>0</v>
      </c>
      <c r="U618" s="33" t="str">
        <f t="shared" si="4"/>
        <v/>
      </c>
      <c r="V618" s="37"/>
      <c r="W618" s="29"/>
      <c r="X618" s="29" t="b">
        <v>0</v>
      </c>
      <c r="Y618" s="22" t="str">
        <f t="shared" si="5"/>
        <v/>
      </c>
      <c r="Z618" s="7">
        <f>IF(ISBLANK(V618), 0, VLOOKUP(V618, 'Price Sheet'!$A$2:$B1015, 2, false))</f>
        <v>0</v>
      </c>
      <c r="AA618" s="33" t="str">
        <f t="shared" si="6"/>
        <v/>
      </c>
      <c r="AB618" s="37"/>
      <c r="AC618" s="29"/>
      <c r="AD618" s="29" t="b">
        <v>0</v>
      </c>
      <c r="AE618" s="22" t="str">
        <f t="shared" si="7"/>
        <v/>
      </c>
      <c r="AF618" s="7">
        <f>IF(ISBLANK(AB618), 0, VLOOKUP(AB618, 'Price Sheet'!$A$2:$B1015, 2, false))</f>
        <v>0</v>
      </c>
      <c r="AG618" s="33" t="str">
        <f t="shared" si="8"/>
        <v/>
      </c>
      <c r="AH618" s="37"/>
      <c r="AI618" s="29"/>
      <c r="AJ618" s="29" t="b">
        <v>0</v>
      </c>
      <c r="AK618" s="22" t="str">
        <f t="shared" si="9"/>
        <v/>
      </c>
      <c r="AL618" s="7">
        <f>IF(ISBLANK(AH618), 0, VLOOKUP(AH618, 'Price Sheet'!$A$2:$B1015, 2, false))</f>
        <v>0</v>
      </c>
      <c r="AM618" s="33" t="str">
        <f t="shared" si="10"/>
        <v/>
      </c>
      <c r="AN618" s="37"/>
      <c r="AO618" s="29"/>
      <c r="AP618" s="29" t="b">
        <v>0</v>
      </c>
      <c r="AQ618" s="22" t="str">
        <f t="shared" si="11"/>
        <v/>
      </c>
      <c r="AR618" s="7">
        <f>IF(ISBLANK(AN618), 0, VLOOKUP(AN618, 'Price Sheet'!$A$2:$B1015, 2, false))</f>
        <v>0</v>
      </c>
      <c r="AS618" s="33" t="str">
        <f t="shared" si="12"/>
        <v/>
      </c>
      <c r="AT618" s="37"/>
      <c r="AU618" s="29"/>
      <c r="AV618" s="29" t="b">
        <v>0</v>
      </c>
      <c r="AW618" s="22" t="str">
        <f t="shared" si="13"/>
        <v/>
      </c>
      <c r="AX618" s="7">
        <f>IF(ISBLANK(AT618), 0, VLOOKUP(AT618, 'Price Sheet'!$A$2:$B1015, 2, false))</f>
        <v>0</v>
      </c>
      <c r="AY618" s="33" t="str">
        <f t="shared" si="14"/>
        <v/>
      </c>
      <c r="AZ618" s="37"/>
      <c r="BA618" s="29"/>
      <c r="BB618" s="29" t="b">
        <v>0</v>
      </c>
      <c r="BC618" s="22" t="str">
        <f t="shared" si="15"/>
        <v/>
      </c>
      <c r="BD618" s="7">
        <f>IF(ISBLANK(AZ618), 0, VLOOKUP(AZ618, 'Price Sheet'!$A$2:$B1015, 2, false))</f>
        <v>0</v>
      </c>
      <c r="BE618" s="33" t="str">
        <f t="shared" si="16"/>
        <v/>
      </c>
      <c r="BF618" s="37"/>
      <c r="BG618" s="29"/>
      <c r="BH618" s="29" t="b">
        <v>0</v>
      </c>
      <c r="BI618" s="22" t="str">
        <f t="shared" si="17"/>
        <v/>
      </c>
      <c r="BJ618" s="7">
        <f>IF(ISBLANK(BF618), 0, VLOOKUP(BF618, 'Price Sheet'!$A$2:$B1015, 2, false))</f>
        <v>0</v>
      </c>
      <c r="BK618" s="33" t="str">
        <f t="shared" si="18"/>
        <v/>
      </c>
      <c r="BL618" s="37"/>
      <c r="BM618" s="29"/>
      <c r="BN618" s="29" t="b">
        <v>0</v>
      </c>
      <c r="BO618" s="22" t="str">
        <f t="shared" si="19"/>
        <v/>
      </c>
      <c r="BP618" s="7">
        <f>IF(ISBLANK(BL618), 0, VLOOKUP(BL618, 'Price Sheet'!$A$2:$B1015, 2, false))</f>
        <v>0</v>
      </c>
      <c r="BQ618" s="33" t="str">
        <f t="shared" si="20"/>
        <v/>
      </c>
    </row>
    <row r="619">
      <c r="B619" s="19"/>
      <c r="C619" s="29"/>
      <c r="D619" s="29"/>
      <c r="E619" s="7" t="str">
        <f>IF(ISBLANK(D619), "", VLOOKUP(D619,'Crafting Tables'!$A$2:$B1015, 2, false))</f>
        <v/>
      </c>
      <c r="F619" s="7" t="str">
        <f>IFERROR(IF(E619 = "None", 1, VLOOKUP(C619,General!$A$5:$L$35, SWITCH(E619, "Basic", 8, "Advanced", 10, "Modern", 12), false)),"")</f>
        <v/>
      </c>
      <c r="G619" s="29"/>
      <c r="H619" s="7">
        <f>IFERROR(VLOOKUP(C619, General!$A$5:$L$35, 6, false) * G619 / 1000, 0)</f>
        <v>0</v>
      </c>
      <c r="I619" s="29"/>
      <c r="J619" s="22" t="str">
        <f>IFERROR(I619*VLOOKUP(D619,'Crafting Tables'!$1:$1000, 4, false)*F619,"")</f>
        <v/>
      </c>
      <c r="K619" s="29" t="b">
        <v>0</v>
      </c>
      <c r="L619" s="37"/>
      <c r="M619" s="29"/>
      <c r="N619" s="21" t="str">
        <f t="shared" si="2"/>
        <v/>
      </c>
      <c r="P619" s="37"/>
      <c r="Q619" s="29"/>
      <c r="R619" s="29" t="b">
        <v>0</v>
      </c>
      <c r="S619" s="22" t="str">
        <f t="shared" si="3"/>
        <v/>
      </c>
      <c r="T619" s="7">
        <f>IF(ISBLANK(P619), 0, VLOOKUP(P619, 'Price Sheet'!$A$2:$B1015, 2, false))</f>
        <v>0</v>
      </c>
      <c r="U619" s="33" t="str">
        <f t="shared" si="4"/>
        <v/>
      </c>
      <c r="V619" s="37"/>
      <c r="W619" s="29"/>
      <c r="X619" s="29" t="b">
        <v>0</v>
      </c>
      <c r="Y619" s="22" t="str">
        <f t="shared" si="5"/>
        <v/>
      </c>
      <c r="Z619" s="7">
        <f>IF(ISBLANK(V619), 0, VLOOKUP(V619, 'Price Sheet'!$A$2:$B1015, 2, false))</f>
        <v>0</v>
      </c>
      <c r="AA619" s="33" t="str">
        <f t="shared" si="6"/>
        <v/>
      </c>
      <c r="AB619" s="37"/>
      <c r="AC619" s="29"/>
      <c r="AD619" s="29" t="b">
        <v>0</v>
      </c>
      <c r="AE619" s="22" t="str">
        <f t="shared" si="7"/>
        <v/>
      </c>
      <c r="AF619" s="7">
        <f>IF(ISBLANK(AB619), 0, VLOOKUP(AB619, 'Price Sheet'!$A$2:$B1015, 2, false))</f>
        <v>0</v>
      </c>
      <c r="AG619" s="33" t="str">
        <f t="shared" si="8"/>
        <v/>
      </c>
      <c r="AH619" s="37"/>
      <c r="AI619" s="29"/>
      <c r="AJ619" s="29" t="b">
        <v>0</v>
      </c>
      <c r="AK619" s="22" t="str">
        <f t="shared" si="9"/>
        <v/>
      </c>
      <c r="AL619" s="7">
        <f>IF(ISBLANK(AH619), 0, VLOOKUP(AH619, 'Price Sheet'!$A$2:$B1015, 2, false))</f>
        <v>0</v>
      </c>
      <c r="AM619" s="33" t="str">
        <f t="shared" si="10"/>
        <v/>
      </c>
      <c r="AN619" s="37"/>
      <c r="AO619" s="29"/>
      <c r="AP619" s="29" t="b">
        <v>0</v>
      </c>
      <c r="AQ619" s="22" t="str">
        <f t="shared" si="11"/>
        <v/>
      </c>
      <c r="AR619" s="7">
        <f>IF(ISBLANK(AN619), 0, VLOOKUP(AN619, 'Price Sheet'!$A$2:$B1015, 2, false))</f>
        <v>0</v>
      </c>
      <c r="AS619" s="33" t="str">
        <f t="shared" si="12"/>
        <v/>
      </c>
      <c r="AT619" s="37"/>
      <c r="AU619" s="29"/>
      <c r="AV619" s="29" t="b">
        <v>0</v>
      </c>
      <c r="AW619" s="22" t="str">
        <f t="shared" si="13"/>
        <v/>
      </c>
      <c r="AX619" s="7">
        <f>IF(ISBLANK(AT619), 0, VLOOKUP(AT619, 'Price Sheet'!$A$2:$B1015, 2, false))</f>
        <v>0</v>
      </c>
      <c r="AY619" s="33" t="str">
        <f t="shared" si="14"/>
        <v/>
      </c>
      <c r="AZ619" s="37"/>
      <c r="BA619" s="29"/>
      <c r="BB619" s="29" t="b">
        <v>0</v>
      </c>
      <c r="BC619" s="22" t="str">
        <f t="shared" si="15"/>
        <v/>
      </c>
      <c r="BD619" s="7">
        <f>IF(ISBLANK(AZ619), 0, VLOOKUP(AZ619, 'Price Sheet'!$A$2:$B1015, 2, false))</f>
        <v>0</v>
      </c>
      <c r="BE619" s="33" t="str">
        <f t="shared" si="16"/>
        <v/>
      </c>
      <c r="BF619" s="37"/>
      <c r="BG619" s="29"/>
      <c r="BH619" s="29" t="b">
        <v>0</v>
      </c>
      <c r="BI619" s="22" t="str">
        <f t="shared" si="17"/>
        <v/>
      </c>
      <c r="BJ619" s="7">
        <f>IF(ISBLANK(BF619), 0, VLOOKUP(BF619, 'Price Sheet'!$A$2:$B1015, 2, false))</f>
        <v>0</v>
      </c>
      <c r="BK619" s="33" t="str">
        <f t="shared" si="18"/>
        <v/>
      </c>
      <c r="BL619" s="37"/>
      <c r="BM619" s="29"/>
      <c r="BN619" s="29" t="b">
        <v>0</v>
      </c>
      <c r="BO619" s="22" t="str">
        <f t="shared" si="19"/>
        <v/>
      </c>
      <c r="BP619" s="7">
        <f>IF(ISBLANK(BL619), 0, VLOOKUP(BL619, 'Price Sheet'!$A$2:$B1015, 2, false))</f>
        <v>0</v>
      </c>
      <c r="BQ619" s="33" t="str">
        <f t="shared" si="20"/>
        <v/>
      </c>
    </row>
    <row r="620">
      <c r="B620" s="19"/>
      <c r="C620" s="29"/>
      <c r="D620" s="29"/>
      <c r="E620" s="7" t="str">
        <f>IF(ISBLANK(D620), "", VLOOKUP(D620,'Crafting Tables'!$A$2:$B1015, 2, false))</f>
        <v/>
      </c>
      <c r="F620" s="7" t="str">
        <f>IFERROR(IF(E620 = "None", 1, VLOOKUP(C620,General!$A$5:$L$35, SWITCH(E620, "Basic", 8, "Advanced", 10, "Modern", 12), false)),"")</f>
        <v/>
      </c>
      <c r="G620" s="29"/>
      <c r="H620" s="7">
        <f>IFERROR(VLOOKUP(C620, General!$A$5:$L$35, 6, false) * G620 / 1000, 0)</f>
        <v>0</v>
      </c>
      <c r="I620" s="29"/>
      <c r="J620" s="22" t="str">
        <f>IFERROR(I620*VLOOKUP(D620,'Crafting Tables'!$1:$1000, 4, false)*F620,"")</f>
        <v/>
      </c>
      <c r="K620" s="29" t="b">
        <v>0</v>
      </c>
      <c r="L620" s="37"/>
      <c r="M620" s="29"/>
      <c r="N620" s="21" t="str">
        <f t="shared" si="2"/>
        <v/>
      </c>
      <c r="P620" s="37"/>
      <c r="Q620" s="29"/>
      <c r="R620" s="29" t="b">
        <v>0</v>
      </c>
      <c r="S620" s="22" t="str">
        <f t="shared" si="3"/>
        <v/>
      </c>
      <c r="T620" s="7">
        <f>IF(ISBLANK(P620), 0, VLOOKUP(P620, 'Price Sheet'!$A$2:$B1015, 2, false))</f>
        <v>0</v>
      </c>
      <c r="U620" s="33" t="str">
        <f t="shared" si="4"/>
        <v/>
      </c>
      <c r="V620" s="37"/>
      <c r="W620" s="29"/>
      <c r="X620" s="29" t="b">
        <v>0</v>
      </c>
      <c r="Y620" s="22" t="str">
        <f t="shared" si="5"/>
        <v/>
      </c>
      <c r="Z620" s="7">
        <f>IF(ISBLANK(V620), 0, VLOOKUP(V620, 'Price Sheet'!$A$2:$B1015, 2, false))</f>
        <v>0</v>
      </c>
      <c r="AA620" s="33" t="str">
        <f t="shared" si="6"/>
        <v/>
      </c>
      <c r="AB620" s="37"/>
      <c r="AC620" s="29"/>
      <c r="AD620" s="29" t="b">
        <v>0</v>
      </c>
      <c r="AE620" s="22" t="str">
        <f t="shared" si="7"/>
        <v/>
      </c>
      <c r="AF620" s="7">
        <f>IF(ISBLANK(AB620), 0, VLOOKUP(AB620, 'Price Sheet'!$A$2:$B1015, 2, false))</f>
        <v>0</v>
      </c>
      <c r="AG620" s="33" t="str">
        <f t="shared" si="8"/>
        <v/>
      </c>
      <c r="AH620" s="37"/>
      <c r="AI620" s="29"/>
      <c r="AJ620" s="29" t="b">
        <v>0</v>
      </c>
      <c r="AK620" s="22" t="str">
        <f t="shared" si="9"/>
        <v/>
      </c>
      <c r="AL620" s="7">
        <f>IF(ISBLANK(AH620), 0, VLOOKUP(AH620, 'Price Sheet'!$A$2:$B1015, 2, false))</f>
        <v>0</v>
      </c>
      <c r="AM620" s="33" t="str">
        <f t="shared" si="10"/>
        <v/>
      </c>
      <c r="AN620" s="37"/>
      <c r="AO620" s="29"/>
      <c r="AP620" s="29" t="b">
        <v>0</v>
      </c>
      <c r="AQ620" s="22" t="str">
        <f t="shared" si="11"/>
        <v/>
      </c>
      <c r="AR620" s="7">
        <f>IF(ISBLANK(AN620), 0, VLOOKUP(AN620, 'Price Sheet'!$A$2:$B1015, 2, false))</f>
        <v>0</v>
      </c>
      <c r="AS620" s="33" t="str">
        <f t="shared" si="12"/>
        <v/>
      </c>
      <c r="AT620" s="37"/>
      <c r="AU620" s="29"/>
      <c r="AV620" s="29" t="b">
        <v>0</v>
      </c>
      <c r="AW620" s="22" t="str">
        <f t="shared" si="13"/>
        <v/>
      </c>
      <c r="AX620" s="7">
        <f>IF(ISBLANK(AT620), 0, VLOOKUP(AT620, 'Price Sheet'!$A$2:$B1015, 2, false))</f>
        <v>0</v>
      </c>
      <c r="AY620" s="33" t="str">
        <f t="shared" si="14"/>
        <v/>
      </c>
      <c r="AZ620" s="37"/>
      <c r="BA620" s="29"/>
      <c r="BB620" s="29" t="b">
        <v>0</v>
      </c>
      <c r="BC620" s="22" t="str">
        <f t="shared" si="15"/>
        <v/>
      </c>
      <c r="BD620" s="7">
        <f>IF(ISBLANK(AZ620), 0, VLOOKUP(AZ620, 'Price Sheet'!$A$2:$B1015, 2, false))</f>
        <v>0</v>
      </c>
      <c r="BE620" s="33" t="str">
        <f t="shared" si="16"/>
        <v/>
      </c>
      <c r="BF620" s="37"/>
      <c r="BG620" s="29"/>
      <c r="BH620" s="29" t="b">
        <v>0</v>
      </c>
      <c r="BI620" s="22" t="str">
        <f t="shared" si="17"/>
        <v/>
      </c>
      <c r="BJ620" s="7">
        <f>IF(ISBLANK(BF620), 0, VLOOKUP(BF620, 'Price Sheet'!$A$2:$B1015, 2, false))</f>
        <v>0</v>
      </c>
      <c r="BK620" s="33" t="str">
        <f t="shared" si="18"/>
        <v/>
      </c>
      <c r="BL620" s="37"/>
      <c r="BM620" s="29"/>
      <c r="BN620" s="29" t="b">
        <v>0</v>
      </c>
      <c r="BO620" s="22" t="str">
        <f t="shared" si="19"/>
        <v/>
      </c>
      <c r="BP620" s="7">
        <f>IF(ISBLANK(BL620), 0, VLOOKUP(BL620, 'Price Sheet'!$A$2:$B1015, 2, false))</f>
        <v>0</v>
      </c>
      <c r="BQ620" s="33" t="str">
        <f t="shared" si="20"/>
        <v/>
      </c>
    </row>
    <row r="621">
      <c r="B621" s="19"/>
      <c r="C621" s="29"/>
      <c r="D621" s="29"/>
      <c r="E621" s="7" t="str">
        <f>IF(ISBLANK(D621), "", VLOOKUP(D621,'Crafting Tables'!$A$2:$B1015, 2, false))</f>
        <v/>
      </c>
      <c r="F621" s="7" t="str">
        <f>IFERROR(IF(E621 = "None", 1, VLOOKUP(C621,General!$A$5:$L$35, SWITCH(E621, "Basic", 8, "Advanced", 10, "Modern", 12), false)),"")</f>
        <v/>
      </c>
      <c r="G621" s="29"/>
      <c r="H621" s="7">
        <f>IFERROR(VLOOKUP(C621, General!$A$5:$L$35, 6, false) * G621 / 1000, 0)</f>
        <v>0</v>
      </c>
      <c r="I621" s="29"/>
      <c r="J621" s="22" t="str">
        <f>IFERROR(I621*VLOOKUP(D621,'Crafting Tables'!$1:$1000, 4, false)*F621,"")</f>
        <v/>
      </c>
      <c r="K621" s="29" t="b">
        <v>0</v>
      </c>
      <c r="L621" s="37"/>
      <c r="M621" s="29"/>
      <c r="N621" s="21" t="str">
        <f t="shared" si="2"/>
        <v/>
      </c>
      <c r="P621" s="37"/>
      <c r="Q621" s="29"/>
      <c r="R621" s="29" t="b">
        <v>0</v>
      </c>
      <c r="S621" s="22" t="str">
        <f t="shared" si="3"/>
        <v/>
      </c>
      <c r="T621" s="7">
        <f>IF(ISBLANK(P621), 0, VLOOKUP(P621, 'Price Sheet'!$A$2:$B1015, 2, false))</f>
        <v>0</v>
      </c>
      <c r="U621" s="33" t="str">
        <f t="shared" si="4"/>
        <v/>
      </c>
      <c r="V621" s="37"/>
      <c r="W621" s="29"/>
      <c r="X621" s="29" t="b">
        <v>0</v>
      </c>
      <c r="Y621" s="22" t="str">
        <f t="shared" si="5"/>
        <v/>
      </c>
      <c r="Z621" s="7">
        <f>IF(ISBLANK(V621), 0, VLOOKUP(V621, 'Price Sheet'!$A$2:$B1015, 2, false))</f>
        <v>0</v>
      </c>
      <c r="AA621" s="33" t="str">
        <f t="shared" si="6"/>
        <v/>
      </c>
      <c r="AB621" s="37"/>
      <c r="AC621" s="29"/>
      <c r="AD621" s="29" t="b">
        <v>0</v>
      </c>
      <c r="AE621" s="22" t="str">
        <f t="shared" si="7"/>
        <v/>
      </c>
      <c r="AF621" s="7">
        <f>IF(ISBLANK(AB621), 0, VLOOKUP(AB621, 'Price Sheet'!$A$2:$B1015, 2, false))</f>
        <v>0</v>
      </c>
      <c r="AG621" s="33" t="str">
        <f t="shared" si="8"/>
        <v/>
      </c>
      <c r="AH621" s="37"/>
      <c r="AI621" s="29"/>
      <c r="AJ621" s="29" t="b">
        <v>0</v>
      </c>
      <c r="AK621" s="22" t="str">
        <f t="shared" si="9"/>
        <v/>
      </c>
      <c r="AL621" s="7">
        <f>IF(ISBLANK(AH621), 0, VLOOKUP(AH621, 'Price Sheet'!$A$2:$B1015, 2, false))</f>
        <v>0</v>
      </c>
      <c r="AM621" s="33" t="str">
        <f t="shared" si="10"/>
        <v/>
      </c>
      <c r="AN621" s="37"/>
      <c r="AO621" s="29"/>
      <c r="AP621" s="29" t="b">
        <v>0</v>
      </c>
      <c r="AQ621" s="22" t="str">
        <f t="shared" si="11"/>
        <v/>
      </c>
      <c r="AR621" s="7">
        <f>IF(ISBLANK(AN621), 0, VLOOKUP(AN621, 'Price Sheet'!$A$2:$B1015, 2, false))</f>
        <v>0</v>
      </c>
      <c r="AS621" s="33" t="str">
        <f t="shared" si="12"/>
        <v/>
      </c>
      <c r="AT621" s="37"/>
      <c r="AU621" s="29"/>
      <c r="AV621" s="29" t="b">
        <v>0</v>
      </c>
      <c r="AW621" s="22" t="str">
        <f t="shared" si="13"/>
        <v/>
      </c>
      <c r="AX621" s="7">
        <f>IF(ISBLANK(AT621), 0, VLOOKUP(AT621, 'Price Sheet'!$A$2:$B1015, 2, false))</f>
        <v>0</v>
      </c>
      <c r="AY621" s="33" t="str">
        <f t="shared" si="14"/>
        <v/>
      </c>
      <c r="AZ621" s="37"/>
      <c r="BA621" s="29"/>
      <c r="BB621" s="29" t="b">
        <v>0</v>
      </c>
      <c r="BC621" s="22" t="str">
        <f t="shared" si="15"/>
        <v/>
      </c>
      <c r="BD621" s="7">
        <f>IF(ISBLANK(AZ621), 0, VLOOKUP(AZ621, 'Price Sheet'!$A$2:$B1015, 2, false))</f>
        <v>0</v>
      </c>
      <c r="BE621" s="33" t="str">
        <f t="shared" si="16"/>
        <v/>
      </c>
      <c r="BF621" s="37"/>
      <c r="BG621" s="29"/>
      <c r="BH621" s="29" t="b">
        <v>0</v>
      </c>
      <c r="BI621" s="22" t="str">
        <f t="shared" si="17"/>
        <v/>
      </c>
      <c r="BJ621" s="7">
        <f>IF(ISBLANK(BF621), 0, VLOOKUP(BF621, 'Price Sheet'!$A$2:$B1015, 2, false))</f>
        <v>0</v>
      </c>
      <c r="BK621" s="33" t="str">
        <f t="shared" si="18"/>
        <v/>
      </c>
      <c r="BL621" s="37"/>
      <c r="BM621" s="29"/>
      <c r="BN621" s="29" t="b">
        <v>0</v>
      </c>
      <c r="BO621" s="22" t="str">
        <f t="shared" si="19"/>
        <v/>
      </c>
      <c r="BP621" s="7">
        <f>IF(ISBLANK(BL621), 0, VLOOKUP(BL621, 'Price Sheet'!$A$2:$B1015, 2, false))</f>
        <v>0</v>
      </c>
      <c r="BQ621" s="33" t="str">
        <f t="shared" si="20"/>
        <v/>
      </c>
    </row>
    <row r="622">
      <c r="B622" s="19"/>
      <c r="C622" s="29"/>
      <c r="D622" s="29"/>
      <c r="E622" s="7" t="str">
        <f>IF(ISBLANK(D622), "", VLOOKUP(D622,'Crafting Tables'!$A$2:$B1015, 2, false))</f>
        <v/>
      </c>
      <c r="F622" s="7" t="str">
        <f>IFERROR(IF(E622 = "None", 1, VLOOKUP(C622,General!$A$5:$L$35, SWITCH(E622, "Basic", 8, "Advanced", 10, "Modern", 12), false)),"")</f>
        <v/>
      </c>
      <c r="G622" s="29"/>
      <c r="H622" s="7">
        <f>IFERROR(VLOOKUP(C622, General!$A$5:$L$35, 6, false) * G622 / 1000, 0)</f>
        <v>0</v>
      </c>
      <c r="I622" s="29"/>
      <c r="J622" s="22" t="str">
        <f>IFERROR(I622*VLOOKUP(D622,'Crafting Tables'!$1:$1000, 4, false)*F622,"")</f>
        <v/>
      </c>
      <c r="K622" s="29" t="b">
        <v>0</v>
      </c>
      <c r="L622" s="37"/>
      <c r="M622" s="29"/>
      <c r="N622" s="21" t="str">
        <f t="shared" si="2"/>
        <v/>
      </c>
      <c r="P622" s="37"/>
      <c r="Q622" s="29"/>
      <c r="R622" s="29" t="b">
        <v>0</v>
      </c>
      <c r="S622" s="22" t="str">
        <f t="shared" si="3"/>
        <v/>
      </c>
      <c r="T622" s="7">
        <f>IF(ISBLANK(P622), 0, VLOOKUP(P622, 'Price Sheet'!$A$2:$B1015, 2, false))</f>
        <v>0</v>
      </c>
      <c r="U622" s="33" t="str">
        <f t="shared" si="4"/>
        <v/>
      </c>
      <c r="V622" s="37"/>
      <c r="W622" s="29"/>
      <c r="X622" s="29" t="b">
        <v>0</v>
      </c>
      <c r="Y622" s="22" t="str">
        <f t="shared" si="5"/>
        <v/>
      </c>
      <c r="Z622" s="7">
        <f>IF(ISBLANK(V622), 0, VLOOKUP(V622, 'Price Sheet'!$A$2:$B1015, 2, false))</f>
        <v>0</v>
      </c>
      <c r="AA622" s="33" t="str">
        <f t="shared" si="6"/>
        <v/>
      </c>
      <c r="AB622" s="37"/>
      <c r="AC622" s="29"/>
      <c r="AD622" s="29" t="b">
        <v>0</v>
      </c>
      <c r="AE622" s="22" t="str">
        <f t="shared" si="7"/>
        <v/>
      </c>
      <c r="AF622" s="7">
        <f>IF(ISBLANK(AB622), 0, VLOOKUP(AB622, 'Price Sheet'!$A$2:$B1015, 2, false))</f>
        <v>0</v>
      </c>
      <c r="AG622" s="33" t="str">
        <f t="shared" si="8"/>
        <v/>
      </c>
      <c r="AH622" s="37"/>
      <c r="AI622" s="29"/>
      <c r="AJ622" s="29" t="b">
        <v>0</v>
      </c>
      <c r="AK622" s="22" t="str">
        <f t="shared" si="9"/>
        <v/>
      </c>
      <c r="AL622" s="7">
        <f>IF(ISBLANK(AH622), 0, VLOOKUP(AH622, 'Price Sheet'!$A$2:$B1015, 2, false))</f>
        <v>0</v>
      </c>
      <c r="AM622" s="33" t="str">
        <f t="shared" si="10"/>
        <v/>
      </c>
      <c r="AN622" s="37"/>
      <c r="AO622" s="29"/>
      <c r="AP622" s="29" t="b">
        <v>0</v>
      </c>
      <c r="AQ622" s="22" t="str">
        <f t="shared" si="11"/>
        <v/>
      </c>
      <c r="AR622" s="7">
        <f>IF(ISBLANK(AN622), 0, VLOOKUP(AN622, 'Price Sheet'!$A$2:$B1015, 2, false))</f>
        <v>0</v>
      </c>
      <c r="AS622" s="33" t="str">
        <f t="shared" si="12"/>
        <v/>
      </c>
      <c r="AT622" s="37"/>
      <c r="AU622" s="29"/>
      <c r="AV622" s="29" t="b">
        <v>0</v>
      </c>
      <c r="AW622" s="22" t="str">
        <f t="shared" si="13"/>
        <v/>
      </c>
      <c r="AX622" s="7">
        <f>IF(ISBLANK(AT622), 0, VLOOKUP(AT622, 'Price Sheet'!$A$2:$B1015, 2, false))</f>
        <v>0</v>
      </c>
      <c r="AY622" s="33" t="str">
        <f t="shared" si="14"/>
        <v/>
      </c>
      <c r="AZ622" s="37"/>
      <c r="BA622" s="29"/>
      <c r="BB622" s="29" t="b">
        <v>0</v>
      </c>
      <c r="BC622" s="22" t="str">
        <f t="shared" si="15"/>
        <v/>
      </c>
      <c r="BD622" s="7">
        <f>IF(ISBLANK(AZ622), 0, VLOOKUP(AZ622, 'Price Sheet'!$A$2:$B1015, 2, false))</f>
        <v>0</v>
      </c>
      <c r="BE622" s="33" t="str">
        <f t="shared" si="16"/>
        <v/>
      </c>
      <c r="BF622" s="37"/>
      <c r="BG622" s="29"/>
      <c r="BH622" s="29" t="b">
        <v>0</v>
      </c>
      <c r="BI622" s="22" t="str">
        <f t="shared" si="17"/>
        <v/>
      </c>
      <c r="BJ622" s="7">
        <f>IF(ISBLANK(BF622), 0, VLOOKUP(BF622, 'Price Sheet'!$A$2:$B1015, 2, false))</f>
        <v>0</v>
      </c>
      <c r="BK622" s="33" t="str">
        <f t="shared" si="18"/>
        <v/>
      </c>
      <c r="BL622" s="37"/>
      <c r="BM622" s="29"/>
      <c r="BN622" s="29" t="b">
        <v>0</v>
      </c>
      <c r="BO622" s="22" t="str">
        <f t="shared" si="19"/>
        <v/>
      </c>
      <c r="BP622" s="7">
        <f>IF(ISBLANK(BL622), 0, VLOOKUP(BL622, 'Price Sheet'!$A$2:$B1015, 2, false))</f>
        <v>0</v>
      </c>
      <c r="BQ622" s="33" t="str">
        <f t="shared" si="20"/>
        <v/>
      </c>
    </row>
    <row r="623">
      <c r="B623" s="19"/>
      <c r="C623" s="29"/>
      <c r="D623" s="29"/>
      <c r="E623" s="7" t="str">
        <f>IF(ISBLANK(D623), "", VLOOKUP(D623,'Crafting Tables'!$A$2:$B1015, 2, false))</f>
        <v/>
      </c>
      <c r="F623" s="7" t="str">
        <f>IFERROR(IF(E623 = "None", 1, VLOOKUP(C623,General!$A$5:$L$35, SWITCH(E623, "Basic", 8, "Advanced", 10, "Modern", 12), false)),"")</f>
        <v/>
      </c>
      <c r="G623" s="29"/>
      <c r="H623" s="7">
        <f>IFERROR(VLOOKUP(C623, General!$A$5:$L$35, 6, false) * G623 / 1000, 0)</f>
        <v>0</v>
      </c>
      <c r="I623" s="29"/>
      <c r="J623" s="22" t="str">
        <f>IFERROR(I623*VLOOKUP(D623,'Crafting Tables'!$1:$1000, 4, false)*F623,"")</f>
        <v/>
      </c>
      <c r="K623" s="29" t="b">
        <v>0</v>
      </c>
      <c r="L623" s="37"/>
      <c r="M623" s="29"/>
      <c r="N623" s="21" t="str">
        <f t="shared" si="2"/>
        <v/>
      </c>
      <c r="P623" s="37"/>
      <c r="Q623" s="29"/>
      <c r="R623" s="29" t="b">
        <v>0</v>
      </c>
      <c r="S623" s="22" t="str">
        <f t="shared" si="3"/>
        <v/>
      </c>
      <c r="T623" s="7">
        <f>IF(ISBLANK(P623), 0, VLOOKUP(P623, 'Price Sheet'!$A$2:$B1015, 2, false))</f>
        <v>0</v>
      </c>
      <c r="U623" s="33" t="str">
        <f t="shared" si="4"/>
        <v/>
      </c>
      <c r="V623" s="37"/>
      <c r="W623" s="29"/>
      <c r="X623" s="29" t="b">
        <v>0</v>
      </c>
      <c r="Y623" s="22" t="str">
        <f t="shared" si="5"/>
        <v/>
      </c>
      <c r="Z623" s="7">
        <f>IF(ISBLANK(V623), 0, VLOOKUP(V623, 'Price Sheet'!$A$2:$B1015, 2, false))</f>
        <v>0</v>
      </c>
      <c r="AA623" s="33" t="str">
        <f t="shared" si="6"/>
        <v/>
      </c>
      <c r="AB623" s="37"/>
      <c r="AC623" s="29"/>
      <c r="AD623" s="29" t="b">
        <v>0</v>
      </c>
      <c r="AE623" s="22" t="str">
        <f t="shared" si="7"/>
        <v/>
      </c>
      <c r="AF623" s="7">
        <f>IF(ISBLANK(AB623), 0, VLOOKUP(AB623, 'Price Sheet'!$A$2:$B1015, 2, false))</f>
        <v>0</v>
      </c>
      <c r="AG623" s="33" t="str">
        <f t="shared" si="8"/>
        <v/>
      </c>
      <c r="AH623" s="37"/>
      <c r="AI623" s="29"/>
      <c r="AJ623" s="29" t="b">
        <v>0</v>
      </c>
      <c r="AK623" s="22" t="str">
        <f t="shared" si="9"/>
        <v/>
      </c>
      <c r="AL623" s="7">
        <f>IF(ISBLANK(AH623), 0, VLOOKUP(AH623, 'Price Sheet'!$A$2:$B1015, 2, false))</f>
        <v>0</v>
      </c>
      <c r="AM623" s="33" t="str">
        <f t="shared" si="10"/>
        <v/>
      </c>
      <c r="AN623" s="37"/>
      <c r="AO623" s="29"/>
      <c r="AP623" s="29" t="b">
        <v>0</v>
      </c>
      <c r="AQ623" s="22" t="str">
        <f t="shared" si="11"/>
        <v/>
      </c>
      <c r="AR623" s="7">
        <f>IF(ISBLANK(AN623), 0, VLOOKUP(AN623, 'Price Sheet'!$A$2:$B1015, 2, false))</f>
        <v>0</v>
      </c>
      <c r="AS623" s="33" t="str">
        <f t="shared" si="12"/>
        <v/>
      </c>
      <c r="AT623" s="37"/>
      <c r="AU623" s="29"/>
      <c r="AV623" s="29" t="b">
        <v>0</v>
      </c>
      <c r="AW623" s="22" t="str">
        <f t="shared" si="13"/>
        <v/>
      </c>
      <c r="AX623" s="7">
        <f>IF(ISBLANK(AT623), 0, VLOOKUP(AT623, 'Price Sheet'!$A$2:$B1015, 2, false))</f>
        <v>0</v>
      </c>
      <c r="AY623" s="33" t="str">
        <f t="shared" si="14"/>
        <v/>
      </c>
      <c r="AZ623" s="37"/>
      <c r="BA623" s="29"/>
      <c r="BB623" s="29" t="b">
        <v>0</v>
      </c>
      <c r="BC623" s="22" t="str">
        <f t="shared" si="15"/>
        <v/>
      </c>
      <c r="BD623" s="7">
        <f>IF(ISBLANK(AZ623), 0, VLOOKUP(AZ623, 'Price Sheet'!$A$2:$B1015, 2, false))</f>
        <v>0</v>
      </c>
      <c r="BE623" s="33" t="str">
        <f t="shared" si="16"/>
        <v/>
      </c>
      <c r="BF623" s="37"/>
      <c r="BG623" s="29"/>
      <c r="BH623" s="29" t="b">
        <v>0</v>
      </c>
      <c r="BI623" s="22" t="str">
        <f t="shared" si="17"/>
        <v/>
      </c>
      <c r="BJ623" s="7">
        <f>IF(ISBLANK(BF623), 0, VLOOKUP(BF623, 'Price Sheet'!$A$2:$B1015, 2, false))</f>
        <v>0</v>
      </c>
      <c r="BK623" s="33" t="str">
        <f t="shared" si="18"/>
        <v/>
      </c>
      <c r="BL623" s="37"/>
      <c r="BM623" s="29"/>
      <c r="BN623" s="29" t="b">
        <v>0</v>
      </c>
      <c r="BO623" s="22" t="str">
        <f t="shared" si="19"/>
        <v/>
      </c>
      <c r="BP623" s="7">
        <f>IF(ISBLANK(BL623), 0, VLOOKUP(BL623, 'Price Sheet'!$A$2:$B1015, 2, false))</f>
        <v>0</v>
      </c>
      <c r="BQ623" s="33" t="str">
        <f t="shared" si="20"/>
        <v/>
      </c>
    </row>
    <row r="624">
      <c r="B624" s="19"/>
      <c r="C624" s="29"/>
      <c r="D624" s="29"/>
      <c r="E624" s="7" t="str">
        <f>IF(ISBLANK(D624), "", VLOOKUP(D624,'Crafting Tables'!$A$2:$B1015, 2, false))</f>
        <v/>
      </c>
      <c r="F624" s="7" t="str">
        <f>IFERROR(IF(E624 = "None", 1, VLOOKUP(C624,General!$A$5:$L$35, SWITCH(E624, "Basic", 8, "Advanced", 10, "Modern", 12), false)),"")</f>
        <v/>
      </c>
      <c r="G624" s="29"/>
      <c r="H624" s="7">
        <f>IFERROR(VLOOKUP(C624, General!$A$5:$L$35, 6, false) * G624 / 1000, 0)</f>
        <v>0</v>
      </c>
      <c r="I624" s="29"/>
      <c r="J624" s="22" t="str">
        <f>IFERROR(I624*VLOOKUP(D624,'Crafting Tables'!$1:$1000, 4, false)*F624,"")</f>
        <v/>
      </c>
      <c r="K624" s="29" t="b">
        <v>0</v>
      </c>
      <c r="L624" s="37"/>
      <c r="M624" s="29"/>
      <c r="N624" s="21" t="str">
        <f t="shared" si="2"/>
        <v/>
      </c>
      <c r="P624" s="37"/>
      <c r="Q624" s="29"/>
      <c r="R624" s="29" t="b">
        <v>0</v>
      </c>
      <c r="S624" s="22" t="str">
        <f t="shared" si="3"/>
        <v/>
      </c>
      <c r="T624" s="7">
        <f>IF(ISBLANK(P624), 0, VLOOKUP(P624, 'Price Sheet'!$A$2:$B1015, 2, false))</f>
        <v>0</v>
      </c>
      <c r="U624" s="33" t="str">
        <f t="shared" si="4"/>
        <v/>
      </c>
      <c r="V624" s="37"/>
      <c r="W624" s="29"/>
      <c r="X624" s="29" t="b">
        <v>0</v>
      </c>
      <c r="Y624" s="22" t="str">
        <f t="shared" si="5"/>
        <v/>
      </c>
      <c r="Z624" s="7">
        <f>IF(ISBLANK(V624), 0, VLOOKUP(V624, 'Price Sheet'!$A$2:$B1015, 2, false))</f>
        <v>0</v>
      </c>
      <c r="AA624" s="33" t="str">
        <f t="shared" si="6"/>
        <v/>
      </c>
      <c r="AB624" s="37"/>
      <c r="AC624" s="29"/>
      <c r="AD624" s="29" t="b">
        <v>0</v>
      </c>
      <c r="AE624" s="22" t="str">
        <f t="shared" si="7"/>
        <v/>
      </c>
      <c r="AF624" s="7">
        <f>IF(ISBLANK(AB624), 0, VLOOKUP(AB624, 'Price Sheet'!$A$2:$B1015, 2, false))</f>
        <v>0</v>
      </c>
      <c r="AG624" s="33" t="str">
        <f t="shared" si="8"/>
        <v/>
      </c>
      <c r="AH624" s="37"/>
      <c r="AI624" s="29"/>
      <c r="AJ624" s="29" t="b">
        <v>0</v>
      </c>
      <c r="AK624" s="22" t="str">
        <f t="shared" si="9"/>
        <v/>
      </c>
      <c r="AL624" s="7">
        <f>IF(ISBLANK(AH624), 0, VLOOKUP(AH624, 'Price Sheet'!$A$2:$B1015, 2, false))</f>
        <v>0</v>
      </c>
      <c r="AM624" s="33" t="str">
        <f t="shared" si="10"/>
        <v/>
      </c>
      <c r="AN624" s="37"/>
      <c r="AO624" s="29"/>
      <c r="AP624" s="29" t="b">
        <v>0</v>
      </c>
      <c r="AQ624" s="22" t="str">
        <f t="shared" si="11"/>
        <v/>
      </c>
      <c r="AR624" s="7">
        <f>IF(ISBLANK(AN624), 0, VLOOKUP(AN624, 'Price Sheet'!$A$2:$B1015, 2, false))</f>
        <v>0</v>
      </c>
      <c r="AS624" s="33" t="str">
        <f t="shared" si="12"/>
        <v/>
      </c>
      <c r="AT624" s="37"/>
      <c r="AU624" s="29"/>
      <c r="AV624" s="29" t="b">
        <v>0</v>
      </c>
      <c r="AW624" s="22" t="str">
        <f t="shared" si="13"/>
        <v/>
      </c>
      <c r="AX624" s="7">
        <f>IF(ISBLANK(AT624), 0, VLOOKUP(AT624, 'Price Sheet'!$A$2:$B1015, 2, false))</f>
        <v>0</v>
      </c>
      <c r="AY624" s="33" t="str">
        <f t="shared" si="14"/>
        <v/>
      </c>
      <c r="AZ624" s="37"/>
      <c r="BA624" s="29"/>
      <c r="BB624" s="29" t="b">
        <v>0</v>
      </c>
      <c r="BC624" s="22" t="str">
        <f t="shared" si="15"/>
        <v/>
      </c>
      <c r="BD624" s="7">
        <f>IF(ISBLANK(AZ624), 0, VLOOKUP(AZ624, 'Price Sheet'!$A$2:$B1015, 2, false))</f>
        <v>0</v>
      </c>
      <c r="BE624" s="33" t="str">
        <f t="shared" si="16"/>
        <v/>
      </c>
      <c r="BF624" s="37"/>
      <c r="BG624" s="29"/>
      <c r="BH624" s="29" t="b">
        <v>0</v>
      </c>
      <c r="BI624" s="22" t="str">
        <f t="shared" si="17"/>
        <v/>
      </c>
      <c r="BJ624" s="7">
        <f>IF(ISBLANK(BF624), 0, VLOOKUP(BF624, 'Price Sheet'!$A$2:$B1015, 2, false))</f>
        <v>0</v>
      </c>
      <c r="BK624" s="33" t="str">
        <f t="shared" si="18"/>
        <v/>
      </c>
      <c r="BL624" s="37"/>
      <c r="BM624" s="29"/>
      <c r="BN624" s="29" t="b">
        <v>0</v>
      </c>
      <c r="BO624" s="22" t="str">
        <f t="shared" si="19"/>
        <v/>
      </c>
      <c r="BP624" s="7">
        <f>IF(ISBLANK(BL624), 0, VLOOKUP(BL624, 'Price Sheet'!$A$2:$B1015, 2, false))</f>
        <v>0</v>
      </c>
      <c r="BQ624" s="33" t="str">
        <f t="shared" si="20"/>
        <v/>
      </c>
    </row>
    <row r="625">
      <c r="B625" s="19"/>
      <c r="C625" s="29"/>
      <c r="D625" s="29"/>
      <c r="E625" s="7" t="str">
        <f>IF(ISBLANK(D625), "", VLOOKUP(D625,'Crafting Tables'!$A$2:$B1015, 2, false))</f>
        <v/>
      </c>
      <c r="F625" s="7" t="str">
        <f>IFERROR(IF(E625 = "None", 1, VLOOKUP(C625,General!$A$5:$L$35, SWITCH(E625, "Basic", 8, "Advanced", 10, "Modern", 12), false)),"")</f>
        <v/>
      </c>
      <c r="G625" s="29"/>
      <c r="H625" s="7">
        <f>IFERROR(VLOOKUP(C625, General!$A$5:$L$35, 6, false) * G625 / 1000, 0)</f>
        <v>0</v>
      </c>
      <c r="I625" s="29"/>
      <c r="J625" s="22" t="str">
        <f>IFERROR(I625*VLOOKUP(D625,'Crafting Tables'!$1:$1000, 4, false)*F625,"")</f>
        <v/>
      </c>
      <c r="K625" s="29" t="b">
        <v>0</v>
      </c>
      <c r="L625" s="37"/>
      <c r="M625" s="29"/>
      <c r="N625" s="21" t="str">
        <f t="shared" si="2"/>
        <v/>
      </c>
      <c r="P625" s="37"/>
      <c r="Q625" s="29"/>
      <c r="R625" s="29" t="b">
        <v>0</v>
      </c>
      <c r="S625" s="22" t="str">
        <f t="shared" si="3"/>
        <v/>
      </c>
      <c r="T625" s="7">
        <f>IF(ISBLANK(P625), 0, VLOOKUP(P625, 'Price Sheet'!$A$2:$B1015, 2, false))</f>
        <v>0</v>
      </c>
      <c r="U625" s="33" t="str">
        <f t="shared" si="4"/>
        <v/>
      </c>
      <c r="V625" s="37"/>
      <c r="W625" s="29"/>
      <c r="X625" s="29" t="b">
        <v>0</v>
      </c>
      <c r="Y625" s="22" t="str">
        <f t="shared" si="5"/>
        <v/>
      </c>
      <c r="Z625" s="7">
        <f>IF(ISBLANK(V625), 0, VLOOKUP(V625, 'Price Sheet'!$A$2:$B1015, 2, false))</f>
        <v>0</v>
      </c>
      <c r="AA625" s="33" t="str">
        <f t="shared" si="6"/>
        <v/>
      </c>
      <c r="AB625" s="37"/>
      <c r="AC625" s="29"/>
      <c r="AD625" s="29" t="b">
        <v>0</v>
      </c>
      <c r="AE625" s="22" t="str">
        <f t="shared" si="7"/>
        <v/>
      </c>
      <c r="AF625" s="7">
        <f>IF(ISBLANK(AB625), 0, VLOOKUP(AB625, 'Price Sheet'!$A$2:$B1015, 2, false))</f>
        <v>0</v>
      </c>
      <c r="AG625" s="33" t="str">
        <f t="shared" si="8"/>
        <v/>
      </c>
      <c r="AH625" s="37"/>
      <c r="AI625" s="29"/>
      <c r="AJ625" s="29" t="b">
        <v>0</v>
      </c>
      <c r="AK625" s="22" t="str">
        <f t="shared" si="9"/>
        <v/>
      </c>
      <c r="AL625" s="7">
        <f>IF(ISBLANK(AH625), 0, VLOOKUP(AH625, 'Price Sheet'!$A$2:$B1015, 2, false))</f>
        <v>0</v>
      </c>
      <c r="AM625" s="33" t="str">
        <f t="shared" si="10"/>
        <v/>
      </c>
      <c r="AN625" s="37"/>
      <c r="AO625" s="29"/>
      <c r="AP625" s="29" t="b">
        <v>0</v>
      </c>
      <c r="AQ625" s="22" t="str">
        <f t="shared" si="11"/>
        <v/>
      </c>
      <c r="AR625" s="7">
        <f>IF(ISBLANK(AN625), 0, VLOOKUP(AN625, 'Price Sheet'!$A$2:$B1015, 2, false))</f>
        <v>0</v>
      </c>
      <c r="AS625" s="33" t="str">
        <f t="shared" si="12"/>
        <v/>
      </c>
      <c r="AT625" s="37"/>
      <c r="AU625" s="29"/>
      <c r="AV625" s="29" t="b">
        <v>0</v>
      </c>
      <c r="AW625" s="22" t="str">
        <f t="shared" si="13"/>
        <v/>
      </c>
      <c r="AX625" s="7">
        <f>IF(ISBLANK(AT625), 0, VLOOKUP(AT625, 'Price Sheet'!$A$2:$B1015, 2, false))</f>
        <v>0</v>
      </c>
      <c r="AY625" s="33" t="str">
        <f t="shared" si="14"/>
        <v/>
      </c>
      <c r="AZ625" s="37"/>
      <c r="BA625" s="29"/>
      <c r="BB625" s="29" t="b">
        <v>0</v>
      </c>
      <c r="BC625" s="22" t="str">
        <f t="shared" si="15"/>
        <v/>
      </c>
      <c r="BD625" s="7">
        <f>IF(ISBLANK(AZ625), 0, VLOOKUP(AZ625, 'Price Sheet'!$A$2:$B1015, 2, false))</f>
        <v>0</v>
      </c>
      <c r="BE625" s="33" t="str">
        <f t="shared" si="16"/>
        <v/>
      </c>
      <c r="BF625" s="37"/>
      <c r="BG625" s="29"/>
      <c r="BH625" s="29" t="b">
        <v>0</v>
      </c>
      <c r="BI625" s="22" t="str">
        <f t="shared" si="17"/>
        <v/>
      </c>
      <c r="BJ625" s="7">
        <f>IF(ISBLANK(BF625), 0, VLOOKUP(BF625, 'Price Sheet'!$A$2:$B1015, 2, false))</f>
        <v>0</v>
      </c>
      <c r="BK625" s="33" t="str">
        <f t="shared" si="18"/>
        <v/>
      </c>
      <c r="BL625" s="37"/>
      <c r="BM625" s="29"/>
      <c r="BN625" s="29" t="b">
        <v>0</v>
      </c>
      <c r="BO625" s="22" t="str">
        <f t="shared" si="19"/>
        <v/>
      </c>
      <c r="BP625" s="7">
        <f>IF(ISBLANK(BL625), 0, VLOOKUP(BL625, 'Price Sheet'!$A$2:$B1015, 2, false))</f>
        <v>0</v>
      </c>
      <c r="BQ625" s="33" t="str">
        <f t="shared" si="20"/>
        <v/>
      </c>
    </row>
    <row r="626">
      <c r="B626" s="19"/>
      <c r="C626" s="29"/>
      <c r="D626" s="29"/>
      <c r="E626" s="7" t="str">
        <f>IF(ISBLANK(D626), "", VLOOKUP(D626,'Crafting Tables'!$A$2:$B1015, 2, false))</f>
        <v/>
      </c>
      <c r="F626" s="7" t="str">
        <f>IFERROR(IF(E626 = "None", 1, VLOOKUP(C626,General!$A$5:$L$35, SWITCH(E626, "Basic", 8, "Advanced", 10, "Modern", 12), false)),"")</f>
        <v/>
      </c>
      <c r="G626" s="29"/>
      <c r="H626" s="7">
        <f>IFERROR(VLOOKUP(C626, General!$A$5:$L$35, 6, false) * G626 / 1000, 0)</f>
        <v>0</v>
      </c>
      <c r="I626" s="29"/>
      <c r="J626" s="22" t="str">
        <f>IFERROR(I626*VLOOKUP(D626,'Crafting Tables'!$1:$1000, 4, false)*F626,"")</f>
        <v/>
      </c>
      <c r="K626" s="29" t="b">
        <v>0</v>
      </c>
      <c r="L626" s="37"/>
      <c r="M626" s="29"/>
      <c r="N626" s="21" t="str">
        <f t="shared" si="2"/>
        <v/>
      </c>
      <c r="P626" s="37"/>
      <c r="Q626" s="29"/>
      <c r="R626" s="29" t="b">
        <v>0</v>
      </c>
      <c r="S626" s="22" t="str">
        <f t="shared" si="3"/>
        <v/>
      </c>
      <c r="T626" s="7">
        <f>IF(ISBLANK(P626), 0, VLOOKUP(P626, 'Price Sheet'!$A$2:$B1015, 2, false))</f>
        <v>0</v>
      </c>
      <c r="U626" s="33" t="str">
        <f t="shared" si="4"/>
        <v/>
      </c>
      <c r="V626" s="37"/>
      <c r="W626" s="29"/>
      <c r="X626" s="29" t="b">
        <v>0</v>
      </c>
      <c r="Y626" s="22" t="str">
        <f t="shared" si="5"/>
        <v/>
      </c>
      <c r="Z626" s="7">
        <f>IF(ISBLANK(V626), 0, VLOOKUP(V626, 'Price Sheet'!$A$2:$B1015, 2, false))</f>
        <v>0</v>
      </c>
      <c r="AA626" s="33" t="str">
        <f t="shared" si="6"/>
        <v/>
      </c>
      <c r="AB626" s="37"/>
      <c r="AC626" s="29"/>
      <c r="AD626" s="29" t="b">
        <v>0</v>
      </c>
      <c r="AE626" s="22" t="str">
        <f t="shared" si="7"/>
        <v/>
      </c>
      <c r="AF626" s="7">
        <f>IF(ISBLANK(AB626), 0, VLOOKUP(AB626, 'Price Sheet'!$A$2:$B1015, 2, false))</f>
        <v>0</v>
      </c>
      <c r="AG626" s="33" t="str">
        <f t="shared" si="8"/>
        <v/>
      </c>
      <c r="AH626" s="37"/>
      <c r="AI626" s="29"/>
      <c r="AJ626" s="29" t="b">
        <v>0</v>
      </c>
      <c r="AK626" s="22" t="str">
        <f t="shared" si="9"/>
        <v/>
      </c>
      <c r="AL626" s="7">
        <f>IF(ISBLANK(AH626), 0, VLOOKUP(AH626, 'Price Sheet'!$A$2:$B1015, 2, false))</f>
        <v>0</v>
      </c>
      <c r="AM626" s="33" t="str">
        <f t="shared" si="10"/>
        <v/>
      </c>
      <c r="AN626" s="37"/>
      <c r="AO626" s="29"/>
      <c r="AP626" s="29" t="b">
        <v>0</v>
      </c>
      <c r="AQ626" s="22" t="str">
        <f t="shared" si="11"/>
        <v/>
      </c>
      <c r="AR626" s="7">
        <f>IF(ISBLANK(AN626), 0, VLOOKUP(AN626, 'Price Sheet'!$A$2:$B1015, 2, false))</f>
        <v>0</v>
      </c>
      <c r="AS626" s="33" t="str">
        <f t="shared" si="12"/>
        <v/>
      </c>
      <c r="AT626" s="37"/>
      <c r="AU626" s="29"/>
      <c r="AV626" s="29" t="b">
        <v>0</v>
      </c>
      <c r="AW626" s="22" t="str">
        <f t="shared" si="13"/>
        <v/>
      </c>
      <c r="AX626" s="7">
        <f>IF(ISBLANK(AT626), 0, VLOOKUP(AT626, 'Price Sheet'!$A$2:$B1015, 2, false))</f>
        <v>0</v>
      </c>
      <c r="AY626" s="33" t="str">
        <f t="shared" si="14"/>
        <v/>
      </c>
      <c r="AZ626" s="37"/>
      <c r="BA626" s="29"/>
      <c r="BB626" s="29" t="b">
        <v>0</v>
      </c>
      <c r="BC626" s="22" t="str">
        <f t="shared" si="15"/>
        <v/>
      </c>
      <c r="BD626" s="7">
        <f>IF(ISBLANK(AZ626), 0, VLOOKUP(AZ626, 'Price Sheet'!$A$2:$B1015, 2, false))</f>
        <v>0</v>
      </c>
      <c r="BE626" s="33" t="str">
        <f t="shared" si="16"/>
        <v/>
      </c>
      <c r="BF626" s="37"/>
      <c r="BG626" s="29"/>
      <c r="BH626" s="29" t="b">
        <v>0</v>
      </c>
      <c r="BI626" s="22" t="str">
        <f t="shared" si="17"/>
        <v/>
      </c>
      <c r="BJ626" s="7">
        <f>IF(ISBLANK(BF626), 0, VLOOKUP(BF626, 'Price Sheet'!$A$2:$B1015, 2, false))</f>
        <v>0</v>
      </c>
      <c r="BK626" s="33" t="str">
        <f t="shared" si="18"/>
        <v/>
      </c>
      <c r="BL626" s="37"/>
      <c r="BM626" s="29"/>
      <c r="BN626" s="29" t="b">
        <v>0</v>
      </c>
      <c r="BO626" s="22" t="str">
        <f t="shared" si="19"/>
        <v/>
      </c>
      <c r="BP626" s="7">
        <f>IF(ISBLANK(BL626), 0, VLOOKUP(BL626, 'Price Sheet'!$A$2:$B1015, 2, false))</f>
        <v>0</v>
      </c>
      <c r="BQ626" s="33" t="str">
        <f t="shared" si="20"/>
        <v/>
      </c>
    </row>
    <row r="627">
      <c r="B627" s="19"/>
      <c r="C627" s="29"/>
      <c r="D627" s="29"/>
      <c r="E627" s="7" t="str">
        <f>IF(ISBLANK(D627), "", VLOOKUP(D627,'Crafting Tables'!$A$2:$B1015, 2, false))</f>
        <v/>
      </c>
      <c r="F627" s="7" t="str">
        <f>IFERROR(IF(E627 = "None", 1, VLOOKUP(C627,General!$A$5:$L$35, SWITCH(E627, "Basic", 8, "Advanced", 10, "Modern", 12), false)),"")</f>
        <v/>
      </c>
      <c r="G627" s="29"/>
      <c r="H627" s="7">
        <f>IFERROR(VLOOKUP(C627, General!$A$5:$L$35, 6, false) * G627 / 1000, 0)</f>
        <v>0</v>
      </c>
      <c r="I627" s="29"/>
      <c r="J627" s="22" t="str">
        <f>IFERROR(I627*VLOOKUP(D627,'Crafting Tables'!$1:$1000, 4, false)*F627,"")</f>
        <v/>
      </c>
      <c r="K627" s="29" t="b">
        <v>0</v>
      </c>
      <c r="L627" s="37"/>
      <c r="M627" s="29"/>
      <c r="N627" s="21" t="str">
        <f t="shared" si="2"/>
        <v/>
      </c>
      <c r="P627" s="37"/>
      <c r="Q627" s="29"/>
      <c r="R627" s="29" t="b">
        <v>0</v>
      </c>
      <c r="S627" s="22" t="str">
        <f t="shared" si="3"/>
        <v/>
      </c>
      <c r="T627" s="7">
        <f>IF(ISBLANK(P627), 0, VLOOKUP(P627, 'Price Sheet'!$A$2:$B1015, 2, false))</f>
        <v>0</v>
      </c>
      <c r="U627" s="33" t="str">
        <f t="shared" si="4"/>
        <v/>
      </c>
      <c r="V627" s="37"/>
      <c r="W627" s="29"/>
      <c r="X627" s="29" t="b">
        <v>0</v>
      </c>
      <c r="Y627" s="22" t="str">
        <f t="shared" si="5"/>
        <v/>
      </c>
      <c r="Z627" s="7">
        <f>IF(ISBLANK(V627), 0, VLOOKUP(V627, 'Price Sheet'!$A$2:$B1015, 2, false))</f>
        <v>0</v>
      </c>
      <c r="AA627" s="33" t="str">
        <f t="shared" si="6"/>
        <v/>
      </c>
      <c r="AB627" s="37"/>
      <c r="AC627" s="29"/>
      <c r="AD627" s="29" t="b">
        <v>0</v>
      </c>
      <c r="AE627" s="22" t="str">
        <f t="shared" si="7"/>
        <v/>
      </c>
      <c r="AF627" s="7">
        <f>IF(ISBLANK(AB627), 0, VLOOKUP(AB627, 'Price Sheet'!$A$2:$B1015, 2, false))</f>
        <v>0</v>
      </c>
      <c r="AG627" s="33" t="str">
        <f t="shared" si="8"/>
        <v/>
      </c>
      <c r="AH627" s="37"/>
      <c r="AI627" s="29"/>
      <c r="AJ627" s="29" t="b">
        <v>0</v>
      </c>
      <c r="AK627" s="22" t="str">
        <f t="shared" si="9"/>
        <v/>
      </c>
      <c r="AL627" s="7">
        <f>IF(ISBLANK(AH627), 0, VLOOKUP(AH627, 'Price Sheet'!$A$2:$B1015, 2, false))</f>
        <v>0</v>
      </c>
      <c r="AM627" s="33" t="str">
        <f t="shared" si="10"/>
        <v/>
      </c>
      <c r="AN627" s="37"/>
      <c r="AO627" s="29"/>
      <c r="AP627" s="29" t="b">
        <v>0</v>
      </c>
      <c r="AQ627" s="22" t="str">
        <f t="shared" si="11"/>
        <v/>
      </c>
      <c r="AR627" s="7">
        <f>IF(ISBLANK(AN627), 0, VLOOKUP(AN627, 'Price Sheet'!$A$2:$B1015, 2, false))</f>
        <v>0</v>
      </c>
      <c r="AS627" s="33" t="str">
        <f t="shared" si="12"/>
        <v/>
      </c>
      <c r="AT627" s="37"/>
      <c r="AU627" s="29"/>
      <c r="AV627" s="29" t="b">
        <v>0</v>
      </c>
      <c r="AW627" s="22" t="str">
        <f t="shared" si="13"/>
        <v/>
      </c>
      <c r="AX627" s="7">
        <f>IF(ISBLANK(AT627), 0, VLOOKUP(AT627, 'Price Sheet'!$A$2:$B1015, 2, false))</f>
        <v>0</v>
      </c>
      <c r="AY627" s="33" t="str">
        <f t="shared" si="14"/>
        <v/>
      </c>
      <c r="AZ627" s="37"/>
      <c r="BA627" s="29"/>
      <c r="BB627" s="29" t="b">
        <v>0</v>
      </c>
      <c r="BC627" s="22" t="str">
        <f t="shared" si="15"/>
        <v/>
      </c>
      <c r="BD627" s="7">
        <f>IF(ISBLANK(AZ627), 0, VLOOKUP(AZ627, 'Price Sheet'!$A$2:$B1015, 2, false))</f>
        <v>0</v>
      </c>
      <c r="BE627" s="33" t="str">
        <f t="shared" si="16"/>
        <v/>
      </c>
      <c r="BF627" s="37"/>
      <c r="BG627" s="29"/>
      <c r="BH627" s="29" t="b">
        <v>0</v>
      </c>
      <c r="BI627" s="22" t="str">
        <f t="shared" si="17"/>
        <v/>
      </c>
      <c r="BJ627" s="7">
        <f>IF(ISBLANK(BF627), 0, VLOOKUP(BF627, 'Price Sheet'!$A$2:$B1015, 2, false))</f>
        <v>0</v>
      </c>
      <c r="BK627" s="33" t="str">
        <f t="shared" si="18"/>
        <v/>
      </c>
      <c r="BL627" s="37"/>
      <c r="BM627" s="29"/>
      <c r="BN627" s="29" t="b">
        <v>0</v>
      </c>
      <c r="BO627" s="22" t="str">
        <f t="shared" si="19"/>
        <v/>
      </c>
      <c r="BP627" s="7">
        <f>IF(ISBLANK(BL627), 0, VLOOKUP(BL627, 'Price Sheet'!$A$2:$B1015, 2, false))</f>
        <v>0</v>
      </c>
      <c r="BQ627" s="33" t="str">
        <f t="shared" si="20"/>
        <v/>
      </c>
    </row>
    <row r="628">
      <c r="B628" s="19"/>
      <c r="C628" s="29"/>
      <c r="D628" s="29"/>
      <c r="E628" s="7" t="str">
        <f>IF(ISBLANK(D628), "", VLOOKUP(D628,'Crafting Tables'!$A$2:$B1015, 2, false))</f>
        <v/>
      </c>
      <c r="F628" s="7" t="str">
        <f>IFERROR(IF(E628 = "None", 1, VLOOKUP(C628,General!$A$5:$L$35, SWITCH(E628, "Basic", 8, "Advanced", 10, "Modern", 12), false)),"")</f>
        <v/>
      </c>
      <c r="G628" s="29"/>
      <c r="H628" s="7">
        <f>IFERROR(VLOOKUP(C628, General!$A$5:$L$35, 6, false) * G628 / 1000, 0)</f>
        <v>0</v>
      </c>
      <c r="I628" s="29"/>
      <c r="J628" s="22" t="str">
        <f>IFERROR(I628*VLOOKUP(D628,'Crafting Tables'!$1:$1000, 4, false)*F628,"")</f>
        <v/>
      </c>
      <c r="K628" s="29" t="b">
        <v>0</v>
      </c>
      <c r="L628" s="37"/>
      <c r="M628" s="29"/>
      <c r="N628" s="21" t="str">
        <f t="shared" si="2"/>
        <v/>
      </c>
      <c r="P628" s="37"/>
      <c r="Q628" s="29"/>
      <c r="R628" s="29" t="b">
        <v>0</v>
      </c>
      <c r="S628" s="22" t="str">
        <f t="shared" si="3"/>
        <v/>
      </c>
      <c r="T628" s="7">
        <f>IF(ISBLANK(P628), 0, VLOOKUP(P628, 'Price Sheet'!$A$2:$B1015, 2, false))</f>
        <v>0</v>
      </c>
      <c r="U628" s="33" t="str">
        <f t="shared" si="4"/>
        <v/>
      </c>
      <c r="V628" s="37"/>
      <c r="W628" s="29"/>
      <c r="X628" s="29" t="b">
        <v>0</v>
      </c>
      <c r="Y628" s="22" t="str">
        <f t="shared" si="5"/>
        <v/>
      </c>
      <c r="Z628" s="7">
        <f>IF(ISBLANK(V628), 0, VLOOKUP(V628, 'Price Sheet'!$A$2:$B1015, 2, false))</f>
        <v>0</v>
      </c>
      <c r="AA628" s="33" t="str">
        <f t="shared" si="6"/>
        <v/>
      </c>
      <c r="AB628" s="37"/>
      <c r="AC628" s="29"/>
      <c r="AD628" s="29" t="b">
        <v>0</v>
      </c>
      <c r="AE628" s="22" t="str">
        <f t="shared" si="7"/>
        <v/>
      </c>
      <c r="AF628" s="7">
        <f>IF(ISBLANK(AB628), 0, VLOOKUP(AB628, 'Price Sheet'!$A$2:$B1015, 2, false))</f>
        <v>0</v>
      </c>
      <c r="AG628" s="33" t="str">
        <f t="shared" si="8"/>
        <v/>
      </c>
      <c r="AH628" s="37"/>
      <c r="AI628" s="29"/>
      <c r="AJ628" s="29" t="b">
        <v>0</v>
      </c>
      <c r="AK628" s="22" t="str">
        <f t="shared" si="9"/>
        <v/>
      </c>
      <c r="AL628" s="7">
        <f>IF(ISBLANK(AH628), 0, VLOOKUP(AH628, 'Price Sheet'!$A$2:$B1015, 2, false))</f>
        <v>0</v>
      </c>
      <c r="AM628" s="33" t="str">
        <f t="shared" si="10"/>
        <v/>
      </c>
      <c r="AN628" s="37"/>
      <c r="AO628" s="29"/>
      <c r="AP628" s="29" t="b">
        <v>0</v>
      </c>
      <c r="AQ628" s="22" t="str">
        <f t="shared" si="11"/>
        <v/>
      </c>
      <c r="AR628" s="7">
        <f>IF(ISBLANK(AN628), 0, VLOOKUP(AN628, 'Price Sheet'!$A$2:$B1015, 2, false))</f>
        <v>0</v>
      </c>
      <c r="AS628" s="33" t="str">
        <f t="shared" si="12"/>
        <v/>
      </c>
      <c r="AT628" s="37"/>
      <c r="AU628" s="29"/>
      <c r="AV628" s="29" t="b">
        <v>0</v>
      </c>
      <c r="AW628" s="22" t="str">
        <f t="shared" si="13"/>
        <v/>
      </c>
      <c r="AX628" s="7">
        <f>IF(ISBLANK(AT628), 0, VLOOKUP(AT628, 'Price Sheet'!$A$2:$B1015, 2, false))</f>
        <v>0</v>
      </c>
      <c r="AY628" s="33" t="str">
        <f t="shared" si="14"/>
        <v/>
      </c>
      <c r="AZ628" s="37"/>
      <c r="BA628" s="29"/>
      <c r="BB628" s="29" t="b">
        <v>0</v>
      </c>
      <c r="BC628" s="22" t="str">
        <f t="shared" si="15"/>
        <v/>
      </c>
      <c r="BD628" s="7">
        <f>IF(ISBLANK(AZ628), 0, VLOOKUP(AZ628, 'Price Sheet'!$A$2:$B1015, 2, false))</f>
        <v>0</v>
      </c>
      <c r="BE628" s="33" t="str">
        <f t="shared" si="16"/>
        <v/>
      </c>
      <c r="BF628" s="37"/>
      <c r="BG628" s="29"/>
      <c r="BH628" s="29" t="b">
        <v>0</v>
      </c>
      <c r="BI628" s="22" t="str">
        <f t="shared" si="17"/>
        <v/>
      </c>
      <c r="BJ628" s="7">
        <f>IF(ISBLANK(BF628), 0, VLOOKUP(BF628, 'Price Sheet'!$A$2:$B1015, 2, false))</f>
        <v>0</v>
      </c>
      <c r="BK628" s="33" t="str">
        <f t="shared" si="18"/>
        <v/>
      </c>
      <c r="BL628" s="37"/>
      <c r="BM628" s="29"/>
      <c r="BN628" s="29" t="b">
        <v>0</v>
      </c>
      <c r="BO628" s="22" t="str">
        <f t="shared" si="19"/>
        <v/>
      </c>
      <c r="BP628" s="7">
        <f>IF(ISBLANK(BL628), 0, VLOOKUP(BL628, 'Price Sheet'!$A$2:$B1015, 2, false))</f>
        <v>0</v>
      </c>
      <c r="BQ628" s="33" t="str">
        <f t="shared" si="20"/>
        <v/>
      </c>
    </row>
    <row r="629">
      <c r="B629" s="19"/>
      <c r="C629" s="29"/>
      <c r="D629" s="29"/>
      <c r="E629" s="7" t="str">
        <f>IF(ISBLANK(D629), "", VLOOKUP(D629,'Crafting Tables'!$A$2:$B1015, 2, false))</f>
        <v/>
      </c>
      <c r="F629" s="7" t="str">
        <f>IFERROR(IF(E629 = "None", 1, VLOOKUP(C629,General!$A$5:$L$35, SWITCH(E629, "Basic", 8, "Advanced", 10, "Modern", 12), false)),"")</f>
        <v/>
      </c>
      <c r="G629" s="29"/>
      <c r="H629" s="7">
        <f>IFERROR(VLOOKUP(C629, General!$A$5:$L$35, 6, false) * G629 / 1000, 0)</f>
        <v>0</v>
      </c>
      <c r="I629" s="29"/>
      <c r="J629" s="22" t="str">
        <f>IFERROR(I629*VLOOKUP(D629,'Crafting Tables'!$1:$1000, 4, false)*F629,"")</f>
        <v/>
      </c>
      <c r="K629" s="29" t="b">
        <v>0</v>
      </c>
      <c r="L629" s="37"/>
      <c r="M629" s="29"/>
      <c r="N629" s="21" t="str">
        <f t="shared" si="2"/>
        <v/>
      </c>
      <c r="P629" s="37"/>
      <c r="Q629" s="29"/>
      <c r="R629" s="29" t="b">
        <v>0</v>
      </c>
      <c r="S629" s="22" t="str">
        <f t="shared" si="3"/>
        <v/>
      </c>
      <c r="T629" s="7">
        <f>IF(ISBLANK(P629), 0, VLOOKUP(P629, 'Price Sheet'!$A$2:$B1015, 2, false))</f>
        <v>0</v>
      </c>
      <c r="U629" s="33" t="str">
        <f t="shared" si="4"/>
        <v/>
      </c>
      <c r="V629" s="37"/>
      <c r="W629" s="29"/>
      <c r="X629" s="29" t="b">
        <v>0</v>
      </c>
      <c r="Y629" s="22" t="str">
        <f t="shared" si="5"/>
        <v/>
      </c>
      <c r="Z629" s="7">
        <f>IF(ISBLANK(V629), 0, VLOOKUP(V629, 'Price Sheet'!$A$2:$B1015, 2, false))</f>
        <v>0</v>
      </c>
      <c r="AA629" s="33" t="str">
        <f t="shared" si="6"/>
        <v/>
      </c>
      <c r="AB629" s="37"/>
      <c r="AC629" s="29"/>
      <c r="AD629" s="29" t="b">
        <v>0</v>
      </c>
      <c r="AE629" s="22" t="str">
        <f t="shared" si="7"/>
        <v/>
      </c>
      <c r="AF629" s="7">
        <f>IF(ISBLANK(AB629), 0, VLOOKUP(AB629, 'Price Sheet'!$A$2:$B1015, 2, false))</f>
        <v>0</v>
      </c>
      <c r="AG629" s="33" t="str">
        <f t="shared" si="8"/>
        <v/>
      </c>
      <c r="AH629" s="37"/>
      <c r="AI629" s="29"/>
      <c r="AJ629" s="29" t="b">
        <v>0</v>
      </c>
      <c r="AK629" s="22" t="str">
        <f t="shared" si="9"/>
        <v/>
      </c>
      <c r="AL629" s="7">
        <f>IF(ISBLANK(AH629), 0, VLOOKUP(AH629, 'Price Sheet'!$A$2:$B1015, 2, false))</f>
        <v>0</v>
      </c>
      <c r="AM629" s="33" t="str">
        <f t="shared" si="10"/>
        <v/>
      </c>
      <c r="AN629" s="37"/>
      <c r="AO629" s="29"/>
      <c r="AP629" s="29" t="b">
        <v>0</v>
      </c>
      <c r="AQ629" s="22" t="str">
        <f t="shared" si="11"/>
        <v/>
      </c>
      <c r="AR629" s="7">
        <f>IF(ISBLANK(AN629), 0, VLOOKUP(AN629, 'Price Sheet'!$A$2:$B1015, 2, false))</f>
        <v>0</v>
      </c>
      <c r="AS629" s="33" t="str">
        <f t="shared" si="12"/>
        <v/>
      </c>
      <c r="AT629" s="37"/>
      <c r="AU629" s="29"/>
      <c r="AV629" s="29" t="b">
        <v>0</v>
      </c>
      <c r="AW629" s="22" t="str">
        <f t="shared" si="13"/>
        <v/>
      </c>
      <c r="AX629" s="7">
        <f>IF(ISBLANK(AT629), 0, VLOOKUP(AT629, 'Price Sheet'!$A$2:$B1015, 2, false))</f>
        <v>0</v>
      </c>
      <c r="AY629" s="33" t="str">
        <f t="shared" si="14"/>
        <v/>
      </c>
      <c r="AZ629" s="37"/>
      <c r="BA629" s="29"/>
      <c r="BB629" s="29" t="b">
        <v>0</v>
      </c>
      <c r="BC629" s="22" t="str">
        <f t="shared" si="15"/>
        <v/>
      </c>
      <c r="BD629" s="7">
        <f>IF(ISBLANK(AZ629), 0, VLOOKUP(AZ629, 'Price Sheet'!$A$2:$B1015, 2, false))</f>
        <v>0</v>
      </c>
      <c r="BE629" s="33" t="str">
        <f t="shared" si="16"/>
        <v/>
      </c>
      <c r="BF629" s="37"/>
      <c r="BG629" s="29"/>
      <c r="BH629" s="29" t="b">
        <v>0</v>
      </c>
      <c r="BI629" s="22" t="str">
        <f t="shared" si="17"/>
        <v/>
      </c>
      <c r="BJ629" s="7">
        <f>IF(ISBLANK(BF629), 0, VLOOKUP(BF629, 'Price Sheet'!$A$2:$B1015, 2, false))</f>
        <v>0</v>
      </c>
      <c r="BK629" s="33" t="str">
        <f t="shared" si="18"/>
        <v/>
      </c>
      <c r="BL629" s="37"/>
      <c r="BM629" s="29"/>
      <c r="BN629" s="29" t="b">
        <v>0</v>
      </c>
      <c r="BO629" s="22" t="str">
        <f t="shared" si="19"/>
        <v/>
      </c>
      <c r="BP629" s="7">
        <f>IF(ISBLANK(BL629), 0, VLOOKUP(BL629, 'Price Sheet'!$A$2:$B1015, 2, false))</f>
        <v>0</v>
      </c>
      <c r="BQ629" s="33" t="str">
        <f t="shared" si="20"/>
        <v/>
      </c>
    </row>
    <row r="630">
      <c r="B630" s="19"/>
      <c r="C630" s="29"/>
      <c r="D630" s="29"/>
      <c r="E630" s="7" t="str">
        <f>IF(ISBLANK(D630), "", VLOOKUP(D630,'Crafting Tables'!$A$2:$B1015, 2, false))</f>
        <v/>
      </c>
      <c r="F630" s="7" t="str">
        <f>IFERROR(IF(E630 = "None", 1, VLOOKUP(C630,General!$A$5:$L$35, SWITCH(E630, "Basic", 8, "Advanced", 10, "Modern", 12), false)),"")</f>
        <v/>
      </c>
      <c r="G630" s="29"/>
      <c r="H630" s="7">
        <f>IFERROR(VLOOKUP(C630, General!$A$5:$L$35, 6, false) * G630 / 1000, 0)</f>
        <v>0</v>
      </c>
      <c r="I630" s="29"/>
      <c r="J630" s="22" t="str">
        <f>IFERROR(I630*VLOOKUP(D630,'Crafting Tables'!$1:$1000, 4, false)*F630,"")</f>
        <v/>
      </c>
      <c r="K630" s="29" t="b">
        <v>0</v>
      </c>
      <c r="L630" s="37"/>
      <c r="M630" s="29"/>
      <c r="N630" s="21" t="str">
        <f t="shared" si="2"/>
        <v/>
      </c>
      <c r="P630" s="37"/>
      <c r="Q630" s="29"/>
      <c r="R630" s="29" t="b">
        <v>0</v>
      </c>
      <c r="S630" s="22" t="str">
        <f t="shared" si="3"/>
        <v/>
      </c>
      <c r="T630" s="7">
        <f>IF(ISBLANK(P630), 0, VLOOKUP(P630, 'Price Sheet'!$A$2:$B1015, 2, false))</f>
        <v>0</v>
      </c>
      <c r="U630" s="33" t="str">
        <f t="shared" si="4"/>
        <v/>
      </c>
      <c r="V630" s="37"/>
      <c r="W630" s="29"/>
      <c r="X630" s="29" t="b">
        <v>0</v>
      </c>
      <c r="Y630" s="22" t="str">
        <f t="shared" si="5"/>
        <v/>
      </c>
      <c r="Z630" s="7">
        <f>IF(ISBLANK(V630), 0, VLOOKUP(V630, 'Price Sheet'!$A$2:$B1015, 2, false))</f>
        <v>0</v>
      </c>
      <c r="AA630" s="33" t="str">
        <f t="shared" si="6"/>
        <v/>
      </c>
      <c r="AB630" s="37"/>
      <c r="AC630" s="29"/>
      <c r="AD630" s="29" t="b">
        <v>0</v>
      </c>
      <c r="AE630" s="22" t="str">
        <f t="shared" si="7"/>
        <v/>
      </c>
      <c r="AF630" s="7">
        <f>IF(ISBLANK(AB630), 0, VLOOKUP(AB630, 'Price Sheet'!$A$2:$B1015, 2, false))</f>
        <v>0</v>
      </c>
      <c r="AG630" s="33" t="str">
        <f t="shared" si="8"/>
        <v/>
      </c>
      <c r="AH630" s="37"/>
      <c r="AI630" s="29"/>
      <c r="AJ630" s="29" t="b">
        <v>0</v>
      </c>
      <c r="AK630" s="22" t="str">
        <f t="shared" si="9"/>
        <v/>
      </c>
      <c r="AL630" s="7">
        <f>IF(ISBLANK(AH630), 0, VLOOKUP(AH630, 'Price Sheet'!$A$2:$B1015, 2, false))</f>
        <v>0</v>
      </c>
      <c r="AM630" s="33" t="str">
        <f t="shared" si="10"/>
        <v/>
      </c>
      <c r="AN630" s="37"/>
      <c r="AO630" s="29"/>
      <c r="AP630" s="29" t="b">
        <v>0</v>
      </c>
      <c r="AQ630" s="22" t="str">
        <f t="shared" si="11"/>
        <v/>
      </c>
      <c r="AR630" s="7">
        <f>IF(ISBLANK(AN630), 0, VLOOKUP(AN630, 'Price Sheet'!$A$2:$B1015, 2, false))</f>
        <v>0</v>
      </c>
      <c r="AS630" s="33" t="str">
        <f t="shared" si="12"/>
        <v/>
      </c>
      <c r="AT630" s="37"/>
      <c r="AU630" s="29"/>
      <c r="AV630" s="29" t="b">
        <v>0</v>
      </c>
      <c r="AW630" s="22" t="str">
        <f t="shared" si="13"/>
        <v/>
      </c>
      <c r="AX630" s="7">
        <f>IF(ISBLANK(AT630), 0, VLOOKUP(AT630, 'Price Sheet'!$A$2:$B1015, 2, false))</f>
        <v>0</v>
      </c>
      <c r="AY630" s="33" t="str">
        <f t="shared" si="14"/>
        <v/>
      </c>
      <c r="AZ630" s="37"/>
      <c r="BA630" s="29"/>
      <c r="BB630" s="29" t="b">
        <v>0</v>
      </c>
      <c r="BC630" s="22" t="str">
        <f t="shared" si="15"/>
        <v/>
      </c>
      <c r="BD630" s="7">
        <f>IF(ISBLANK(AZ630), 0, VLOOKUP(AZ630, 'Price Sheet'!$A$2:$B1015, 2, false))</f>
        <v>0</v>
      </c>
      <c r="BE630" s="33" t="str">
        <f t="shared" si="16"/>
        <v/>
      </c>
      <c r="BF630" s="37"/>
      <c r="BG630" s="29"/>
      <c r="BH630" s="29" t="b">
        <v>0</v>
      </c>
      <c r="BI630" s="22" t="str">
        <f t="shared" si="17"/>
        <v/>
      </c>
      <c r="BJ630" s="7">
        <f>IF(ISBLANK(BF630), 0, VLOOKUP(BF630, 'Price Sheet'!$A$2:$B1015, 2, false))</f>
        <v>0</v>
      </c>
      <c r="BK630" s="33" t="str">
        <f t="shared" si="18"/>
        <v/>
      </c>
      <c r="BL630" s="37"/>
      <c r="BM630" s="29"/>
      <c r="BN630" s="29" t="b">
        <v>0</v>
      </c>
      <c r="BO630" s="22" t="str">
        <f t="shared" si="19"/>
        <v/>
      </c>
      <c r="BP630" s="7">
        <f>IF(ISBLANK(BL630), 0, VLOOKUP(BL630, 'Price Sheet'!$A$2:$B1015, 2, false))</f>
        <v>0</v>
      </c>
      <c r="BQ630" s="33" t="str">
        <f t="shared" si="20"/>
        <v/>
      </c>
    </row>
    <row r="631">
      <c r="B631" s="19"/>
      <c r="C631" s="29"/>
      <c r="D631" s="29"/>
      <c r="E631" s="7" t="str">
        <f>IF(ISBLANK(D631), "", VLOOKUP(D631,'Crafting Tables'!$A$2:$B1015, 2, false))</f>
        <v/>
      </c>
      <c r="F631" s="7" t="str">
        <f>IFERROR(IF(E631 = "None", 1, VLOOKUP(C631,General!$A$5:$L$35, SWITCH(E631, "Basic", 8, "Advanced", 10, "Modern", 12), false)),"")</f>
        <v/>
      </c>
      <c r="G631" s="29"/>
      <c r="H631" s="7">
        <f>IFERROR(VLOOKUP(C631, General!$A$5:$L$35, 6, false) * G631 / 1000, 0)</f>
        <v>0</v>
      </c>
      <c r="I631" s="29"/>
      <c r="J631" s="22" t="str">
        <f>IFERROR(I631*VLOOKUP(D631,'Crafting Tables'!$1:$1000, 4, false)*F631,"")</f>
        <v/>
      </c>
      <c r="K631" s="29" t="b">
        <v>0</v>
      </c>
      <c r="L631" s="37"/>
      <c r="M631" s="29"/>
      <c r="N631" s="21" t="str">
        <f t="shared" si="2"/>
        <v/>
      </c>
      <c r="P631" s="37"/>
      <c r="Q631" s="29"/>
      <c r="R631" s="29" t="b">
        <v>0</v>
      </c>
      <c r="S631" s="22" t="str">
        <f t="shared" si="3"/>
        <v/>
      </c>
      <c r="T631" s="7">
        <f>IF(ISBLANK(P631), 0, VLOOKUP(P631, 'Price Sheet'!$A$2:$B1015, 2, false))</f>
        <v>0</v>
      </c>
      <c r="U631" s="33" t="str">
        <f t="shared" si="4"/>
        <v/>
      </c>
      <c r="V631" s="37"/>
      <c r="W631" s="29"/>
      <c r="X631" s="29" t="b">
        <v>0</v>
      </c>
      <c r="Y631" s="22" t="str">
        <f t="shared" si="5"/>
        <v/>
      </c>
      <c r="Z631" s="7">
        <f>IF(ISBLANK(V631), 0, VLOOKUP(V631, 'Price Sheet'!$A$2:$B1015, 2, false))</f>
        <v>0</v>
      </c>
      <c r="AA631" s="33" t="str">
        <f t="shared" si="6"/>
        <v/>
      </c>
      <c r="AB631" s="37"/>
      <c r="AC631" s="29"/>
      <c r="AD631" s="29" t="b">
        <v>0</v>
      </c>
      <c r="AE631" s="22" t="str">
        <f t="shared" si="7"/>
        <v/>
      </c>
      <c r="AF631" s="7">
        <f>IF(ISBLANK(AB631), 0, VLOOKUP(AB631, 'Price Sheet'!$A$2:$B1015, 2, false))</f>
        <v>0</v>
      </c>
      <c r="AG631" s="33" t="str">
        <f t="shared" si="8"/>
        <v/>
      </c>
      <c r="AH631" s="37"/>
      <c r="AI631" s="29"/>
      <c r="AJ631" s="29" t="b">
        <v>0</v>
      </c>
      <c r="AK631" s="22" t="str">
        <f t="shared" si="9"/>
        <v/>
      </c>
      <c r="AL631" s="7">
        <f>IF(ISBLANK(AH631), 0, VLOOKUP(AH631, 'Price Sheet'!$A$2:$B1015, 2, false))</f>
        <v>0</v>
      </c>
      <c r="AM631" s="33" t="str">
        <f t="shared" si="10"/>
        <v/>
      </c>
      <c r="AN631" s="37"/>
      <c r="AO631" s="29"/>
      <c r="AP631" s="29" t="b">
        <v>0</v>
      </c>
      <c r="AQ631" s="22" t="str">
        <f t="shared" si="11"/>
        <v/>
      </c>
      <c r="AR631" s="7">
        <f>IF(ISBLANK(AN631), 0, VLOOKUP(AN631, 'Price Sheet'!$A$2:$B1015, 2, false))</f>
        <v>0</v>
      </c>
      <c r="AS631" s="33" t="str">
        <f t="shared" si="12"/>
        <v/>
      </c>
      <c r="AT631" s="37"/>
      <c r="AU631" s="29"/>
      <c r="AV631" s="29" t="b">
        <v>0</v>
      </c>
      <c r="AW631" s="22" t="str">
        <f t="shared" si="13"/>
        <v/>
      </c>
      <c r="AX631" s="7">
        <f>IF(ISBLANK(AT631), 0, VLOOKUP(AT631, 'Price Sheet'!$A$2:$B1015, 2, false))</f>
        <v>0</v>
      </c>
      <c r="AY631" s="33" t="str">
        <f t="shared" si="14"/>
        <v/>
      </c>
      <c r="AZ631" s="37"/>
      <c r="BA631" s="29"/>
      <c r="BB631" s="29" t="b">
        <v>0</v>
      </c>
      <c r="BC631" s="22" t="str">
        <f t="shared" si="15"/>
        <v/>
      </c>
      <c r="BD631" s="7">
        <f>IF(ISBLANK(AZ631), 0, VLOOKUP(AZ631, 'Price Sheet'!$A$2:$B1015, 2, false))</f>
        <v>0</v>
      </c>
      <c r="BE631" s="33" t="str">
        <f t="shared" si="16"/>
        <v/>
      </c>
      <c r="BF631" s="37"/>
      <c r="BG631" s="29"/>
      <c r="BH631" s="29" t="b">
        <v>0</v>
      </c>
      <c r="BI631" s="22" t="str">
        <f t="shared" si="17"/>
        <v/>
      </c>
      <c r="BJ631" s="7">
        <f>IF(ISBLANK(BF631), 0, VLOOKUP(BF631, 'Price Sheet'!$A$2:$B1015, 2, false))</f>
        <v>0</v>
      </c>
      <c r="BK631" s="33" t="str">
        <f t="shared" si="18"/>
        <v/>
      </c>
      <c r="BL631" s="37"/>
      <c r="BM631" s="29"/>
      <c r="BN631" s="29" t="b">
        <v>0</v>
      </c>
      <c r="BO631" s="22" t="str">
        <f t="shared" si="19"/>
        <v/>
      </c>
      <c r="BP631" s="7">
        <f>IF(ISBLANK(BL631), 0, VLOOKUP(BL631, 'Price Sheet'!$A$2:$B1015, 2, false))</f>
        <v>0</v>
      </c>
      <c r="BQ631" s="33" t="str">
        <f t="shared" si="20"/>
        <v/>
      </c>
    </row>
    <row r="632">
      <c r="B632" s="19"/>
      <c r="C632" s="29"/>
      <c r="D632" s="29"/>
      <c r="E632" s="7" t="str">
        <f>IF(ISBLANK(D632), "", VLOOKUP(D632,'Crafting Tables'!$A$2:$B1015, 2, false))</f>
        <v/>
      </c>
      <c r="F632" s="7" t="str">
        <f>IFERROR(IF(E632 = "None", 1, VLOOKUP(C632,General!$A$5:$L$35, SWITCH(E632, "Basic", 8, "Advanced", 10, "Modern", 12), false)),"")</f>
        <v/>
      </c>
      <c r="G632" s="29"/>
      <c r="H632" s="7">
        <f>IFERROR(VLOOKUP(C632, General!$A$5:$L$35, 6, false) * G632 / 1000, 0)</f>
        <v>0</v>
      </c>
      <c r="I632" s="29"/>
      <c r="J632" s="22" t="str">
        <f>IFERROR(I632*VLOOKUP(D632,'Crafting Tables'!$1:$1000, 4, false)*F632,"")</f>
        <v/>
      </c>
      <c r="K632" s="29" t="b">
        <v>0</v>
      </c>
      <c r="L632" s="37"/>
      <c r="M632" s="29"/>
      <c r="N632" s="21" t="str">
        <f t="shared" si="2"/>
        <v/>
      </c>
      <c r="P632" s="37"/>
      <c r="Q632" s="29"/>
      <c r="R632" s="29" t="b">
        <v>0</v>
      </c>
      <c r="S632" s="22" t="str">
        <f t="shared" si="3"/>
        <v/>
      </c>
      <c r="T632" s="7">
        <f>IF(ISBLANK(P632), 0, VLOOKUP(P632, 'Price Sheet'!$A$2:$B1015, 2, false))</f>
        <v>0</v>
      </c>
      <c r="U632" s="33" t="str">
        <f t="shared" si="4"/>
        <v/>
      </c>
      <c r="V632" s="37"/>
      <c r="W632" s="29"/>
      <c r="X632" s="29" t="b">
        <v>0</v>
      </c>
      <c r="Y632" s="22" t="str">
        <f t="shared" si="5"/>
        <v/>
      </c>
      <c r="Z632" s="7">
        <f>IF(ISBLANK(V632), 0, VLOOKUP(V632, 'Price Sheet'!$A$2:$B1015, 2, false))</f>
        <v>0</v>
      </c>
      <c r="AA632" s="33" t="str">
        <f t="shared" si="6"/>
        <v/>
      </c>
      <c r="AB632" s="37"/>
      <c r="AC632" s="29"/>
      <c r="AD632" s="29" t="b">
        <v>0</v>
      </c>
      <c r="AE632" s="22" t="str">
        <f t="shared" si="7"/>
        <v/>
      </c>
      <c r="AF632" s="7">
        <f>IF(ISBLANK(AB632), 0, VLOOKUP(AB632, 'Price Sheet'!$A$2:$B1015, 2, false))</f>
        <v>0</v>
      </c>
      <c r="AG632" s="33" t="str">
        <f t="shared" si="8"/>
        <v/>
      </c>
      <c r="AH632" s="37"/>
      <c r="AI632" s="29"/>
      <c r="AJ632" s="29" t="b">
        <v>0</v>
      </c>
      <c r="AK632" s="22" t="str">
        <f t="shared" si="9"/>
        <v/>
      </c>
      <c r="AL632" s="7">
        <f>IF(ISBLANK(AH632), 0, VLOOKUP(AH632, 'Price Sheet'!$A$2:$B1015, 2, false))</f>
        <v>0</v>
      </c>
      <c r="AM632" s="33" t="str">
        <f t="shared" si="10"/>
        <v/>
      </c>
      <c r="AN632" s="37"/>
      <c r="AO632" s="29"/>
      <c r="AP632" s="29" t="b">
        <v>0</v>
      </c>
      <c r="AQ632" s="22" t="str">
        <f t="shared" si="11"/>
        <v/>
      </c>
      <c r="AR632" s="7">
        <f>IF(ISBLANK(AN632), 0, VLOOKUP(AN632, 'Price Sheet'!$A$2:$B1015, 2, false))</f>
        <v>0</v>
      </c>
      <c r="AS632" s="33" t="str">
        <f t="shared" si="12"/>
        <v/>
      </c>
      <c r="AT632" s="37"/>
      <c r="AU632" s="29"/>
      <c r="AV632" s="29" t="b">
        <v>0</v>
      </c>
      <c r="AW632" s="22" t="str">
        <f t="shared" si="13"/>
        <v/>
      </c>
      <c r="AX632" s="7">
        <f>IF(ISBLANK(AT632), 0, VLOOKUP(AT632, 'Price Sheet'!$A$2:$B1015, 2, false))</f>
        <v>0</v>
      </c>
      <c r="AY632" s="33" t="str">
        <f t="shared" si="14"/>
        <v/>
      </c>
      <c r="AZ632" s="37"/>
      <c r="BA632" s="29"/>
      <c r="BB632" s="29" t="b">
        <v>0</v>
      </c>
      <c r="BC632" s="22" t="str">
        <f t="shared" si="15"/>
        <v/>
      </c>
      <c r="BD632" s="7">
        <f>IF(ISBLANK(AZ632), 0, VLOOKUP(AZ632, 'Price Sheet'!$A$2:$B1015, 2, false))</f>
        <v>0</v>
      </c>
      <c r="BE632" s="33" t="str">
        <f t="shared" si="16"/>
        <v/>
      </c>
      <c r="BF632" s="37"/>
      <c r="BG632" s="29"/>
      <c r="BH632" s="29" t="b">
        <v>0</v>
      </c>
      <c r="BI632" s="22" t="str">
        <f t="shared" si="17"/>
        <v/>
      </c>
      <c r="BJ632" s="7">
        <f>IF(ISBLANK(BF632), 0, VLOOKUP(BF632, 'Price Sheet'!$A$2:$B1015, 2, false))</f>
        <v>0</v>
      </c>
      <c r="BK632" s="33" t="str">
        <f t="shared" si="18"/>
        <v/>
      </c>
      <c r="BL632" s="37"/>
      <c r="BM632" s="29"/>
      <c r="BN632" s="29" t="b">
        <v>0</v>
      </c>
      <c r="BO632" s="22" t="str">
        <f t="shared" si="19"/>
        <v/>
      </c>
      <c r="BP632" s="7">
        <f>IF(ISBLANK(BL632), 0, VLOOKUP(BL632, 'Price Sheet'!$A$2:$B1015, 2, false))</f>
        <v>0</v>
      </c>
      <c r="BQ632" s="33" t="str">
        <f t="shared" si="20"/>
        <v/>
      </c>
    </row>
    <row r="633">
      <c r="B633" s="19"/>
      <c r="C633" s="29"/>
      <c r="D633" s="29"/>
      <c r="E633" s="7" t="str">
        <f>IF(ISBLANK(D633), "", VLOOKUP(D633,'Crafting Tables'!$A$2:$B1015, 2, false))</f>
        <v/>
      </c>
      <c r="F633" s="7" t="str">
        <f>IFERROR(IF(E633 = "None", 1, VLOOKUP(C633,General!$A$5:$L$35, SWITCH(E633, "Basic", 8, "Advanced", 10, "Modern", 12), false)),"")</f>
        <v/>
      </c>
      <c r="G633" s="29"/>
      <c r="H633" s="7">
        <f>IFERROR(VLOOKUP(C633, General!$A$5:$L$35, 6, false) * G633 / 1000, 0)</f>
        <v>0</v>
      </c>
      <c r="I633" s="29"/>
      <c r="J633" s="22" t="str">
        <f>IFERROR(I633*VLOOKUP(D633,'Crafting Tables'!$1:$1000, 4, false)*F633,"")</f>
        <v/>
      </c>
      <c r="K633" s="29" t="b">
        <v>0</v>
      </c>
      <c r="L633" s="37"/>
      <c r="M633" s="29"/>
      <c r="N633" s="21" t="str">
        <f t="shared" si="2"/>
        <v/>
      </c>
      <c r="P633" s="37"/>
      <c r="Q633" s="29"/>
      <c r="R633" s="29" t="b">
        <v>0</v>
      </c>
      <c r="S633" s="22" t="str">
        <f t="shared" si="3"/>
        <v/>
      </c>
      <c r="T633" s="7">
        <f>IF(ISBLANK(P633), 0, VLOOKUP(P633, 'Price Sheet'!$A$2:$B1015, 2, false))</f>
        <v>0</v>
      </c>
      <c r="U633" s="33" t="str">
        <f t="shared" si="4"/>
        <v/>
      </c>
      <c r="V633" s="37"/>
      <c r="W633" s="29"/>
      <c r="X633" s="29" t="b">
        <v>0</v>
      </c>
      <c r="Y633" s="22" t="str">
        <f t="shared" si="5"/>
        <v/>
      </c>
      <c r="Z633" s="7">
        <f>IF(ISBLANK(V633), 0, VLOOKUP(V633, 'Price Sheet'!$A$2:$B1015, 2, false))</f>
        <v>0</v>
      </c>
      <c r="AA633" s="33" t="str">
        <f t="shared" si="6"/>
        <v/>
      </c>
      <c r="AB633" s="37"/>
      <c r="AC633" s="29"/>
      <c r="AD633" s="29" t="b">
        <v>0</v>
      </c>
      <c r="AE633" s="22" t="str">
        <f t="shared" si="7"/>
        <v/>
      </c>
      <c r="AF633" s="7">
        <f>IF(ISBLANK(AB633), 0, VLOOKUP(AB633, 'Price Sheet'!$A$2:$B1015, 2, false))</f>
        <v>0</v>
      </c>
      <c r="AG633" s="33" t="str">
        <f t="shared" si="8"/>
        <v/>
      </c>
      <c r="AH633" s="37"/>
      <c r="AI633" s="29"/>
      <c r="AJ633" s="29" t="b">
        <v>0</v>
      </c>
      <c r="AK633" s="22" t="str">
        <f t="shared" si="9"/>
        <v/>
      </c>
      <c r="AL633" s="7">
        <f>IF(ISBLANK(AH633), 0, VLOOKUP(AH633, 'Price Sheet'!$A$2:$B1015, 2, false))</f>
        <v>0</v>
      </c>
      <c r="AM633" s="33" t="str">
        <f t="shared" si="10"/>
        <v/>
      </c>
      <c r="AN633" s="37"/>
      <c r="AO633" s="29"/>
      <c r="AP633" s="29" t="b">
        <v>0</v>
      </c>
      <c r="AQ633" s="22" t="str">
        <f t="shared" si="11"/>
        <v/>
      </c>
      <c r="AR633" s="7">
        <f>IF(ISBLANK(AN633), 0, VLOOKUP(AN633, 'Price Sheet'!$A$2:$B1015, 2, false))</f>
        <v>0</v>
      </c>
      <c r="AS633" s="33" t="str">
        <f t="shared" si="12"/>
        <v/>
      </c>
      <c r="AT633" s="37"/>
      <c r="AU633" s="29"/>
      <c r="AV633" s="29" t="b">
        <v>0</v>
      </c>
      <c r="AW633" s="22" t="str">
        <f t="shared" si="13"/>
        <v/>
      </c>
      <c r="AX633" s="7">
        <f>IF(ISBLANK(AT633), 0, VLOOKUP(AT633, 'Price Sheet'!$A$2:$B1015, 2, false))</f>
        <v>0</v>
      </c>
      <c r="AY633" s="33" t="str">
        <f t="shared" si="14"/>
        <v/>
      </c>
      <c r="AZ633" s="37"/>
      <c r="BA633" s="29"/>
      <c r="BB633" s="29" t="b">
        <v>0</v>
      </c>
      <c r="BC633" s="22" t="str">
        <f t="shared" si="15"/>
        <v/>
      </c>
      <c r="BD633" s="7">
        <f>IF(ISBLANK(AZ633), 0, VLOOKUP(AZ633, 'Price Sheet'!$A$2:$B1015, 2, false))</f>
        <v>0</v>
      </c>
      <c r="BE633" s="33" t="str">
        <f t="shared" si="16"/>
        <v/>
      </c>
      <c r="BF633" s="37"/>
      <c r="BG633" s="29"/>
      <c r="BH633" s="29" t="b">
        <v>0</v>
      </c>
      <c r="BI633" s="22" t="str">
        <f t="shared" si="17"/>
        <v/>
      </c>
      <c r="BJ633" s="7">
        <f>IF(ISBLANK(BF633), 0, VLOOKUP(BF633, 'Price Sheet'!$A$2:$B1015, 2, false))</f>
        <v>0</v>
      </c>
      <c r="BK633" s="33" t="str">
        <f t="shared" si="18"/>
        <v/>
      </c>
      <c r="BL633" s="37"/>
      <c r="BM633" s="29"/>
      <c r="BN633" s="29" t="b">
        <v>0</v>
      </c>
      <c r="BO633" s="22" t="str">
        <f t="shared" si="19"/>
        <v/>
      </c>
      <c r="BP633" s="7">
        <f>IF(ISBLANK(BL633), 0, VLOOKUP(BL633, 'Price Sheet'!$A$2:$B1015, 2, false))</f>
        <v>0</v>
      </c>
      <c r="BQ633" s="33" t="str">
        <f t="shared" si="20"/>
        <v/>
      </c>
    </row>
    <row r="634">
      <c r="B634" s="19"/>
      <c r="C634" s="29"/>
      <c r="D634" s="29"/>
      <c r="E634" s="7" t="str">
        <f>IF(ISBLANK(D634), "", VLOOKUP(D634,'Crafting Tables'!$A$2:$B1015, 2, false))</f>
        <v/>
      </c>
      <c r="F634" s="7" t="str">
        <f>IFERROR(IF(E634 = "None", 1, VLOOKUP(C634,General!$A$5:$L$35, SWITCH(E634, "Basic", 8, "Advanced", 10, "Modern", 12), false)),"")</f>
        <v/>
      </c>
      <c r="G634" s="29"/>
      <c r="H634" s="7">
        <f>IFERROR(VLOOKUP(C634, General!$A$5:$L$35, 6, false) * G634 / 1000, 0)</f>
        <v>0</v>
      </c>
      <c r="I634" s="29"/>
      <c r="J634" s="22" t="str">
        <f>IFERROR(I634*VLOOKUP(D634,'Crafting Tables'!$1:$1000, 4, false)*F634,"")</f>
        <v/>
      </c>
      <c r="K634" s="29" t="b">
        <v>0</v>
      </c>
      <c r="L634" s="37"/>
      <c r="M634" s="29"/>
      <c r="N634" s="21" t="str">
        <f t="shared" si="2"/>
        <v/>
      </c>
      <c r="P634" s="37"/>
      <c r="Q634" s="29"/>
      <c r="R634" s="29" t="b">
        <v>0</v>
      </c>
      <c r="S634" s="22" t="str">
        <f t="shared" si="3"/>
        <v/>
      </c>
      <c r="T634" s="7">
        <f>IF(ISBLANK(P634), 0, VLOOKUP(P634, 'Price Sheet'!$A$2:$B1015, 2, false))</f>
        <v>0</v>
      </c>
      <c r="U634" s="33" t="str">
        <f t="shared" si="4"/>
        <v/>
      </c>
      <c r="V634" s="37"/>
      <c r="W634" s="29"/>
      <c r="X634" s="29" t="b">
        <v>0</v>
      </c>
      <c r="Y634" s="22" t="str">
        <f t="shared" si="5"/>
        <v/>
      </c>
      <c r="Z634" s="7">
        <f>IF(ISBLANK(V634), 0, VLOOKUP(V634, 'Price Sheet'!$A$2:$B1015, 2, false))</f>
        <v>0</v>
      </c>
      <c r="AA634" s="33" t="str">
        <f t="shared" si="6"/>
        <v/>
      </c>
      <c r="AB634" s="37"/>
      <c r="AC634" s="29"/>
      <c r="AD634" s="29" t="b">
        <v>0</v>
      </c>
      <c r="AE634" s="22" t="str">
        <f t="shared" si="7"/>
        <v/>
      </c>
      <c r="AF634" s="7">
        <f>IF(ISBLANK(AB634), 0, VLOOKUP(AB634, 'Price Sheet'!$A$2:$B1015, 2, false))</f>
        <v>0</v>
      </c>
      <c r="AG634" s="33" t="str">
        <f t="shared" si="8"/>
        <v/>
      </c>
      <c r="AH634" s="37"/>
      <c r="AI634" s="29"/>
      <c r="AJ634" s="29" t="b">
        <v>0</v>
      </c>
      <c r="AK634" s="22" t="str">
        <f t="shared" si="9"/>
        <v/>
      </c>
      <c r="AL634" s="7">
        <f>IF(ISBLANK(AH634), 0, VLOOKUP(AH634, 'Price Sheet'!$A$2:$B1015, 2, false))</f>
        <v>0</v>
      </c>
      <c r="AM634" s="33" t="str">
        <f t="shared" si="10"/>
        <v/>
      </c>
      <c r="AN634" s="37"/>
      <c r="AO634" s="29"/>
      <c r="AP634" s="29" t="b">
        <v>0</v>
      </c>
      <c r="AQ634" s="22" t="str">
        <f t="shared" si="11"/>
        <v/>
      </c>
      <c r="AR634" s="7">
        <f>IF(ISBLANK(AN634), 0, VLOOKUP(AN634, 'Price Sheet'!$A$2:$B1015, 2, false))</f>
        <v>0</v>
      </c>
      <c r="AS634" s="33" t="str">
        <f t="shared" si="12"/>
        <v/>
      </c>
      <c r="AT634" s="37"/>
      <c r="AU634" s="29"/>
      <c r="AV634" s="29" t="b">
        <v>0</v>
      </c>
      <c r="AW634" s="22" t="str">
        <f t="shared" si="13"/>
        <v/>
      </c>
      <c r="AX634" s="7">
        <f>IF(ISBLANK(AT634), 0, VLOOKUP(AT634, 'Price Sheet'!$A$2:$B1015, 2, false))</f>
        <v>0</v>
      </c>
      <c r="AY634" s="33" t="str">
        <f t="shared" si="14"/>
        <v/>
      </c>
      <c r="AZ634" s="37"/>
      <c r="BA634" s="29"/>
      <c r="BB634" s="29" t="b">
        <v>0</v>
      </c>
      <c r="BC634" s="22" t="str">
        <f t="shared" si="15"/>
        <v/>
      </c>
      <c r="BD634" s="7">
        <f>IF(ISBLANK(AZ634), 0, VLOOKUP(AZ634, 'Price Sheet'!$A$2:$B1015, 2, false))</f>
        <v>0</v>
      </c>
      <c r="BE634" s="33" t="str">
        <f t="shared" si="16"/>
        <v/>
      </c>
      <c r="BF634" s="37"/>
      <c r="BG634" s="29"/>
      <c r="BH634" s="29" t="b">
        <v>0</v>
      </c>
      <c r="BI634" s="22" t="str">
        <f t="shared" si="17"/>
        <v/>
      </c>
      <c r="BJ634" s="7">
        <f>IF(ISBLANK(BF634), 0, VLOOKUP(BF634, 'Price Sheet'!$A$2:$B1015, 2, false))</f>
        <v>0</v>
      </c>
      <c r="BK634" s="33" t="str">
        <f t="shared" si="18"/>
        <v/>
      </c>
      <c r="BL634" s="37"/>
      <c r="BM634" s="29"/>
      <c r="BN634" s="29" t="b">
        <v>0</v>
      </c>
      <c r="BO634" s="22" t="str">
        <f t="shared" si="19"/>
        <v/>
      </c>
      <c r="BP634" s="7">
        <f>IF(ISBLANK(BL634), 0, VLOOKUP(BL634, 'Price Sheet'!$A$2:$B1015, 2, false))</f>
        <v>0</v>
      </c>
      <c r="BQ634" s="33" t="str">
        <f t="shared" si="20"/>
        <v/>
      </c>
    </row>
    <row r="635">
      <c r="B635" s="19"/>
      <c r="C635" s="29"/>
      <c r="D635" s="29"/>
      <c r="E635" s="7" t="str">
        <f>IF(ISBLANK(D635), "", VLOOKUP(D635,'Crafting Tables'!$A$2:$B1015, 2, false))</f>
        <v/>
      </c>
      <c r="F635" s="7" t="str">
        <f>IFERROR(IF(E635 = "None", 1, VLOOKUP(C635,General!$A$5:$L$35, SWITCH(E635, "Basic", 8, "Advanced", 10, "Modern", 12), false)),"")</f>
        <v/>
      </c>
      <c r="G635" s="29"/>
      <c r="H635" s="7">
        <f>IFERROR(VLOOKUP(C635, General!$A$5:$L$35, 6, false) * G635 / 1000, 0)</f>
        <v>0</v>
      </c>
      <c r="I635" s="29"/>
      <c r="J635" s="22" t="str">
        <f>IFERROR(I635*VLOOKUP(D635,'Crafting Tables'!$1:$1000, 4, false)*F635,"")</f>
        <v/>
      </c>
      <c r="K635" s="29" t="b">
        <v>0</v>
      </c>
      <c r="L635" s="37"/>
      <c r="M635" s="29"/>
      <c r="N635" s="21" t="str">
        <f t="shared" si="2"/>
        <v/>
      </c>
      <c r="P635" s="37"/>
      <c r="Q635" s="29"/>
      <c r="R635" s="29" t="b">
        <v>0</v>
      </c>
      <c r="S635" s="22" t="str">
        <f t="shared" si="3"/>
        <v/>
      </c>
      <c r="T635" s="7">
        <f>IF(ISBLANK(P635), 0, VLOOKUP(P635, 'Price Sheet'!$A$2:$B1015, 2, false))</f>
        <v>0</v>
      </c>
      <c r="U635" s="33" t="str">
        <f t="shared" si="4"/>
        <v/>
      </c>
      <c r="V635" s="37"/>
      <c r="W635" s="29"/>
      <c r="X635" s="29" t="b">
        <v>0</v>
      </c>
      <c r="Y635" s="22" t="str">
        <f t="shared" si="5"/>
        <v/>
      </c>
      <c r="Z635" s="7">
        <f>IF(ISBLANK(V635), 0, VLOOKUP(V635, 'Price Sheet'!$A$2:$B1015, 2, false))</f>
        <v>0</v>
      </c>
      <c r="AA635" s="33" t="str">
        <f t="shared" si="6"/>
        <v/>
      </c>
      <c r="AB635" s="37"/>
      <c r="AC635" s="29"/>
      <c r="AD635" s="29" t="b">
        <v>0</v>
      </c>
      <c r="AE635" s="22" t="str">
        <f t="shared" si="7"/>
        <v/>
      </c>
      <c r="AF635" s="7">
        <f>IF(ISBLANK(AB635), 0, VLOOKUP(AB635, 'Price Sheet'!$A$2:$B1015, 2, false))</f>
        <v>0</v>
      </c>
      <c r="AG635" s="33" t="str">
        <f t="shared" si="8"/>
        <v/>
      </c>
      <c r="AH635" s="37"/>
      <c r="AI635" s="29"/>
      <c r="AJ635" s="29" t="b">
        <v>0</v>
      </c>
      <c r="AK635" s="22" t="str">
        <f t="shared" si="9"/>
        <v/>
      </c>
      <c r="AL635" s="7">
        <f>IF(ISBLANK(AH635), 0, VLOOKUP(AH635, 'Price Sheet'!$A$2:$B1015, 2, false))</f>
        <v>0</v>
      </c>
      <c r="AM635" s="33" t="str">
        <f t="shared" si="10"/>
        <v/>
      </c>
      <c r="AN635" s="37"/>
      <c r="AO635" s="29"/>
      <c r="AP635" s="29" t="b">
        <v>0</v>
      </c>
      <c r="AQ635" s="22" t="str">
        <f t="shared" si="11"/>
        <v/>
      </c>
      <c r="AR635" s="7">
        <f>IF(ISBLANK(AN635), 0, VLOOKUP(AN635, 'Price Sheet'!$A$2:$B1015, 2, false))</f>
        <v>0</v>
      </c>
      <c r="AS635" s="33" t="str">
        <f t="shared" si="12"/>
        <v/>
      </c>
      <c r="AT635" s="37"/>
      <c r="AU635" s="29"/>
      <c r="AV635" s="29" t="b">
        <v>0</v>
      </c>
      <c r="AW635" s="22" t="str">
        <f t="shared" si="13"/>
        <v/>
      </c>
      <c r="AX635" s="7">
        <f>IF(ISBLANK(AT635), 0, VLOOKUP(AT635, 'Price Sheet'!$A$2:$B1015, 2, false))</f>
        <v>0</v>
      </c>
      <c r="AY635" s="33" t="str">
        <f t="shared" si="14"/>
        <v/>
      </c>
      <c r="AZ635" s="37"/>
      <c r="BA635" s="29"/>
      <c r="BB635" s="29" t="b">
        <v>0</v>
      </c>
      <c r="BC635" s="22" t="str">
        <f t="shared" si="15"/>
        <v/>
      </c>
      <c r="BD635" s="7">
        <f>IF(ISBLANK(AZ635), 0, VLOOKUP(AZ635, 'Price Sheet'!$A$2:$B1015, 2, false))</f>
        <v>0</v>
      </c>
      <c r="BE635" s="33" t="str">
        <f t="shared" si="16"/>
        <v/>
      </c>
      <c r="BF635" s="37"/>
      <c r="BG635" s="29"/>
      <c r="BH635" s="29" t="b">
        <v>0</v>
      </c>
      <c r="BI635" s="22" t="str">
        <f t="shared" si="17"/>
        <v/>
      </c>
      <c r="BJ635" s="7">
        <f>IF(ISBLANK(BF635), 0, VLOOKUP(BF635, 'Price Sheet'!$A$2:$B1015, 2, false))</f>
        <v>0</v>
      </c>
      <c r="BK635" s="33" t="str">
        <f t="shared" si="18"/>
        <v/>
      </c>
      <c r="BL635" s="37"/>
      <c r="BM635" s="29"/>
      <c r="BN635" s="29" t="b">
        <v>0</v>
      </c>
      <c r="BO635" s="22" t="str">
        <f t="shared" si="19"/>
        <v/>
      </c>
      <c r="BP635" s="7">
        <f>IF(ISBLANK(BL635), 0, VLOOKUP(BL635, 'Price Sheet'!$A$2:$B1015, 2, false))</f>
        <v>0</v>
      </c>
      <c r="BQ635" s="33" t="str">
        <f t="shared" si="20"/>
        <v/>
      </c>
    </row>
    <row r="636">
      <c r="B636" s="19"/>
      <c r="C636" s="29"/>
      <c r="D636" s="29"/>
      <c r="E636" s="7" t="str">
        <f>IF(ISBLANK(D636), "", VLOOKUP(D636,'Crafting Tables'!$A$2:$B1015, 2, false))</f>
        <v/>
      </c>
      <c r="F636" s="7" t="str">
        <f>IFERROR(IF(E636 = "None", 1, VLOOKUP(C636,General!$A$5:$L$35, SWITCH(E636, "Basic", 8, "Advanced", 10, "Modern", 12), false)),"")</f>
        <v/>
      </c>
      <c r="G636" s="29"/>
      <c r="H636" s="7">
        <f>IFERROR(VLOOKUP(C636, General!$A$5:$L$35, 6, false) * G636 / 1000, 0)</f>
        <v>0</v>
      </c>
      <c r="I636" s="29"/>
      <c r="J636" s="22" t="str">
        <f>IFERROR(I636*VLOOKUP(D636,'Crafting Tables'!$1:$1000, 4, false)*F636,"")</f>
        <v/>
      </c>
      <c r="K636" s="29" t="b">
        <v>0</v>
      </c>
      <c r="L636" s="37"/>
      <c r="M636" s="29"/>
      <c r="N636" s="21" t="str">
        <f t="shared" si="2"/>
        <v/>
      </c>
      <c r="P636" s="37"/>
      <c r="Q636" s="29"/>
      <c r="R636" s="29" t="b">
        <v>0</v>
      </c>
      <c r="S636" s="22" t="str">
        <f t="shared" si="3"/>
        <v/>
      </c>
      <c r="T636" s="7">
        <f>IF(ISBLANK(P636), 0, VLOOKUP(P636, 'Price Sheet'!$A$2:$B1015, 2, false))</f>
        <v>0</v>
      </c>
      <c r="U636" s="33" t="str">
        <f t="shared" si="4"/>
        <v/>
      </c>
      <c r="V636" s="37"/>
      <c r="W636" s="29"/>
      <c r="X636" s="29" t="b">
        <v>0</v>
      </c>
      <c r="Y636" s="22" t="str">
        <f t="shared" si="5"/>
        <v/>
      </c>
      <c r="Z636" s="7">
        <f>IF(ISBLANK(V636), 0, VLOOKUP(V636, 'Price Sheet'!$A$2:$B1015, 2, false))</f>
        <v>0</v>
      </c>
      <c r="AA636" s="33" t="str">
        <f t="shared" si="6"/>
        <v/>
      </c>
      <c r="AB636" s="37"/>
      <c r="AC636" s="29"/>
      <c r="AD636" s="29" t="b">
        <v>0</v>
      </c>
      <c r="AE636" s="22" t="str">
        <f t="shared" si="7"/>
        <v/>
      </c>
      <c r="AF636" s="7">
        <f>IF(ISBLANK(AB636), 0, VLOOKUP(AB636, 'Price Sheet'!$A$2:$B1015, 2, false))</f>
        <v>0</v>
      </c>
      <c r="AG636" s="33" t="str">
        <f t="shared" si="8"/>
        <v/>
      </c>
      <c r="AH636" s="37"/>
      <c r="AI636" s="29"/>
      <c r="AJ636" s="29" t="b">
        <v>0</v>
      </c>
      <c r="AK636" s="22" t="str">
        <f t="shared" si="9"/>
        <v/>
      </c>
      <c r="AL636" s="7">
        <f>IF(ISBLANK(AH636), 0, VLOOKUP(AH636, 'Price Sheet'!$A$2:$B1015, 2, false))</f>
        <v>0</v>
      </c>
      <c r="AM636" s="33" t="str">
        <f t="shared" si="10"/>
        <v/>
      </c>
      <c r="AN636" s="37"/>
      <c r="AO636" s="29"/>
      <c r="AP636" s="29" t="b">
        <v>0</v>
      </c>
      <c r="AQ636" s="22" t="str">
        <f t="shared" si="11"/>
        <v/>
      </c>
      <c r="AR636" s="7">
        <f>IF(ISBLANK(AN636), 0, VLOOKUP(AN636, 'Price Sheet'!$A$2:$B1015, 2, false))</f>
        <v>0</v>
      </c>
      <c r="AS636" s="33" t="str">
        <f t="shared" si="12"/>
        <v/>
      </c>
      <c r="AT636" s="37"/>
      <c r="AU636" s="29"/>
      <c r="AV636" s="29" t="b">
        <v>0</v>
      </c>
      <c r="AW636" s="22" t="str">
        <f t="shared" si="13"/>
        <v/>
      </c>
      <c r="AX636" s="7">
        <f>IF(ISBLANK(AT636), 0, VLOOKUP(AT636, 'Price Sheet'!$A$2:$B1015, 2, false))</f>
        <v>0</v>
      </c>
      <c r="AY636" s="33" t="str">
        <f t="shared" si="14"/>
        <v/>
      </c>
      <c r="AZ636" s="37"/>
      <c r="BA636" s="29"/>
      <c r="BB636" s="29" t="b">
        <v>0</v>
      </c>
      <c r="BC636" s="22" t="str">
        <f t="shared" si="15"/>
        <v/>
      </c>
      <c r="BD636" s="7">
        <f>IF(ISBLANK(AZ636), 0, VLOOKUP(AZ636, 'Price Sheet'!$A$2:$B1015, 2, false))</f>
        <v>0</v>
      </c>
      <c r="BE636" s="33" t="str">
        <f t="shared" si="16"/>
        <v/>
      </c>
      <c r="BF636" s="37"/>
      <c r="BG636" s="29"/>
      <c r="BH636" s="29" t="b">
        <v>0</v>
      </c>
      <c r="BI636" s="22" t="str">
        <f t="shared" si="17"/>
        <v/>
      </c>
      <c r="BJ636" s="7">
        <f>IF(ISBLANK(BF636), 0, VLOOKUP(BF636, 'Price Sheet'!$A$2:$B1015, 2, false))</f>
        <v>0</v>
      </c>
      <c r="BK636" s="33" t="str">
        <f t="shared" si="18"/>
        <v/>
      </c>
      <c r="BL636" s="37"/>
      <c r="BM636" s="29"/>
      <c r="BN636" s="29" t="b">
        <v>0</v>
      </c>
      <c r="BO636" s="22" t="str">
        <f t="shared" si="19"/>
        <v/>
      </c>
      <c r="BP636" s="7">
        <f>IF(ISBLANK(BL636), 0, VLOOKUP(BL636, 'Price Sheet'!$A$2:$B1015, 2, false))</f>
        <v>0</v>
      </c>
      <c r="BQ636" s="33" t="str">
        <f t="shared" si="20"/>
        <v/>
      </c>
    </row>
    <row r="637">
      <c r="B637" s="19"/>
      <c r="C637" s="29"/>
      <c r="D637" s="29"/>
      <c r="E637" s="7" t="str">
        <f>IF(ISBLANK(D637), "", VLOOKUP(D637,'Crafting Tables'!$A$2:$B1015, 2, false))</f>
        <v/>
      </c>
      <c r="F637" s="7" t="str">
        <f>IFERROR(IF(E637 = "None", 1, VLOOKUP(C637,General!$A$5:$L$35, SWITCH(E637, "Basic", 8, "Advanced", 10, "Modern", 12), false)),"")</f>
        <v/>
      </c>
      <c r="G637" s="29"/>
      <c r="H637" s="7">
        <f>IFERROR(VLOOKUP(C637, General!$A$5:$L$35, 6, false) * G637 / 1000, 0)</f>
        <v>0</v>
      </c>
      <c r="I637" s="29"/>
      <c r="J637" s="22" t="str">
        <f>IFERROR(I637*VLOOKUP(D637,'Crafting Tables'!$1:$1000, 4, false)*F637,"")</f>
        <v/>
      </c>
      <c r="K637" s="29" t="b">
        <v>0</v>
      </c>
      <c r="L637" s="37"/>
      <c r="M637" s="29"/>
      <c r="N637" s="21" t="str">
        <f t="shared" si="2"/>
        <v/>
      </c>
      <c r="P637" s="37"/>
      <c r="Q637" s="29"/>
      <c r="R637" s="29" t="b">
        <v>0</v>
      </c>
      <c r="S637" s="22" t="str">
        <f t="shared" si="3"/>
        <v/>
      </c>
      <c r="T637" s="7">
        <f>IF(ISBLANK(P637), 0, VLOOKUP(P637, 'Price Sheet'!$A$2:$B1015, 2, false))</f>
        <v>0</v>
      </c>
      <c r="U637" s="33" t="str">
        <f t="shared" si="4"/>
        <v/>
      </c>
      <c r="V637" s="37"/>
      <c r="W637" s="29"/>
      <c r="X637" s="29" t="b">
        <v>0</v>
      </c>
      <c r="Y637" s="22" t="str">
        <f t="shared" si="5"/>
        <v/>
      </c>
      <c r="Z637" s="7">
        <f>IF(ISBLANK(V637), 0, VLOOKUP(V637, 'Price Sheet'!$A$2:$B1015, 2, false))</f>
        <v>0</v>
      </c>
      <c r="AA637" s="33" t="str">
        <f t="shared" si="6"/>
        <v/>
      </c>
      <c r="AB637" s="37"/>
      <c r="AC637" s="29"/>
      <c r="AD637" s="29" t="b">
        <v>0</v>
      </c>
      <c r="AE637" s="22" t="str">
        <f t="shared" si="7"/>
        <v/>
      </c>
      <c r="AF637" s="7">
        <f>IF(ISBLANK(AB637), 0, VLOOKUP(AB637, 'Price Sheet'!$A$2:$B1015, 2, false))</f>
        <v>0</v>
      </c>
      <c r="AG637" s="33" t="str">
        <f t="shared" si="8"/>
        <v/>
      </c>
      <c r="AH637" s="37"/>
      <c r="AI637" s="29"/>
      <c r="AJ637" s="29" t="b">
        <v>0</v>
      </c>
      <c r="AK637" s="22" t="str">
        <f t="shared" si="9"/>
        <v/>
      </c>
      <c r="AL637" s="7">
        <f>IF(ISBLANK(AH637), 0, VLOOKUP(AH637, 'Price Sheet'!$A$2:$B1015, 2, false))</f>
        <v>0</v>
      </c>
      <c r="AM637" s="33" t="str">
        <f t="shared" si="10"/>
        <v/>
      </c>
      <c r="AN637" s="37"/>
      <c r="AO637" s="29"/>
      <c r="AP637" s="29" t="b">
        <v>0</v>
      </c>
      <c r="AQ637" s="22" t="str">
        <f t="shared" si="11"/>
        <v/>
      </c>
      <c r="AR637" s="7">
        <f>IF(ISBLANK(AN637), 0, VLOOKUP(AN637, 'Price Sheet'!$A$2:$B1015, 2, false))</f>
        <v>0</v>
      </c>
      <c r="AS637" s="33" t="str">
        <f t="shared" si="12"/>
        <v/>
      </c>
      <c r="AT637" s="37"/>
      <c r="AU637" s="29"/>
      <c r="AV637" s="29" t="b">
        <v>0</v>
      </c>
      <c r="AW637" s="22" t="str">
        <f t="shared" si="13"/>
        <v/>
      </c>
      <c r="AX637" s="7">
        <f>IF(ISBLANK(AT637), 0, VLOOKUP(AT637, 'Price Sheet'!$A$2:$B1015, 2, false))</f>
        <v>0</v>
      </c>
      <c r="AY637" s="33" t="str">
        <f t="shared" si="14"/>
        <v/>
      </c>
      <c r="AZ637" s="37"/>
      <c r="BA637" s="29"/>
      <c r="BB637" s="29" t="b">
        <v>0</v>
      </c>
      <c r="BC637" s="22" t="str">
        <f t="shared" si="15"/>
        <v/>
      </c>
      <c r="BD637" s="7">
        <f>IF(ISBLANK(AZ637), 0, VLOOKUP(AZ637, 'Price Sheet'!$A$2:$B1015, 2, false))</f>
        <v>0</v>
      </c>
      <c r="BE637" s="33" t="str">
        <f t="shared" si="16"/>
        <v/>
      </c>
      <c r="BF637" s="37"/>
      <c r="BG637" s="29"/>
      <c r="BH637" s="29" t="b">
        <v>0</v>
      </c>
      <c r="BI637" s="22" t="str">
        <f t="shared" si="17"/>
        <v/>
      </c>
      <c r="BJ637" s="7">
        <f>IF(ISBLANK(BF637), 0, VLOOKUP(BF637, 'Price Sheet'!$A$2:$B1015, 2, false))</f>
        <v>0</v>
      </c>
      <c r="BK637" s="33" t="str">
        <f t="shared" si="18"/>
        <v/>
      </c>
      <c r="BL637" s="37"/>
      <c r="BM637" s="29"/>
      <c r="BN637" s="29" t="b">
        <v>0</v>
      </c>
      <c r="BO637" s="22" t="str">
        <f t="shared" si="19"/>
        <v/>
      </c>
      <c r="BP637" s="7">
        <f>IF(ISBLANK(BL637), 0, VLOOKUP(BL637, 'Price Sheet'!$A$2:$B1015, 2, false))</f>
        <v>0</v>
      </c>
      <c r="BQ637" s="33" t="str">
        <f t="shared" si="20"/>
        <v/>
      </c>
    </row>
    <row r="638">
      <c r="B638" s="19"/>
      <c r="C638" s="29"/>
      <c r="D638" s="29"/>
      <c r="E638" s="7" t="str">
        <f>IF(ISBLANK(D638), "", VLOOKUP(D638,'Crafting Tables'!$A$2:$B1015, 2, false))</f>
        <v/>
      </c>
      <c r="F638" s="7" t="str">
        <f>IFERROR(IF(E638 = "None", 1, VLOOKUP(C638,General!$A$5:$L$35, SWITCH(E638, "Basic", 8, "Advanced", 10, "Modern", 12), false)),"")</f>
        <v/>
      </c>
      <c r="G638" s="29"/>
      <c r="H638" s="7">
        <f>IFERROR(VLOOKUP(C638, General!$A$5:$L$35, 6, false) * G638 / 1000, 0)</f>
        <v>0</v>
      </c>
      <c r="I638" s="29"/>
      <c r="J638" s="22" t="str">
        <f>IFERROR(I638*VLOOKUP(D638,'Crafting Tables'!$1:$1000, 4, false)*F638,"")</f>
        <v/>
      </c>
      <c r="K638" s="29" t="b">
        <v>0</v>
      </c>
      <c r="L638" s="37"/>
      <c r="M638" s="29"/>
      <c r="N638" s="21" t="str">
        <f t="shared" si="2"/>
        <v/>
      </c>
      <c r="P638" s="37"/>
      <c r="Q638" s="29"/>
      <c r="R638" s="29" t="b">
        <v>0</v>
      </c>
      <c r="S638" s="22" t="str">
        <f t="shared" si="3"/>
        <v/>
      </c>
      <c r="T638" s="7">
        <f>IF(ISBLANK(P638), 0, VLOOKUP(P638, 'Price Sheet'!$A$2:$B1015, 2, false))</f>
        <v>0</v>
      </c>
      <c r="U638" s="33" t="str">
        <f t="shared" si="4"/>
        <v/>
      </c>
      <c r="V638" s="37"/>
      <c r="W638" s="29"/>
      <c r="X638" s="29" t="b">
        <v>0</v>
      </c>
      <c r="Y638" s="22" t="str">
        <f t="shared" si="5"/>
        <v/>
      </c>
      <c r="Z638" s="7">
        <f>IF(ISBLANK(V638), 0, VLOOKUP(V638, 'Price Sheet'!$A$2:$B1015, 2, false))</f>
        <v>0</v>
      </c>
      <c r="AA638" s="33" t="str">
        <f t="shared" si="6"/>
        <v/>
      </c>
      <c r="AB638" s="37"/>
      <c r="AC638" s="29"/>
      <c r="AD638" s="29" t="b">
        <v>0</v>
      </c>
      <c r="AE638" s="22" t="str">
        <f t="shared" si="7"/>
        <v/>
      </c>
      <c r="AF638" s="7">
        <f>IF(ISBLANK(AB638), 0, VLOOKUP(AB638, 'Price Sheet'!$A$2:$B1015, 2, false))</f>
        <v>0</v>
      </c>
      <c r="AG638" s="33" t="str">
        <f t="shared" si="8"/>
        <v/>
      </c>
      <c r="AH638" s="37"/>
      <c r="AI638" s="29"/>
      <c r="AJ638" s="29" t="b">
        <v>0</v>
      </c>
      <c r="AK638" s="22" t="str">
        <f t="shared" si="9"/>
        <v/>
      </c>
      <c r="AL638" s="7">
        <f>IF(ISBLANK(AH638), 0, VLOOKUP(AH638, 'Price Sheet'!$A$2:$B1015, 2, false))</f>
        <v>0</v>
      </c>
      <c r="AM638" s="33" t="str">
        <f t="shared" si="10"/>
        <v/>
      </c>
      <c r="AN638" s="37"/>
      <c r="AO638" s="29"/>
      <c r="AP638" s="29" t="b">
        <v>0</v>
      </c>
      <c r="AQ638" s="22" t="str">
        <f t="shared" si="11"/>
        <v/>
      </c>
      <c r="AR638" s="7">
        <f>IF(ISBLANK(AN638), 0, VLOOKUP(AN638, 'Price Sheet'!$A$2:$B1015, 2, false))</f>
        <v>0</v>
      </c>
      <c r="AS638" s="33" t="str">
        <f t="shared" si="12"/>
        <v/>
      </c>
      <c r="AT638" s="37"/>
      <c r="AU638" s="29"/>
      <c r="AV638" s="29" t="b">
        <v>0</v>
      </c>
      <c r="AW638" s="22" t="str">
        <f t="shared" si="13"/>
        <v/>
      </c>
      <c r="AX638" s="7">
        <f>IF(ISBLANK(AT638), 0, VLOOKUP(AT638, 'Price Sheet'!$A$2:$B1015, 2, false))</f>
        <v>0</v>
      </c>
      <c r="AY638" s="33" t="str">
        <f t="shared" si="14"/>
        <v/>
      </c>
      <c r="AZ638" s="37"/>
      <c r="BA638" s="29"/>
      <c r="BB638" s="29" t="b">
        <v>0</v>
      </c>
      <c r="BC638" s="22" t="str">
        <f t="shared" si="15"/>
        <v/>
      </c>
      <c r="BD638" s="7">
        <f>IF(ISBLANK(AZ638), 0, VLOOKUP(AZ638, 'Price Sheet'!$A$2:$B1015, 2, false))</f>
        <v>0</v>
      </c>
      <c r="BE638" s="33" t="str">
        <f t="shared" si="16"/>
        <v/>
      </c>
      <c r="BF638" s="37"/>
      <c r="BG638" s="29"/>
      <c r="BH638" s="29" t="b">
        <v>0</v>
      </c>
      <c r="BI638" s="22" t="str">
        <f t="shared" si="17"/>
        <v/>
      </c>
      <c r="BJ638" s="7">
        <f>IF(ISBLANK(BF638), 0, VLOOKUP(BF638, 'Price Sheet'!$A$2:$B1015, 2, false))</f>
        <v>0</v>
      </c>
      <c r="BK638" s="33" t="str">
        <f t="shared" si="18"/>
        <v/>
      </c>
      <c r="BL638" s="37"/>
      <c r="BM638" s="29"/>
      <c r="BN638" s="29" t="b">
        <v>0</v>
      </c>
      <c r="BO638" s="22" t="str">
        <f t="shared" si="19"/>
        <v/>
      </c>
      <c r="BP638" s="7">
        <f>IF(ISBLANK(BL638), 0, VLOOKUP(BL638, 'Price Sheet'!$A$2:$B1015, 2, false))</f>
        <v>0</v>
      </c>
      <c r="BQ638" s="33" t="str">
        <f t="shared" si="20"/>
        <v/>
      </c>
    </row>
    <row r="639">
      <c r="B639" s="19"/>
      <c r="C639" s="29"/>
      <c r="D639" s="29"/>
      <c r="E639" s="7" t="str">
        <f>IF(ISBLANK(D639), "", VLOOKUP(D639,'Crafting Tables'!$A$2:$B1015, 2, false))</f>
        <v/>
      </c>
      <c r="F639" s="7" t="str">
        <f>IFERROR(IF(E639 = "None", 1, VLOOKUP(C639,General!$A$5:$L$35, SWITCH(E639, "Basic", 8, "Advanced", 10, "Modern", 12), false)),"")</f>
        <v/>
      </c>
      <c r="G639" s="29"/>
      <c r="H639" s="7">
        <f>IFERROR(VLOOKUP(C639, General!$A$5:$L$35, 6, false) * G639 / 1000, 0)</f>
        <v>0</v>
      </c>
      <c r="I639" s="29"/>
      <c r="J639" s="22" t="str">
        <f>IFERROR(I639*VLOOKUP(D639,'Crafting Tables'!$1:$1000, 4, false)*F639,"")</f>
        <v/>
      </c>
      <c r="K639" s="29" t="b">
        <v>0</v>
      </c>
      <c r="L639" s="37"/>
      <c r="M639" s="29"/>
      <c r="N639" s="21" t="str">
        <f t="shared" si="2"/>
        <v/>
      </c>
      <c r="P639" s="37"/>
      <c r="Q639" s="29"/>
      <c r="R639" s="29" t="b">
        <v>0</v>
      </c>
      <c r="S639" s="22" t="str">
        <f t="shared" si="3"/>
        <v/>
      </c>
      <c r="T639" s="7">
        <f>IF(ISBLANK(P639), 0, VLOOKUP(P639, 'Price Sheet'!$A$2:$B1015, 2, false))</f>
        <v>0</v>
      </c>
      <c r="U639" s="33" t="str">
        <f t="shared" si="4"/>
        <v/>
      </c>
      <c r="V639" s="37"/>
      <c r="W639" s="29"/>
      <c r="X639" s="29" t="b">
        <v>0</v>
      </c>
      <c r="Y639" s="22" t="str">
        <f t="shared" si="5"/>
        <v/>
      </c>
      <c r="Z639" s="7">
        <f>IF(ISBLANK(V639), 0, VLOOKUP(V639, 'Price Sheet'!$A$2:$B1015, 2, false))</f>
        <v>0</v>
      </c>
      <c r="AA639" s="33" t="str">
        <f t="shared" si="6"/>
        <v/>
      </c>
      <c r="AB639" s="37"/>
      <c r="AC639" s="29"/>
      <c r="AD639" s="29" t="b">
        <v>0</v>
      </c>
      <c r="AE639" s="22" t="str">
        <f t="shared" si="7"/>
        <v/>
      </c>
      <c r="AF639" s="7">
        <f>IF(ISBLANK(AB639), 0, VLOOKUP(AB639, 'Price Sheet'!$A$2:$B1015, 2, false))</f>
        <v>0</v>
      </c>
      <c r="AG639" s="33" t="str">
        <f t="shared" si="8"/>
        <v/>
      </c>
      <c r="AH639" s="37"/>
      <c r="AI639" s="29"/>
      <c r="AJ639" s="29" t="b">
        <v>0</v>
      </c>
      <c r="AK639" s="22" t="str">
        <f t="shared" si="9"/>
        <v/>
      </c>
      <c r="AL639" s="7">
        <f>IF(ISBLANK(AH639), 0, VLOOKUP(AH639, 'Price Sheet'!$A$2:$B1015, 2, false))</f>
        <v>0</v>
      </c>
      <c r="AM639" s="33" t="str">
        <f t="shared" si="10"/>
        <v/>
      </c>
      <c r="AN639" s="37"/>
      <c r="AO639" s="29"/>
      <c r="AP639" s="29" t="b">
        <v>0</v>
      </c>
      <c r="AQ639" s="22" t="str">
        <f t="shared" si="11"/>
        <v/>
      </c>
      <c r="AR639" s="7">
        <f>IF(ISBLANK(AN639), 0, VLOOKUP(AN639, 'Price Sheet'!$A$2:$B1015, 2, false))</f>
        <v>0</v>
      </c>
      <c r="AS639" s="33" t="str">
        <f t="shared" si="12"/>
        <v/>
      </c>
      <c r="AT639" s="37"/>
      <c r="AU639" s="29"/>
      <c r="AV639" s="29" t="b">
        <v>0</v>
      </c>
      <c r="AW639" s="22" t="str">
        <f t="shared" si="13"/>
        <v/>
      </c>
      <c r="AX639" s="7">
        <f>IF(ISBLANK(AT639), 0, VLOOKUP(AT639, 'Price Sheet'!$A$2:$B1015, 2, false))</f>
        <v>0</v>
      </c>
      <c r="AY639" s="33" t="str">
        <f t="shared" si="14"/>
        <v/>
      </c>
      <c r="AZ639" s="37"/>
      <c r="BA639" s="29"/>
      <c r="BB639" s="29" t="b">
        <v>0</v>
      </c>
      <c r="BC639" s="22" t="str">
        <f t="shared" si="15"/>
        <v/>
      </c>
      <c r="BD639" s="7">
        <f>IF(ISBLANK(AZ639), 0, VLOOKUP(AZ639, 'Price Sheet'!$A$2:$B1015, 2, false))</f>
        <v>0</v>
      </c>
      <c r="BE639" s="33" t="str">
        <f t="shared" si="16"/>
        <v/>
      </c>
      <c r="BF639" s="37"/>
      <c r="BG639" s="29"/>
      <c r="BH639" s="29" t="b">
        <v>0</v>
      </c>
      <c r="BI639" s="22" t="str">
        <f t="shared" si="17"/>
        <v/>
      </c>
      <c r="BJ639" s="7">
        <f>IF(ISBLANK(BF639), 0, VLOOKUP(BF639, 'Price Sheet'!$A$2:$B1015, 2, false))</f>
        <v>0</v>
      </c>
      <c r="BK639" s="33" t="str">
        <f t="shared" si="18"/>
        <v/>
      </c>
      <c r="BL639" s="37"/>
      <c r="BM639" s="29"/>
      <c r="BN639" s="29" t="b">
        <v>0</v>
      </c>
      <c r="BO639" s="22" t="str">
        <f t="shared" si="19"/>
        <v/>
      </c>
      <c r="BP639" s="7">
        <f>IF(ISBLANK(BL639), 0, VLOOKUP(BL639, 'Price Sheet'!$A$2:$B1015, 2, false))</f>
        <v>0</v>
      </c>
      <c r="BQ639" s="33" t="str">
        <f t="shared" si="20"/>
        <v/>
      </c>
    </row>
    <row r="640">
      <c r="B640" s="19"/>
      <c r="C640" s="29"/>
      <c r="D640" s="29"/>
      <c r="E640" s="7" t="str">
        <f>IF(ISBLANK(D640), "", VLOOKUP(D640,'Crafting Tables'!$A$2:$B1015, 2, false))</f>
        <v/>
      </c>
      <c r="F640" s="7" t="str">
        <f>IFERROR(IF(E640 = "None", 1, VLOOKUP(C640,General!$A$5:$L$35, SWITCH(E640, "Basic", 8, "Advanced", 10, "Modern", 12), false)),"")</f>
        <v/>
      </c>
      <c r="G640" s="29"/>
      <c r="H640" s="7">
        <f>IFERROR(VLOOKUP(C640, General!$A$5:$L$35, 6, false) * G640 / 1000, 0)</f>
        <v>0</v>
      </c>
      <c r="I640" s="29"/>
      <c r="J640" s="22" t="str">
        <f>IFERROR(I640*VLOOKUP(D640,'Crafting Tables'!$1:$1000, 4, false)*F640,"")</f>
        <v/>
      </c>
      <c r="K640" s="29" t="b">
        <v>0</v>
      </c>
      <c r="L640" s="37"/>
      <c r="M640" s="29"/>
      <c r="N640" s="21" t="str">
        <f t="shared" si="2"/>
        <v/>
      </c>
      <c r="P640" s="37"/>
      <c r="Q640" s="29"/>
      <c r="R640" s="29" t="b">
        <v>0</v>
      </c>
      <c r="S640" s="22" t="str">
        <f t="shared" si="3"/>
        <v/>
      </c>
      <c r="T640" s="7">
        <f>IF(ISBLANK(P640), 0, VLOOKUP(P640, 'Price Sheet'!$A$2:$B1015, 2, false))</f>
        <v>0</v>
      </c>
      <c r="U640" s="33" t="str">
        <f t="shared" si="4"/>
        <v/>
      </c>
      <c r="V640" s="37"/>
      <c r="W640" s="29"/>
      <c r="X640" s="29" t="b">
        <v>0</v>
      </c>
      <c r="Y640" s="22" t="str">
        <f t="shared" si="5"/>
        <v/>
      </c>
      <c r="Z640" s="7">
        <f>IF(ISBLANK(V640), 0, VLOOKUP(V640, 'Price Sheet'!$A$2:$B1015, 2, false))</f>
        <v>0</v>
      </c>
      <c r="AA640" s="33" t="str">
        <f t="shared" si="6"/>
        <v/>
      </c>
      <c r="AB640" s="37"/>
      <c r="AC640" s="29"/>
      <c r="AD640" s="29" t="b">
        <v>0</v>
      </c>
      <c r="AE640" s="22" t="str">
        <f t="shared" si="7"/>
        <v/>
      </c>
      <c r="AF640" s="7">
        <f>IF(ISBLANK(AB640), 0, VLOOKUP(AB640, 'Price Sheet'!$A$2:$B1015, 2, false))</f>
        <v>0</v>
      </c>
      <c r="AG640" s="33" t="str">
        <f t="shared" si="8"/>
        <v/>
      </c>
      <c r="AH640" s="37"/>
      <c r="AI640" s="29"/>
      <c r="AJ640" s="29" t="b">
        <v>0</v>
      </c>
      <c r="AK640" s="22" t="str">
        <f t="shared" si="9"/>
        <v/>
      </c>
      <c r="AL640" s="7">
        <f>IF(ISBLANK(AH640), 0, VLOOKUP(AH640, 'Price Sheet'!$A$2:$B1015, 2, false))</f>
        <v>0</v>
      </c>
      <c r="AM640" s="33" t="str">
        <f t="shared" si="10"/>
        <v/>
      </c>
      <c r="AN640" s="37"/>
      <c r="AO640" s="29"/>
      <c r="AP640" s="29" t="b">
        <v>0</v>
      </c>
      <c r="AQ640" s="22" t="str">
        <f t="shared" si="11"/>
        <v/>
      </c>
      <c r="AR640" s="7">
        <f>IF(ISBLANK(AN640), 0, VLOOKUP(AN640, 'Price Sheet'!$A$2:$B1015, 2, false))</f>
        <v>0</v>
      </c>
      <c r="AS640" s="33" t="str">
        <f t="shared" si="12"/>
        <v/>
      </c>
      <c r="AT640" s="37"/>
      <c r="AU640" s="29"/>
      <c r="AV640" s="29" t="b">
        <v>0</v>
      </c>
      <c r="AW640" s="22" t="str">
        <f t="shared" si="13"/>
        <v/>
      </c>
      <c r="AX640" s="7">
        <f>IF(ISBLANK(AT640), 0, VLOOKUP(AT640, 'Price Sheet'!$A$2:$B1015, 2, false))</f>
        <v>0</v>
      </c>
      <c r="AY640" s="33" t="str">
        <f t="shared" si="14"/>
        <v/>
      </c>
      <c r="AZ640" s="37"/>
      <c r="BA640" s="29"/>
      <c r="BB640" s="29" t="b">
        <v>0</v>
      </c>
      <c r="BC640" s="22" t="str">
        <f t="shared" si="15"/>
        <v/>
      </c>
      <c r="BD640" s="7">
        <f>IF(ISBLANK(AZ640), 0, VLOOKUP(AZ640, 'Price Sheet'!$A$2:$B1015, 2, false))</f>
        <v>0</v>
      </c>
      <c r="BE640" s="33" t="str">
        <f t="shared" si="16"/>
        <v/>
      </c>
      <c r="BF640" s="37"/>
      <c r="BG640" s="29"/>
      <c r="BH640" s="29" t="b">
        <v>0</v>
      </c>
      <c r="BI640" s="22" t="str">
        <f t="shared" si="17"/>
        <v/>
      </c>
      <c r="BJ640" s="7">
        <f>IF(ISBLANK(BF640), 0, VLOOKUP(BF640, 'Price Sheet'!$A$2:$B1015, 2, false))</f>
        <v>0</v>
      </c>
      <c r="BK640" s="33" t="str">
        <f t="shared" si="18"/>
        <v/>
      </c>
      <c r="BL640" s="37"/>
      <c r="BM640" s="29"/>
      <c r="BN640" s="29" t="b">
        <v>0</v>
      </c>
      <c r="BO640" s="22" t="str">
        <f t="shared" si="19"/>
        <v/>
      </c>
      <c r="BP640" s="7">
        <f>IF(ISBLANK(BL640), 0, VLOOKUP(BL640, 'Price Sheet'!$A$2:$B1015, 2, false))</f>
        <v>0</v>
      </c>
      <c r="BQ640" s="33" t="str">
        <f t="shared" si="20"/>
        <v/>
      </c>
    </row>
    <row r="641">
      <c r="B641" s="19"/>
      <c r="C641" s="29"/>
      <c r="D641" s="29"/>
      <c r="E641" s="7" t="str">
        <f>IF(ISBLANK(D641), "", VLOOKUP(D641,'Crafting Tables'!$A$2:$B1015, 2, false))</f>
        <v/>
      </c>
      <c r="F641" s="7" t="str">
        <f>IFERROR(IF(E641 = "None", 1, VLOOKUP(C641,General!$A$5:$L$35, SWITCH(E641, "Basic", 8, "Advanced", 10, "Modern", 12), false)),"")</f>
        <v/>
      </c>
      <c r="G641" s="29"/>
      <c r="H641" s="7">
        <f>IFERROR(VLOOKUP(C641, General!$A$5:$L$35, 6, false) * G641 / 1000, 0)</f>
        <v>0</v>
      </c>
      <c r="I641" s="29"/>
      <c r="J641" s="22" t="str">
        <f>IFERROR(I641*VLOOKUP(D641,'Crafting Tables'!$1:$1000, 4, false)*F641,"")</f>
        <v/>
      </c>
      <c r="K641" s="29" t="b">
        <v>0</v>
      </c>
      <c r="L641" s="37"/>
      <c r="M641" s="29"/>
      <c r="N641" s="21" t="str">
        <f t="shared" si="2"/>
        <v/>
      </c>
      <c r="P641" s="37"/>
      <c r="Q641" s="29"/>
      <c r="R641" s="29" t="b">
        <v>0</v>
      </c>
      <c r="S641" s="22" t="str">
        <f t="shared" si="3"/>
        <v/>
      </c>
      <c r="T641" s="7">
        <f>IF(ISBLANK(P641), 0, VLOOKUP(P641, 'Price Sheet'!$A$2:$B1015, 2, false))</f>
        <v>0</v>
      </c>
      <c r="U641" s="33" t="str">
        <f t="shared" si="4"/>
        <v/>
      </c>
      <c r="V641" s="37"/>
      <c r="W641" s="29"/>
      <c r="X641" s="29" t="b">
        <v>0</v>
      </c>
      <c r="Y641" s="22" t="str">
        <f t="shared" si="5"/>
        <v/>
      </c>
      <c r="Z641" s="7">
        <f>IF(ISBLANK(V641), 0, VLOOKUP(V641, 'Price Sheet'!$A$2:$B1015, 2, false))</f>
        <v>0</v>
      </c>
      <c r="AA641" s="33" t="str">
        <f t="shared" si="6"/>
        <v/>
      </c>
      <c r="AB641" s="37"/>
      <c r="AC641" s="29"/>
      <c r="AD641" s="29" t="b">
        <v>0</v>
      </c>
      <c r="AE641" s="22" t="str">
        <f t="shared" si="7"/>
        <v/>
      </c>
      <c r="AF641" s="7">
        <f>IF(ISBLANK(AB641), 0, VLOOKUP(AB641, 'Price Sheet'!$A$2:$B1015, 2, false))</f>
        <v>0</v>
      </c>
      <c r="AG641" s="33" t="str">
        <f t="shared" si="8"/>
        <v/>
      </c>
      <c r="AH641" s="37"/>
      <c r="AI641" s="29"/>
      <c r="AJ641" s="29" t="b">
        <v>0</v>
      </c>
      <c r="AK641" s="22" t="str">
        <f t="shared" si="9"/>
        <v/>
      </c>
      <c r="AL641" s="7">
        <f>IF(ISBLANK(AH641), 0, VLOOKUP(AH641, 'Price Sheet'!$A$2:$B1015, 2, false))</f>
        <v>0</v>
      </c>
      <c r="AM641" s="33" t="str">
        <f t="shared" si="10"/>
        <v/>
      </c>
      <c r="AN641" s="37"/>
      <c r="AO641" s="29"/>
      <c r="AP641" s="29" t="b">
        <v>0</v>
      </c>
      <c r="AQ641" s="22" t="str">
        <f t="shared" si="11"/>
        <v/>
      </c>
      <c r="AR641" s="7">
        <f>IF(ISBLANK(AN641), 0, VLOOKUP(AN641, 'Price Sheet'!$A$2:$B1015, 2, false))</f>
        <v>0</v>
      </c>
      <c r="AS641" s="33" t="str">
        <f t="shared" si="12"/>
        <v/>
      </c>
      <c r="AT641" s="37"/>
      <c r="AU641" s="29"/>
      <c r="AV641" s="29" t="b">
        <v>0</v>
      </c>
      <c r="AW641" s="22" t="str">
        <f t="shared" si="13"/>
        <v/>
      </c>
      <c r="AX641" s="7">
        <f>IF(ISBLANK(AT641), 0, VLOOKUP(AT641, 'Price Sheet'!$A$2:$B1015, 2, false))</f>
        <v>0</v>
      </c>
      <c r="AY641" s="33" t="str">
        <f t="shared" si="14"/>
        <v/>
      </c>
      <c r="AZ641" s="37"/>
      <c r="BA641" s="29"/>
      <c r="BB641" s="29" t="b">
        <v>0</v>
      </c>
      <c r="BC641" s="22" t="str">
        <f t="shared" si="15"/>
        <v/>
      </c>
      <c r="BD641" s="7">
        <f>IF(ISBLANK(AZ641), 0, VLOOKUP(AZ641, 'Price Sheet'!$A$2:$B1015, 2, false))</f>
        <v>0</v>
      </c>
      <c r="BE641" s="33" t="str">
        <f t="shared" si="16"/>
        <v/>
      </c>
      <c r="BF641" s="37"/>
      <c r="BG641" s="29"/>
      <c r="BH641" s="29" t="b">
        <v>0</v>
      </c>
      <c r="BI641" s="22" t="str">
        <f t="shared" si="17"/>
        <v/>
      </c>
      <c r="BJ641" s="7">
        <f>IF(ISBLANK(BF641), 0, VLOOKUP(BF641, 'Price Sheet'!$A$2:$B1015, 2, false))</f>
        <v>0</v>
      </c>
      <c r="BK641" s="33" t="str">
        <f t="shared" si="18"/>
        <v/>
      </c>
      <c r="BL641" s="37"/>
      <c r="BM641" s="29"/>
      <c r="BN641" s="29" t="b">
        <v>0</v>
      </c>
      <c r="BO641" s="22" t="str">
        <f t="shared" si="19"/>
        <v/>
      </c>
      <c r="BP641" s="7">
        <f>IF(ISBLANK(BL641), 0, VLOOKUP(BL641, 'Price Sheet'!$A$2:$B1015, 2, false))</f>
        <v>0</v>
      </c>
      <c r="BQ641" s="33" t="str">
        <f t="shared" si="20"/>
        <v/>
      </c>
    </row>
    <row r="642">
      <c r="B642" s="19"/>
      <c r="C642" s="29"/>
      <c r="D642" s="29"/>
      <c r="E642" s="7" t="str">
        <f>IF(ISBLANK(D642), "", VLOOKUP(D642,'Crafting Tables'!$A$2:$B1015, 2, false))</f>
        <v/>
      </c>
      <c r="F642" s="7" t="str">
        <f>IFERROR(IF(E642 = "None", 1, VLOOKUP(C642,General!$A$5:$L$35, SWITCH(E642, "Basic", 8, "Advanced", 10, "Modern", 12), false)),"")</f>
        <v/>
      </c>
      <c r="G642" s="29"/>
      <c r="H642" s="7">
        <f>IFERROR(VLOOKUP(C642, General!$A$5:$L$35, 6, false) * G642 / 1000, 0)</f>
        <v>0</v>
      </c>
      <c r="I642" s="29"/>
      <c r="J642" s="22" t="str">
        <f>IFERROR(I642*VLOOKUP(D642,'Crafting Tables'!$1:$1000, 4, false)*F642,"")</f>
        <v/>
      </c>
      <c r="K642" s="29" t="b">
        <v>0</v>
      </c>
      <c r="L642" s="37"/>
      <c r="M642" s="29"/>
      <c r="N642" s="21" t="str">
        <f t="shared" si="2"/>
        <v/>
      </c>
      <c r="P642" s="37"/>
      <c r="Q642" s="29"/>
      <c r="R642" s="29" t="b">
        <v>0</v>
      </c>
      <c r="S642" s="22" t="str">
        <f t="shared" si="3"/>
        <v/>
      </c>
      <c r="T642" s="7">
        <f>IF(ISBLANK(P642), 0, VLOOKUP(P642, 'Price Sheet'!$A$2:$B1015, 2, false))</f>
        <v>0</v>
      </c>
      <c r="U642" s="33" t="str">
        <f t="shared" si="4"/>
        <v/>
      </c>
      <c r="V642" s="37"/>
      <c r="W642" s="29"/>
      <c r="X642" s="29" t="b">
        <v>0</v>
      </c>
      <c r="Y642" s="22" t="str">
        <f t="shared" si="5"/>
        <v/>
      </c>
      <c r="Z642" s="7">
        <f>IF(ISBLANK(V642), 0, VLOOKUP(V642, 'Price Sheet'!$A$2:$B1015, 2, false))</f>
        <v>0</v>
      </c>
      <c r="AA642" s="33" t="str">
        <f t="shared" si="6"/>
        <v/>
      </c>
      <c r="AB642" s="37"/>
      <c r="AC642" s="29"/>
      <c r="AD642" s="29" t="b">
        <v>0</v>
      </c>
      <c r="AE642" s="22" t="str">
        <f t="shared" si="7"/>
        <v/>
      </c>
      <c r="AF642" s="7">
        <f>IF(ISBLANK(AB642), 0, VLOOKUP(AB642, 'Price Sheet'!$A$2:$B1015, 2, false))</f>
        <v>0</v>
      </c>
      <c r="AG642" s="33" t="str">
        <f t="shared" si="8"/>
        <v/>
      </c>
      <c r="AH642" s="37"/>
      <c r="AI642" s="29"/>
      <c r="AJ642" s="29" t="b">
        <v>0</v>
      </c>
      <c r="AK642" s="22" t="str">
        <f t="shared" si="9"/>
        <v/>
      </c>
      <c r="AL642" s="7">
        <f>IF(ISBLANK(AH642), 0, VLOOKUP(AH642, 'Price Sheet'!$A$2:$B1015, 2, false))</f>
        <v>0</v>
      </c>
      <c r="AM642" s="33" t="str">
        <f t="shared" si="10"/>
        <v/>
      </c>
      <c r="AN642" s="37"/>
      <c r="AO642" s="29"/>
      <c r="AP642" s="29" t="b">
        <v>0</v>
      </c>
      <c r="AQ642" s="22" t="str">
        <f t="shared" si="11"/>
        <v/>
      </c>
      <c r="AR642" s="7">
        <f>IF(ISBLANK(AN642), 0, VLOOKUP(AN642, 'Price Sheet'!$A$2:$B1015, 2, false))</f>
        <v>0</v>
      </c>
      <c r="AS642" s="33" t="str">
        <f t="shared" si="12"/>
        <v/>
      </c>
      <c r="AT642" s="37"/>
      <c r="AU642" s="29"/>
      <c r="AV642" s="29" t="b">
        <v>0</v>
      </c>
      <c r="AW642" s="22" t="str">
        <f t="shared" si="13"/>
        <v/>
      </c>
      <c r="AX642" s="7">
        <f>IF(ISBLANK(AT642), 0, VLOOKUP(AT642, 'Price Sheet'!$A$2:$B1015, 2, false))</f>
        <v>0</v>
      </c>
      <c r="AY642" s="33" t="str">
        <f t="shared" si="14"/>
        <v/>
      </c>
      <c r="AZ642" s="37"/>
      <c r="BA642" s="29"/>
      <c r="BB642" s="29" t="b">
        <v>0</v>
      </c>
      <c r="BC642" s="22" t="str">
        <f t="shared" si="15"/>
        <v/>
      </c>
      <c r="BD642" s="7">
        <f>IF(ISBLANK(AZ642), 0, VLOOKUP(AZ642, 'Price Sheet'!$A$2:$B1015, 2, false))</f>
        <v>0</v>
      </c>
      <c r="BE642" s="33" t="str">
        <f t="shared" si="16"/>
        <v/>
      </c>
      <c r="BF642" s="37"/>
      <c r="BG642" s="29"/>
      <c r="BH642" s="29" t="b">
        <v>0</v>
      </c>
      <c r="BI642" s="22" t="str">
        <f t="shared" si="17"/>
        <v/>
      </c>
      <c r="BJ642" s="7">
        <f>IF(ISBLANK(BF642), 0, VLOOKUP(BF642, 'Price Sheet'!$A$2:$B1015, 2, false))</f>
        <v>0</v>
      </c>
      <c r="BK642" s="33" t="str">
        <f t="shared" si="18"/>
        <v/>
      </c>
      <c r="BL642" s="37"/>
      <c r="BM642" s="29"/>
      <c r="BN642" s="29" t="b">
        <v>0</v>
      </c>
      <c r="BO642" s="22" t="str">
        <f t="shared" si="19"/>
        <v/>
      </c>
      <c r="BP642" s="7">
        <f>IF(ISBLANK(BL642), 0, VLOOKUP(BL642, 'Price Sheet'!$A$2:$B1015, 2, false))</f>
        <v>0</v>
      </c>
      <c r="BQ642" s="33" t="str">
        <f t="shared" si="20"/>
        <v/>
      </c>
    </row>
    <row r="643">
      <c r="B643" s="19"/>
      <c r="C643" s="29"/>
      <c r="D643" s="29"/>
      <c r="E643" s="7" t="str">
        <f>IF(ISBLANK(D643), "", VLOOKUP(D643,'Crafting Tables'!$A$2:$B1015, 2, false))</f>
        <v/>
      </c>
      <c r="F643" s="7" t="str">
        <f>IFERROR(IF(E643 = "None", 1, VLOOKUP(C643,General!$A$5:$L$35, SWITCH(E643, "Basic", 8, "Advanced", 10, "Modern", 12), false)),"")</f>
        <v/>
      </c>
      <c r="G643" s="29"/>
      <c r="H643" s="7">
        <f>IFERROR(VLOOKUP(C643, General!$A$5:$L$35, 6, false) * G643 / 1000, 0)</f>
        <v>0</v>
      </c>
      <c r="I643" s="29"/>
      <c r="J643" s="22" t="str">
        <f>IFERROR(I643*VLOOKUP(D643,'Crafting Tables'!$1:$1000, 4, false)*F643,"")</f>
        <v/>
      </c>
      <c r="K643" s="29" t="b">
        <v>0</v>
      </c>
      <c r="L643" s="37"/>
      <c r="M643" s="29"/>
      <c r="N643" s="21" t="str">
        <f t="shared" si="2"/>
        <v/>
      </c>
      <c r="P643" s="37"/>
      <c r="Q643" s="29"/>
      <c r="R643" s="29" t="b">
        <v>0</v>
      </c>
      <c r="S643" s="22" t="str">
        <f t="shared" si="3"/>
        <v/>
      </c>
      <c r="T643" s="7">
        <f>IF(ISBLANK(P643), 0, VLOOKUP(P643, 'Price Sheet'!$A$2:$B1015, 2, false))</f>
        <v>0</v>
      </c>
      <c r="U643" s="33" t="str">
        <f t="shared" si="4"/>
        <v/>
      </c>
      <c r="V643" s="37"/>
      <c r="W643" s="29"/>
      <c r="X643" s="29" t="b">
        <v>0</v>
      </c>
      <c r="Y643" s="22" t="str">
        <f t="shared" si="5"/>
        <v/>
      </c>
      <c r="Z643" s="7">
        <f>IF(ISBLANK(V643), 0, VLOOKUP(V643, 'Price Sheet'!$A$2:$B1015, 2, false))</f>
        <v>0</v>
      </c>
      <c r="AA643" s="33" t="str">
        <f t="shared" si="6"/>
        <v/>
      </c>
      <c r="AB643" s="37"/>
      <c r="AC643" s="29"/>
      <c r="AD643" s="29" t="b">
        <v>0</v>
      </c>
      <c r="AE643" s="22" t="str">
        <f t="shared" si="7"/>
        <v/>
      </c>
      <c r="AF643" s="7">
        <f>IF(ISBLANK(AB643), 0, VLOOKUP(AB643, 'Price Sheet'!$A$2:$B1015, 2, false))</f>
        <v>0</v>
      </c>
      <c r="AG643" s="33" t="str">
        <f t="shared" si="8"/>
        <v/>
      </c>
      <c r="AH643" s="37"/>
      <c r="AI643" s="29"/>
      <c r="AJ643" s="29" t="b">
        <v>0</v>
      </c>
      <c r="AK643" s="22" t="str">
        <f t="shared" si="9"/>
        <v/>
      </c>
      <c r="AL643" s="7">
        <f>IF(ISBLANK(AH643), 0, VLOOKUP(AH643, 'Price Sheet'!$A$2:$B1015, 2, false))</f>
        <v>0</v>
      </c>
      <c r="AM643" s="33" t="str">
        <f t="shared" si="10"/>
        <v/>
      </c>
      <c r="AN643" s="37"/>
      <c r="AO643" s="29"/>
      <c r="AP643" s="29" t="b">
        <v>0</v>
      </c>
      <c r="AQ643" s="22" t="str">
        <f t="shared" si="11"/>
        <v/>
      </c>
      <c r="AR643" s="7">
        <f>IF(ISBLANK(AN643), 0, VLOOKUP(AN643, 'Price Sheet'!$A$2:$B1015, 2, false))</f>
        <v>0</v>
      </c>
      <c r="AS643" s="33" t="str">
        <f t="shared" si="12"/>
        <v/>
      </c>
      <c r="AT643" s="37"/>
      <c r="AU643" s="29"/>
      <c r="AV643" s="29" t="b">
        <v>0</v>
      </c>
      <c r="AW643" s="22" t="str">
        <f t="shared" si="13"/>
        <v/>
      </c>
      <c r="AX643" s="7">
        <f>IF(ISBLANK(AT643), 0, VLOOKUP(AT643, 'Price Sheet'!$A$2:$B1015, 2, false))</f>
        <v>0</v>
      </c>
      <c r="AY643" s="33" t="str">
        <f t="shared" si="14"/>
        <v/>
      </c>
      <c r="AZ643" s="37"/>
      <c r="BA643" s="29"/>
      <c r="BB643" s="29" t="b">
        <v>0</v>
      </c>
      <c r="BC643" s="22" t="str">
        <f t="shared" si="15"/>
        <v/>
      </c>
      <c r="BD643" s="7">
        <f>IF(ISBLANK(AZ643), 0, VLOOKUP(AZ643, 'Price Sheet'!$A$2:$B1015, 2, false))</f>
        <v>0</v>
      </c>
      <c r="BE643" s="33" t="str">
        <f t="shared" si="16"/>
        <v/>
      </c>
      <c r="BF643" s="37"/>
      <c r="BG643" s="29"/>
      <c r="BH643" s="29" t="b">
        <v>0</v>
      </c>
      <c r="BI643" s="22" t="str">
        <f t="shared" si="17"/>
        <v/>
      </c>
      <c r="BJ643" s="7">
        <f>IF(ISBLANK(BF643), 0, VLOOKUP(BF643, 'Price Sheet'!$A$2:$B1015, 2, false))</f>
        <v>0</v>
      </c>
      <c r="BK643" s="33" t="str">
        <f t="shared" si="18"/>
        <v/>
      </c>
      <c r="BL643" s="37"/>
      <c r="BM643" s="29"/>
      <c r="BN643" s="29" t="b">
        <v>0</v>
      </c>
      <c r="BO643" s="22" t="str">
        <f t="shared" si="19"/>
        <v/>
      </c>
      <c r="BP643" s="7">
        <f>IF(ISBLANK(BL643), 0, VLOOKUP(BL643, 'Price Sheet'!$A$2:$B1015, 2, false))</f>
        <v>0</v>
      </c>
      <c r="BQ643" s="33" t="str">
        <f t="shared" si="20"/>
        <v/>
      </c>
    </row>
    <row r="644">
      <c r="B644" s="19"/>
      <c r="C644" s="29"/>
      <c r="D644" s="29"/>
      <c r="E644" s="7" t="str">
        <f>IF(ISBLANK(D644), "", VLOOKUP(D644,'Crafting Tables'!$A$2:$B1015, 2, false))</f>
        <v/>
      </c>
      <c r="F644" s="7" t="str">
        <f>IFERROR(IF(E644 = "None", 1, VLOOKUP(C644,General!$A$5:$L$35, SWITCH(E644, "Basic", 8, "Advanced", 10, "Modern", 12), false)),"")</f>
        <v/>
      </c>
      <c r="G644" s="29"/>
      <c r="H644" s="7">
        <f>IFERROR(VLOOKUP(C644, General!$A$5:$L$35, 6, false) * G644 / 1000, 0)</f>
        <v>0</v>
      </c>
      <c r="I644" s="29"/>
      <c r="J644" s="22" t="str">
        <f>IFERROR(I644*VLOOKUP(D644,'Crafting Tables'!$1:$1000, 4, false)*F644,"")</f>
        <v/>
      </c>
      <c r="K644" s="29" t="b">
        <v>0</v>
      </c>
      <c r="L644" s="37"/>
      <c r="M644" s="29"/>
      <c r="N644" s="21" t="str">
        <f t="shared" si="2"/>
        <v/>
      </c>
      <c r="P644" s="37"/>
      <c r="Q644" s="29"/>
      <c r="R644" s="29" t="b">
        <v>0</v>
      </c>
      <c r="S644" s="22" t="str">
        <f t="shared" si="3"/>
        <v/>
      </c>
      <c r="T644" s="7">
        <f>IF(ISBLANK(P644), 0, VLOOKUP(P644, 'Price Sheet'!$A$2:$B1015, 2, false))</f>
        <v>0</v>
      </c>
      <c r="U644" s="33" t="str">
        <f t="shared" si="4"/>
        <v/>
      </c>
      <c r="V644" s="37"/>
      <c r="W644" s="29"/>
      <c r="X644" s="29" t="b">
        <v>0</v>
      </c>
      <c r="Y644" s="22" t="str">
        <f t="shared" si="5"/>
        <v/>
      </c>
      <c r="Z644" s="7">
        <f>IF(ISBLANK(V644), 0, VLOOKUP(V644, 'Price Sheet'!$A$2:$B1015, 2, false))</f>
        <v>0</v>
      </c>
      <c r="AA644" s="33" t="str">
        <f t="shared" si="6"/>
        <v/>
      </c>
      <c r="AB644" s="37"/>
      <c r="AC644" s="29"/>
      <c r="AD644" s="29" t="b">
        <v>0</v>
      </c>
      <c r="AE644" s="22" t="str">
        <f t="shared" si="7"/>
        <v/>
      </c>
      <c r="AF644" s="7">
        <f>IF(ISBLANK(AB644), 0, VLOOKUP(AB644, 'Price Sheet'!$A$2:$B1015, 2, false))</f>
        <v>0</v>
      </c>
      <c r="AG644" s="33" t="str">
        <f t="shared" si="8"/>
        <v/>
      </c>
      <c r="AH644" s="37"/>
      <c r="AI644" s="29"/>
      <c r="AJ644" s="29" t="b">
        <v>0</v>
      </c>
      <c r="AK644" s="22" t="str">
        <f t="shared" si="9"/>
        <v/>
      </c>
      <c r="AL644" s="7">
        <f>IF(ISBLANK(AH644), 0, VLOOKUP(AH644, 'Price Sheet'!$A$2:$B1015, 2, false))</f>
        <v>0</v>
      </c>
      <c r="AM644" s="33" t="str">
        <f t="shared" si="10"/>
        <v/>
      </c>
      <c r="AN644" s="37"/>
      <c r="AO644" s="29"/>
      <c r="AP644" s="29" t="b">
        <v>0</v>
      </c>
      <c r="AQ644" s="22" t="str">
        <f t="shared" si="11"/>
        <v/>
      </c>
      <c r="AR644" s="7">
        <f>IF(ISBLANK(AN644), 0, VLOOKUP(AN644, 'Price Sheet'!$A$2:$B1015, 2, false))</f>
        <v>0</v>
      </c>
      <c r="AS644" s="33" t="str">
        <f t="shared" si="12"/>
        <v/>
      </c>
      <c r="AT644" s="37"/>
      <c r="AU644" s="29"/>
      <c r="AV644" s="29" t="b">
        <v>0</v>
      </c>
      <c r="AW644" s="22" t="str">
        <f t="shared" si="13"/>
        <v/>
      </c>
      <c r="AX644" s="7">
        <f>IF(ISBLANK(AT644), 0, VLOOKUP(AT644, 'Price Sheet'!$A$2:$B1015, 2, false))</f>
        <v>0</v>
      </c>
      <c r="AY644" s="33" t="str">
        <f t="shared" si="14"/>
        <v/>
      </c>
      <c r="AZ644" s="37"/>
      <c r="BA644" s="29"/>
      <c r="BB644" s="29" t="b">
        <v>0</v>
      </c>
      <c r="BC644" s="22" t="str">
        <f t="shared" si="15"/>
        <v/>
      </c>
      <c r="BD644" s="7">
        <f>IF(ISBLANK(AZ644), 0, VLOOKUP(AZ644, 'Price Sheet'!$A$2:$B1015, 2, false))</f>
        <v>0</v>
      </c>
      <c r="BE644" s="33" t="str">
        <f t="shared" si="16"/>
        <v/>
      </c>
      <c r="BF644" s="37"/>
      <c r="BG644" s="29"/>
      <c r="BH644" s="29" t="b">
        <v>0</v>
      </c>
      <c r="BI644" s="22" t="str">
        <f t="shared" si="17"/>
        <v/>
      </c>
      <c r="BJ644" s="7">
        <f>IF(ISBLANK(BF644), 0, VLOOKUP(BF644, 'Price Sheet'!$A$2:$B1015, 2, false))</f>
        <v>0</v>
      </c>
      <c r="BK644" s="33" t="str">
        <f t="shared" si="18"/>
        <v/>
      </c>
      <c r="BL644" s="37"/>
      <c r="BM644" s="29"/>
      <c r="BN644" s="29" t="b">
        <v>0</v>
      </c>
      <c r="BO644" s="22" t="str">
        <f t="shared" si="19"/>
        <v/>
      </c>
      <c r="BP644" s="7">
        <f>IF(ISBLANK(BL644), 0, VLOOKUP(BL644, 'Price Sheet'!$A$2:$B1015, 2, false))</f>
        <v>0</v>
      </c>
      <c r="BQ644" s="33" t="str">
        <f t="shared" si="20"/>
        <v/>
      </c>
    </row>
    <row r="645">
      <c r="B645" s="19"/>
      <c r="C645" s="29"/>
      <c r="D645" s="29"/>
      <c r="E645" s="7" t="str">
        <f>IF(ISBLANK(D645), "", VLOOKUP(D645,'Crafting Tables'!$A$2:$B1015, 2, false))</f>
        <v/>
      </c>
      <c r="F645" s="7" t="str">
        <f>IFERROR(IF(E645 = "None", 1, VLOOKUP(C645,General!$A$5:$L$35, SWITCH(E645, "Basic", 8, "Advanced", 10, "Modern", 12), false)),"")</f>
        <v/>
      </c>
      <c r="G645" s="29"/>
      <c r="H645" s="7">
        <f>IFERROR(VLOOKUP(C645, General!$A$5:$L$35, 6, false) * G645 / 1000, 0)</f>
        <v>0</v>
      </c>
      <c r="I645" s="29"/>
      <c r="J645" s="22" t="str">
        <f>IFERROR(I645*VLOOKUP(D645,'Crafting Tables'!$1:$1000, 4, false)*F645,"")</f>
        <v/>
      </c>
      <c r="K645" s="29" t="b">
        <v>0</v>
      </c>
      <c r="L645" s="37"/>
      <c r="M645" s="29"/>
      <c r="N645" s="21" t="str">
        <f t="shared" si="2"/>
        <v/>
      </c>
      <c r="P645" s="37"/>
      <c r="Q645" s="29"/>
      <c r="R645" s="29" t="b">
        <v>0</v>
      </c>
      <c r="S645" s="22" t="str">
        <f t="shared" si="3"/>
        <v/>
      </c>
      <c r="T645" s="7">
        <f>IF(ISBLANK(P645), 0, VLOOKUP(P645, 'Price Sheet'!$A$2:$B1015, 2, false))</f>
        <v>0</v>
      </c>
      <c r="U645" s="33" t="str">
        <f t="shared" si="4"/>
        <v/>
      </c>
      <c r="V645" s="37"/>
      <c r="W645" s="29"/>
      <c r="X645" s="29" t="b">
        <v>0</v>
      </c>
      <c r="Y645" s="22" t="str">
        <f t="shared" si="5"/>
        <v/>
      </c>
      <c r="Z645" s="7">
        <f>IF(ISBLANK(V645), 0, VLOOKUP(V645, 'Price Sheet'!$A$2:$B1015, 2, false))</f>
        <v>0</v>
      </c>
      <c r="AA645" s="33" t="str">
        <f t="shared" si="6"/>
        <v/>
      </c>
      <c r="AB645" s="37"/>
      <c r="AC645" s="29"/>
      <c r="AD645" s="29" t="b">
        <v>0</v>
      </c>
      <c r="AE645" s="22" t="str">
        <f t="shared" si="7"/>
        <v/>
      </c>
      <c r="AF645" s="7">
        <f>IF(ISBLANK(AB645), 0, VLOOKUP(AB645, 'Price Sheet'!$A$2:$B1015, 2, false))</f>
        <v>0</v>
      </c>
      <c r="AG645" s="33" t="str">
        <f t="shared" si="8"/>
        <v/>
      </c>
      <c r="AH645" s="37"/>
      <c r="AI645" s="29"/>
      <c r="AJ645" s="29" t="b">
        <v>0</v>
      </c>
      <c r="AK645" s="22" t="str">
        <f t="shared" si="9"/>
        <v/>
      </c>
      <c r="AL645" s="7">
        <f>IF(ISBLANK(AH645), 0, VLOOKUP(AH645, 'Price Sheet'!$A$2:$B1015, 2, false))</f>
        <v>0</v>
      </c>
      <c r="AM645" s="33" t="str">
        <f t="shared" si="10"/>
        <v/>
      </c>
      <c r="AN645" s="37"/>
      <c r="AO645" s="29"/>
      <c r="AP645" s="29" t="b">
        <v>0</v>
      </c>
      <c r="AQ645" s="22" t="str">
        <f t="shared" si="11"/>
        <v/>
      </c>
      <c r="AR645" s="7">
        <f>IF(ISBLANK(AN645), 0, VLOOKUP(AN645, 'Price Sheet'!$A$2:$B1015, 2, false))</f>
        <v>0</v>
      </c>
      <c r="AS645" s="33" t="str">
        <f t="shared" si="12"/>
        <v/>
      </c>
      <c r="AT645" s="37"/>
      <c r="AU645" s="29"/>
      <c r="AV645" s="29" t="b">
        <v>0</v>
      </c>
      <c r="AW645" s="22" t="str">
        <f t="shared" si="13"/>
        <v/>
      </c>
      <c r="AX645" s="7">
        <f>IF(ISBLANK(AT645), 0, VLOOKUP(AT645, 'Price Sheet'!$A$2:$B1015, 2, false))</f>
        <v>0</v>
      </c>
      <c r="AY645" s="33" t="str">
        <f t="shared" si="14"/>
        <v/>
      </c>
      <c r="AZ645" s="37"/>
      <c r="BA645" s="29"/>
      <c r="BB645" s="29" t="b">
        <v>0</v>
      </c>
      <c r="BC645" s="22" t="str">
        <f t="shared" si="15"/>
        <v/>
      </c>
      <c r="BD645" s="7">
        <f>IF(ISBLANK(AZ645), 0, VLOOKUP(AZ645, 'Price Sheet'!$A$2:$B1015, 2, false))</f>
        <v>0</v>
      </c>
      <c r="BE645" s="33" t="str">
        <f t="shared" si="16"/>
        <v/>
      </c>
      <c r="BF645" s="37"/>
      <c r="BG645" s="29"/>
      <c r="BH645" s="29" t="b">
        <v>0</v>
      </c>
      <c r="BI645" s="22" t="str">
        <f t="shared" si="17"/>
        <v/>
      </c>
      <c r="BJ645" s="7">
        <f>IF(ISBLANK(BF645), 0, VLOOKUP(BF645, 'Price Sheet'!$A$2:$B1015, 2, false))</f>
        <v>0</v>
      </c>
      <c r="BK645" s="33" t="str">
        <f t="shared" si="18"/>
        <v/>
      </c>
      <c r="BL645" s="37"/>
      <c r="BM645" s="29"/>
      <c r="BN645" s="29" t="b">
        <v>0</v>
      </c>
      <c r="BO645" s="22" t="str">
        <f t="shared" si="19"/>
        <v/>
      </c>
      <c r="BP645" s="7">
        <f>IF(ISBLANK(BL645), 0, VLOOKUP(BL645, 'Price Sheet'!$A$2:$B1015, 2, false))</f>
        <v>0</v>
      </c>
      <c r="BQ645" s="33" t="str">
        <f t="shared" si="20"/>
        <v/>
      </c>
    </row>
    <row r="646">
      <c r="B646" s="19"/>
      <c r="C646" s="29"/>
      <c r="D646" s="29"/>
      <c r="E646" s="7" t="str">
        <f>IF(ISBLANK(D646), "", VLOOKUP(D646,'Crafting Tables'!$A$2:$B1015, 2, false))</f>
        <v/>
      </c>
      <c r="F646" s="7" t="str">
        <f>IFERROR(IF(E646 = "None", 1, VLOOKUP(C646,General!$A$5:$L$35, SWITCH(E646, "Basic", 8, "Advanced", 10, "Modern", 12), false)),"")</f>
        <v/>
      </c>
      <c r="G646" s="29"/>
      <c r="H646" s="7">
        <f>IFERROR(VLOOKUP(C646, General!$A$5:$L$35, 6, false) * G646 / 1000, 0)</f>
        <v>0</v>
      </c>
      <c r="I646" s="29"/>
      <c r="J646" s="22" t="str">
        <f>IFERROR(I646*VLOOKUP(D646,'Crafting Tables'!$1:$1000, 4, false)*F646,"")</f>
        <v/>
      </c>
      <c r="K646" s="29" t="b">
        <v>0</v>
      </c>
      <c r="L646" s="37"/>
      <c r="M646" s="29"/>
      <c r="N646" s="21" t="str">
        <f t="shared" si="2"/>
        <v/>
      </c>
      <c r="P646" s="37"/>
      <c r="Q646" s="29"/>
      <c r="R646" s="29" t="b">
        <v>0</v>
      </c>
      <c r="S646" s="22" t="str">
        <f t="shared" si="3"/>
        <v/>
      </c>
      <c r="T646" s="7">
        <f>IF(ISBLANK(P646), 0, VLOOKUP(P646, 'Price Sheet'!$A$2:$B1015, 2, false))</f>
        <v>0</v>
      </c>
      <c r="U646" s="33" t="str">
        <f t="shared" si="4"/>
        <v/>
      </c>
      <c r="V646" s="37"/>
      <c r="W646" s="29"/>
      <c r="X646" s="29" t="b">
        <v>0</v>
      </c>
      <c r="Y646" s="22" t="str">
        <f t="shared" si="5"/>
        <v/>
      </c>
      <c r="Z646" s="7">
        <f>IF(ISBLANK(V646), 0, VLOOKUP(V646, 'Price Sheet'!$A$2:$B1015, 2, false))</f>
        <v>0</v>
      </c>
      <c r="AA646" s="33" t="str">
        <f t="shared" si="6"/>
        <v/>
      </c>
      <c r="AB646" s="37"/>
      <c r="AC646" s="29"/>
      <c r="AD646" s="29" t="b">
        <v>0</v>
      </c>
      <c r="AE646" s="22" t="str">
        <f t="shared" si="7"/>
        <v/>
      </c>
      <c r="AF646" s="7">
        <f>IF(ISBLANK(AB646), 0, VLOOKUP(AB646, 'Price Sheet'!$A$2:$B1015, 2, false))</f>
        <v>0</v>
      </c>
      <c r="AG646" s="33" t="str">
        <f t="shared" si="8"/>
        <v/>
      </c>
      <c r="AH646" s="37"/>
      <c r="AI646" s="29"/>
      <c r="AJ646" s="29" t="b">
        <v>0</v>
      </c>
      <c r="AK646" s="22" t="str">
        <f t="shared" si="9"/>
        <v/>
      </c>
      <c r="AL646" s="7">
        <f>IF(ISBLANK(AH646), 0, VLOOKUP(AH646, 'Price Sheet'!$A$2:$B1015, 2, false))</f>
        <v>0</v>
      </c>
      <c r="AM646" s="33" t="str">
        <f t="shared" si="10"/>
        <v/>
      </c>
      <c r="AN646" s="37"/>
      <c r="AO646" s="29"/>
      <c r="AP646" s="29" t="b">
        <v>0</v>
      </c>
      <c r="AQ646" s="22" t="str">
        <f t="shared" si="11"/>
        <v/>
      </c>
      <c r="AR646" s="7">
        <f>IF(ISBLANK(AN646), 0, VLOOKUP(AN646, 'Price Sheet'!$A$2:$B1015, 2, false))</f>
        <v>0</v>
      </c>
      <c r="AS646" s="33" t="str">
        <f t="shared" si="12"/>
        <v/>
      </c>
      <c r="AT646" s="37"/>
      <c r="AU646" s="29"/>
      <c r="AV646" s="29" t="b">
        <v>0</v>
      </c>
      <c r="AW646" s="22" t="str">
        <f t="shared" si="13"/>
        <v/>
      </c>
      <c r="AX646" s="7">
        <f>IF(ISBLANK(AT646), 0, VLOOKUP(AT646, 'Price Sheet'!$A$2:$B1015, 2, false))</f>
        <v>0</v>
      </c>
      <c r="AY646" s="33" t="str">
        <f t="shared" si="14"/>
        <v/>
      </c>
      <c r="AZ646" s="37"/>
      <c r="BA646" s="29"/>
      <c r="BB646" s="29" t="b">
        <v>0</v>
      </c>
      <c r="BC646" s="22" t="str">
        <f t="shared" si="15"/>
        <v/>
      </c>
      <c r="BD646" s="7">
        <f>IF(ISBLANK(AZ646), 0, VLOOKUP(AZ646, 'Price Sheet'!$A$2:$B1015, 2, false))</f>
        <v>0</v>
      </c>
      <c r="BE646" s="33" t="str">
        <f t="shared" si="16"/>
        <v/>
      </c>
      <c r="BF646" s="37"/>
      <c r="BG646" s="29"/>
      <c r="BH646" s="29" t="b">
        <v>0</v>
      </c>
      <c r="BI646" s="22" t="str">
        <f t="shared" si="17"/>
        <v/>
      </c>
      <c r="BJ646" s="7">
        <f>IF(ISBLANK(BF646), 0, VLOOKUP(BF646, 'Price Sheet'!$A$2:$B1015, 2, false))</f>
        <v>0</v>
      </c>
      <c r="BK646" s="33" t="str">
        <f t="shared" si="18"/>
        <v/>
      </c>
      <c r="BL646" s="37"/>
      <c r="BM646" s="29"/>
      <c r="BN646" s="29" t="b">
        <v>0</v>
      </c>
      <c r="BO646" s="22" t="str">
        <f t="shared" si="19"/>
        <v/>
      </c>
      <c r="BP646" s="7">
        <f>IF(ISBLANK(BL646), 0, VLOOKUP(BL646, 'Price Sheet'!$A$2:$B1015, 2, false))</f>
        <v>0</v>
      </c>
      <c r="BQ646" s="33" t="str">
        <f t="shared" si="20"/>
        <v/>
      </c>
    </row>
    <row r="647">
      <c r="B647" s="19"/>
      <c r="C647" s="29"/>
      <c r="D647" s="29"/>
      <c r="E647" s="7" t="str">
        <f>IF(ISBLANK(D647), "", VLOOKUP(D647,'Crafting Tables'!$A$2:$B1015, 2, false))</f>
        <v/>
      </c>
      <c r="F647" s="7" t="str">
        <f>IFERROR(IF(E647 = "None", 1, VLOOKUP(C647,General!$A$5:$L$35, SWITCH(E647, "Basic", 8, "Advanced", 10, "Modern", 12), false)),"")</f>
        <v/>
      </c>
      <c r="G647" s="29"/>
      <c r="H647" s="7">
        <f>IFERROR(VLOOKUP(C647, General!$A$5:$L$35, 6, false) * G647 / 1000, 0)</f>
        <v>0</v>
      </c>
      <c r="I647" s="29"/>
      <c r="J647" s="22" t="str">
        <f>IFERROR(I647*VLOOKUP(D647,'Crafting Tables'!$1:$1000, 4, false)*F647,"")</f>
        <v/>
      </c>
      <c r="K647" s="29" t="b">
        <v>0</v>
      </c>
      <c r="L647" s="37"/>
      <c r="M647" s="29"/>
      <c r="N647" s="21" t="str">
        <f t="shared" si="2"/>
        <v/>
      </c>
      <c r="P647" s="37"/>
      <c r="Q647" s="29"/>
      <c r="R647" s="29" t="b">
        <v>0</v>
      </c>
      <c r="S647" s="22" t="str">
        <f t="shared" si="3"/>
        <v/>
      </c>
      <c r="T647" s="7">
        <f>IF(ISBLANK(P647), 0, VLOOKUP(P647, 'Price Sheet'!$A$2:$B1015, 2, false))</f>
        <v>0</v>
      </c>
      <c r="U647" s="33" t="str">
        <f t="shared" si="4"/>
        <v/>
      </c>
      <c r="V647" s="37"/>
      <c r="W647" s="29"/>
      <c r="X647" s="29" t="b">
        <v>0</v>
      </c>
      <c r="Y647" s="22" t="str">
        <f t="shared" si="5"/>
        <v/>
      </c>
      <c r="Z647" s="7">
        <f>IF(ISBLANK(V647), 0, VLOOKUP(V647, 'Price Sheet'!$A$2:$B1015, 2, false))</f>
        <v>0</v>
      </c>
      <c r="AA647" s="33" t="str">
        <f t="shared" si="6"/>
        <v/>
      </c>
      <c r="AB647" s="37"/>
      <c r="AC647" s="29"/>
      <c r="AD647" s="29" t="b">
        <v>0</v>
      </c>
      <c r="AE647" s="22" t="str">
        <f t="shared" si="7"/>
        <v/>
      </c>
      <c r="AF647" s="7">
        <f>IF(ISBLANK(AB647), 0, VLOOKUP(AB647, 'Price Sheet'!$A$2:$B1015, 2, false))</f>
        <v>0</v>
      </c>
      <c r="AG647" s="33" t="str">
        <f t="shared" si="8"/>
        <v/>
      </c>
      <c r="AH647" s="37"/>
      <c r="AI647" s="29"/>
      <c r="AJ647" s="29" t="b">
        <v>0</v>
      </c>
      <c r="AK647" s="22" t="str">
        <f t="shared" si="9"/>
        <v/>
      </c>
      <c r="AL647" s="7">
        <f>IF(ISBLANK(AH647), 0, VLOOKUP(AH647, 'Price Sheet'!$A$2:$B1015, 2, false))</f>
        <v>0</v>
      </c>
      <c r="AM647" s="33" t="str">
        <f t="shared" si="10"/>
        <v/>
      </c>
      <c r="AN647" s="37"/>
      <c r="AO647" s="29"/>
      <c r="AP647" s="29" t="b">
        <v>0</v>
      </c>
      <c r="AQ647" s="22" t="str">
        <f t="shared" si="11"/>
        <v/>
      </c>
      <c r="AR647" s="7">
        <f>IF(ISBLANK(AN647), 0, VLOOKUP(AN647, 'Price Sheet'!$A$2:$B1015, 2, false))</f>
        <v>0</v>
      </c>
      <c r="AS647" s="33" t="str">
        <f t="shared" si="12"/>
        <v/>
      </c>
      <c r="AT647" s="37"/>
      <c r="AU647" s="29"/>
      <c r="AV647" s="29" t="b">
        <v>0</v>
      </c>
      <c r="AW647" s="22" t="str">
        <f t="shared" si="13"/>
        <v/>
      </c>
      <c r="AX647" s="7">
        <f>IF(ISBLANK(AT647), 0, VLOOKUP(AT647, 'Price Sheet'!$A$2:$B1015, 2, false))</f>
        <v>0</v>
      </c>
      <c r="AY647" s="33" t="str">
        <f t="shared" si="14"/>
        <v/>
      </c>
      <c r="AZ647" s="37"/>
      <c r="BA647" s="29"/>
      <c r="BB647" s="29" t="b">
        <v>0</v>
      </c>
      <c r="BC647" s="22" t="str">
        <f t="shared" si="15"/>
        <v/>
      </c>
      <c r="BD647" s="7">
        <f>IF(ISBLANK(AZ647), 0, VLOOKUP(AZ647, 'Price Sheet'!$A$2:$B1015, 2, false))</f>
        <v>0</v>
      </c>
      <c r="BE647" s="33" t="str">
        <f t="shared" si="16"/>
        <v/>
      </c>
      <c r="BF647" s="37"/>
      <c r="BG647" s="29"/>
      <c r="BH647" s="29" t="b">
        <v>0</v>
      </c>
      <c r="BI647" s="22" t="str">
        <f t="shared" si="17"/>
        <v/>
      </c>
      <c r="BJ647" s="7">
        <f>IF(ISBLANK(BF647), 0, VLOOKUP(BF647, 'Price Sheet'!$A$2:$B1015, 2, false))</f>
        <v>0</v>
      </c>
      <c r="BK647" s="33" t="str">
        <f t="shared" si="18"/>
        <v/>
      </c>
      <c r="BL647" s="37"/>
      <c r="BM647" s="29"/>
      <c r="BN647" s="29" t="b">
        <v>0</v>
      </c>
      <c r="BO647" s="22" t="str">
        <f t="shared" si="19"/>
        <v/>
      </c>
      <c r="BP647" s="7">
        <f>IF(ISBLANK(BL647), 0, VLOOKUP(BL647, 'Price Sheet'!$A$2:$B1015, 2, false))</f>
        <v>0</v>
      </c>
      <c r="BQ647" s="33" t="str">
        <f t="shared" si="20"/>
        <v/>
      </c>
    </row>
    <row r="648">
      <c r="B648" s="19"/>
      <c r="C648" s="29"/>
      <c r="D648" s="29"/>
      <c r="E648" s="7" t="str">
        <f>IF(ISBLANK(D648), "", VLOOKUP(D648,'Crafting Tables'!$A$2:$B1015, 2, false))</f>
        <v/>
      </c>
      <c r="F648" s="7" t="str">
        <f>IFERROR(IF(E648 = "None", 1, VLOOKUP(C648,General!$A$5:$L$35, SWITCH(E648, "Basic", 8, "Advanced", 10, "Modern", 12), false)),"")</f>
        <v/>
      </c>
      <c r="G648" s="29"/>
      <c r="H648" s="7">
        <f>IFERROR(VLOOKUP(C648, General!$A$5:$L$35, 6, false) * G648 / 1000, 0)</f>
        <v>0</v>
      </c>
      <c r="I648" s="29"/>
      <c r="J648" s="22" t="str">
        <f>IFERROR(I648*VLOOKUP(D648,'Crafting Tables'!$1:$1000, 4, false)*F648,"")</f>
        <v/>
      </c>
      <c r="K648" s="29" t="b">
        <v>0</v>
      </c>
      <c r="L648" s="37"/>
      <c r="M648" s="29"/>
      <c r="N648" s="21" t="str">
        <f t="shared" si="2"/>
        <v/>
      </c>
      <c r="P648" s="37"/>
      <c r="Q648" s="29"/>
      <c r="R648" s="29" t="b">
        <v>0</v>
      </c>
      <c r="S648" s="22" t="str">
        <f t="shared" si="3"/>
        <v/>
      </c>
      <c r="T648" s="7">
        <f>IF(ISBLANK(P648), 0, VLOOKUP(P648, 'Price Sheet'!$A$2:$B1015, 2, false))</f>
        <v>0</v>
      </c>
      <c r="U648" s="33" t="str">
        <f t="shared" si="4"/>
        <v/>
      </c>
      <c r="V648" s="37"/>
      <c r="W648" s="29"/>
      <c r="X648" s="29" t="b">
        <v>0</v>
      </c>
      <c r="Y648" s="22" t="str">
        <f t="shared" si="5"/>
        <v/>
      </c>
      <c r="Z648" s="7">
        <f>IF(ISBLANK(V648), 0, VLOOKUP(V648, 'Price Sheet'!$A$2:$B1015, 2, false))</f>
        <v>0</v>
      </c>
      <c r="AA648" s="33" t="str">
        <f t="shared" si="6"/>
        <v/>
      </c>
      <c r="AB648" s="37"/>
      <c r="AC648" s="29"/>
      <c r="AD648" s="29" t="b">
        <v>0</v>
      </c>
      <c r="AE648" s="22" t="str">
        <f t="shared" si="7"/>
        <v/>
      </c>
      <c r="AF648" s="7">
        <f>IF(ISBLANK(AB648), 0, VLOOKUP(AB648, 'Price Sheet'!$A$2:$B1015, 2, false))</f>
        <v>0</v>
      </c>
      <c r="AG648" s="33" t="str">
        <f t="shared" si="8"/>
        <v/>
      </c>
      <c r="AH648" s="37"/>
      <c r="AI648" s="29"/>
      <c r="AJ648" s="29" t="b">
        <v>0</v>
      </c>
      <c r="AK648" s="22" t="str">
        <f t="shared" si="9"/>
        <v/>
      </c>
      <c r="AL648" s="7">
        <f>IF(ISBLANK(AH648), 0, VLOOKUP(AH648, 'Price Sheet'!$A$2:$B1015, 2, false))</f>
        <v>0</v>
      </c>
      <c r="AM648" s="33" t="str">
        <f t="shared" si="10"/>
        <v/>
      </c>
      <c r="AN648" s="37"/>
      <c r="AO648" s="29"/>
      <c r="AP648" s="29" t="b">
        <v>0</v>
      </c>
      <c r="AQ648" s="22" t="str">
        <f t="shared" si="11"/>
        <v/>
      </c>
      <c r="AR648" s="7">
        <f>IF(ISBLANK(AN648), 0, VLOOKUP(AN648, 'Price Sheet'!$A$2:$B1015, 2, false))</f>
        <v>0</v>
      </c>
      <c r="AS648" s="33" t="str">
        <f t="shared" si="12"/>
        <v/>
      </c>
      <c r="AT648" s="37"/>
      <c r="AU648" s="29"/>
      <c r="AV648" s="29" t="b">
        <v>0</v>
      </c>
      <c r="AW648" s="22" t="str">
        <f t="shared" si="13"/>
        <v/>
      </c>
      <c r="AX648" s="7">
        <f>IF(ISBLANK(AT648), 0, VLOOKUP(AT648, 'Price Sheet'!$A$2:$B1015, 2, false))</f>
        <v>0</v>
      </c>
      <c r="AY648" s="33" t="str">
        <f t="shared" si="14"/>
        <v/>
      </c>
      <c r="AZ648" s="37"/>
      <c r="BA648" s="29"/>
      <c r="BB648" s="29" t="b">
        <v>0</v>
      </c>
      <c r="BC648" s="22" t="str">
        <f t="shared" si="15"/>
        <v/>
      </c>
      <c r="BD648" s="7">
        <f>IF(ISBLANK(AZ648), 0, VLOOKUP(AZ648, 'Price Sheet'!$A$2:$B1015, 2, false))</f>
        <v>0</v>
      </c>
      <c r="BE648" s="33" t="str">
        <f t="shared" si="16"/>
        <v/>
      </c>
      <c r="BF648" s="37"/>
      <c r="BG648" s="29"/>
      <c r="BH648" s="29" t="b">
        <v>0</v>
      </c>
      <c r="BI648" s="22" t="str">
        <f t="shared" si="17"/>
        <v/>
      </c>
      <c r="BJ648" s="7">
        <f>IF(ISBLANK(BF648), 0, VLOOKUP(BF648, 'Price Sheet'!$A$2:$B1015, 2, false))</f>
        <v>0</v>
      </c>
      <c r="BK648" s="33" t="str">
        <f t="shared" si="18"/>
        <v/>
      </c>
      <c r="BL648" s="37"/>
      <c r="BM648" s="29"/>
      <c r="BN648" s="29" t="b">
        <v>0</v>
      </c>
      <c r="BO648" s="22" t="str">
        <f t="shared" si="19"/>
        <v/>
      </c>
      <c r="BP648" s="7">
        <f>IF(ISBLANK(BL648), 0, VLOOKUP(BL648, 'Price Sheet'!$A$2:$B1015, 2, false))</f>
        <v>0</v>
      </c>
      <c r="BQ648" s="33" t="str">
        <f t="shared" si="20"/>
        <v/>
      </c>
    </row>
    <row r="649">
      <c r="B649" s="19"/>
      <c r="C649" s="29"/>
      <c r="D649" s="29"/>
      <c r="E649" s="7" t="str">
        <f>IF(ISBLANK(D649), "", VLOOKUP(D649,'Crafting Tables'!$A$2:$B1015, 2, false))</f>
        <v/>
      </c>
      <c r="F649" s="7" t="str">
        <f>IFERROR(IF(E649 = "None", 1, VLOOKUP(C649,General!$A$5:$L$35, SWITCH(E649, "Basic", 8, "Advanced", 10, "Modern", 12), false)),"")</f>
        <v/>
      </c>
      <c r="G649" s="29"/>
      <c r="H649" s="7">
        <f>IFERROR(VLOOKUP(C649, General!$A$5:$L$35, 6, false) * G649 / 1000, 0)</f>
        <v>0</v>
      </c>
      <c r="I649" s="29"/>
      <c r="J649" s="22" t="str">
        <f>IFERROR(I649*VLOOKUP(D649,'Crafting Tables'!$1:$1000, 4, false)*F649,"")</f>
        <v/>
      </c>
      <c r="K649" s="29" t="b">
        <v>0</v>
      </c>
      <c r="L649" s="37"/>
      <c r="M649" s="29"/>
      <c r="N649" s="21" t="str">
        <f t="shared" si="2"/>
        <v/>
      </c>
      <c r="P649" s="37"/>
      <c r="Q649" s="29"/>
      <c r="R649" s="29" t="b">
        <v>0</v>
      </c>
      <c r="S649" s="22" t="str">
        <f t="shared" si="3"/>
        <v/>
      </c>
      <c r="T649" s="7">
        <f>IF(ISBLANK(P649), 0, VLOOKUP(P649, 'Price Sheet'!$A$2:$B1015, 2, false))</f>
        <v>0</v>
      </c>
      <c r="U649" s="33" t="str">
        <f t="shared" si="4"/>
        <v/>
      </c>
      <c r="V649" s="37"/>
      <c r="W649" s="29"/>
      <c r="X649" s="29" t="b">
        <v>0</v>
      </c>
      <c r="Y649" s="22" t="str">
        <f t="shared" si="5"/>
        <v/>
      </c>
      <c r="Z649" s="7">
        <f>IF(ISBLANK(V649), 0, VLOOKUP(V649, 'Price Sheet'!$A$2:$B1015, 2, false))</f>
        <v>0</v>
      </c>
      <c r="AA649" s="33" t="str">
        <f t="shared" si="6"/>
        <v/>
      </c>
      <c r="AB649" s="37"/>
      <c r="AC649" s="29"/>
      <c r="AD649" s="29" t="b">
        <v>0</v>
      </c>
      <c r="AE649" s="22" t="str">
        <f t="shared" si="7"/>
        <v/>
      </c>
      <c r="AF649" s="7">
        <f>IF(ISBLANK(AB649), 0, VLOOKUP(AB649, 'Price Sheet'!$A$2:$B1015, 2, false))</f>
        <v>0</v>
      </c>
      <c r="AG649" s="33" t="str">
        <f t="shared" si="8"/>
        <v/>
      </c>
      <c r="AH649" s="37"/>
      <c r="AI649" s="29"/>
      <c r="AJ649" s="29" t="b">
        <v>0</v>
      </c>
      <c r="AK649" s="22" t="str">
        <f t="shared" si="9"/>
        <v/>
      </c>
      <c r="AL649" s="7">
        <f>IF(ISBLANK(AH649), 0, VLOOKUP(AH649, 'Price Sheet'!$A$2:$B1015, 2, false))</f>
        <v>0</v>
      </c>
      <c r="AM649" s="33" t="str">
        <f t="shared" si="10"/>
        <v/>
      </c>
      <c r="AN649" s="37"/>
      <c r="AO649" s="29"/>
      <c r="AP649" s="29" t="b">
        <v>0</v>
      </c>
      <c r="AQ649" s="22" t="str">
        <f t="shared" si="11"/>
        <v/>
      </c>
      <c r="AR649" s="7">
        <f>IF(ISBLANK(AN649), 0, VLOOKUP(AN649, 'Price Sheet'!$A$2:$B1015, 2, false))</f>
        <v>0</v>
      </c>
      <c r="AS649" s="33" t="str">
        <f t="shared" si="12"/>
        <v/>
      </c>
      <c r="AT649" s="37"/>
      <c r="AU649" s="29"/>
      <c r="AV649" s="29" t="b">
        <v>0</v>
      </c>
      <c r="AW649" s="22" t="str">
        <f t="shared" si="13"/>
        <v/>
      </c>
      <c r="AX649" s="7">
        <f>IF(ISBLANK(AT649), 0, VLOOKUP(AT649, 'Price Sheet'!$A$2:$B1015, 2, false))</f>
        <v>0</v>
      </c>
      <c r="AY649" s="33" t="str">
        <f t="shared" si="14"/>
        <v/>
      </c>
      <c r="AZ649" s="37"/>
      <c r="BA649" s="29"/>
      <c r="BB649" s="29" t="b">
        <v>0</v>
      </c>
      <c r="BC649" s="22" t="str">
        <f t="shared" si="15"/>
        <v/>
      </c>
      <c r="BD649" s="7">
        <f>IF(ISBLANK(AZ649), 0, VLOOKUP(AZ649, 'Price Sheet'!$A$2:$B1015, 2, false))</f>
        <v>0</v>
      </c>
      <c r="BE649" s="33" t="str">
        <f t="shared" si="16"/>
        <v/>
      </c>
      <c r="BF649" s="37"/>
      <c r="BG649" s="29"/>
      <c r="BH649" s="29" t="b">
        <v>0</v>
      </c>
      <c r="BI649" s="22" t="str">
        <f t="shared" si="17"/>
        <v/>
      </c>
      <c r="BJ649" s="7">
        <f>IF(ISBLANK(BF649), 0, VLOOKUP(BF649, 'Price Sheet'!$A$2:$B1015, 2, false))</f>
        <v>0</v>
      </c>
      <c r="BK649" s="33" t="str">
        <f t="shared" si="18"/>
        <v/>
      </c>
      <c r="BL649" s="37"/>
      <c r="BM649" s="29"/>
      <c r="BN649" s="29" t="b">
        <v>0</v>
      </c>
      <c r="BO649" s="22" t="str">
        <f t="shared" si="19"/>
        <v/>
      </c>
      <c r="BP649" s="7">
        <f>IF(ISBLANK(BL649), 0, VLOOKUP(BL649, 'Price Sheet'!$A$2:$B1015, 2, false))</f>
        <v>0</v>
      </c>
      <c r="BQ649" s="33" t="str">
        <f t="shared" si="20"/>
        <v/>
      </c>
    </row>
    <row r="650">
      <c r="B650" s="19"/>
      <c r="C650" s="29"/>
      <c r="D650" s="29"/>
      <c r="E650" s="7" t="str">
        <f>IF(ISBLANK(D650), "", VLOOKUP(D650,'Crafting Tables'!$A$2:$B1015, 2, false))</f>
        <v/>
      </c>
      <c r="F650" s="7" t="str">
        <f>IFERROR(IF(E650 = "None", 1, VLOOKUP(C650,General!$A$5:$L$35, SWITCH(E650, "Basic", 8, "Advanced", 10, "Modern", 12), false)),"")</f>
        <v/>
      </c>
      <c r="G650" s="29"/>
      <c r="H650" s="7">
        <f>IFERROR(VLOOKUP(C650, General!$A$5:$L$35, 6, false) * G650 / 1000, 0)</f>
        <v>0</v>
      </c>
      <c r="I650" s="29"/>
      <c r="J650" s="22" t="str">
        <f>IFERROR(I650*VLOOKUP(D650,'Crafting Tables'!$1:$1000, 4, false)*F650,"")</f>
        <v/>
      </c>
      <c r="K650" s="29" t="b">
        <v>0</v>
      </c>
      <c r="L650" s="37"/>
      <c r="M650" s="29"/>
      <c r="N650" s="21" t="str">
        <f t="shared" si="2"/>
        <v/>
      </c>
      <c r="P650" s="37"/>
      <c r="Q650" s="29"/>
      <c r="R650" s="29" t="b">
        <v>0</v>
      </c>
      <c r="S650" s="22" t="str">
        <f t="shared" si="3"/>
        <v/>
      </c>
      <c r="T650" s="7">
        <f>IF(ISBLANK(P650), 0, VLOOKUP(P650, 'Price Sheet'!$A$2:$B1015, 2, false))</f>
        <v>0</v>
      </c>
      <c r="U650" s="33" t="str">
        <f t="shared" si="4"/>
        <v/>
      </c>
      <c r="V650" s="37"/>
      <c r="W650" s="29"/>
      <c r="X650" s="29" t="b">
        <v>0</v>
      </c>
      <c r="Y650" s="22" t="str">
        <f t="shared" si="5"/>
        <v/>
      </c>
      <c r="Z650" s="7">
        <f>IF(ISBLANK(V650), 0, VLOOKUP(V650, 'Price Sheet'!$A$2:$B1015, 2, false))</f>
        <v>0</v>
      </c>
      <c r="AA650" s="33" t="str">
        <f t="shared" si="6"/>
        <v/>
      </c>
      <c r="AB650" s="37"/>
      <c r="AC650" s="29"/>
      <c r="AD650" s="29" t="b">
        <v>0</v>
      </c>
      <c r="AE650" s="22" t="str">
        <f t="shared" si="7"/>
        <v/>
      </c>
      <c r="AF650" s="7">
        <f>IF(ISBLANK(AB650), 0, VLOOKUP(AB650, 'Price Sheet'!$A$2:$B1015, 2, false))</f>
        <v>0</v>
      </c>
      <c r="AG650" s="33" t="str">
        <f t="shared" si="8"/>
        <v/>
      </c>
      <c r="AH650" s="37"/>
      <c r="AI650" s="29"/>
      <c r="AJ650" s="29" t="b">
        <v>0</v>
      </c>
      <c r="AK650" s="22" t="str">
        <f t="shared" si="9"/>
        <v/>
      </c>
      <c r="AL650" s="7">
        <f>IF(ISBLANK(AH650), 0, VLOOKUP(AH650, 'Price Sheet'!$A$2:$B1015, 2, false))</f>
        <v>0</v>
      </c>
      <c r="AM650" s="33" t="str">
        <f t="shared" si="10"/>
        <v/>
      </c>
      <c r="AN650" s="37"/>
      <c r="AO650" s="29"/>
      <c r="AP650" s="29" t="b">
        <v>0</v>
      </c>
      <c r="AQ650" s="22" t="str">
        <f t="shared" si="11"/>
        <v/>
      </c>
      <c r="AR650" s="7">
        <f>IF(ISBLANK(AN650), 0, VLOOKUP(AN650, 'Price Sheet'!$A$2:$B1015, 2, false))</f>
        <v>0</v>
      </c>
      <c r="AS650" s="33" t="str">
        <f t="shared" si="12"/>
        <v/>
      </c>
      <c r="AT650" s="37"/>
      <c r="AU650" s="29"/>
      <c r="AV650" s="29" t="b">
        <v>0</v>
      </c>
      <c r="AW650" s="22" t="str">
        <f t="shared" si="13"/>
        <v/>
      </c>
      <c r="AX650" s="7">
        <f>IF(ISBLANK(AT650), 0, VLOOKUP(AT650, 'Price Sheet'!$A$2:$B1015, 2, false))</f>
        <v>0</v>
      </c>
      <c r="AY650" s="33" t="str">
        <f t="shared" si="14"/>
        <v/>
      </c>
      <c r="AZ650" s="37"/>
      <c r="BA650" s="29"/>
      <c r="BB650" s="29" t="b">
        <v>0</v>
      </c>
      <c r="BC650" s="22" t="str">
        <f t="shared" si="15"/>
        <v/>
      </c>
      <c r="BD650" s="7">
        <f>IF(ISBLANK(AZ650), 0, VLOOKUP(AZ650, 'Price Sheet'!$A$2:$B1015, 2, false))</f>
        <v>0</v>
      </c>
      <c r="BE650" s="33" t="str">
        <f t="shared" si="16"/>
        <v/>
      </c>
      <c r="BF650" s="37"/>
      <c r="BG650" s="29"/>
      <c r="BH650" s="29" t="b">
        <v>0</v>
      </c>
      <c r="BI650" s="22" t="str">
        <f t="shared" si="17"/>
        <v/>
      </c>
      <c r="BJ650" s="7">
        <f>IF(ISBLANK(BF650), 0, VLOOKUP(BF650, 'Price Sheet'!$A$2:$B1015, 2, false))</f>
        <v>0</v>
      </c>
      <c r="BK650" s="33" t="str">
        <f t="shared" si="18"/>
        <v/>
      </c>
      <c r="BL650" s="37"/>
      <c r="BM650" s="29"/>
      <c r="BN650" s="29" t="b">
        <v>0</v>
      </c>
      <c r="BO650" s="22" t="str">
        <f t="shared" si="19"/>
        <v/>
      </c>
      <c r="BP650" s="7">
        <f>IF(ISBLANK(BL650), 0, VLOOKUP(BL650, 'Price Sheet'!$A$2:$B1015, 2, false))</f>
        <v>0</v>
      </c>
      <c r="BQ650" s="33" t="str">
        <f t="shared" si="20"/>
        <v/>
      </c>
    </row>
    <row r="651">
      <c r="B651" s="19"/>
      <c r="C651" s="29"/>
      <c r="D651" s="29"/>
      <c r="E651" s="7" t="str">
        <f>IF(ISBLANK(D651), "", VLOOKUP(D651,'Crafting Tables'!$A$2:$B1015, 2, false))</f>
        <v/>
      </c>
      <c r="F651" s="7" t="str">
        <f>IFERROR(IF(E651 = "None", 1, VLOOKUP(C651,General!$A$5:$L$35, SWITCH(E651, "Basic", 8, "Advanced", 10, "Modern", 12), false)),"")</f>
        <v/>
      </c>
      <c r="G651" s="29"/>
      <c r="H651" s="7">
        <f>IFERROR(VLOOKUP(C651, General!$A$5:$L$35, 6, false) * G651 / 1000, 0)</f>
        <v>0</v>
      </c>
      <c r="I651" s="29"/>
      <c r="J651" s="22" t="str">
        <f>IFERROR(I651*VLOOKUP(D651,'Crafting Tables'!$1:$1000, 4, false)*F651,"")</f>
        <v/>
      </c>
      <c r="K651" s="29" t="b">
        <v>0</v>
      </c>
      <c r="L651" s="37"/>
      <c r="M651" s="29"/>
      <c r="N651" s="21" t="str">
        <f t="shared" si="2"/>
        <v/>
      </c>
      <c r="P651" s="37"/>
      <c r="Q651" s="29"/>
      <c r="R651" s="29" t="b">
        <v>0</v>
      </c>
      <c r="S651" s="22" t="str">
        <f t="shared" si="3"/>
        <v/>
      </c>
      <c r="T651" s="7">
        <f>IF(ISBLANK(P651), 0, VLOOKUP(P651, 'Price Sheet'!$A$2:$B1015, 2, false))</f>
        <v>0</v>
      </c>
      <c r="U651" s="33" t="str">
        <f t="shared" si="4"/>
        <v/>
      </c>
      <c r="V651" s="37"/>
      <c r="W651" s="29"/>
      <c r="X651" s="29" t="b">
        <v>0</v>
      </c>
      <c r="Y651" s="22" t="str">
        <f t="shared" si="5"/>
        <v/>
      </c>
      <c r="Z651" s="7">
        <f>IF(ISBLANK(V651), 0, VLOOKUP(V651, 'Price Sheet'!$A$2:$B1015, 2, false))</f>
        <v>0</v>
      </c>
      <c r="AA651" s="33" t="str">
        <f t="shared" si="6"/>
        <v/>
      </c>
      <c r="AB651" s="37"/>
      <c r="AC651" s="29"/>
      <c r="AD651" s="29" t="b">
        <v>0</v>
      </c>
      <c r="AE651" s="22" t="str">
        <f t="shared" si="7"/>
        <v/>
      </c>
      <c r="AF651" s="7">
        <f>IF(ISBLANK(AB651), 0, VLOOKUP(AB651, 'Price Sheet'!$A$2:$B1015, 2, false))</f>
        <v>0</v>
      </c>
      <c r="AG651" s="33" t="str">
        <f t="shared" si="8"/>
        <v/>
      </c>
      <c r="AH651" s="37"/>
      <c r="AI651" s="29"/>
      <c r="AJ651" s="29" t="b">
        <v>0</v>
      </c>
      <c r="AK651" s="22" t="str">
        <f t="shared" si="9"/>
        <v/>
      </c>
      <c r="AL651" s="7">
        <f>IF(ISBLANK(AH651), 0, VLOOKUP(AH651, 'Price Sheet'!$A$2:$B1015, 2, false))</f>
        <v>0</v>
      </c>
      <c r="AM651" s="33" t="str">
        <f t="shared" si="10"/>
        <v/>
      </c>
      <c r="AN651" s="37"/>
      <c r="AO651" s="29"/>
      <c r="AP651" s="29" t="b">
        <v>0</v>
      </c>
      <c r="AQ651" s="22" t="str">
        <f t="shared" si="11"/>
        <v/>
      </c>
      <c r="AR651" s="7">
        <f>IF(ISBLANK(AN651), 0, VLOOKUP(AN651, 'Price Sheet'!$A$2:$B1015, 2, false))</f>
        <v>0</v>
      </c>
      <c r="AS651" s="33" t="str">
        <f t="shared" si="12"/>
        <v/>
      </c>
      <c r="AT651" s="37"/>
      <c r="AU651" s="29"/>
      <c r="AV651" s="29" t="b">
        <v>0</v>
      </c>
      <c r="AW651" s="22" t="str">
        <f t="shared" si="13"/>
        <v/>
      </c>
      <c r="AX651" s="7">
        <f>IF(ISBLANK(AT651), 0, VLOOKUP(AT651, 'Price Sheet'!$A$2:$B1015, 2, false))</f>
        <v>0</v>
      </c>
      <c r="AY651" s="33" t="str">
        <f t="shared" si="14"/>
        <v/>
      </c>
      <c r="AZ651" s="37"/>
      <c r="BA651" s="29"/>
      <c r="BB651" s="29" t="b">
        <v>0</v>
      </c>
      <c r="BC651" s="22" t="str">
        <f t="shared" si="15"/>
        <v/>
      </c>
      <c r="BD651" s="7">
        <f>IF(ISBLANK(AZ651), 0, VLOOKUP(AZ651, 'Price Sheet'!$A$2:$B1015, 2, false))</f>
        <v>0</v>
      </c>
      <c r="BE651" s="33" t="str">
        <f t="shared" si="16"/>
        <v/>
      </c>
      <c r="BF651" s="37"/>
      <c r="BG651" s="29"/>
      <c r="BH651" s="29" t="b">
        <v>0</v>
      </c>
      <c r="BI651" s="22" t="str">
        <f t="shared" si="17"/>
        <v/>
      </c>
      <c r="BJ651" s="7">
        <f>IF(ISBLANK(BF651), 0, VLOOKUP(BF651, 'Price Sheet'!$A$2:$B1015, 2, false))</f>
        <v>0</v>
      </c>
      <c r="BK651" s="33" t="str">
        <f t="shared" si="18"/>
        <v/>
      </c>
      <c r="BL651" s="37"/>
      <c r="BM651" s="29"/>
      <c r="BN651" s="29" t="b">
        <v>0</v>
      </c>
      <c r="BO651" s="22" t="str">
        <f t="shared" si="19"/>
        <v/>
      </c>
      <c r="BP651" s="7">
        <f>IF(ISBLANK(BL651), 0, VLOOKUP(BL651, 'Price Sheet'!$A$2:$B1015, 2, false))</f>
        <v>0</v>
      </c>
      <c r="BQ651" s="33" t="str">
        <f t="shared" si="20"/>
        <v/>
      </c>
    </row>
    <row r="652">
      <c r="B652" s="19"/>
      <c r="C652" s="29"/>
      <c r="D652" s="29"/>
      <c r="E652" s="7" t="str">
        <f>IF(ISBLANK(D652), "", VLOOKUP(D652,'Crafting Tables'!$A$2:$B1015, 2, false))</f>
        <v/>
      </c>
      <c r="F652" s="7" t="str">
        <f>IFERROR(IF(E652 = "None", 1, VLOOKUP(C652,General!$A$5:$L$35, SWITCH(E652, "Basic", 8, "Advanced", 10, "Modern", 12), false)),"")</f>
        <v/>
      </c>
      <c r="G652" s="29"/>
      <c r="H652" s="7">
        <f>IFERROR(VLOOKUP(C652, General!$A$5:$L$35, 6, false) * G652 / 1000, 0)</f>
        <v>0</v>
      </c>
      <c r="I652" s="29"/>
      <c r="J652" s="22" t="str">
        <f>IFERROR(I652*VLOOKUP(D652,'Crafting Tables'!$1:$1000, 4, false)*F652,"")</f>
        <v/>
      </c>
      <c r="K652" s="29" t="b">
        <v>0</v>
      </c>
      <c r="L652" s="37"/>
      <c r="M652" s="29"/>
      <c r="N652" s="21" t="str">
        <f t="shared" si="2"/>
        <v/>
      </c>
      <c r="P652" s="37"/>
      <c r="Q652" s="29"/>
      <c r="R652" s="29" t="b">
        <v>0</v>
      </c>
      <c r="S652" s="22" t="str">
        <f t="shared" si="3"/>
        <v/>
      </c>
      <c r="T652" s="7">
        <f>IF(ISBLANK(P652), 0, VLOOKUP(P652, 'Price Sheet'!$A$2:$B1015, 2, false))</f>
        <v>0</v>
      </c>
      <c r="U652" s="33" t="str">
        <f t="shared" si="4"/>
        <v/>
      </c>
      <c r="V652" s="37"/>
      <c r="W652" s="29"/>
      <c r="X652" s="29" t="b">
        <v>0</v>
      </c>
      <c r="Y652" s="22" t="str">
        <f t="shared" si="5"/>
        <v/>
      </c>
      <c r="Z652" s="7">
        <f>IF(ISBLANK(V652), 0, VLOOKUP(V652, 'Price Sheet'!$A$2:$B1015, 2, false))</f>
        <v>0</v>
      </c>
      <c r="AA652" s="33" t="str">
        <f t="shared" si="6"/>
        <v/>
      </c>
      <c r="AB652" s="37"/>
      <c r="AC652" s="29"/>
      <c r="AD652" s="29" t="b">
        <v>0</v>
      </c>
      <c r="AE652" s="22" t="str">
        <f t="shared" si="7"/>
        <v/>
      </c>
      <c r="AF652" s="7">
        <f>IF(ISBLANK(AB652), 0, VLOOKUP(AB652, 'Price Sheet'!$A$2:$B1015, 2, false))</f>
        <v>0</v>
      </c>
      <c r="AG652" s="33" t="str">
        <f t="shared" si="8"/>
        <v/>
      </c>
      <c r="AH652" s="37"/>
      <c r="AI652" s="29"/>
      <c r="AJ652" s="29" t="b">
        <v>0</v>
      </c>
      <c r="AK652" s="22" t="str">
        <f t="shared" si="9"/>
        <v/>
      </c>
      <c r="AL652" s="7">
        <f>IF(ISBLANK(AH652), 0, VLOOKUP(AH652, 'Price Sheet'!$A$2:$B1015, 2, false))</f>
        <v>0</v>
      </c>
      <c r="AM652" s="33" t="str">
        <f t="shared" si="10"/>
        <v/>
      </c>
      <c r="AN652" s="37"/>
      <c r="AO652" s="29"/>
      <c r="AP652" s="29" t="b">
        <v>0</v>
      </c>
      <c r="AQ652" s="22" t="str">
        <f t="shared" si="11"/>
        <v/>
      </c>
      <c r="AR652" s="7">
        <f>IF(ISBLANK(AN652), 0, VLOOKUP(AN652, 'Price Sheet'!$A$2:$B1015, 2, false))</f>
        <v>0</v>
      </c>
      <c r="AS652" s="33" t="str">
        <f t="shared" si="12"/>
        <v/>
      </c>
      <c r="AT652" s="37"/>
      <c r="AU652" s="29"/>
      <c r="AV652" s="29" t="b">
        <v>0</v>
      </c>
      <c r="AW652" s="22" t="str">
        <f t="shared" si="13"/>
        <v/>
      </c>
      <c r="AX652" s="7">
        <f>IF(ISBLANK(AT652), 0, VLOOKUP(AT652, 'Price Sheet'!$A$2:$B1015, 2, false))</f>
        <v>0</v>
      </c>
      <c r="AY652" s="33" t="str">
        <f t="shared" si="14"/>
        <v/>
      </c>
      <c r="AZ652" s="37"/>
      <c r="BA652" s="29"/>
      <c r="BB652" s="29" t="b">
        <v>0</v>
      </c>
      <c r="BC652" s="22" t="str">
        <f t="shared" si="15"/>
        <v/>
      </c>
      <c r="BD652" s="7">
        <f>IF(ISBLANK(AZ652), 0, VLOOKUP(AZ652, 'Price Sheet'!$A$2:$B1015, 2, false))</f>
        <v>0</v>
      </c>
      <c r="BE652" s="33" t="str">
        <f t="shared" si="16"/>
        <v/>
      </c>
      <c r="BF652" s="37"/>
      <c r="BG652" s="29"/>
      <c r="BH652" s="29" t="b">
        <v>0</v>
      </c>
      <c r="BI652" s="22" t="str">
        <f t="shared" si="17"/>
        <v/>
      </c>
      <c r="BJ652" s="7">
        <f>IF(ISBLANK(BF652), 0, VLOOKUP(BF652, 'Price Sheet'!$A$2:$B1015, 2, false))</f>
        <v>0</v>
      </c>
      <c r="BK652" s="33" t="str">
        <f t="shared" si="18"/>
        <v/>
      </c>
      <c r="BL652" s="37"/>
      <c r="BM652" s="29"/>
      <c r="BN652" s="29" t="b">
        <v>0</v>
      </c>
      <c r="BO652" s="22" t="str">
        <f t="shared" si="19"/>
        <v/>
      </c>
      <c r="BP652" s="7">
        <f>IF(ISBLANK(BL652), 0, VLOOKUP(BL652, 'Price Sheet'!$A$2:$B1015, 2, false))</f>
        <v>0</v>
      </c>
      <c r="BQ652" s="33" t="str">
        <f t="shared" si="20"/>
        <v/>
      </c>
    </row>
    <row r="653">
      <c r="B653" s="19"/>
      <c r="C653" s="29"/>
      <c r="D653" s="29"/>
      <c r="E653" s="7" t="str">
        <f>IF(ISBLANK(D653), "", VLOOKUP(D653,'Crafting Tables'!$A$2:$B1015, 2, false))</f>
        <v/>
      </c>
      <c r="F653" s="7" t="str">
        <f>IFERROR(IF(E653 = "None", 1, VLOOKUP(C653,General!$A$5:$L$35, SWITCH(E653, "Basic", 8, "Advanced", 10, "Modern", 12), false)),"")</f>
        <v/>
      </c>
      <c r="G653" s="29"/>
      <c r="H653" s="7">
        <f>IFERROR(VLOOKUP(C653, General!$A$5:$L$35, 6, false) * G653 / 1000, 0)</f>
        <v>0</v>
      </c>
      <c r="I653" s="29"/>
      <c r="J653" s="22" t="str">
        <f>IFERROR(I653*VLOOKUP(D653,'Crafting Tables'!$1:$1000, 4, false)*F653,"")</f>
        <v/>
      </c>
      <c r="K653" s="29" t="b">
        <v>0</v>
      </c>
      <c r="L653" s="37"/>
      <c r="M653" s="29"/>
      <c r="N653" s="21" t="str">
        <f t="shared" si="2"/>
        <v/>
      </c>
      <c r="P653" s="37"/>
      <c r="Q653" s="29"/>
      <c r="R653" s="29" t="b">
        <v>0</v>
      </c>
      <c r="S653" s="22" t="str">
        <f t="shared" si="3"/>
        <v/>
      </c>
      <c r="T653" s="7">
        <f>IF(ISBLANK(P653), 0, VLOOKUP(P653, 'Price Sheet'!$A$2:$B1015, 2, false))</f>
        <v>0</v>
      </c>
      <c r="U653" s="33" t="str">
        <f t="shared" si="4"/>
        <v/>
      </c>
      <c r="V653" s="37"/>
      <c r="W653" s="29"/>
      <c r="X653" s="29" t="b">
        <v>0</v>
      </c>
      <c r="Y653" s="22" t="str">
        <f t="shared" si="5"/>
        <v/>
      </c>
      <c r="Z653" s="7">
        <f>IF(ISBLANK(V653), 0, VLOOKUP(V653, 'Price Sheet'!$A$2:$B1015, 2, false))</f>
        <v>0</v>
      </c>
      <c r="AA653" s="33" t="str">
        <f t="shared" si="6"/>
        <v/>
      </c>
      <c r="AB653" s="37"/>
      <c r="AC653" s="29"/>
      <c r="AD653" s="29" t="b">
        <v>0</v>
      </c>
      <c r="AE653" s="22" t="str">
        <f t="shared" si="7"/>
        <v/>
      </c>
      <c r="AF653" s="7">
        <f>IF(ISBLANK(AB653), 0, VLOOKUP(AB653, 'Price Sheet'!$A$2:$B1015, 2, false))</f>
        <v>0</v>
      </c>
      <c r="AG653" s="33" t="str">
        <f t="shared" si="8"/>
        <v/>
      </c>
      <c r="AH653" s="37"/>
      <c r="AI653" s="29"/>
      <c r="AJ653" s="29" t="b">
        <v>0</v>
      </c>
      <c r="AK653" s="22" t="str">
        <f t="shared" si="9"/>
        <v/>
      </c>
      <c r="AL653" s="7">
        <f>IF(ISBLANK(AH653), 0, VLOOKUP(AH653, 'Price Sheet'!$A$2:$B1015, 2, false))</f>
        <v>0</v>
      </c>
      <c r="AM653" s="33" t="str">
        <f t="shared" si="10"/>
        <v/>
      </c>
      <c r="AN653" s="37"/>
      <c r="AO653" s="29"/>
      <c r="AP653" s="29" t="b">
        <v>0</v>
      </c>
      <c r="AQ653" s="22" t="str">
        <f t="shared" si="11"/>
        <v/>
      </c>
      <c r="AR653" s="7">
        <f>IF(ISBLANK(AN653), 0, VLOOKUP(AN653, 'Price Sheet'!$A$2:$B1015, 2, false))</f>
        <v>0</v>
      </c>
      <c r="AS653" s="33" t="str">
        <f t="shared" si="12"/>
        <v/>
      </c>
      <c r="AT653" s="37"/>
      <c r="AU653" s="29"/>
      <c r="AV653" s="29" t="b">
        <v>0</v>
      </c>
      <c r="AW653" s="22" t="str">
        <f t="shared" si="13"/>
        <v/>
      </c>
      <c r="AX653" s="7">
        <f>IF(ISBLANK(AT653), 0, VLOOKUP(AT653, 'Price Sheet'!$A$2:$B1015, 2, false))</f>
        <v>0</v>
      </c>
      <c r="AY653" s="33" t="str">
        <f t="shared" si="14"/>
        <v/>
      </c>
      <c r="AZ653" s="37"/>
      <c r="BA653" s="29"/>
      <c r="BB653" s="29" t="b">
        <v>0</v>
      </c>
      <c r="BC653" s="22" t="str">
        <f t="shared" si="15"/>
        <v/>
      </c>
      <c r="BD653" s="7">
        <f>IF(ISBLANK(AZ653), 0, VLOOKUP(AZ653, 'Price Sheet'!$A$2:$B1015, 2, false))</f>
        <v>0</v>
      </c>
      <c r="BE653" s="33" t="str">
        <f t="shared" si="16"/>
        <v/>
      </c>
      <c r="BF653" s="37"/>
      <c r="BG653" s="29"/>
      <c r="BH653" s="29" t="b">
        <v>0</v>
      </c>
      <c r="BI653" s="22" t="str">
        <f t="shared" si="17"/>
        <v/>
      </c>
      <c r="BJ653" s="7">
        <f>IF(ISBLANK(BF653), 0, VLOOKUP(BF653, 'Price Sheet'!$A$2:$B1015, 2, false))</f>
        <v>0</v>
      </c>
      <c r="BK653" s="33" t="str">
        <f t="shared" si="18"/>
        <v/>
      </c>
      <c r="BL653" s="37"/>
      <c r="BM653" s="29"/>
      <c r="BN653" s="29" t="b">
        <v>0</v>
      </c>
      <c r="BO653" s="22" t="str">
        <f t="shared" si="19"/>
        <v/>
      </c>
      <c r="BP653" s="7">
        <f>IF(ISBLANK(BL653), 0, VLOOKUP(BL653, 'Price Sheet'!$A$2:$B1015, 2, false))</f>
        <v>0</v>
      </c>
      <c r="BQ653" s="33" t="str">
        <f t="shared" si="20"/>
        <v/>
      </c>
    </row>
    <row r="654">
      <c r="B654" s="19"/>
      <c r="C654" s="29"/>
      <c r="D654" s="29"/>
      <c r="E654" s="7" t="str">
        <f>IF(ISBLANK(D654), "", VLOOKUP(D654,'Crafting Tables'!$A$2:$B1015, 2, false))</f>
        <v/>
      </c>
      <c r="F654" s="7" t="str">
        <f>IFERROR(IF(E654 = "None", 1, VLOOKUP(C654,General!$A$5:$L$35, SWITCH(E654, "Basic", 8, "Advanced", 10, "Modern", 12), false)),"")</f>
        <v/>
      </c>
      <c r="G654" s="29"/>
      <c r="H654" s="7">
        <f>IFERROR(VLOOKUP(C654, General!$A$5:$L$35, 6, false) * G654 / 1000, 0)</f>
        <v>0</v>
      </c>
      <c r="I654" s="29"/>
      <c r="J654" s="22" t="str">
        <f>IFERROR(I654*VLOOKUP(D654,'Crafting Tables'!$1:$1000, 4, false)*F654,"")</f>
        <v/>
      </c>
      <c r="K654" s="29" t="b">
        <v>0</v>
      </c>
      <c r="L654" s="37"/>
      <c r="M654" s="29"/>
      <c r="N654" s="21" t="str">
        <f t="shared" si="2"/>
        <v/>
      </c>
      <c r="P654" s="37"/>
      <c r="Q654" s="29"/>
      <c r="R654" s="29" t="b">
        <v>0</v>
      </c>
      <c r="S654" s="22" t="str">
        <f t="shared" si="3"/>
        <v/>
      </c>
      <c r="T654" s="7">
        <f>IF(ISBLANK(P654), 0, VLOOKUP(P654, 'Price Sheet'!$A$2:$B1015, 2, false))</f>
        <v>0</v>
      </c>
      <c r="U654" s="33" t="str">
        <f t="shared" si="4"/>
        <v/>
      </c>
      <c r="V654" s="37"/>
      <c r="W654" s="29"/>
      <c r="X654" s="29" t="b">
        <v>0</v>
      </c>
      <c r="Y654" s="22" t="str">
        <f t="shared" si="5"/>
        <v/>
      </c>
      <c r="Z654" s="7">
        <f>IF(ISBLANK(V654), 0, VLOOKUP(V654, 'Price Sheet'!$A$2:$B1015, 2, false))</f>
        <v>0</v>
      </c>
      <c r="AA654" s="33" t="str">
        <f t="shared" si="6"/>
        <v/>
      </c>
      <c r="AB654" s="37"/>
      <c r="AC654" s="29"/>
      <c r="AD654" s="29" t="b">
        <v>0</v>
      </c>
      <c r="AE654" s="22" t="str">
        <f t="shared" si="7"/>
        <v/>
      </c>
      <c r="AF654" s="7">
        <f>IF(ISBLANK(AB654), 0, VLOOKUP(AB654, 'Price Sheet'!$A$2:$B1015, 2, false))</f>
        <v>0</v>
      </c>
      <c r="AG654" s="33" t="str">
        <f t="shared" si="8"/>
        <v/>
      </c>
      <c r="AH654" s="37"/>
      <c r="AI654" s="29"/>
      <c r="AJ654" s="29" t="b">
        <v>0</v>
      </c>
      <c r="AK654" s="22" t="str">
        <f t="shared" si="9"/>
        <v/>
      </c>
      <c r="AL654" s="7">
        <f>IF(ISBLANK(AH654), 0, VLOOKUP(AH654, 'Price Sheet'!$A$2:$B1015, 2, false))</f>
        <v>0</v>
      </c>
      <c r="AM654" s="33" t="str">
        <f t="shared" si="10"/>
        <v/>
      </c>
      <c r="AN654" s="37"/>
      <c r="AO654" s="29"/>
      <c r="AP654" s="29" t="b">
        <v>0</v>
      </c>
      <c r="AQ654" s="22" t="str">
        <f t="shared" si="11"/>
        <v/>
      </c>
      <c r="AR654" s="7">
        <f>IF(ISBLANK(AN654), 0, VLOOKUP(AN654, 'Price Sheet'!$A$2:$B1015, 2, false))</f>
        <v>0</v>
      </c>
      <c r="AS654" s="33" t="str">
        <f t="shared" si="12"/>
        <v/>
      </c>
      <c r="AT654" s="37"/>
      <c r="AU654" s="29"/>
      <c r="AV654" s="29" t="b">
        <v>0</v>
      </c>
      <c r="AW654" s="22" t="str">
        <f t="shared" si="13"/>
        <v/>
      </c>
      <c r="AX654" s="7">
        <f>IF(ISBLANK(AT654), 0, VLOOKUP(AT654, 'Price Sheet'!$A$2:$B1015, 2, false))</f>
        <v>0</v>
      </c>
      <c r="AY654" s="33" t="str">
        <f t="shared" si="14"/>
        <v/>
      </c>
      <c r="AZ654" s="37"/>
      <c r="BA654" s="29"/>
      <c r="BB654" s="29" t="b">
        <v>0</v>
      </c>
      <c r="BC654" s="22" t="str">
        <f t="shared" si="15"/>
        <v/>
      </c>
      <c r="BD654" s="7">
        <f>IF(ISBLANK(AZ654), 0, VLOOKUP(AZ654, 'Price Sheet'!$A$2:$B1015, 2, false))</f>
        <v>0</v>
      </c>
      <c r="BE654" s="33" t="str">
        <f t="shared" si="16"/>
        <v/>
      </c>
      <c r="BF654" s="37"/>
      <c r="BG654" s="29"/>
      <c r="BH654" s="29" t="b">
        <v>0</v>
      </c>
      <c r="BI654" s="22" t="str">
        <f t="shared" si="17"/>
        <v/>
      </c>
      <c r="BJ654" s="7">
        <f>IF(ISBLANK(BF654), 0, VLOOKUP(BF654, 'Price Sheet'!$A$2:$B1015, 2, false))</f>
        <v>0</v>
      </c>
      <c r="BK654" s="33" t="str">
        <f t="shared" si="18"/>
        <v/>
      </c>
      <c r="BL654" s="37"/>
      <c r="BM654" s="29"/>
      <c r="BN654" s="29" t="b">
        <v>0</v>
      </c>
      <c r="BO654" s="22" t="str">
        <f t="shared" si="19"/>
        <v/>
      </c>
      <c r="BP654" s="7">
        <f>IF(ISBLANK(BL654), 0, VLOOKUP(BL654, 'Price Sheet'!$A$2:$B1015, 2, false))</f>
        <v>0</v>
      </c>
      <c r="BQ654" s="33" t="str">
        <f t="shared" si="20"/>
        <v/>
      </c>
    </row>
    <row r="655">
      <c r="B655" s="19"/>
      <c r="C655" s="29"/>
      <c r="D655" s="29"/>
      <c r="E655" s="7" t="str">
        <f>IF(ISBLANK(D655), "", VLOOKUP(D655,'Crafting Tables'!$A$2:$B1015, 2, false))</f>
        <v/>
      </c>
      <c r="F655" s="7" t="str">
        <f>IFERROR(IF(E655 = "None", 1, VLOOKUP(C655,General!$A$5:$L$35, SWITCH(E655, "Basic", 8, "Advanced", 10, "Modern", 12), false)),"")</f>
        <v/>
      </c>
      <c r="G655" s="29"/>
      <c r="H655" s="7">
        <f>IFERROR(VLOOKUP(C655, General!$A$5:$L$35, 6, false) * G655 / 1000, 0)</f>
        <v>0</v>
      </c>
      <c r="I655" s="29"/>
      <c r="J655" s="22" t="str">
        <f>IFERROR(I655*VLOOKUP(D655,'Crafting Tables'!$1:$1000, 4, false)*F655,"")</f>
        <v/>
      </c>
      <c r="K655" s="29" t="b">
        <v>0</v>
      </c>
      <c r="L655" s="37"/>
      <c r="M655" s="29"/>
      <c r="N655" s="21" t="str">
        <f t="shared" si="2"/>
        <v/>
      </c>
      <c r="P655" s="37"/>
      <c r="Q655" s="29"/>
      <c r="R655" s="29" t="b">
        <v>0</v>
      </c>
      <c r="S655" s="22" t="str">
        <f t="shared" si="3"/>
        <v/>
      </c>
      <c r="T655" s="7">
        <f>IF(ISBLANK(P655), 0, VLOOKUP(P655, 'Price Sheet'!$A$2:$B1015, 2, false))</f>
        <v>0</v>
      </c>
      <c r="U655" s="33" t="str">
        <f t="shared" si="4"/>
        <v/>
      </c>
      <c r="V655" s="37"/>
      <c r="W655" s="29"/>
      <c r="X655" s="29" t="b">
        <v>0</v>
      </c>
      <c r="Y655" s="22" t="str">
        <f t="shared" si="5"/>
        <v/>
      </c>
      <c r="Z655" s="7">
        <f>IF(ISBLANK(V655), 0, VLOOKUP(V655, 'Price Sheet'!$A$2:$B1015, 2, false))</f>
        <v>0</v>
      </c>
      <c r="AA655" s="33" t="str">
        <f t="shared" si="6"/>
        <v/>
      </c>
      <c r="AB655" s="37"/>
      <c r="AC655" s="29"/>
      <c r="AD655" s="29" t="b">
        <v>0</v>
      </c>
      <c r="AE655" s="22" t="str">
        <f t="shared" si="7"/>
        <v/>
      </c>
      <c r="AF655" s="7">
        <f>IF(ISBLANK(AB655), 0, VLOOKUP(AB655, 'Price Sheet'!$A$2:$B1015, 2, false))</f>
        <v>0</v>
      </c>
      <c r="AG655" s="33" t="str">
        <f t="shared" si="8"/>
        <v/>
      </c>
      <c r="AH655" s="37"/>
      <c r="AI655" s="29"/>
      <c r="AJ655" s="29" t="b">
        <v>0</v>
      </c>
      <c r="AK655" s="22" t="str">
        <f t="shared" si="9"/>
        <v/>
      </c>
      <c r="AL655" s="7">
        <f>IF(ISBLANK(AH655), 0, VLOOKUP(AH655, 'Price Sheet'!$A$2:$B1015, 2, false))</f>
        <v>0</v>
      </c>
      <c r="AM655" s="33" t="str">
        <f t="shared" si="10"/>
        <v/>
      </c>
      <c r="AN655" s="37"/>
      <c r="AO655" s="29"/>
      <c r="AP655" s="29" t="b">
        <v>0</v>
      </c>
      <c r="AQ655" s="22" t="str">
        <f t="shared" si="11"/>
        <v/>
      </c>
      <c r="AR655" s="7">
        <f>IF(ISBLANK(AN655), 0, VLOOKUP(AN655, 'Price Sheet'!$A$2:$B1015, 2, false))</f>
        <v>0</v>
      </c>
      <c r="AS655" s="33" t="str">
        <f t="shared" si="12"/>
        <v/>
      </c>
      <c r="AT655" s="37"/>
      <c r="AU655" s="29"/>
      <c r="AV655" s="29" t="b">
        <v>0</v>
      </c>
      <c r="AW655" s="22" t="str">
        <f t="shared" si="13"/>
        <v/>
      </c>
      <c r="AX655" s="7">
        <f>IF(ISBLANK(AT655), 0, VLOOKUP(AT655, 'Price Sheet'!$A$2:$B1015, 2, false))</f>
        <v>0</v>
      </c>
      <c r="AY655" s="33" t="str">
        <f t="shared" si="14"/>
        <v/>
      </c>
      <c r="AZ655" s="37"/>
      <c r="BA655" s="29"/>
      <c r="BB655" s="29" t="b">
        <v>0</v>
      </c>
      <c r="BC655" s="22" t="str">
        <f t="shared" si="15"/>
        <v/>
      </c>
      <c r="BD655" s="7">
        <f>IF(ISBLANK(AZ655), 0, VLOOKUP(AZ655, 'Price Sheet'!$A$2:$B1015, 2, false))</f>
        <v>0</v>
      </c>
      <c r="BE655" s="33" t="str">
        <f t="shared" si="16"/>
        <v/>
      </c>
      <c r="BF655" s="37"/>
      <c r="BG655" s="29"/>
      <c r="BH655" s="29" t="b">
        <v>0</v>
      </c>
      <c r="BI655" s="22" t="str">
        <f t="shared" si="17"/>
        <v/>
      </c>
      <c r="BJ655" s="7">
        <f>IF(ISBLANK(BF655), 0, VLOOKUP(BF655, 'Price Sheet'!$A$2:$B1015, 2, false))</f>
        <v>0</v>
      </c>
      <c r="BK655" s="33" t="str">
        <f t="shared" si="18"/>
        <v/>
      </c>
      <c r="BL655" s="37"/>
      <c r="BM655" s="29"/>
      <c r="BN655" s="29" t="b">
        <v>0</v>
      </c>
      <c r="BO655" s="22" t="str">
        <f t="shared" si="19"/>
        <v/>
      </c>
      <c r="BP655" s="7">
        <f>IF(ISBLANK(BL655), 0, VLOOKUP(BL655, 'Price Sheet'!$A$2:$B1015, 2, false))</f>
        <v>0</v>
      </c>
      <c r="BQ655" s="33" t="str">
        <f t="shared" si="20"/>
        <v/>
      </c>
    </row>
    <row r="656">
      <c r="B656" s="19"/>
      <c r="C656" s="29"/>
      <c r="D656" s="29"/>
      <c r="E656" s="7" t="str">
        <f>IF(ISBLANK(D656), "", VLOOKUP(D656,'Crafting Tables'!$A$2:$B1015, 2, false))</f>
        <v/>
      </c>
      <c r="F656" s="7" t="str">
        <f>IFERROR(IF(E656 = "None", 1, VLOOKUP(C656,General!$A$5:$L$35, SWITCH(E656, "Basic", 8, "Advanced", 10, "Modern", 12), false)),"")</f>
        <v/>
      </c>
      <c r="G656" s="29"/>
      <c r="H656" s="7">
        <f>IFERROR(VLOOKUP(C656, General!$A$5:$L$35, 6, false) * G656 / 1000, 0)</f>
        <v>0</v>
      </c>
      <c r="I656" s="29"/>
      <c r="J656" s="22" t="str">
        <f>IFERROR(I656*VLOOKUP(D656,'Crafting Tables'!$1:$1000, 4, false)*F656,"")</f>
        <v/>
      </c>
      <c r="K656" s="29" t="b">
        <v>0</v>
      </c>
      <c r="L656" s="37"/>
      <c r="M656" s="29"/>
      <c r="N656" s="21" t="str">
        <f t="shared" si="2"/>
        <v/>
      </c>
      <c r="P656" s="37"/>
      <c r="Q656" s="29"/>
      <c r="R656" s="29" t="b">
        <v>0</v>
      </c>
      <c r="S656" s="22" t="str">
        <f t="shared" si="3"/>
        <v/>
      </c>
      <c r="T656" s="7">
        <f>IF(ISBLANK(P656), 0, VLOOKUP(P656, 'Price Sheet'!$A$2:$B1015, 2, false))</f>
        <v>0</v>
      </c>
      <c r="U656" s="33" t="str">
        <f t="shared" si="4"/>
        <v/>
      </c>
      <c r="V656" s="37"/>
      <c r="W656" s="29"/>
      <c r="X656" s="29" t="b">
        <v>0</v>
      </c>
      <c r="Y656" s="22" t="str">
        <f t="shared" si="5"/>
        <v/>
      </c>
      <c r="Z656" s="7">
        <f>IF(ISBLANK(V656), 0, VLOOKUP(V656, 'Price Sheet'!$A$2:$B1015, 2, false))</f>
        <v>0</v>
      </c>
      <c r="AA656" s="33" t="str">
        <f t="shared" si="6"/>
        <v/>
      </c>
      <c r="AB656" s="37"/>
      <c r="AC656" s="29"/>
      <c r="AD656" s="29" t="b">
        <v>0</v>
      </c>
      <c r="AE656" s="22" t="str">
        <f t="shared" si="7"/>
        <v/>
      </c>
      <c r="AF656" s="7">
        <f>IF(ISBLANK(AB656), 0, VLOOKUP(AB656, 'Price Sheet'!$A$2:$B1015, 2, false))</f>
        <v>0</v>
      </c>
      <c r="AG656" s="33" t="str">
        <f t="shared" si="8"/>
        <v/>
      </c>
      <c r="AH656" s="37"/>
      <c r="AI656" s="29"/>
      <c r="AJ656" s="29" t="b">
        <v>0</v>
      </c>
      <c r="AK656" s="22" t="str">
        <f t="shared" si="9"/>
        <v/>
      </c>
      <c r="AL656" s="7">
        <f>IF(ISBLANK(AH656), 0, VLOOKUP(AH656, 'Price Sheet'!$A$2:$B1015, 2, false))</f>
        <v>0</v>
      </c>
      <c r="AM656" s="33" t="str">
        <f t="shared" si="10"/>
        <v/>
      </c>
      <c r="AN656" s="37"/>
      <c r="AO656" s="29"/>
      <c r="AP656" s="29" t="b">
        <v>0</v>
      </c>
      <c r="AQ656" s="22" t="str">
        <f t="shared" si="11"/>
        <v/>
      </c>
      <c r="AR656" s="7">
        <f>IF(ISBLANK(AN656), 0, VLOOKUP(AN656, 'Price Sheet'!$A$2:$B1015, 2, false))</f>
        <v>0</v>
      </c>
      <c r="AS656" s="33" t="str">
        <f t="shared" si="12"/>
        <v/>
      </c>
      <c r="AT656" s="37"/>
      <c r="AU656" s="29"/>
      <c r="AV656" s="29" t="b">
        <v>0</v>
      </c>
      <c r="AW656" s="22" t="str">
        <f t="shared" si="13"/>
        <v/>
      </c>
      <c r="AX656" s="7">
        <f>IF(ISBLANK(AT656), 0, VLOOKUP(AT656, 'Price Sheet'!$A$2:$B1015, 2, false))</f>
        <v>0</v>
      </c>
      <c r="AY656" s="33" t="str">
        <f t="shared" si="14"/>
        <v/>
      </c>
      <c r="AZ656" s="37"/>
      <c r="BA656" s="29"/>
      <c r="BB656" s="29" t="b">
        <v>0</v>
      </c>
      <c r="BC656" s="22" t="str">
        <f t="shared" si="15"/>
        <v/>
      </c>
      <c r="BD656" s="7">
        <f>IF(ISBLANK(AZ656), 0, VLOOKUP(AZ656, 'Price Sheet'!$A$2:$B1015, 2, false))</f>
        <v>0</v>
      </c>
      <c r="BE656" s="33" t="str">
        <f t="shared" si="16"/>
        <v/>
      </c>
      <c r="BF656" s="37"/>
      <c r="BG656" s="29"/>
      <c r="BH656" s="29" t="b">
        <v>0</v>
      </c>
      <c r="BI656" s="22" t="str">
        <f t="shared" si="17"/>
        <v/>
      </c>
      <c r="BJ656" s="7">
        <f>IF(ISBLANK(BF656), 0, VLOOKUP(BF656, 'Price Sheet'!$A$2:$B1015, 2, false))</f>
        <v>0</v>
      </c>
      <c r="BK656" s="33" t="str">
        <f t="shared" si="18"/>
        <v/>
      </c>
      <c r="BL656" s="37"/>
      <c r="BM656" s="29"/>
      <c r="BN656" s="29" t="b">
        <v>0</v>
      </c>
      <c r="BO656" s="22" t="str">
        <f t="shared" si="19"/>
        <v/>
      </c>
      <c r="BP656" s="7">
        <f>IF(ISBLANK(BL656), 0, VLOOKUP(BL656, 'Price Sheet'!$A$2:$B1015, 2, false))</f>
        <v>0</v>
      </c>
      <c r="BQ656" s="33" t="str">
        <f t="shared" si="20"/>
        <v/>
      </c>
    </row>
    <row r="657">
      <c r="B657" s="19"/>
      <c r="C657" s="29"/>
      <c r="D657" s="29"/>
      <c r="E657" s="7" t="str">
        <f>IF(ISBLANK(D657), "", VLOOKUP(D657,'Crafting Tables'!$A$2:$B1015, 2, false))</f>
        <v/>
      </c>
      <c r="F657" s="7" t="str">
        <f>IFERROR(IF(E657 = "None", 1, VLOOKUP(C657,General!$A$5:$L$35, SWITCH(E657, "Basic", 8, "Advanced", 10, "Modern", 12), false)),"")</f>
        <v/>
      </c>
      <c r="G657" s="29"/>
      <c r="H657" s="7">
        <f>IFERROR(VLOOKUP(C657, General!$A$5:$L$35, 6, false) * G657 / 1000, 0)</f>
        <v>0</v>
      </c>
      <c r="I657" s="29"/>
      <c r="J657" s="22" t="str">
        <f>IFERROR(I657*VLOOKUP(D657,'Crafting Tables'!$1:$1000, 4, false)*F657,"")</f>
        <v/>
      </c>
      <c r="K657" s="29" t="b">
        <v>0</v>
      </c>
      <c r="L657" s="37"/>
      <c r="M657" s="29"/>
      <c r="N657" s="21" t="str">
        <f t="shared" si="2"/>
        <v/>
      </c>
      <c r="P657" s="37"/>
      <c r="Q657" s="29"/>
      <c r="R657" s="29" t="b">
        <v>0</v>
      </c>
      <c r="S657" s="22" t="str">
        <f t="shared" si="3"/>
        <v/>
      </c>
      <c r="T657" s="7">
        <f>IF(ISBLANK(P657), 0, VLOOKUP(P657, 'Price Sheet'!$A$2:$B1015, 2, false))</f>
        <v>0</v>
      </c>
      <c r="U657" s="33" t="str">
        <f t="shared" si="4"/>
        <v/>
      </c>
      <c r="V657" s="37"/>
      <c r="W657" s="29"/>
      <c r="X657" s="29" t="b">
        <v>0</v>
      </c>
      <c r="Y657" s="22" t="str">
        <f t="shared" si="5"/>
        <v/>
      </c>
      <c r="Z657" s="7">
        <f>IF(ISBLANK(V657), 0, VLOOKUP(V657, 'Price Sheet'!$A$2:$B1015, 2, false))</f>
        <v>0</v>
      </c>
      <c r="AA657" s="33" t="str">
        <f t="shared" si="6"/>
        <v/>
      </c>
      <c r="AB657" s="37"/>
      <c r="AC657" s="29"/>
      <c r="AD657" s="29" t="b">
        <v>0</v>
      </c>
      <c r="AE657" s="22" t="str">
        <f t="shared" si="7"/>
        <v/>
      </c>
      <c r="AF657" s="7">
        <f>IF(ISBLANK(AB657), 0, VLOOKUP(AB657, 'Price Sheet'!$A$2:$B1015, 2, false))</f>
        <v>0</v>
      </c>
      <c r="AG657" s="33" t="str">
        <f t="shared" si="8"/>
        <v/>
      </c>
      <c r="AH657" s="37"/>
      <c r="AI657" s="29"/>
      <c r="AJ657" s="29" t="b">
        <v>0</v>
      </c>
      <c r="AK657" s="22" t="str">
        <f t="shared" si="9"/>
        <v/>
      </c>
      <c r="AL657" s="7">
        <f>IF(ISBLANK(AH657), 0, VLOOKUP(AH657, 'Price Sheet'!$A$2:$B1015, 2, false))</f>
        <v>0</v>
      </c>
      <c r="AM657" s="33" t="str">
        <f t="shared" si="10"/>
        <v/>
      </c>
      <c r="AN657" s="37"/>
      <c r="AO657" s="29"/>
      <c r="AP657" s="29" t="b">
        <v>0</v>
      </c>
      <c r="AQ657" s="22" t="str">
        <f t="shared" si="11"/>
        <v/>
      </c>
      <c r="AR657" s="7">
        <f>IF(ISBLANK(AN657), 0, VLOOKUP(AN657, 'Price Sheet'!$A$2:$B1015, 2, false))</f>
        <v>0</v>
      </c>
      <c r="AS657" s="33" t="str">
        <f t="shared" si="12"/>
        <v/>
      </c>
      <c r="AT657" s="37"/>
      <c r="AU657" s="29"/>
      <c r="AV657" s="29" t="b">
        <v>0</v>
      </c>
      <c r="AW657" s="22" t="str">
        <f t="shared" si="13"/>
        <v/>
      </c>
      <c r="AX657" s="7">
        <f>IF(ISBLANK(AT657), 0, VLOOKUP(AT657, 'Price Sheet'!$A$2:$B1015, 2, false))</f>
        <v>0</v>
      </c>
      <c r="AY657" s="33" t="str">
        <f t="shared" si="14"/>
        <v/>
      </c>
      <c r="AZ657" s="37"/>
      <c r="BA657" s="29"/>
      <c r="BB657" s="29" t="b">
        <v>0</v>
      </c>
      <c r="BC657" s="22" t="str">
        <f t="shared" si="15"/>
        <v/>
      </c>
      <c r="BD657" s="7">
        <f>IF(ISBLANK(AZ657), 0, VLOOKUP(AZ657, 'Price Sheet'!$A$2:$B1015, 2, false))</f>
        <v>0</v>
      </c>
      <c r="BE657" s="33" t="str">
        <f t="shared" si="16"/>
        <v/>
      </c>
      <c r="BF657" s="37"/>
      <c r="BG657" s="29"/>
      <c r="BH657" s="29" t="b">
        <v>0</v>
      </c>
      <c r="BI657" s="22" t="str">
        <f t="shared" si="17"/>
        <v/>
      </c>
      <c r="BJ657" s="7">
        <f>IF(ISBLANK(BF657), 0, VLOOKUP(BF657, 'Price Sheet'!$A$2:$B1015, 2, false))</f>
        <v>0</v>
      </c>
      <c r="BK657" s="33" t="str">
        <f t="shared" si="18"/>
        <v/>
      </c>
      <c r="BL657" s="37"/>
      <c r="BM657" s="29"/>
      <c r="BN657" s="29" t="b">
        <v>0</v>
      </c>
      <c r="BO657" s="22" t="str">
        <f t="shared" si="19"/>
        <v/>
      </c>
      <c r="BP657" s="7">
        <f>IF(ISBLANK(BL657), 0, VLOOKUP(BL657, 'Price Sheet'!$A$2:$B1015, 2, false))</f>
        <v>0</v>
      </c>
      <c r="BQ657" s="33" t="str">
        <f t="shared" si="20"/>
        <v/>
      </c>
    </row>
    <row r="658">
      <c r="B658" s="19"/>
      <c r="C658" s="29"/>
      <c r="D658" s="29"/>
      <c r="E658" s="7" t="str">
        <f>IF(ISBLANK(D658), "", VLOOKUP(D658,'Crafting Tables'!$A$2:$B1015, 2, false))</f>
        <v/>
      </c>
      <c r="F658" s="7" t="str">
        <f>IFERROR(IF(E658 = "None", 1, VLOOKUP(C658,General!$A$5:$L$35, SWITCH(E658, "Basic", 8, "Advanced", 10, "Modern", 12), false)),"")</f>
        <v/>
      </c>
      <c r="G658" s="29"/>
      <c r="H658" s="7">
        <f>IFERROR(VLOOKUP(C658, General!$A$5:$L$35, 6, false) * G658 / 1000, 0)</f>
        <v>0</v>
      </c>
      <c r="I658" s="29"/>
      <c r="J658" s="22" t="str">
        <f>IFERROR(I658*VLOOKUP(D658,'Crafting Tables'!$1:$1000, 4, false)*F658,"")</f>
        <v/>
      </c>
      <c r="K658" s="29" t="b">
        <v>0</v>
      </c>
      <c r="L658" s="37"/>
      <c r="M658" s="29"/>
      <c r="N658" s="21" t="str">
        <f t="shared" si="2"/>
        <v/>
      </c>
      <c r="P658" s="37"/>
      <c r="Q658" s="29"/>
      <c r="R658" s="29" t="b">
        <v>0</v>
      </c>
      <c r="S658" s="22" t="str">
        <f t="shared" si="3"/>
        <v/>
      </c>
      <c r="T658" s="7">
        <f>IF(ISBLANK(P658), 0, VLOOKUP(P658, 'Price Sheet'!$A$2:$B1015, 2, false))</f>
        <v>0</v>
      </c>
      <c r="U658" s="33" t="str">
        <f t="shared" si="4"/>
        <v/>
      </c>
      <c r="V658" s="37"/>
      <c r="W658" s="29"/>
      <c r="X658" s="29" t="b">
        <v>0</v>
      </c>
      <c r="Y658" s="22" t="str">
        <f t="shared" si="5"/>
        <v/>
      </c>
      <c r="Z658" s="7">
        <f>IF(ISBLANK(V658), 0, VLOOKUP(V658, 'Price Sheet'!$A$2:$B1015, 2, false))</f>
        <v>0</v>
      </c>
      <c r="AA658" s="33" t="str">
        <f t="shared" si="6"/>
        <v/>
      </c>
      <c r="AB658" s="37"/>
      <c r="AC658" s="29"/>
      <c r="AD658" s="29" t="b">
        <v>0</v>
      </c>
      <c r="AE658" s="22" t="str">
        <f t="shared" si="7"/>
        <v/>
      </c>
      <c r="AF658" s="7">
        <f>IF(ISBLANK(AB658), 0, VLOOKUP(AB658, 'Price Sheet'!$A$2:$B1015, 2, false))</f>
        <v>0</v>
      </c>
      <c r="AG658" s="33" t="str">
        <f t="shared" si="8"/>
        <v/>
      </c>
      <c r="AH658" s="37"/>
      <c r="AI658" s="29"/>
      <c r="AJ658" s="29" t="b">
        <v>0</v>
      </c>
      <c r="AK658" s="22" t="str">
        <f t="shared" si="9"/>
        <v/>
      </c>
      <c r="AL658" s="7">
        <f>IF(ISBLANK(AH658), 0, VLOOKUP(AH658, 'Price Sheet'!$A$2:$B1015, 2, false))</f>
        <v>0</v>
      </c>
      <c r="AM658" s="33" t="str">
        <f t="shared" si="10"/>
        <v/>
      </c>
      <c r="AN658" s="37"/>
      <c r="AO658" s="29"/>
      <c r="AP658" s="29" t="b">
        <v>0</v>
      </c>
      <c r="AQ658" s="22" t="str">
        <f t="shared" si="11"/>
        <v/>
      </c>
      <c r="AR658" s="7">
        <f>IF(ISBLANK(AN658), 0, VLOOKUP(AN658, 'Price Sheet'!$A$2:$B1015, 2, false))</f>
        <v>0</v>
      </c>
      <c r="AS658" s="33" t="str">
        <f t="shared" si="12"/>
        <v/>
      </c>
      <c r="AT658" s="37"/>
      <c r="AU658" s="29"/>
      <c r="AV658" s="29" t="b">
        <v>0</v>
      </c>
      <c r="AW658" s="22" t="str">
        <f t="shared" si="13"/>
        <v/>
      </c>
      <c r="AX658" s="7">
        <f>IF(ISBLANK(AT658), 0, VLOOKUP(AT658, 'Price Sheet'!$A$2:$B1015, 2, false))</f>
        <v>0</v>
      </c>
      <c r="AY658" s="33" t="str">
        <f t="shared" si="14"/>
        <v/>
      </c>
      <c r="AZ658" s="37"/>
      <c r="BA658" s="29"/>
      <c r="BB658" s="29" t="b">
        <v>0</v>
      </c>
      <c r="BC658" s="22" t="str">
        <f t="shared" si="15"/>
        <v/>
      </c>
      <c r="BD658" s="7">
        <f>IF(ISBLANK(AZ658), 0, VLOOKUP(AZ658, 'Price Sheet'!$A$2:$B1015, 2, false))</f>
        <v>0</v>
      </c>
      <c r="BE658" s="33" t="str">
        <f t="shared" si="16"/>
        <v/>
      </c>
      <c r="BF658" s="37"/>
      <c r="BG658" s="29"/>
      <c r="BH658" s="29" t="b">
        <v>0</v>
      </c>
      <c r="BI658" s="22" t="str">
        <f t="shared" si="17"/>
        <v/>
      </c>
      <c r="BJ658" s="7">
        <f>IF(ISBLANK(BF658), 0, VLOOKUP(BF658, 'Price Sheet'!$A$2:$B1015, 2, false))</f>
        <v>0</v>
      </c>
      <c r="BK658" s="33" t="str">
        <f t="shared" si="18"/>
        <v/>
      </c>
      <c r="BL658" s="37"/>
      <c r="BM658" s="29"/>
      <c r="BN658" s="29" t="b">
        <v>0</v>
      </c>
      <c r="BO658" s="22" t="str">
        <f t="shared" si="19"/>
        <v/>
      </c>
      <c r="BP658" s="7">
        <f>IF(ISBLANK(BL658), 0, VLOOKUP(BL658, 'Price Sheet'!$A$2:$B1015, 2, false))</f>
        <v>0</v>
      </c>
      <c r="BQ658" s="33" t="str">
        <f t="shared" si="20"/>
        <v/>
      </c>
    </row>
    <row r="659">
      <c r="B659" s="19"/>
      <c r="C659" s="29"/>
      <c r="D659" s="29"/>
      <c r="E659" s="7" t="str">
        <f>IF(ISBLANK(D659), "", VLOOKUP(D659,'Crafting Tables'!$A$2:$B1015, 2, false))</f>
        <v/>
      </c>
      <c r="F659" s="7" t="str">
        <f>IFERROR(IF(E659 = "None", 1, VLOOKUP(C659,General!$A$5:$L$35, SWITCH(E659, "Basic", 8, "Advanced", 10, "Modern", 12), false)),"")</f>
        <v/>
      </c>
      <c r="G659" s="29"/>
      <c r="H659" s="7">
        <f>IFERROR(VLOOKUP(C659, General!$A$5:$L$35, 6, false) * G659 / 1000, 0)</f>
        <v>0</v>
      </c>
      <c r="I659" s="29"/>
      <c r="J659" s="22" t="str">
        <f>IFERROR(I659*VLOOKUP(D659,'Crafting Tables'!$1:$1000, 4, false)*F659,"")</f>
        <v/>
      </c>
      <c r="K659" s="29" t="b">
        <v>0</v>
      </c>
      <c r="L659" s="37"/>
      <c r="M659" s="29"/>
      <c r="N659" s="21" t="str">
        <f t="shared" si="2"/>
        <v/>
      </c>
      <c r="P659" s="37"/>
      <c r="Q659" s="29"/>
      <c r="R659" s="29" t="b">
        <v>0</v>
      </c>
      <c r="S659" s="22" t="str">
        <f t="shared" si="3"/>
        <v/>
      </c>
      <c r="T659" s="7">
        <f>IF(ISBLANK(P659), 0, VLOOKUP(P659, 'Price Sheet'!$A$2:$B1015, 2, false))</f>
        <v>0</v>
      </c>
      <c r="U659" s="33" t="str">
        <f t="shared" si="4"/>
        <v/>
      </c>
      <c r="V659" s="37"/>
      <c r="W659" s="29"/>
      <c r="X659" s="29" t="b">
        <v>0</v>
      </c>
      <c r="Y659" s="22" t="str">
        <f t="shared" si="5"/>
        <v/>
      </c>
      <c r="Z659" s="7">
        <f>IF(ISBLANK(V659), 0, VLOOKUP(V659, 'Price Sheet'!$A$2:$B1015, 2, false))</f>
        <v>0</v>
      </c>
      <c r="AA659" s="33" t="str">
        <f t="shared" si="6"/>
        <v/>
      </c>
      <c r="AB659" s="37"/>
      <c r="AC659" s="29"/>
      <c r="AD659" s="29" t="b">
        <v>0</v>
      </c>
      <c r="AE659" s="22" t="str">
        <f t="shared" si="7"/>
        <v/>
      </c>
      <c r="AF659" s="7">
        <f>IF(ISBLANK(AB659), 0, VLOOKUP(AB659, 'Price Sheet'!$A$2:$B1015, 2, false))</f>
        <v>0</v>
      </c>
      <c r="AG659" s="33" t="str">
        <f t="shared" si="8"/>
        <v/>
      </c>
      <c r="AH659" s="37"/>
      <c r="AI659" s="29"/>
      <c r="AJ659" s="29" t="b">
        <v>0</v>
      </c>
      <c r="AK659" s="22" t="str">
        <f t="shared" si="9"/>
        <v/>
      </c>
      <c r="AL659" s="7">
        <f>IF(ISBLANK(AH659), 0, VLOOKUP(AH659, 'Price Sheet'!$A$2:$B1015, 2, false))</f>
        <v>0</v>
      </c>
      <c r="AM659" s="33" t="str">
        <f t="shared" si="10"/>
        <v/>
      </c>
      <c r="AN659" s="37"/>
      <c r="AO659" s="29"/>
      <c r="AP659" s="29" t="b">
        <v>0</v>
      </c>
      <c r="AQ659" s="22" t="str">
        <f t="shared" si="11"/>
        <v/>
      </c>
      <c r="AR659" s="7">
        <f>IF(ISBLANK(AN659), 0, VLOOKUP(AN659, 'Price Sheet'!$A$2:$B1015, 2, false))</f>
        <v>0</v>
      </c>
      <c r="AS659" s="33" t="str">
        <f t="shared" si="12"/>
        <v/>
      </c>
      <c r="AT659" s="37"/>
      <c r="AU659" s="29"/>
      <c r="AV659" s="29" t="b">
        <v>0</v>
      </c>
      <c r="AW659" s="22" t="str">
        <f t="shared" si="13"/>
        <v/>
      </c>
      <c r="AX659" s="7">
        <f>IF(ISBLANK(AT659), 0, VLOOKUP(AT659, 'Price Sheet'!$A$2:$B1015, 2, false))</f>
        <v>0</v>
      </c>
      <c r="AY659" s="33" t="str">
        <f t="shared" si="14"/>
        <v/>
      </c>
      <c r="AZ659" s="37"/>
      <c r="BA659" s="29"/>
      <c r="BB659" s="29" t="b">
        <v>0</v>
      </c>
      <c r="BC659" s="22" t="str">
        <f t="shared" si="15"/>
        <v/>
      </c>
      <c r="BD659" s="7">
        <f>IF(ISBLANK(AZ659), 0, VLOOKUP(AZ659, 'Price Sheet'!$A$2:$B1015, 2, false))</f>
        <v>0</v>
      </c>
      <c r="BE659" s="33" t="str">
        <f t="shared" si="16"/>
        <v/>
      </c>
      <c r="BF659" s="37"/>
      <c r="BG659" s="29"/>
      <c r="BH659" s="29" t="b">
        <v>0</v>
      </c>
      <c r="BI659" s="22" t="str">
        <f t="shared" si="17"/>
        <v/>
      </c>
      <c r="BJ659" s="7">
        <f>IF(ISBLANK(BF659), 0, VLOOKUP(BF659, 'Price Sheet'!$A$2:$B1015, 2, false))</f>
        <v>0</v>
      </c>
      <c r="BK659" s="33" t="str">
        <f t="shared" si="18"/>
        <v/>
      </c>
      <c r="BL659" s="37"/>
      <c r="BM659" s="29"/>
      <c r="BN659" s="29" t="b">
        <v>0</v>
      </c>
      <c r="BO659" s="22" t="str">
        <f t="shared" si="19"/>
        <v/>
      </c>
      <c r="BP659" s="7">
        <f>IF(ISBLANK(BL659), 0, VLOOKUP(BL659, 'Price Sheet'!$A$2:$B1015, 2, false))</f>
        <v>0</v>
      </c>
      <c r="BQ659" s="33" t="str">
        <f t="shared" si="20"/>
        <v/>
      </c>
    </row>
    <row r="660">
      <c r="B660" s="19"/>
      <c r="C660" s="29"/>
      <c r="D660" s="29"/>
      <c r="E660" s="7" t="str">
        <f>IF(ISBLANK(D660), "", VLOOKUP(D660,'Crafting Tables'!$A$2:$B1015, 2, false))</f>
        <v/>
      </c>
      <c r="F660" s="7" t="str">
        <f>IFERROR(IF(E660 = "None", 1, VLOOKUP(C660,General!$A$5:$L$35, SWITCH(E660, "Basic", 8, "Advanced", 10, "Modern", 12), false)),"")</f>
        <v/>
      </c>
      <c r="G660" s="29"/>
      <c r="H660" s="7">
        <f>IFERROR(VLOOKUP(C660, General!$A$5:$L$35, 6, false) * G660 / 1000, 0)</f>
        <v>0</v>
      </c>
      <c r="I660" s="29"/>
      <c r="J660" s="22" t="str">
        <f>IFERROR(I660*VLOOKUP(D660,'Crafting Tables'!$1:$1000, 4, false)*F660,"")</f>
        <v/>
      </c>
      <c r="K660" s="29" t="b">
        <v>0</v>
      </c>
      <c r="L660" s="37"/>
      <c r="M660" s="29"/>
      <c r="N660" s="21" t="str">
        <f t="shared" si="2"/>
        <v/>
      </c>
      <c r="P660" s="37"/>
      <c r="Q660" s="29"/>
      <c r="R660" s="29" t="b">
        <v>0</v>
      </c>
      <c r="S660" s="22" t="str">
        <f t="shared" si="3"/>
        <v/>
      </c>
      <c r="T660" s="7">
        <f>IF(ISBLANK(P660), 0, VLOOKUP(P660, 'Price Sheet'!$A$2:$B1015, 2, false))</f>
        <v>0</v>
      </c>
      <c r="U660" s="33" t="str">
        <f t="shared" si="4"/>
        <v/>
      </c>
      <c r="V660" s="37"/>
      <c r="W660" s="29"/>
      <c r="X660" s="29" t="b">
        <v>0</v>
      </c>
      <c r="Y660" s="22" t="str">
        <f t="shared" si="5"/>
        <v/>
      </c>
      <c r="Z660" s="7">
        <f>IF(ISBLANK(V660), 0, VLOOKUP(V660, 'Price Sheet'!$A$2:$B1015, 2, false))</f>
        <v>0</v>
      </c>
      <c r="AA660" s="33" t="str">
        <f t="shared" si="6"/>
        <v/>
      </c>
      <c r="AB660" s="37"/>
      <c r="AC660" s="29"/>
      <c r="AD660" s="29" t="b">
        <v>0</v>
      </c>
      <c r="AE660" s="22" t="str">
        <f t="shared" si="7"/>
        <v/>
      </c>
      <c r="AF660" s="7">
        <f>IF(ISBLANK(AB660), 0, VLOOKUP(AB660, 'Price Sheet'!$A$2:$B1015, 2, false))</f>
        <v>0</v>
      </c>
      <c r="AG660" s="33" t="str">
        <f t="shared" si="8"/>
        <v/>
      </c>
      <c r="AH660" s="37"/>
      <c r="AI660" s="29"/>
      <c r="AJ660" s="29" t="b">
        <v>0</v>
      </c>
      <c r="AK660" s="22" t="str">
        <f t="shared" si="9"/>
        <v/>
      </c>
      <c r="AL660" s="7">
        <f>IF(ISBLANK(AH660), 0, VLOOKUP(AH660, 'Price Sheet'!$A$2:$B1015, 2, false))</f>
        <v>0</v>
      </c>
      <c r="AM660" s="33" t="str">
        <f t="shared" si="10"/>
        <v/>
      </c>
      <c r="AN660" s="37"/>
      <c r="AO660" s="29"/>
      <c r="AP660" s="29" t="b">
        <v>0</v>
      </c>
      <c r="AQ660" s="22" t="str">
        <f t="shared" si="11"/>
        <v/>
      </c>
      <c r="AR660" s="7">
        <f>IF(ISBLANK(AN660), 0, VLOOKUP(AN660, 'Price Sheet'!$A$2:$B1015, 2, false))</f>
        <v>0</v>
      </c>
      <c r="AS660" s="33" t="str">
        <f t="shared" si="12"/>
        <v/>
      </c>
      <c r="AT660" s="37"/>
      <c r="AU660" s="29"/>
      <c r="AV660" s="29" t="b">
        <v>0</v>
      </c>
      <c r="AW660" s="22" t="str">
        <f t="shared" si="13"/>
        <v/>
      </c>
      <c r="AX660" s="7">
        <f>IF(ISBLANK(AT660), 0, VLOOKUP(AT660, 'Price Sheet'!$A$2:$B1015, 2, false))</f>
        <v>0</v>
      </c>
      <c r="AY660" s="33" t="str">
        <f t="shared" si="14"/>
        <v/>
      </c>
      <c r="AZ660" s="37"/>
      <c r="BA660" s="29"/>
      <c r="BB660" s="29" t="b">
        <v>0</v>
      </c>
      <c r="BC660" s="22" t="str">
        <f t="shared" si="15"/>
        <v/>
      </c>
      <c r="BD660" s="7">
        <f>IF(ISBLANK(AZ660), 0, VLOOKUP(AZ660, 'Price Sheet'!$A$2:$B1015, 2, false))</f>
        <v>0</v>
      </c>
      <c r="BE660" s="33" t="str">
        <f t="shared" si="16"/>
        <v/>
      </c>
      <c r="BF660" s="37"/>
      <c r="BG660" s="29"/>
      <c r="BH660" s="29" t="b">
        <v>0</v>
      </c>
      <c r="BI660" s="22" t="str">
        <f t="shared" si="17"/>
        <v/>
      </c>
      <c r="BJ660" s="7">
        <f>IF(ISBLANK(BF660), 0, VLOOKUP(BF660, 'Price Sheet'!$A$2:$B1015, 2, false))</f>
        <v>0</v>
      </c>
      <c r="BK660" s="33" t="str">
        <f t="shared" si="18"/>
        <v/>
      </c>
      <c r="BL660" s="37"/>
      <c r="BM660" s="29"/>
      <c r="BN660" s="29" t="b">
        <v>0</v>
      </c>
      <c r="BO660" s="22" t="str">
        <f t="shared" si="19"/>
        <v/>
      </c>
      <c r="BP660" s="7">
        <f>IF(ISBLANK(BL660), 0, VLOOKUP(BL660, 'Price Sheet'!$A$2:$B1015, 2, false))</f>
        <v>0</v>
      </c>
      <c r="BQ660" s="33" t="str">
        <f t="shared" si="20"/>
        <v/>
      </c>
    </row>
    <row r="661">
      <c r="B661" s="19"/>
      <c r="C661" s="29"/>
      <c r="D661" s="29"/>
      <c r="E661" s="7" t="str">
        <f>IF(ISBLANK(D661), "", VLOOKUP(D661,'Crafting Tables'!$A$2:$B1015, 2, false))</f>
        <v/>
      </c>
      <c r="F661" s="7" t="str">
        <f>IFERROR(IF(E661 = "None", 1, VLOOKUP(C661,General!$A$5:$L$35, SWITCH(E661, "Basic", 8, "Advanced", 10, "Modern", 12), false)),"")</f>
        <v/>
      </c>
      <c r="G661" s="29"/>
      <c r="H661" s="7">
        <f>IFERROR(VLOOKUP(C661, General!$A$5:$L$35, 6, false) * G661 / 1000, 0)</f>
        <v>0</v>
      </c>
      <c r="I661" s="29"/>
      <c r="J661" s="22" t="str">
        <f>IFERROR(I661*VLOOKUP(D661,'Crafting Tables'!$1:$1000, 4, false)*F661,"")</f>
        <v/>
      </c>
      <c r="K661" s="29" t="b">
        <v>0</v>
      </c>
      <c r="L661" s="37"/>
      <c r="M661" s="29"/>
      <c r="N661" s="21" t="str">
        <f t="shared" si="2"/>
        <v/>
      </c>
      <c r="P661" s="37"/>
      <c r="Q661" s="29"/>
      <c r="R661" s="29" t="b">
        <v>0</v>
      </c>
      <c r="S661" s="22" t="str">
        <f t="shared" si="3"/>
        <v/>
      </c>
      <c r="T661" s="7">
        <f>IF(ISBLANK(P661), 0, VLOOKUP(P661, 'Price Sheet'!$A$2:$B1015, 2, false))</f>
        <v>0</v>
      </c>
      <c r="U661" s="33" t="str">
        <f t="shared" si="4"/>
        <v/>
      </c>
      <c r="V661" s="37"/>
      <c r="W661" s="29"/>
      <c r="X661" s="29" t="b">
        <v>0</v>
      </c>
      <c r="Y661" s="22" t="str">
        <f t="shared" si="5"/>
        <v/>
      </c>
      <c r="Z661" s="7">
        <f>IF(ISBLANK(V661), 0, VLOOKUP(V661, 'Price Sheet'!$A$2:$B1015, 2, false))</f>
        <v>0</v>
      </c>
      <c r="AA661" s="33" t="str">
        <f t="shared" si="6"/>
        <v/>
      </c>
      <c r="AB661" s="37"/>
      <c r="AC661" s="29"/>
      <c r="AD661" s="29" t="b">
        <v>0</v>
      </c>
      <c r="AE661" s="22" t="str">
        <f t="shared" si="7"/>
        <v/>
      </c>
      <c r="AF661" s="7">
        <f>IF(ISBLANK(AB661), 0, VLOOKUP(AB661, 'Price Sheet'!$A$2:$B1015, 2, false))</f>
        <v>0</v>
      </c>
      <c r="AG661" s="33" t="str">
        <f t="shared" si="8"/>
        <v/>
      </c>
      <c r="AH661" s="37"/>
      <c r="AI661" s="29"/>
      <c r="AJ661" s="29" t="b">
        <v>0</v>
      </c>
      <c r="AK661" s="22" t="str">
        <f t="shared" si="9"/>
        <v/>
      </c>
      <c r="AL661" s="7">
        <f>IF(ISBLANK(AH661), 0, VLOOKUP(AH661, 'Price Sheet'!$A$2:$B1015, 2, false))</f>
        <v>0</v>
      </c>
      <c r="AM661" s="33" t="str">
        <f t="shared" si="10"/>
        <v/>
      </c>
      <c r="AN661" s="37"/>
      <c r="AO661" s="29"/>
      <c r="AP661" s="29" t="b">
        <v>0</v>
      </c>
      <c r="AQ661" s="22" t="str">
        <f t="shared" si="11"/>
        <v/>
      </c>
      <c r="AR661" s="7">
        <f>IF(ISBLANK(AN661), 0, VLOOKUP(AN661, 'Price Sheet'!$A$2:$B1015, 2, false))</f>
        <v>0</v>
      </c>
      <c r="AS661" s="33" t="str">
        <f t="shared" si="12"/>
        <v/>
      </c>
      <c r="AT661" s="37"/>
      <c r="AU661" s="29"/>
      <c r="AV661" s="29" t="b">
        <v>0</v>
      </c>
      <c r="AW661" s="22" t="str">
        <f t="shared" si="13"/>
        <v/>
      </c>
      <c r="AX661" s="7">
        <f>IF(ISBLANK(AT661), 0, VLOOKUP(AT661, 'Price Sheet'!$A$2:$B1015, 2, false))</f>
        <v>0</v>
      </c>
      <c r="AY661" s="33" t="str">
        <f t="shared" si="14"/>
        <v/>
      </c>
      <c r="AZ661" s="37"/>
      <c r="BA661" s="29"/>
      <c r="BB661" s="29" t="b">
        <v>0</v>
      </c>
      <c r="BC661" s="22" t="str">
        <f t="shared" si="15"/>
        <v/>
      </c>
      <c r="BD661" s="7">
        <f>IF(ISBLANK(AZ661), 0, VLOOKUP(AZ661, 'Price Sheet'!$A$2:$B1015, 2, false))</f>
        <v>0</v>
      </c>
      <c r="BE661" s="33" t="str">
        <f t="shared" si="16"/>
        <v/>
      </c>
      <c r="BF661" s="37"/>
      <c r="BG661" s="29"/>
      <c r="BH661" s="29" t="b">
        <v>0</v>
      </c>
      <c r="BI661" s="22" t="str">
        <f t="shared" si="17"/>
        <v/>
      </c>
      <c r="BJ661" s="7">
        <f>IF(ISBLANK(BF661), 0, VLOOKUP(BF661, 'Price Sheet'!$A$2:$B1015, 2, false))</f>
        <v>0</v>
      </c>
      <c r="BK661" s="33" t="str">
        <f t="shared" si="18"/>
        <v/>
      </c>
      <c r="BL661" s="37"/>
      <c r="BM661" s="29"/>
      <c r="BN661" s="29" t="b">
        <v>0</v>
      </c>
      <c r="BO661" s="22" t="str">
        <f t="shared" si="19"/>
        <v/>
      </c>
      <c r="BP661" s="7">
        <f>IF(ISBLANK(BL661), 0, VLOOKUP(BL661, 'Price Sheet'!$A$2:$B1015, 2, false))</f>
        <v>0</v>
      </c>
      <c r="BQ661" s="33" t="str">
        <f t="shared" si="20"/>
        <v/>
      </c>
    </row>
    <row r="662">
      <c r="B662" s="19"/>
      <c r="C662" s="29"/>
      <c r="D662" s="29"/>
      <c r="E662" s="7" t="str">
        <f>IF(ISBLANK(D662), "", VLOOKUP(D662,'Crafting Tables'!$A$2:$B1015, 2, false))</f>
        <v/>
      </c>
      <c r="F662" s="7" t="str">
        <f>IFERROR(IF(E662 = "None", 1, VLOOKUP(C662,General!$A$5:$L$35, SWITCH(E662, "Basic", 8, "Advanced", 10, "Modern", 12), false)),"")</f>
        <v/>
      </c>
      <c r="G662" s="29"/>
      <c r="H662" s="7">
        <f>IFERROR(VLOOKUP(C662, General!$A$5:$L$35, 6, false) * G662 / 1000, 0)</f>
        <v>0</v>
      </c>
      <c r="I662" s="29"/>
      <c r="J662" s="22" t="str">
        <f>IFERROR(I662*VLOOKUP(D662,'Crafting Tables'!$1:$1000, 4, false)*F662,"")</f>
        <v/>
      </c>
      <c r="K662" s="29" t="b">
        <v>0</v>
      </c>
      <c r="L662" s="37"/>
      <c r="M662" s="29"/>
      <c r="N662" s="21" t="str">
        <f t="shared" si="2"/>
        <v/>
      </c>
      <c r="P662" s="37"/>
      <c r="Q662" s="29"/>
      <c r="R662" s="29" t="b">
        <v>0</v>
      </c>
      <c r="S662" s="22" t="str">
        <f t="shared" si="3"/>
        <v/>
      </c>
      <c r="T662" s="7">
        <f>IF(ISBLANK(P662), 0, VLOOKUP(P662, 'Price Sheet'!$A$2:$B1015, 2, false))</f>
        <v>0</v>
      </c>
      <c r="U662" s="33" t="str">
        <f t="shared" si="4"/>
        <v/>
      </c>
      <c r="V662" s="37"/>
      <c r="W662" s="29"/>
      <c r="X662" s="29" t="b">
        <v>0</v>
      </c>
      <c r="Y662" s="22" t="str">
        <f t="shared" si="5"/>
        <v/>
      </c>
      <c r="Z662" s="7">
        <f>IF(ISBLANK(V662), 0, VLOOKUP(V662, 'Price Sheet'!$A$2:$B1015, 2, false))</f>
        <v>0</v>
      </c>
      <c r="AA662" s="33" t="str">
        <f t="shared" si="6"/>
        <v/>
      </c>
      <c r="AB662" s="37"/>
      <c r="AC662" s="29"/>
      <c r="AD662" s="29" t="b">
        <v>0</v>
      </c>
      <c r="AE662" s="22" t="str">
        <f t="shared" si="7"/>
        <v/>
      </c>
      <c r="AF662" s="7">
        <f>IF(ISBLANK(AB662), 0, VLOOKUP(AB662, 'Price Sheet'!$A$2:$B1015, 2, false))</f>
        <v>0</v>
      </c>
      <c r="AG662" s="33" t="str">
        <f t="shared" si="8"/>
        <v/>
      </c>
      <c r="AH662" s="37"/>
      <c r="AI662" s="29"/>
      <c r="AJ662" s="29" t="b">
        <v>0</v>
      </c>
      <c r="AK662" s="22" t="str">
        <f t="shared" si="9"/>
        <v/>
      </c>
      <c r="AL662" s="7">
        <f>IF(ISBLANK(AH662), 0, VLOOKUP(AH662, 'Price Sheet'!$A$2:$B1015, 2, false))</f>
        <v>0</v>
      </c>
      <c r="AM662" s="33" t="str">
        <f t="shared" si="10"/>
        <v/>
      </c>
      <c r="AN662" s="37"/>
      <c r="AO662" s="29"/>
      <c r="AP662" s="29" t="b">
        <v>0</v>
      </c>
      <c r="AQ662" s="22" t="str">
        <f t="shared" si="11"/>
        <v/>
      </c>
      <c r="AR662" s="7">
        <f>IF(ISBLANK(AN662), 0, VLOOKUP(AN662, 'Price Sheet'!$A$2:$B1015, 2, false))</f>
        <v>0</v>
      </c>
      <c r="AS662" s="33" t="str">
        <f t="shared" si="12"/>
        <v/>
      </c>
      <c r="AT662" s="37"/>
      <c r="AU662" s="29"/>
      <c r="AV662" s="29" t="b">
        <v>0</v>
      </c>
      <c r="AW662" s="22" t="str">
        <f t="shared" si="13"/>
        <v/>
      </c>
      <c r="AX662" s="7">
        <f>IF(ISBLANK(AT662), 0, VLOOKUP(AT662, 'Price Sheet'!$A$2:$B1015, 2, false))</f>
        <v>0</v>
      </c>
      <c r="AY662" s="33" t="str">
        <f t="shared" si="14"/>
        <v/>
      </c>
      <c r="AZ662" s="37"/>
      <c r="BA662" s="29"/>
      <c r="BB662" s="29" t="b">
        <v>0</v>
      </c>
      <c r="BC662" s="22" t="str">
        <f t="shared" si="15"/>
        <v/>
      </c>
      <c r="BD662" s="7">
        <f>IF(ISBLANK(AZ662), 0, VLOOKUP(AZ662, 'Price Sheet'!$A$2:$B1015, 2, false))</f>
        <v>0</v>
      </c>
      <c r="BE662" s="33" t="str">
        <f t="shared" si="16"/>
        <v/>
      </c>
      <c r="BF662" s="37"/>
      <c r="BG662" s="29"/>
      <c r="BH662" s="29" t="b">
        <v>0</v>
      </c>
      <c r="BI662" s="22" t="str">
        <f t="shared" si="17"/>
        <v/>
      </c>
      <c r="BJ662" s="7">
        <f>IF(ISBLANK(BF662), 0, VLOOKUP(BF662, 'Price Sheet'!$A$2:$B1015, 2, false))</f>
        <v>0</v>
      </c>
      <c r="BK662" s="33" t="str">
        <f t="shared" si="18"/>
        <v/>
      </c>
      <c r="BL662" s="37"/>
      <c r="BM662" s="29"/>
      <c r="BN662" s="29" t="b">
        <v>0</v>
      </c>
      <c r="BO662" s="22" t="str">
        <f t="shared" si="19"/>
        <v/>
      </c>
      <c r="BP662" s="7">
        <f>IF(ISBLANK(BL662), 0, VLOOKUP(BL662, 'Price Sheet'!$A$2:$B1015, 2, false))</f>
        <v>0</v>
      </c>
      <c r="BQ662" s="33" t="str">
        <f t="shared" si="20"/>
        <v/>
      </c>
    </row>
    <row r="663">
      <c r="B663" s="19"/>
      <c r="C663" s="29"/>
      <c r="D663" s="29"/>
      <c r="E663" s="7" t="str">
        <f>IF(ISBLANK(D663), "", VLOOKUP(D663,'Crafting Tables'!$A$2:$B1015, 2, false))</f>
        <v/>
      </c>
      <c r="F663" s="7" t="str">
        <f>IFERROR(IF(E663 = "None", 1, VLOOKUP(C663,General!$A$5:$L$35, SWITCH(E663, "Basic", 8, "Advanced", 10, "Modern", 12), false)),"")</f>
        <v/>
      </c>
      <c r="G663" s="29"/>
      <c r="H663" s="7">
        <f>IFERROR(VLOOKUP(C663, General!$A$5:$L$35, 6, false) * G663 / 1000, 0)</f>
        <v>0</v>
      </c>
      <c r="I663" s="29"/>
      <c r="J663" s="22" t="str">
        <f>IFERROR(I663*VLOOKUP(D663,'Crafting Tables'!$1:$1000, 4, false)*F663,"")</f>
        <v/>
      </c>
      <c r="K663" s="29" t="b">
        <v>0</v>
      </c>
      <c r="L663" s="37"/>
      <c r="M663" s="29"/>
      <c r="N663" s="21" t="str">
        <f t="shared" si="2"/>
        <v/>
      </c>
      <c r="P663" s="37"/>
      <c r="Q663" s="29"/>
      <c r="R663" s="29" t="b">
        <v>0</v>
      </c>
      <c r="S663" s="22" t="str">
        <f t="shared" si="3"/>
        <v/>
      </c>
      <c r="T663" s="7">
        <f>IF(ISBLANK(P663), 0, VLOOKUP(P663, 'Price Sheet'!$A$2:$B1015, 2, false))</f>
        <v>0</v>
      </c>
      <c r="U663" s="33" t="str">
        <f t="shared" si="4"/>
        <v/>
      </c>
      <c r="V663" s="37"/>
      <c r="W663" s="29"/>
      <c r="X663" s="29" t="b">
        <v>0</v>
      </c>
      <c r="Y663" s="22" t="str">
        <f t="shared" si="5"/>
        <v/>
      </c>
      <c r="Z663" s="7">
        <f>IF(ISBLANK(V663), 0, VLOOKUP(V663, 'Price Sheet'!$A$2:$B1015, 2, false))</f>
        <v>0</v>
      </c>
      <c r="AA663" s="33" t="str">
        <f t="shared" si="6"/>
        <v/>
      </c>
      <c r="AB663" s="37"/>
      <c r="AC663" s="29"/>
      <c r="AD663" s="29" t="b">
        <v>0</v>
      </c>
      <c r="AE663" s="22" t="str">
        <f t="shared" si="7"/>
        <v/>
      </c>
      <c r="AF663" s="7">
        <f>IF(ISBLANK(AB663), 0, VLOOKUP(AB663, 'Price Sheet'!$A$2:$B1015, 2, false))</f>
        <v>0</v>
      </c>
      <c r="AG663" s="33" t="str">
        <f t="shared" si="8"/>
        <v/>
      </c>
      <c r="AH663" s="37"/>
      <c r="AI663" s="29"/>
      <c r="AJ663" s="29" t="b">
        <v>0</v>
      </c>
      <c r="AK663" s="22" t="str">
        <f t="shared" si="9"/>
        <v/>
      </c>
      <c r="AL663" s="7">
        <f>IF(ISBLANK(AH663), 0, VLOOKUP(AH663, 'Price Sheet'!$A$2:$B1015, 2, false))</f>
        <v>0</v>
      </c>
      <c r="AM663" s="33" t="str">
        <f t="shared" si="10"/>
        <v/>
      </c>
      <c r="AN663" s="37"/>
      <c r="AO663" s="29"/>
      <c r="AP663" s="29" t="b">
        <v>0</v>
      </c>
      <c r="AQ663" s="22" t="str">
        <f t="shared" si="11"/>
        <v/>
      </c>
      <c r="AR663" s="7">
        <f>IF(ISBLANK(AN663), 0, VLOOKUP(AN663, 'Price Sheet'!$A$2:$B1015, 2, false))</f>
        <v>0</v>
      </c>
      <c r="AS663" s="33" t="str">
        <f t="shared" si="12"/>
        <v/>
      </c>
      <c r="AT663" s="37"/>
      <c r="AU663" s="29"/>
      <c r="AV663" s="29" t="b">
        <v>0</v>
      </c>
      <c r="AW663" s="22" t="str">
        <f t="shared" si="13"/>
        <v/>
      </c>
      <c r="AX663" s="7">
        <f>IF(ISBLANK(AT663), 0, VLOOKUP(AT663, 'Price Sheet'!$A$2:$B1015, 2, false))</f>
        <v>0</v>
      </c>
      <c r="AY663" s="33" t="str">
        <f t="shared" si="14"/>
        <v/>
      </c>
      <c r="AZ663" s="37"/>
      <c r="BA663" s="29"/>
      <c r="BB663" s="29" t="b">
        <v>0</v>
      </c>
      <c r="BC663" s="22" t="str">
        <f t="shared" si="15"/>
        <v/>
      </c>
      <c r="BD663" s="7">
        <f>IF(ISBLANK(AZ663), 0, VLOOKUP(AZ663, 'Price Sheet'!$A$2:$B1015, 2, false))</f>
        <v>0</v>
      </c>
      <c r="BE663" s="33" t="str">
        <f t="shared" si="16"/>
        <v/>
      </c>
      <c r="BF663" s="37"/>
      <c r="BG663" s="29"/>
      <c r="BH663" s="29" t="b">
        <v>0</v>
      </c>
      <c r="BI663" s="22" t="str">
        <f t="shared" si="17"/>
        <v/>
      </c>
      <c r="BJ663" s="7">
        <f>IF(ISBLANK(BF663), 0, VLOOKUP(BF663, 'Price Sheet'!$A$2:$B1015, 2, false))</f>
        <v>0</v>
      </c>
      <c r="BK663" s="33" t="str">
        <f t="shared" si="18"/>
        <v/>
      </c>
      <c r="BL663" s="37"/>
      <c r="BM663" s="29"/>
      <c r="BN663" s="29" t="b">
        <v>0</v>
      </c>
      <c r="BO663" s="22" t="str">
        <f t="shared" si="19"/>
        <v/>
      </c>
      <c r="BP663" s="7">
        <f>IF(ISBLANK(BL663), 0, VLOOKUP(BL663, 'Price Sheet'!$A$2:$B1015, 2, false))</f>
        <v>0</v>
      </c>
      <c r="BQ663" s="33" t="str">
        <f t="shared" si="20"/>
        <v/>
      </c>
    </row>
    <row r="664">
      <c r="B664" s="19"/>
      <c r="C664" s="29"/>
      <c r="D664" s="29"/>
      <c r="E664" s="7" t="str">
        <f>IF(ISBLANK(D664), "", VLOOKUP(D664,'Crafting Tables'!$A$2:$B1015, 2, false))</f>
        <v/>
      </c>
      <c r="F664" s="7" t="str">
        <f>IFERROR(IF(E664 = "None", 1, VLOOKUP(C664,General!$A$5:$L$35, SWITCH(E664, "Basic", 8, "Advanced", 10, "Modern", 12), false)),"")</f>
        <v/>
      </c>
      <c r="G664" s="29"/>
      <c r="H664" s="7">
        <f>IFERROR(VLOOKUP(C664, General!$A$5:$L$35, 6, false) * G664 / 1000, 0)</f>
        <v>0</v>
      </c>
      <c r="I664" s="29"/>
      <c r="J664" s="22" t="str">
        <f>IFERROR(I664*VLOOKUP(D664,'Crafting Tables'!$1:$1000, 4, false)*F664,"")</f>
        <v/>
      </c>
      <c r="K664" s="29" t="b">
        <v>0</v>
      </c>
      <c r="L664" s="37"/>
      <c r="M664" s="29"/>
      <c r="N664" s="21" t="str">
        <f t="shared" si="2"/>
        <v/>
      </c>
      <c r="P664" s="37"/>
      <c r="Q664" s="29"/>
      <c r="R664" s="29" t="b">
        <v>0</v>
      </c>
      <c r="S664" s="22" t="str">
        <f t="shared" si="3"/>
        <v/>
      </c>
      <c r="T664" s="7">
        <f>IF(ISBLANK(P664), 0, VLOOKUP(P664, 'Price Sheet'!$A$2:$B1015, 2, false))</f>
        <v>0</v>
      </c>
      <c r="U664" s="33" t="str">
        <f t="shared" si="4"/>
        <v/>
      </c>
      <c r="V664" s="37"/>
      <c r="W664" s="29"/>
      <c r="X664" s="29" t="b">
        <v>0</v>
      </c>
      <c r="Y664" s="22" t="str">
        <f t="shared" si="5"/>
        <v/>
      </c>
      <c r="Z664" s="7">
        <f>IF(ISBLANK(V664), 0, VLOOKUP(V664, 'Price Sheet'!$A$2:$B1015, 2, false))</f>
        <v>0</v>
      </c>
      <c r="AA664" s="33" t="str">
        <f t="shared" si="6"/>
        <v/>
      </c>
      <c r="AB664" s="37"/>
      <c r="AC664" s="29"/>
      <c r="AD664" s="29" t="b">
        <v>0</v>
      </c>
      <c r="AE664" s="22" t="str">
        <f t="shared" si="7"/>
        <v/>
      </c>
      <c r="AF664" s="7">
        <f>IF(ISBLANK(AB664), 0, VLOOKUP(AB664, 'Price Sheet'!$A$2:$B1015, 2, false))</f>
        <v>0</v>
      </c>
      <c r="AG664" s="33" t="str">
        <f t="shared" si="8"/>
        <v/>
      </c>
      <c r="AH664" s="37"/>
      <c r="AI664" s="29"/>
      <c r="AJ664" s="29" t="b">
        <v>0</v>
      </c>
      <c r="AK664" s="22" t="str">
        <f t="shared" si="9"/>
        <v/>
      </c>
      <c r="AL664" s="7">
        <f>IF(ISBLANK(AH664), 0, VLOOKUP(AH664, 'Price Sheet'!$A$2:$B1015, 2, false))</f>
        <v>0</v>
      </c>
      <c r="AM664" s="33" t="str">
        <f t="shared" si="10"/>
        <v/>
      </c>
      <c r="AN664" s="37"/>
      <c r="AO664" s="29"/>
      <c r="AP664" s="29" t="b">
        <v>0</v>
      </c>
      <c r="AQ664" s="22" t="str">
        <f t="shared" si="11"/>
        <v/>
      </c>
      <c r="AR664" s="7">
        <f>IF(ISBLANK(AN664), 0, VLOOKUP(AN664, 'Price Sheet'!$A$2:$B1015, 2, false))</f>
        <v>0</v>
      </c>
      <c r="AS664" s="33" t="str">
        <f t="shared" si="12"/>
        <v/>
      </c>
      <c r="AT664" s="37"/>
      <c r="AU664" s="29"/>
      <c r="AV664" s="29" t="b">
        <v>0</v>
      </c>
      <c r="AW664" s="22" t="str">
        <f t="shared" si="13"/>
        <v/>
      </c>
      <c r="AX664" s="7">
        <f>IF(ISBLANK(AT664), 0, VLOOKUP(AT664, 'Price Sheet'!$A$2:$B1015, 2, false))</f>
        <v>0</v>
      </c>
      <c r="AY664" s="33" t="str">
        <f t="shared" si="14"/>
        <v/>
      </c>
      <c r="AZ664" s="37"/>
      <c r="BA664" s="29"/>
      <c r="BB664" s="29" t="b">
        <v>0</v>
      </c>
      <c r="BC664" s="22" t="str">
        <f t="shared" si="15"/>
        <v/>
      </c>
      <c r="BD664" s="7">
        <f>IF(ISBLANK(AZ664), 0, VLOOKUP(AZ664, 'Price Sheet'!$A$2:$B1015, 2, false))</f>
        <v>0</v>
      </c>
      <c r="BE664" s="33" t="str">
        <f t="shared" si="16"/>
        <v/>
      </c>
      <c r="BF664" s="37"/>
      <c r="BG664" s="29"/>
      <c r="BH664" s="29" t="b">
        <v>0</v>
      </c>
      <c r="BI664" s="22" t="str">
        <f t="shared" si="17"/>
        <v/>
      </c>
      <c r="BJ664" s="7">
        <f>IF(ISBLANK(BF664), 0, VLOOKUP(BF664, 'Price Sheet'!$A$2:$B1015, 2, false))</f>
        <v>0</v>
      </c>
      <c r="BK664" s="33" t="str">
        <f t="shared" si="18"/>
        <v/>
      </c>
      <c r="BL664" s="37"/>
      <c r="BM664" s="29"/>
      <c r="BN664" s="29" t="b">
        <v>0</v>
      </c>
      <c r="BO664" s="22" t="str">
        <f t="shared" si="19"/>
        <v/>
      </c>
      <c r="BP664" s="7">
        <f>IF(ISBLANK(BL664), 0, VLOOKUP(BL664, 'Price Sheet'!$A$2:$B1015, 2, false))</f>
        <v>0</v>
      </c>
      <c r="BQ664" s="33" t="str">
        <f t="shared" si="20"/>
        <v/>
      </c>
    </row>
    <row r="665">
      <c r="B665" s="19"/>
      <c r="C665" s="29"/>
      <c r="D665" s="29"/>
      <c r="E665" s="7" t="str">
        <f>IF(ISBLANK(D665), "", VLOOKUP(D665,'Crafting Tables'!$A$2:$B1015, 2, false))</f>
        <v/>
      </c>
      <c r="F665" s="7" t="str">
        <f>IFERROR(IF(E665 = "None", 1, VLOOKUP(C665,General!$A$5:$L$35, SWITCH(E665, "Basic", 8, "Advanced", 10, "Modern", 12), false)),"")</f>
        <v/>
      </c>
      <c r="G665" s="29"/>
      <c r="H665" s="7">
        <f>IFERROR(VLOOKUP(C665, General!$A$5:$L$35, 6, false) * G665 / 1000, 0)</f>
        <v>0</v>
      </c>
      <c r="I665" s="29"/>
      <c r="J665" s="22" t="str">
        <f>IFERROR(I665*VLOOKUP(D665,'Crafting Tables'!$1:$1000, 4, false)*F665,"")</f>
        <v/>
      </c>
      <c r="K665" s="29" t="b">
        <v>0</v>
      </c>
      <c r="L665" s="37"/>
      <c r="M665" s="29"/>
      <c r="N665" s="21" t="str">
        <f t="shared" si="2"/>
        <v/>
      </c>
      <c r="P665" s="37"/>
      <c r="Q665" s="29"/>
      <c r="R665" s="29" t="b">
        <v>0</v>
      </c>
      <c r="S665" s="22" t="str">
        <f t="shared" si="3"/>
        <v/>
      </c>
      <c r="T665" s="7">
        <f>IF(ISBLANK(P665), 0, VLOOKUP(P665, 'Price Sheet'!$A$2:$B1015, 2, false))</f>
        <v>0</v>
      </c>
      <c r="U665" s="33" t="str">
        <f t="shared" si="4"/>
        <v/>
      </c>
      <c r="V665" s="37"/>
      <c r="W665" s="29"/>
      <c r="X665" s="29" t="b">
        <v>0</v>
      </c>
      <c r="Y665" s="22" t="str">
        <f t="shared" si="5"/>
        <v/>
      </c>
      <c r="Z665" s="7">
        <f>IF(ISBLANK(V665), 0, VLOOKUP(V665, 'Price Sheet'!$A$2:$B1015, 2, false))</f>
        <v>0</v>
      </c>
      <c r="AA665" s="33" t="str">
        <f t="shared" si="6"/>
        <v/>
      </c>
      <c r="AB665" s="37"/>
      <c r="AC665" s="29"/>
      <c r="AD665" s="29" t="b">
        <v>0</v>
      </c>
      <c r="AE665" s="22" t="str">
        <f t="shared" si="7"/>
        <v/>
      </c>
      <c r="AF665" s="7">
        <f>IF(ISBLANK(AB665), 0, VLOOKUP(AB665, 'Price Sheet'!$A$2:$B1015, 2, false))</f>
        <v>0</v>
      </c>
      <c r="AG665" s="33" t="str">
        <f t="shared" si="8"/>
        <v/>
      </c>
      <c r="AH665" s="37"/>
      <c r="AI665" s="29"/>
      <c r="AJ665" s="29" t="b">
        <v>0</v>
      </c>
      <c r="AK665" s="22" t="str">
        <f t="shared" si="9"/>
        <v/>
      </c>
      <c r="AL665" s="7">
        <f>IF(ISBLANK(AH665), 0, VLOOKUP(AH665, 'Price Sheet'!$A$2:$B1015, 2, false))</f>
        <v>0</v>
      </c>
      <c r="AM665" s="33" t="str">
        <f t="shared" si="10"/>
        <v/>
      </c>
      <c r="AN665" s="37"/>
      <c r="AO665" s="29"/>
      <c r="AP665" s="29" t="b">
        <v>0</v>
      </c>
      <c r="AQ665" s="22" t="str">
        <f t="shared" si="11"/>
        <v/>
      </c>
      <c r="AR665" s="7">
        <f>IF(ISBLANK(AN665), 0, VLOOKUP(AN665, 'Price Sheet'!$A$2:$B1015, 2, false))</f>
        <v>0</v>
      </c>
      <c r="AS665" s="33" t="str">
        <f t="shared" si="12"/>
        <v/>
      </c>
      <c r="AT665" s="37"/>
      <c r="AU665" s="29"/>
      <c r="AV665" s="29" t="b">
        <v>0</v>
      </c>
      <c r="AW665" s="22" t="str">
        <f t="shared" si="13"/>
        <v/>
      </c>
      <c r="AX665" s="7">
        <f>IF(ISBLANK(AT665), 0, VLOOKUP(AT665, 'Price Sheet'!$A$2:$B1015, 2, false))</f>
        <v>0</v>
      </c>
      <c r="AY665" s="33" t="str">
        <f t="shared" si="14"/>
        <v/>
      </c>
      <c r="AZ665" s="37"/>
      <c r="BA665" s="29"/>
      <c r="BB665" s="29" t="b">
        <v>0</v>
      </c>
      <c r="BC665" s="22" t="str">
        <f t="shared" si="15"/>
        <v/>
      </c>
      <c r="BD665" s="7">
        <f>IF(ISBLANK(AZ665), 0, VLOOKUP(AZ665, 'Price Sheet'!$A$2:$B1015, 2, false))</f>
        <v>0</v>
      </c>
      <c r="BE665" s="33" t="str">
        <f t="shared" si="16"/>
        <v/>
      </c>
      <c r="BF665" s="37"/>
      <c r="BG665" s="29"/>
      <c r="BH665" s="29" t="b">
        <v>0</v>
      </c>
      <c r="BI665" s="22" t="str">
        <f t="shared" si="17"/>
        <v/>
      </c>
      <c r="BJ665" s="7">
        <f>IF(ISBLANK(BF665), 0, VLOOKUP(BF665, 'Price Sheet'!$A$2:$B1015, 2, false))</f>
        <v>0</v>
      </c>
      <c r="BK665" s="33" t="str">
        <f t="shared" si="18"/>
        <v/>
      </c>
      <c r="BL665" s="37"/>
      <c r="BM665" s="29"/>
      <c r="BN665" s="29" t="b">
        <v>0</v>
      </c>
      <c r="BO665" s="22" t="str">
        <f t="shared" si="19"/>
        <v/>
      </c>
      <c r="BP665" s="7">
        <f>IF(ISBLANK(BL665), 0, VLOOKUP(BL665, 'Price Sheet'!$A$2:$B1015, 2, false))</f>
        <v>0</v>
      </c>
      <c r="BQ665" s="33" t="str">
        <f t="shared" si="20"/>
        <v/>
      </c>
    </row>
    <row r="666">
      <c r="B666" s="19"/>
      <c r="C666" s="29"/>
      <c r="D666" s="29"/>
      <c r="E666" s="7" t="str">
        <f>IF(ISBLANK(D666), "", VLOOKUP(D666,'Crafting Tables'!$A$2:$B1015, 2, false))</f>
        <v/>
      </c>
      <c r="F666" s="7" t="str">
        <f>IFERROR(IF(E666 = "None", 1, VLOOKUP(C666,General!$A$5:$L$35, SWITCH(E666, "Basic", 8, "Advanced", 10, "Modern", 12), false)),"")</f>
        <v/>
      </c>
      <c r="G666" s="29"/>
      <c r="H666" s="7">
        <f>IFERROR(VLOOKUP(C666, General!$A$5:$L$35, 6, false) * G666 / 1000, 0)</f>
        <v>0</v>
      </c>
      <c r="I666" s="29"/>
      <c r="J666" s="22" t="str">
        <f>IFERROR(I666*VLOOKUP(D666,'Crafting Tables'!$1:$1000, 4, false)*F666,"")</f>
        <v/>
      </c>
      <c r="K666" s="29" t="b">
        <v>0</v>
      </c>
      <c r="L666" s="37"/>
      <c r="M666" s="29"/>
      <c r="N666" s="21" t="str">
        <f t="shared" si="2"/>
        <v/>
      </c>
      <c r="P666" s="37"/>
      <c r="Q666" s="29"/>
      <c r="R666" s="29" t="b">
        <v>0</v>
      </c>
      <c r="S666" s="22" t="str">
        <f t="shared" si="3"/>
        <v/>
      </c>
      <c r="T666" s="7">
        <f>IF(ISBLANK(P666), 0, VLOOKUP(P666, 'Price Sheet'!$A$2:$B1015, 2, false))</f>
        <v>0</v>
      </c>
      <c r="U666" s="33" t="str">
        <f t="shared" si="4"/>
        <v/>
      </c>
      <c r="V666" s="37"/>
      <c r="W666" s="29"/>
      <c r="X666" s="29" t="b">
        <v>0</v>
      </c>
      <c r="Y666" s="22" t="str">
        <f t="shared" si="5"/>
        <v/>
      </c>
      <c r="Z666" s="7">
        <f>IF(ISBLANK(V666), 0, VLOOKUP(V666, 'Price Sheet'!$A$2:$B1015, 2, false))</f>
        <v>0</v>
      </c>
      <c r="AA666" s="33" t="str">
        <f t="shared" si="6"/>
        <v/>
      </c>
      <c r="AB666" s="37"/>
      <c r="AC666" s="29"/>
      <c r="AD666" s="29" t="b">
        <v>0</v>
      </c>
      <c r="AE666" s="22" t="str">
        <f t="shared" si="7"/>
        <v/>
      </c>
      <c r="AF666" s="7">
        <f>IF(ISBLANK(AB666), 0, VLOOKUP(AB666, 'Price Sheet'!$A$2:$B1015, 2, false))</f>
        <v>0</v>
      </c>
      <c r="AG666" s="33" t="str">
        <f t="shared" si="8"/>
        <v/>
      </c>
      <c r="AH666" s="37"/>
      <c r="AI666" s="29"/>
      <c r="AJ666" s="29" t="b">
        <v>0</v>
      </c>
      <c r="AK666" s="22" t="str">
        <f t="shared" si="9"/>
        <v/>
      </c>
      <c r="AL666" s="7">
        <f>IF(ISBLANK(AH666), 0, VLOOKUP(AH666, 'Price Sheet'!$A$2:$B1015, 2, false))</f>
        <v>0</v>
      </c>
      <c r="AM666" s="33" t="str">
        <f t="shared" si="10"/>
        <v/>
      </c>
      <c r="AN666" s="37"/>
      <c r="AO666" s="29"/>
      <c r="AP666" s="29" t="b">
        <v>0</v>
      </c>
      <c r="AQ666" s="22" t="str">
        <f t="shared" si="11"/>
        <v/>
      </c>
      <c r="AR666" s="7">
        <f>IF(ISBLANK(AN666), 0, VLOOKUP(AN666, 'Price Sheet'!$A$2:$B1015, 2, false))</f>
        <v>0</v>
      </c>
      <c r="AS666" s="33" t="str">
        <f t="shared" si="12"/>
        <v/>
      </c>
      <c r="AT666" s="37"/>
      <c r="AU666" s="29"/>
      <c r="AV666" s="29" t="b">
        <v>0</v>
      </c>
      <c r="AW666" s="22" t="str">
        <f t="shared" si="13"/>
        <v/>
      </c>
      <c r="AX666" s="7">
        <f>IF(ISBLANK(AT666), 0, VLOOKUP(AT666, 'Price Sheet'!$A$2:$B1015, 2, false))</f>
        <v>0</v>
      </c>
      <c r="AY666" s="33" t="str">
        <f t="shared" si="14"/>
        <v/>
      </c>
      <c r="AZ666" s="37"/>
      <c r="BA666" s="29"/>
      <c r="BB666" s="29" t="b">
        <v>0</v>
      </c>
      <c r="BC666" s="22" t="str">
        <f t="shared" si="15"/>
        <v/>
      </c>
      <c r="BD666" s="7">
        <f>IF(ISBLANK(AZ666), 0, VLOOKUP(AZ666, 'Price Sheet'!$A$2:$B1015, 2, false))</f>
        <v>0</v>
      </c>
      <c r="BE666" s="33" t="str">
        <f t="shared" si="16"/>
        <v/>
      </c>
      <c r="BF666" s="37"/>
      <c r="BG666" s="29"/>
      <c r="BH666" s="29" t="b">
        <v>0</v>
      </c>
      <c r="BI666" s="22" t="str">
        <f t="shared" si="17"/>
        <v/>
      </c>
      <c r="BJ666" s="7">
        <f>IF(ISBLANK(BF666), 0, VLOOKUP(BF666, 'Price Sheet'!$A$2:$B1015, 2, false))</f>
        <v>0</v>
      </c>
      <c r="BK666" s="33" t="str">
        <f t="shared" si="18"/>
        <v/>
      </c>
      <c r="BL666" s="37"/>
      <c r="BM666" s="29"/>
      <c r="BN666" s="29" t="b">
        <v>0</v>
      </c>
      <c r="BO666" s="22" t="str">
        <f t="shared" si="19"/>
        <v/>
      </c>
      <c r="BP666" s="7">
        <f>IF(ISBLANK(BL666), 0, VLOOKUP(BL666, 'Price Sheet'!$A$2:$B1015, 2, false))</f>
        <v>0</v>
      </c>
      <c r="BQ666" s="33" t="str">
        <f t="shared" si="20"/>
        <v/>
      </c>
    </row>
    <row r="667">
      <c r="B667" s="19"/>
      <c r="C667" s="29"/>
      <c r="D667" s="29"/>
      <c r="E667" s="7" t="str">
        <f>IF(ISBLANK(D667), "", VLOOKUP(D667,'Crafting Tables'!$A$2:$B1015, 2, false))</f>
        <v/>
      </c>
      <c r="F667" s="7" t="str">
        <f>IFERROR(IF(E667 = "None", 1, VLOOKUP(C667,General!$A$5:$L$35, SWITCH(E667, "Basic", 8, "Advanced", 10, "Modern", 12), false)),"")</f>
        <v/>
      </c>
      <c r="G667" s="29"/>
      <c r="H667" s="7">
        <f>IFERROR(VLOOKUP(C667, General!$A$5:$L$35, 6, false) * G667 / 1000, 0)</f>
        <v>0</v>
      </c>
      <c r="I667" s="29"/>
      <c r="J667" s="22" t="str">
        <f>IFERROR(I667*VLOOKUP(D667,'Crafting Tables'!$1:$1000, 4, false)*F667,"")</f>
        <v/>
      </c>
      <c r="K667" s="29" t="b">
        <v>0</v>
      </c>
      <c r="L667" s="37"/>
      <c r="M667" s="29"/>
      <c r="N667" s="21" t="str">
        <f t="shared" si="2"/>
        <v/>
      </c>
      <c r="P667" s="37"/>
      <c r="Q667" s="29"/>
      <c r="R667" s="29" t="b">
        <v>0</v>
      </c>
      <c r="S667" s="22" t="str">
        <f t="shared" si="3"/>
        <v/>
      </c>
      <c r="T667" s="7">
        <f>IF(ISBLANK(P667), 0, VLOOKUP(P667, 'Price Sheet'!$A$2:$B1015, 2, false))</f>
        <v>0</v>
      </c>
      <c r="U667" s="33" t="str">
        <f t="shared" si="4"/>
        <v/>
      </c>
      <c r="V667" s="37"/>
      <c r="W667" s="29"/>
      <c r="X667" s="29" t="b">
        <v>0</v>
      </c>
      <c r="Y667" s="22" t="str">
        <f t="shared" si="5"/>
        <v/>
      </c>
      <c r="Z667" s="7">
        <f>IF(ISBLANK(V667), 0, VLOOKUP(V667, 'Price Sheet'!$A$2:$B1015, 2, false))</f>
        <v>0</v>
      </c>
      <c r="AA667" s="33" t="str">
        <f t="shared" si="6"/>
        <v/>
      </c>
      <c r="AB667" s="37"/>
      <c r="AC667" s="29"/>
      <c r="AD667" s="29" t="b">
        <v>0</v>
      </c>
      <c r="AE667" s="22" t="str">
        <f t="shared" si="7"/>
        <v/>
      </c>
      <c r="AF667" s="7">
        <f>IF(ISBLANK(AB667), 0, VLOOKUP(AB667, 'Price Sheet'!$A$2:$B1015, 2, false))</f>
        <v>0</v>
      </c>
      <c r="AG667" s="33" t="str">
        <f t="shared" si="8"/>
        <v/>
      </c>
      <c r="AH667" s="37"/>
      <c r="AI667" s="29"/>
      <c r="AJ667" s="29" t="b">
        <v>0</v>
      </c>
      <c r="AK667" s="22" t="str">
        <f t="shared" si="9"/>
        <v/>
      </c>
      <c r="AL667" s="7">
        <f>IF(ISBLANK(AH667), 0, VLOOKUP(AH667, 'Price Sheet'!$A$2:$B1015, 2, false))</f>
        <v>0</v>
      </c>
      <c r="AM667" s="33" t="str">
        <f t="shared" si="10"/>
        <v/>
      </c>
      <c r="AN667" s="37"/>
      <c r="AO667" s="29"/>
      <c r="AP667" s="29" t="b">
        <v>0</v>
      </c>
      <c r="AQ667" s="22" t="str">
        <f t="shared" si="11"/>
        <v/>
      </c>
      <c r="AR667" s="7">
        <f>IF(ISBLANK(AN667), 0, VLOOKUP(AN667, 'Price Sheet'!$A$2:$B1015, 2, false))</f>
        <v>0</v>
      </c>
      <c r="AS667" s="33" t="str">
        <f t="shared" si="12"/>
        <v/>
      </c>
      <c r="AT667" s="37"/>
      <c r="AU667" s="29"/>
      <c r="AV667" s="29" t="b">
        <v>0</v>
      </c>
      <c r="AW667" s="22" t="str">
        <f t="shared" si="13"/>
        <v/>
      </c>
      <c r="AX667" s="7">
        <f>IF(ISBLANK(AT667), 0, VLOOKUP(AT667, 'Price Sheet'!$A$2:$B1015, 2, false))</f>
        <v>0</v>
      </c>
      <c r="AY667" s="33" t="str">
        <f t="shared" si="14"/>
        <v/>
      </c>
      <c r="AZ667" s="37"/>
      <c r="BA667" s="29"/>
      <c r="BB667" s="29" t="b">
        <v>0</v>
      </c>
      <c r="BC667" s="22" t="str">
        <f t="shared" si="15"/>
        <v/>
      </c>
      <c r="BD667" s="7">
        <f>IF(ISBLANK(AZ667), 0, VLOOKUP(AZ667, 'Price Sheet'!$A$2:$B1015, 2, false))</f>
        <v>0</v>
      </c>
      <c r="BE667" s="33" t="str">
        <f t="shared" si="16"/>
        <v/>
      </c>
      <c r="BF667" s="37"/>
      <c r="BG667" s="29"/>
      <c r="BH667" s="29" t="b">
        <v>0</v>
      </c>
      <c r="BI667" s="22" t="str">
        <f t="shared" si="17"/>
        <v/>
      </c>
      <c r="BJ667" s="7">
        <f>IF(ISBLANK(BF667), 0, VLOOKUP(BF667, 'Price Sheet'!$A$2:$B1015, 2, false))</f>
        <v>0</v>
      </c>
      <c r="BK667" s="33" t="str">
        <f t="shared" si="18"/>
        <v/>
      </c>
      <c r="BL667" s="37"/>
      <c r="BM667" s="29"/>
      <c r="BN667" s="29" t="b">
        <v>0</v>
      </c>
      <c r="BO667" s="22" t="str">
        <f t="shared" si="19"/>
        <v/>
      </c>
      <c r="BP667" s="7">
        <f>IF(ISBLANK(BL667), 0, VLOOKUP(BL667, 'Price Sheet'!$A$2:$B1015, 2, false))</f>
        <v>0</v>
      </c>
      <c r="BQ667" s="33" t="str">
        <f t="shared" si="20"/>
        <v/>
      </c>
    </row>
    <row r="668">
      <c r="B668" s="19"/>
      <c r="C668" s="29"/>
      <c r="D668" s="29"/>
      <c r="E668" s="7" t="str">
        <f>IF(ISBLANK(D668), "", VLOOKUP(D668,'Crafting Tables'!$A$2:$B1015, 2, false))</f>
        <v/>
      </c>
      <c r="F668" s="7" t="str">
        <f>IFERROR(IF(E668 = "None", 1, VLOOKUP(C668,General!$A$5:$L$35, SWITCH(E668, "Basic", 8, "Advanced", 10, "Modern", 12), false)),"")</f>
        <v/>
      </c>
      <c r="G668" s="29"/>
      <c r="H668" s="7">
        <f>IFERROR(VLOOKUP(C668, General!$A$5:$L$35, 6, false) * G668 / 1000, 0)</f>
        <v>0</v>
      </c>
      <c r="I668" s="29"/>
      <c r="J668" s="22" t="str">
        <f>IFERROR(I668*VLOOKUP(D668,'Crafting Tables'!$1:$1000, 4, false)*F668,"")</f>
        <v/>
      </c>
      <c r="K668" s="29" t="b">
        <v>0</v>
      </c>
      <c r="L668" s="37"/>
      <c r="M668" s="29"/>
      <c r="N668" s="21" t="str">
        <f t="shared" si="2"/>
        <v/>
      </c>
      <c r="P668" s="37"/>
      <c r="Q668" s="29"/>
      <c r="R668" s="29" t="b">
        <v>0</v>
      </c>
      <c r="S668" s="22" t="str">
        <f t="shared" si="3"/>
        <v/>
      </c>
      <c r="T668" s="7">
        <f>IF(ISBLANK(P668), 0, VLOOKUP(P668, 'Price Sheet'!$A$2:$B1015, 2, false))</f>
        <v>0</v>
      </c>
      <c r="U668" s="33" t="str">
        <f t="shared" si="4"/>
        <v/>
      </c>
      <c r="V668" s="37"/>
      <c r="W668" s="29"/>
      <c r="X668" s="29" t="b">
        <v>0</v>
      </c>
      <c r="Y668" s="22" t="str">
        <f t="shared" si="5"/>
        <v/>
      </c>
      <c r="Z668" s="7">
        <f>IF(ISBLANK(V668), 0, VLOOKUP(V668, 'Price Sheet'!$A$2:$B1015, 2, false))</f>
        <v>0</v>
      </c>
      <c r="AA668" s="33" t="str">
        <f t="shared" si="6"/>
        <v/>
      </c>
      <c r="AB668" s="37"/>
      <c r="AC668" s="29"/>
      <c r="AD668" s="29" t="b">
        <v>0</v>
      </c>
      <c r="AE668" s="22" t="str">
        <f t="shared" si="7"/>
        <v/>
      </c>
      <c r="AF668" s="7">
        <f>IF(ISBLANK(AB668), 0, VLOOKUP(AB668, 'Price Sheet'!$A$2:$B1015, 2, false))</f>
        <v>0</v>
      </c>
      <c r="AG668" s="33" t="str">
        <f t="shared" si="8"/>
        <v/>
      </c>
      <c r="AH668" s="37"/>
      <c r="AI668" s="29"/>
      <c r="AJ668" s="29" t="b">
        <v>0</v>
      </c>
      <c r="AK668" s="22" t="str">
        <f t="shared" si="9"/>
        <v/>
      </c>
      <c r="AL668" s="7">
        <f>IF(ISBLANK(AH668), 0, VLOOKUP(AH668, 'Price Sheet'!$A$2:$B1015, 2, false))</f>
        <v>0</v>
      </c>
      <c r="AM668" s="33" t="str">
        <f t="shared" si="10"/>
        <v/>
      </c>
      <c r="AN668" s="37"/>
      <c r="AO668" s="29"/>
      <c r="AP668" s="29" t="b">
        <v>0</v>
      </c>
      <c r="AQ668" s="22" t="str">
        <f t="shared" si="11"/>
        <v/>
      </c>
      <c r="AR668" s="7">
        <f>IF(ISBLANK(AN668), 0, VLOOKUP(AN668, 'Price Sheet'!$A$2:$B1015, 2, false))</f>
        <v>0</v>
      </c>
      <c r="AS668" s="33" t="str">
        <f t="shared" si="12"/>
        <v/>
      </c>
      <c r="AT668" s="37"/>
      <c r="AU668" s="29"/>
      <c r="AV668" s="29" t="b">
        <v>0</v>
      </c>
      <c r="AW668" s="22" t="str">
        <f t="shared" si="13"/>
        <v/>
      </c>
      <c r="AX668" s="7">
        <f>IF(ISBLANK(AT668), 0, VLOOKUP(AT668, 'Price Sheet'!$A$2:$B1015, 2, false))</f>
        <v>0</v>
      </c>
      <c r="AY668" s="33" t="str">
        <f t="shared" si="14"/>
        <v/>
      </c>
      <c r="AZ668" s="37"/>
      <c r="BA668" s="29"/>
      <c r="BB668" s="29" t="b">
        <v>0</v>
      </c>
      <c r="BC668" s="22" t="str">
        <f t="shared" si="15"/>
        <v/>
      </c>
      <c r="BD668" s="7">
        <f>IF(ISBLANK(AZ668), 0, VLOOKUP(AZ668, 'Price Sheet'!$A$2:$B1015, 2, false))</f>
        <v>0</v>
      </c>
      <c r="BE668" s="33" t="str">
        <f t="shared" si="16"/>
        <v/>
      </c>
      <c r="BF668" s="37"/>
      <c r="BG668" s="29"/>
      <c r="BH668" s="29" t="b">
        <v>0</v>
      </c>
      <c r="BI668" s="22" t="str">
        <f t="shared" si="17"/>
        <v/>
      </c>
      <c r="BJ668" s="7">
        <f>IF(ISBLANK(BF668), 0, VLOOKUP(BF668, 'Price Sheet'!$A$2:$B1015, 2, false))</f>
        <v>0</v>
      </c>
      <c r="BK668" s="33" t="str">
        <f t="shared" si="18"/>
        <v/>
      </c>
      <c r="BL668" s="37"/>
      <c r="BM668" s="29"/>
      <c r="BN668" s="29" t="b">
        <v>0</v>
      </c>
      <c r="BO668" s="22" t="str">
        <f t="shared" si="19"/>
        <v/>
      </c>
      <c r="BP668" s="7">
        <f>IF(ISBLANK(BL668), 0, VLOOKUP(BL668, 'Price Sheet'!$A$2:$B1015, 2, false))</f>
        <v>0</v>
      </c>
      <c r="BQ668" s="33" t="str">
        <f t="shared" si="20"/>
        <v/>
      </c>
    </row>
    <row r="669">
      <c r="B669" s="19"/>
      <c r="C669" s="29"/>
      <c r="D669" s="29"/>
      <c r="E669" s="7" t="str">
        <f>IF(ISBLANK(D669), "", VLOOKUP(D669,'Crafting Tables'!$A$2:$B1015, 2, false))</f>
        <v/>
      </c>
      <c r="F669" s="7" t="str">
        <f>IFERROR(IF(E669 = "None", 1, VLOOKUP(C669,General!$A$5:$L$35, SWITCH(E669, "Basic", 8, "Advanced", 10, "Modern", 12), false)),"")</f>
        <v/>
      </c>
      <c r="G669" s="29"/>
      <c r="H669" s="7">
        <f>IFERROR(VLOOKUP(C669, General!$A$5:$L$35, 6, false) * G669 / 1000, 0)</f>
        <v>0</v>
      </c>
      <c r="I669" s="29"/>
      <c r="J669" s="22" t="str">
        <f>IFERROR(I669*VLOOKUP(D669,'Crafting Tables'!$1:$1000, 4, false)*F669,"")</f>
        <v/>
      </c>
      <c r="K669" s="29" t="b">
        <v>0</v>
      </c>
      <c r="L669" s="37"/>
      <c r="M669" s="29"/>
      <c r="N669" s="21" t="str">
        <f t="shared" si="2"/>
        <v/>
      </c>
      <c r="P669" s="37"/>
      <c r="Q669" s="29"/>
      <c r="R669" s="29" t="b">
        <v>0</v>
      </c>
      <c r="S669" s="22" t="str">
        <f t="shared" si="3"/>
        <v/>
      </c>
      <c r="T669" s="7">
        <f>IF(ISBLANK(P669), 0, VLOOKUP(P669, 'Price Sheet'!$A$2:$B1015, 2, false))</f>
        <v>0</v>
      </c>
      <c r="U669" s="33" t="str">
        <f t="shared" si="4"/>
        <v/>
      </c>
      <c r="V669" s="37"/>
      <c r="W669" s="29"/>
      <c r="X669" s="29" t="b">
        <v>0</v>
      </c>
      <c r="Y669" s="22" t="str">
        <f t="shared" si="5"/>
        <v/>
      </c>
      <c r="Z669" s="7">
        <f>IF(ISBLANK(V669), 0, VLOOKUP(V669, 'Price Sheet'!$A$2:$B1015, 2, false))</f>
        <v>0</v>
      </c>
      <c r="AA669" s="33" t="str">
        <f t="shared" si="6"/>
        <v/>
      </c>
      <c r="AB669" s="37"/>
      <c r="AC669" s="29"/>
      <c r="AD669" s="29" t="b">
        <v>0</v>
      </c>
      <c r="AE669" s="22" t="str">
        <f t="shared" si="7"/>
        <v/>
      </c>
      <c r="AF669" s="7">
        <f>IF(ISBLANK(AB669), 0, VLOOKUP(AB669, 'Price Sheet'!$A$2:$B1015, 2, false))</f>
        <v>0</v>
      </c>
      <c r="AG669" s="33" t="str">
        <f t="shared" si="8"/>
        <v/>
      </c>
      <c r="AH669" s="37"/>
      <c r="AI669" s="29"/>
      <c r="AJ669" s="29" t="b">
        <v>0</v>
      </c>
      <c r="AK669" s="22" t="str">
        <f t="shared" si="9"/>
        <v/>
      </c>
      <c r="AL669" s="7">
        <f>IF(ISBLANK(AH669), 0, VLOOKUP(AH669, 'Price Sheet'!$A$2:$B1015, 2, false))</f>
        <v>0</v>
      </c>
      <c r="AM669" s="33" t="str">
        <f t="shared" si="10"/>
        <v/>
      </c>
      <c r="AN669" s="37"/>
      <c r="AO669" s="29"/>
      <c r="AP669" s="29" t="b">
        <v>0</v>
      </c>
      <c r="AQ669" s="22" t="str">
        <f t="shared" si="11"/>
        <v/>
      </c>
      <c r="AR669" s="7">
        <f>IF(ISBLANK(AN669), 0, VLOOKUP(AN669, 'Price Sheet'!$A$2:$B1015, 2, false))</f>
        <v>0</v>
      </c>
      <c r="AS669" s="33" t="str">
        <f t="shared" si="12"/>
        <v/>
      </c>
      <c r="AT669" s="37"/>
      <c r="AU669" s="29"/>
      <c r="AV669" s="29" t="b">
        <v>0</v>
      </c>
      <c r="AW669" s="22" t="str">
        <f t="shared" si="13"/>
        <v/>
      </c>
      <c r="AX669" s="7">
        <f>IF(ISBLANK(AT669), 0, VLOOKUP(AT669, 'Price Sheet'!$A$2:$B1015, 2, false))</f>
        <v>0</v>
      </c>
      <c r="AY669" s="33" t="str">
        <f t="shared" si="14"/>
        <v/>
      </c>
      <c r="AZ669" s="37"/>
      <c r="BA669" s="29"/>
      <c r="BB669" s="29" t="b">
        <v>0</v>
      </c>
      <c r="BC669" s="22" t="str">
        <f t="shared" si="15"/>
        <v/>
      </c>
      <c r="BD669" s="7">
        <f>IF(ISBLANK(AZ669), 0, VLOOKUP(AZ669, 'Price Sheet'!$A$2:$B1015, 2, false))</f>
        <v>0</v>
      </c>
      <c r="BE669" s="33" t="str">
        <f t="shared" si="16"/>
        <v/>
      </c>
      <c r="BF669" s="37"/>
      <c r="BG669" s="29"/>
      <c r="BH669" s="29" t="b">
        <v>0</v>
      </c>
      <c r="BI669" s="22" t="str">
        <f t="shared" si="17"/>
        <v/>
      </c>
      <c r="BJ669" s="7">
        <f>IF(ISBLANK(BF669), 0, VLOOKUP(BF669, 'Price Sheet'!$A$2:$B1015, 2, false))</f>
        <v>0</v>
      </c>
      <c r="BK669" s="33" t="str">
        <f t="shared" si="18"/>
        <v/>
      </c>
      <c r="BL669" s="37"/>
      <c r="BM669" s="29"/>
      <c r="BN669" s="29" t="b">
        <v>0</v>
      </c>
      <c r="BO669" s="22" t="str">
        <f t="shared" si="19"/>
        <v/>
      </c>
      <c r="BP669" s="7">
        <f>IF(ISBLANK(BL669), 0, VLOOKUP(BL669, 'Price Sheet'!$A$2:$B1015, 2, false))</f>
        <v>0</v>
      </c>
      <c r="BQ669" s="33" t="str">
        <f t="shared" si="20"/>
        <v/>
      </c>
    </row>
    <row r="670">
      <c r="B670" s="19"/>
      <c r="C670" s="29"/>
      <c r="D670" s="29"/>
      <c r="E670" s="7" t="str">
        <f>IF(ISBLANK(D670), "", VLOOKUP(D670,'Crafting Tables'!$A$2:$B1015, 2, false))</f>
        <v/>
      </c>
      <c r="F670" s="7" t="str">
        <f>IFERROR(IF(E670 = "None", 1, VLOOKUP(C670,General!$A$5:$L$35, SWITCH(E670, "Basic", 8, "Advanced", 10, "Modern", 12), false)),"")</f>
        <v/>
      </c>
      <c r="G670" s="29"/>
      <c r="H670" s="7">
        <f>IFERROR(VLOOKUP(C670, General!$A$5:$L$35, 6, false) * G670 / 1000, 0)</f>
        <v>0</v>
      </c>
      <c r="I670" s="29"/>
      <c r="J670" s="22" t="str">
        <f>IFERROR(I670*VLOOKUP(D670,'Crafting Tables'!$1:$1000, 4, false)*F670,"")</f>
        <v/>
      </c>
      <c r="K670" s="29" t="b">
        <v>0</v>
      </c>
      <c r="L670" s="37"/>
      <c r="M670" s="29"/>
      <c r="N670" s="21" t="str">
        <f t="shared" si="2"/>
        <v/>
      </c>
      <c r="P670" s="37"/>
      <c r="Q670" s="29"/>
      <c r="R670" s="29" t="b">
        <v>0</v>
      </c>
      <c r="S670" s="22" t="str">
        <f t="shared" si="3"/>
        <v/>
      </c>
      <c r="T670" s="7">
        <f>IF(ISBLANK(P670), 0, VLOOKUP(P670, 'Price Sheet'!$A$2:$B1015, 2, false))</f>
        <v>0</v>
      </c>
      <c r="U670" s="33" t="str">
        <f t="shared" si="4"/>
        <v/>
      </c>
      <c r="V670" s="37"/>
      <c r="W670" s="29"/>
      <c r="X670" s="29" t="b">
        <v>0</v>
      </c>
      <c r="Y670" s="22" t="str">
        <f t="shared" si="5"/>
        <v/>
      </c>
      <c r="Z670" s="7">
        <f>IF(ISBLANK(V670), 0, VLOOKUP(V670, 'Price Sheet'!$A$2:$B1015, 2, false))</f>
        <v>0</v>
      </c>
      <c r="AA670" s="33" t="str">
        <f t="shared" si="6"/>
        <v/>
      </c>
      <c r="AB670" s="37"/>
      <c r="AC670" s="29"/>
      <c r="AD670" s="29" t="b">
        <v>0</v>
      </c>
      <c r="AE670" s="22" t="str">
        <f t="shared" si="7"/>
        <v/>
      </c>
      <c r="AF670" s="7">
        <f>IF(ISBLANK(AB670), 0, VLOOKUP(AB670, 'Price Sheet'!$A$2:$B1015, 2, false))</f>
        <v>0</v>
      </c>
      <c r="AG670" s="33" t="str">
        <f t="shared" si="8"/>
        <v/>
      </c>
      <c r="AH670" s="37"/>
      <c r="AI670" s="29"/>
      <c r="AJ670" s="29" t="b">
        <v>0</v>
      </c>
      <c r="AK670" s="22" t="str">
        <f t="shared" si="9"/>
        <v/>
      </c>
      <c r="AL670" s="7">
        <f>IF(ISBLANK(AH670), 0, VLOOKUP(AH670, 'Price Sheet'!$A$2:$B1015, 2, false))</f>
        <v>0</v>
      </c>
      <c r="AM670" s="33" t="str">
        <f t="shared" si="10"/>
        <v/>
      </c>
      <c r="AN670" s="37"/>
      <c r="AO670" s="29"/>
      <c r="AP670" s="29" t="b">
        <v>0</v>
      </c>
      <c r="AQ670" s="22" t="str">
        <f t="shared" si="11"/>
        <v/>
      </c>
      <c r="AR670" s="7">
        <f>IF(ISBLANK(AN670), 0, VLOOKUP(AN670, 'Price Sheet'!$A$2:$B1015, 2, false))</f>
        <v>0</v>
      </c>
      <c r="AS670" s="33" t="str">
        <f t="shared" si="12"/>
        <v/>
      </c>
      <c r="AT670" s="37"/>
      <c r="AU670" s="29"/>
      <c r="AV670" s="29" t="b">
        <v>0</v>
      </c>
      <c r="AW670" s="22" t="str">
        <f t="shared" si="13"/>
        <v/>
      </c>
      <c r="AX670" s="7">
        <f>IF(ISBLANK(AT670), 0, VLOOKUP(AT670, 'Price Sheet'!$A$2:$B1015, 2, false))</f>
        <v>0</v>
      </c>
      <c r="AY670" s="33" t="str">
        <f t="shared" si="14"/>
        <v/>
      </c>
      <c r="AZ670" s="37"/>
      <c r="BA670" s="29"/>
      <c r="BB670" s="29" t="b">
        <v>0</v>
      </c>
      <c r="BC670" s="22" t="str">
        <f t="shared" si="15"/>
        <v/>
      </c>
      <c r="BD670" s="7">
        <f>IF(ISBLANK(AZ670), 0, VLOOKUP(AZ670, 'Price Sheet'!$A$2:$B1015, 2, false))</f>
        <v>0</v>
      </c>
      <c r="BE670" s="33" t="str">
        <f t="shared" si="16"/>
        <v/>
      </c>
      <c r="BF670" s="37"/>
      <c r="BG670" s="29"/>
      <c r="BH670" s="29" t="b">
        <v>0</v>
      </c>
      <c r="BI670" s="22" t="str">
        <f t="shared" si="17"/>
        <v/>
      </c>
      <c r="BJ670" s="7">
        <f>IF(ISBLANK(BF670), 0, VLOOKUP(BF670, 'Price Sheet'!$A$2:$B1015, 2, false))</f>
        <v>0</v>
      </c>
      <c r="BK670" s="33" t="str">
        <f t="shared" si="18"/>
        <v/>
      </c>
      <c r="BL670" s="37"/>
      <c r="BM670" s="29"/>
      <c r="BN670" s="29" t="b">
        <v>0</v>
      </c>
      <c r="BO670" s="22" t="str">
        <f t="shared" si="19"/>
        <v/>
      </c>
      <c r="BP670" s="7">
        <f>IF(ISBLANK(BL670), 0, VLOOKUP(BL670, 'Price Sheet'!$A$2:$B1015, 2, false))</f>
        <v>0</v>
      </c>
      <c r="BQ670" s="33" t="str">
        <f t="shared" si="20"/>
        <v/>
      </c>
    </row>
    <row r="671">
      <c r="B671" s="19"/>
      <c r="C671" s="29"/>
      <c r="D671" s="29"/>
      <c r="E671" s="7" t="str">
        <f>IF(ISBLANK(D671), "", VLOOKUP(D671,'Crafting Tables'!$A$2:$B1015, 2, false))</f>
        <v/>
      </c>
      <c r="F671" s="7" t="str">
        <f>IFERROR(IF(E671 = "None", 1, VLOOKUP(C671,General!$A$5:$L$35, SWITCH(E671, "Basic", 8, "Advanced", 10, "Modern", 12), false)),"")</f>
        <v/>
      </c>
      <c r="G671" s="29"/>
      <c r="H671" s="7">
        <f>IFERROR(VLOOKUP(C671, General!$A$5:$L$35, 6, false) * G671 / 1000, 0)</f>
        <v>0</v>
      </c>
      <c r="I671" s="29"/>
      <c r="J671" s="22" t="str">
        <f>IFERROR(I671*VLOOKUP(D671,'Crafting Tables'!$1:$1000, 4, false)*F671,"")</f>
        <v/>
      </c>
      <c r="K671" s="29" t="b">
        <v>0</v>
      </c>
      <c r="L671" s="37"/>
      <c r="M671" s="29"/>
      <c r="N671" s="21" t="str">
        <f t="shared" si="2"/>
        <v/>
      </c>
      <c r="P671" s="37"/>
      <c r="Q671" s="29"/>
      <c r="R671" s="29" t="b">
        <v>0</v>
      </c>
      <c r="S671" s="22" t="str">
        <f t="shared" si="3"/>
        <v/>
      </c>
      <c r="T671" s="7">
        <f>IF(ISBLANK(P671), 0, VLOOKUP(P671, 'Price Sheet'!$A$2:$B1015, 2, false))</f>
        <v>0</v>
      </c>
      <c r="U671" s="33" t="str">
        <f t="shared" si="4"/>
        <v/>
      </c>
      <c r="V671" s="37"/>
      <c r="W671" s="29"/>
      <c r="X671" s="29" t="b">
        <v>0</v>
      </c>
      <c r="Y671" s="22" t="str">
        <f t="shared" si="5"/>
        <v/>
      </c>
      <c r="Z671" s="7">
        <f>IF(ISBLANK(V671), 0, VLOOKUP(V671, 'Price Sheet'!$A$2:$B1015, 2, false))</f>
        <v>0</v>
      </c>
      <c r="AA671" s="33" t="str">
        <f t="shared" si="6"/>
        <v/>
      </c>
      <c r="AB671" s="37"/>
      <c r="AC671" s="29"/>
      <c r="AD671" s="29" t="b">
        <v>0</v>
      </c>
      <c r="AE671" s="22" t="str">
        <f t="shared" si="7"/>
        <v/>
      </c>
      <c r="AF671" s="7">
        <f>IF(ISBLANK(AB671), 0, VLOOKUP(AB671, 'Price Sheet'!$A$2:$B1015, 2, false))</f>
        <v>0</v>
      </c>
      <c r="AG671" s="33" t="str">
        <f t="shared" si="8"/>
        <v/>
      </c>
      <c r="AH671" s="37"/>
      <c r="AI671" s="29"/>
      <c r="AJ671" s="29" t="b">
        <v>0</v>
      </c>
      <c r="AK671" s="22" t="str">
        <f t="shared" si="9"/>
        <v/>
      </c>
      <c r="AL671" s="7">
        <f>IF(ISBLANK(AH671), 0, VLOOKUP(AH671, 'Price Sheet'!$A$2:$B1015, 2, false))</f>
        <v>0</v>
      </c>
      <c r="AM671" s="33" t="str">
        <f t="shared" si="10"/>
        <v/>
      </c>
      <c r="AN671" s="37"/>
      <c r="AO671" s="29"/>
      <c r="AP671" s="29" t="b">
        <v>0</v>
      </c>
      <c r="AQ671" s="22" t="str">
        <f t="shared" si="11"/>
        <v/>
      </c>
      <c r="AR671" s="7">
        <f>IF(ISBLANK(AN671), 0, VLOOKUP(AN671, 'Price Sheet'!$A$2:$B1015, 2, false))</f>
        <v>0</v>
      </c>
      <c r="AS671" s="33" t="str">
        <f t="shared" si="12"/>
        <v/>
      </c>
      <c r="AT671" s="37"/>
      <c r="AU671" s="29"/>
      <c r="AV671" s="29" t="b">
        <v>0</v>
      </c>
      <c r="AW671" s="22" t="str">
        <f t="shared" si="13"/>
        <v/>
      </c>
      <c r="AX671" s="7">
        <f>IF(ISBLANK(AT671), 0, VLOOKUP(AT671, 'Price Sheet'!$A$2:$B1015, 2, false))</f>
        <v>0</v>
      </c>
      <c r="AY671" s="33" t="str">
        <f t="shared" si="14"/>
        <v/>
      </c>
      <c r="AZ671" s="37"/>
      <c r="BA671" s="29"/>
      <c r="BB671" s="29" t="b">
        <v>0</v>
      </c>
      <c r="BC671" s="22" t="str">
        <f t="shared" si="15"/>
        <v/>
      </c>
      <c r="BD671" s="7">
        <f>IF(ISBLANK(AZ671), 0, VLOOKUP(AZ671, 'Price Sheet'!$A$2:$B1015, 2, false))</f>
        <v>0</v>
      </c>
      <c r="BE671" s="33" t="str">
        <f t="shared" si="16"/>
        <v/>
      </c>
      <c r="BF671" s="37"/>
      <c r="BG671" s="29"/>
      <c r="BH671" s="29" t="b">
        <v>0</v>
      </c>
      <c r="BI671" s="22" t="str">
        <f t="shared" si="17"/>
        <v/>
      </c>
      <c r="BJ671" s="7">
        <f>IF(ISBLANK(BF671), 0, VLOOKUP(BF671, 'Price Sheet'!$A$2:$B1015, 2, false))</f>
        <v>0</v>
      </c>
      <c r="BK671" s="33" t="str">
        <f t="shared" si="18"/>
        <v/>
      </c>
      <c r="BL671" s="37"/>
      <c r="BM671" s="29"/>
      <c r="BN671" s="29" t="b">
        <v>0</v>
      </c>
      <c r="BO671" s="22" t="str">
        <f t="shared" si="19"/>
        <v/>
      </c>
      <c r="BP671" s="7">
        <f>IF(ISBLANK(BL671), 0, VLOOKUP(BL671, 'Price Sheet'!$A$2:$B1015, 2, false))</f>
        <v>0</v>
      </c>
      <c r="BQ671" s="33" t="str">
        <f t="shared" si="20"/>
        <v/>
      </c>
    </row>
    <row r="672">
      <c r="B672" s="19"/>
      <c r="C672" s="29"/>
      <c r="D672" s="29"/>
      <c r="E672" s="7" t="str">
        <f>IF(ISBLANK(D672), "", VLOOKUP(D672,'Crafting Tables'!$A$2:$B1015, 2, false))</f>
        <v/>
      </c>
      <c r="F672" s="7" t="str">
        <f>IFERROR(IF(E672 = "None", 1, VLOOKUP(C672,General!$A$5:$L$35, SWITCH(E672, "Basic", 8, "Advanced", 10, "Modern", 12), false)),"")</f>
        <v/>
      </c>
      <c r="G672" s="29"/>
      <c r="H672" s="7">
        <f>IFERROR(VLOOKUP(C672, General!$A$5:$L$35, 6, false) * G672 / 1000, 0)</f>
        <v>0</v>
      </c>
      <c r="I672" s="29"/>
      <c r="J672" s="22" t="str">
        <f>IFERROR(I672*VLOOKUP(D672,'Crafting Tables'!$1:$1000, 4, false)*F672,"")</f>
        <v/>
      </c>
      <c r="K672" s="29" t="b">
        <v>0</v>
      </c>
      <c r="L672" s="37"/>
      <c r="M672" s="29"/>
      <c r="N672" s="21" t="str">
        <f t="shared" si="2"/>
        <v/>
      </c>
      <c r="P672" s="37"/>
      <c r="Q672" s="29"/>
      <c r="R672" s="29" t="b">
        <v>0</v>
      </c>
      <c r="S672" s="22" t="str">
        <f t="shared" si="3"/>
        <v/>
      </c>
      <c r="T672" s="7">
        <f>IF(ISBLANK(P672), 0, VLOOKUP(P672, 'Price Sheet'!$A$2:$B1015, 2, false))</f>
        <v>0</v>
      </c>
      <c r="U672" s="33" t="str">
        <f t="shared" si="4"/>
        <v/>
      </c>
      <c r="V672" s="37"/>
      <c r="W672" s="29"/>
      <c r="X672" s="29" t="b">
        <v>0</v>
      </c>
      <c r="Y672" s="22" t="str">
        <f t="shared" si="5"/>
        <v/>
      </c>
      <c r="Z672" s="7">
        <f>IF(ISBLANK(V672), 0, VLOOKUP(V672, 'Price Sheet'!$A$2:$B1015, 2, false))</f>
        <v>0</v>
      </c>
      <c r="AA672" s="33" t="str">
        <f t="shared" si="6"/>
        <v/>
      </c>
      <c r="AB672" s="37"/>
      <c r="AC672" s="29"/>
      <c r="AD672" s="29" t="b">
        <v>0</v>
      </c>
      <c r="AE672" s="22" t="str">
        <f t="shared" si="7"/>
        <v/>
      </c>
      <c r="AF672" s="7">
        <f>IF(ISBLANK(AB672), 0, VLOOKUP(AB672, 'Price Sheet'!$A$2:$B1015, 2, false))</f>
        <v>0</v>
      </c>
      <c r="AG672" s="33" t="str">
        <f t="shared" si="8"/>
        <v/>
      </c>
      <c r="AH672" s="37"/>
      <c r="AI672" s="29"/>
      <c r="AJ672" s="29" t="b">
        <v>0</v>
      </c>
      <c r="AK672" s="22" t="str">
        <f t="shared" si="9"/>
        <v/>
      </c>
      <c r="AL672" s="7">
        <f>IF(ISBLANK(AH672), 0, VLOOKUP(AH672, 'Price Sheet'!$A$2:$B1015, 2, false))</f>
        <v>0</v>
      </c>
      <c r="AM672" s="33" t="str">
        <f t="shared" si="10"/>
        <v/>
      </c>
      <c r="AN672" s="37"/>
      <c r="AO672" s="29"/>
      <c r="AP672" s="29" t="b">
        <v>0</v>
      </c>
      <c r="AQ672" s="22" t="str">
        <f t="shared" si="11"/>
        <v/>
      </c>
      <c r="AR672" s="7">
        <f>IF(ISBLANK(AN672), 0, VLOOKUP(AN672, 'Price Sheet'!$A$2:$B1015, 2, false))</f>
        <v>0</v>
      </c>
      <c r="AS672" s="33" t="str">
        <f t="shared" si="12"/>
        <v/>
      </c>
      <c r="AT672" s="37"/>
      <c r="AU672" s="29"/>
      <c r="AV672" s="29" t="b">
        <v>0</v>
      </c>
      <c r="AW672" s="22" t="str">
        <f t="shared" si="13"/>
        <v/>
      </c>
      <c r="AX672" s="7">
        <f>IF(ISBLANK(AT672), 0, VLOOKUP(AT672, 'Price Sheet'!$A$2:$B1015, 2, false))</f>
        <v>0</v>
      </c>
      <c r="AY672" s="33" t="str">
        <f t="shared" si="14"/>
        <v/>
      </c>
      <c r="AZ672" s="37"/>
      <c r="BA672" s="29"/>
      <c r="BB672" s="29" t="b">
        <v>0</v>
      </c>
      <c r="BC672" s="22" t="str">
        <f t="shared" si="15"/>
        <v/>
      </c>
      <c r="BD672" s="7">
        <f>IF(ISBLANK(AZ672), 0, VLOOKUP(AZ672, 'Price Sheet'!$A$2:$B1015, 2, false))</f>
        <v>0</v>
      </c>
      <c r="BE672" s="33" t="str">
        <f t="shared" si="16"/>
        <v/>
      </c>
      <c r="BF672" s="37"/>
      <c r="BG672" s="29"/>
      <c r="BH672" s="29" t="b">
        <v>0</v>
      </c>
      <c r="BI672" s="22" t="str">
        <f t="shared" si="17"/>
        <v/>
      </c>
      <c r="BJ672" s="7">
        <f>IF(ISBLANK(BF672), 0, VLOOKUP(BF672, 'Price Sheet'!$A$2:$B1015, 2, false))</f>
        <v>0</v>
      </c>
      <c r="BK672" s="33" t="str">
        <f t="shared" si="18"/>
        <v/>
      </c>
      <c r="BL672" s="37"/>
      <c r="BM672" s="29"/>
      <c r="BN672" s="29" t="b">
        <v>0</v>
      </c>
      <c r="BO672" s="22" t="str">
        <f t="shared" si="19"/>
        <v/>
      </c>
      <c r="BP672" s="7">
        <f>IF(ISBLANK(BL672), 0, VLOOKUP(BL672, 'Price Sheet'!$A$2:$B1015, 2, false))</f>
        <v>0</v>
      </c>
      <c r="BQ672" s="33" t="str">
        <f t="shared" si="20"/>
        <v/>
      </c>
    </row>
    <row r="673">
      <c r="B673" s="19"/>
      <c r="C673" s="29"/>
      <c r="D673" s="29"/>
      <c r="E673" s="7" t="str">
        <f>IF(ISBLANK(D673), "", VLOOKUP(D673,'Crafting Tables'!$A$2:$B1015, 2, false))</f>
        <v/>
      </c>
      <c r="F673" s="7" t="str">
        <f>IFERROR(IF(E673 = "None", 1, VLOOKUP(C673,General!$A$5:$L$35, SWITCH(E673, "Basic", 8, "Advanced", 10, "Modern", 12), false)),"")</f>
        <v/>
      </c>
      <c r="G673" s="29"/>
      <c r="H673" s="7">
        <f>IFERROR(VLOOKUP(C673, General!$A$5:$L$35, 6, false) * G673 / 1000, 0)</f>
        <v>0</v>
      </c>
      <c r="I673" s="29"/>
      <c r="J673" s="22" t="str">
        <f>IFERROR(I673*VLOOKUP(D673,'Crafting Tables'!$1:$1000, 4, false)*F673,"")</f>
        <v/>
      </c>
      <c r="K673" s="29" t="b">
        <v>0</v>
      </c>
      <c r="L673" s="37"/>
      <c r="M673" s="29"/>
      <c r="N673" s="21" t="str">
        <f t="shared" si="2"/>
        <v/>
      </c>
      <c r="P673" s="37"/>
      <c r="Q673" s="29"/>
      <c r="R673" s="29" t="b">
        <v>0</v>
      </c>
      <c r="S673" s="22" t="str">
        <f t="shared" si="3"/>
        <v/>
      </c>
      <c r="T673" s="7">
        <f>IF(ISBLANK(P673), 0, VLOOKUP(P673, 'Price Sheet'!$A$2:$B1015, 2, false))</f>
        <v>0</v>
      </c>
      <c r="U673" s="33" t="str">
        <f t="shared" si="4"/>
        <v/>
      </c>
      <c r="V673" s="37"/>
      <c r="W673" s="29"/>
      <c r="X673" s="29" t="b">
        <v>0</v>
      </c>
      <c r="Y673" s="22" t="str">
        <f t="shared" si="5"/>
        <v/>
      </c>
      <c r="Z673" s="7">
        <f>IF(ISBLANK(V673), 0, VLOOKUP(V673, 'Price Sheet'!$A$2:$B1015, 2, false))</f>
        <v>0</v>
      </c>
      <c r="AA673" s="33" t="str">
        <f t="shared" si="6"/>
        <v/>
      </c>
      <c r="AB673" s="37"/>
      <c r="AC673" s="29"/>
      <c r="AD673" s="29" t="b">
        <v>0</v>
      </c>
      <c r="AE673" s="22" t="str">
        <f t="shared" si="7"/>
        <v/>
      </c>
      <c r="AF673" s="7">
        <f>IF(ISBLANK(AB673), 0, VLOOKUP(AB673, 'Price Sheet'!$A$2:$B1015, 2, false))</f>
        <v>0</v>
      </c>
      <c r="AG673" s="33" t="str">
        <f t="shared" si="8"/>
        <v/>
      </c>
      <c r="AH673" s="37"/>
      <c r="AI673" s="29"/>
      <c r="AJ673" s="29" t="b">
        <v>0</v>
      </c>
      <c r="AK673" s="22" t="str">
        <f t="shared" si="9"/>
        <v/>
      </c>
      <c r="AL673" s="7">
        <f>IF(ISBLANK(AH673), 0, VLOOKUP(AH673, 'Price Sheet'!$A$2:$B1015, 2, false))</f>
        <v>0</v>
      </c>
      <c r="AM673" s="33" t="str">
        <f t="shared" si="10"/>
        <v/>
      </c>
      <c r="AN673" s="37"/>
      <c r="AO673" s="29"/>
      <c r="AP673" s="29" t="b">
        <v>0</v>
      </c>
      <c r="AQ673" s="22" t="str">
        <f t="shared" si="11"/>
        <v/>
      </c>
      <c r="AR673" s="7">
        <f>IF(ISBLANK(AN673), 0, VLOOKUP(AN673, 'Price Sheet'!$A$2:$B1015, 2, false))</f>
        <v>0</v>
      </c>
      <c r="AS673" s="33" t="str">
        <f t="shared" si="12"/>
        <v/>
      </c>
      <c r="AT673" s="37"/>
      <c r="AU673" s="29"/>
      <c r="AV673" s="29" t="b">
        <v>0</v>
      </c>
      <c r="AW673" s="22" t="str">
        <f t="shared" si="13"/>
        <v/>
      </c>
      <c r="AX673" s="7">
        <f>IF(ISBLANK(AT673), 0, VLOOKUP(AT673, 'Price Sheet'!$A$2:$B1015, 2, false))</f>
        <v>0</v>
      </c>
      <c r="AY673" s="33" t="str">
        <f t="shared" si="14"/>
        <v/>
      </c>
      <c r="AZ673" s="37"/>
      <c r="BA673" s="29"/>
      <c r="BB673" s="29" t="b">
        <v>0</v>
      </c>
      <c r="BC673" s="22" t="str">
        <f t="shared" si="15"/>
        <v/>
      </c>
      <c r="BD673" s="7">
        <f>IF(ISBLANK(AZ673), 0, VLOOKUP(AZ673, 'Price Sheet'!$A$2:$B1015, 2, false))</f>
        <v>0</v>
      </c>
      <c r="BE673" s="33" t="str">
        <f t="shared" si="16"/>
        <v/>
      </c>
      <c r="BF673" s="37"/>
      <c r="BG673" s="29"/>
      <c r="BH673" s="29" t="b">
        <v>0</v>
      </c>
      <c r="BI673" s="22" t="str">
        <f t="shared" si="17"/>
        <v/>
      </c>
      <c r="BJ673" s="7">
        <f>IF(ISBLANK(BF673), 0, VLOOKUP(BF673, 'Price Sheet'!$A$2:$B1015, 2, false))</f>
        <v>0</v>
      </c>
      <c r="BK673" s="33" t="str">
        <f t="shared" si="18"/>
        <v/>
      </c>
      <c r="BL673" s="37"/>
      <c r="BM673" s="29"/>
      <c r="BN673" s="29" t="b">
        <v>0</v>
      </c>
      <c r="BO673" s="22" t="str">
        <f t="shared" si="19"/>
        <v/>
      </c>
      <c r="BP673" s="7">
        <f>IF(ISBLANK(BL673), 0, VLOOKUP(BL673, 'Price Sheet'!$A$2:$B1015, 2, false))</f>
        <v>0</v>
      </c>
      <c r="BQ673" s="33" t="str">
        <f t="shared" si="20"/>
        <v/>
      </c>
    </row>
    <row r="674">
      <c r="B674" s="19"/>
      <c r="C674" s="29"/>
      <c r="D674" s="29"/>
      <c r="E674" s="7" t="str">
        <f>IF(ISBLANK(D674), "", VLOOKUP(D674,'Crafting Tables'!$A$2:$B1015, 2, false))</f>
        <v/>
      </c>
      <c r="F674" s="7" t="str">
        <f>IFERROR(IF(E674 = "None", 1, VLOOKUP(C674,General!$A$5:$L$35, SWITCH(E674, "Basic", 8, "Advanced", 10, "Modern", 12), false)),"")</f>
        <v/>
      </c>
      <c r="G674" s="29"/>
      <c r="H674" s="7">
        <f>IFERROR(VLOOKUP(C674, General!$A$5:$L$35, 6, false) * G674 / 1000, 0)</f>
        <v>0</v>
      </c>
      <c r="I674" s="29"/>
      <c r="J674" s="22" t="str">
        <f>IFERROR(I674*VLOOKUP(D674,'Crafting Tables'!$1:$1000, 4, false)*F674,"")</f>
        <v/>
      </c>
      <c r="K674" s="29" t="b">
        <v>0</v>
      </c>
      <c r="L674" s="37"/>
      <c r="M674" s="29"/>
      <c r="N674" s="21" t="str">
        <f t="shared" si="2"/>
        <v/>
      </c>
      <c r="P674" s="37"/>
      <c r="Q674" s="29"/>
      <c r="R674" s="29" t="b">
        <v>0</v>
      </c>
      <c r="S674" s="22" t="str">
        <f t="shared" si="3"/>
        <v/>
      </c>
      <c r="T674" s="7">
        <f>IF(ISBLANK(P674), 0, VLOOKUP(P674, 'Price Sheet'!$A$2:$B1015, 2, false))</f>
        <v>0</v>
      </c>
      <c r="U674" s="33" t="str">
        <f t="shared" si="4"/>
        <v/>
      </c>
      <c r="V674" s="37"/>
      <c r="W674" s="29"/>
      <c r="X674" s="29" t="b">
        <v>0</v>
      </c>
      <c r="Y674" s="22" t="str">
        <f t="shared" si="5"/>
        <v/>
      </c>
      <c r="Z674" s="7">
        <f>IF(ISBLANK(V674), 0, VLOOKUP(V674, 'Price Sheet'!$A$2:$B1015, 2, false))</f>
        <v>0</v>
      </c>
      <c r="AA674" s="33" t="str">
        <f t="shared" si="6"/>
        <v/>
      </c>
      <c r="AB674" s="37"/>
      <c r="AC674" s="29"/>
      <c r="AD674" s="29" t="b">
        <v>0</v>
      </c>
      <c r="AE674" s="22" t="str">
        <f t="shared" si="7"/>
        <v/>
      </c>
      <c r="AF674" s="7">
        <f>IF(ISBLANK(AB674), 0, VLOOKUP(AB674, 'Price Sheet'!$A$2:$B1015, 2, false))</f>
        <v>0</v>
      </c>
      <c r="AG674" s="33" t="str">
        <f t="shared" si="8"/>
        <v/>
      </c>
      <c r="AH674" s="37"/>
      <c r="AI674" s="29"/>
      <c r="AJ674" s="29" t="b">
        <v>0</v>
      </c>
      <c r="AK674" s="22" t="str">
        <f t="shared" si="9"/>
        <v/>
      </c>
      <c r="AL674" s="7">
        <f>IF(ISBLANK(AH674), 0, VLOOKUP(AH674, 'Price Sheet'!$A$2:$B1015, 2, false))</f>
        <v>0</v>
      </c>
      <c r="AM674" s="33" t="str">
        <f t="shared" si="10"/>
        <v/>
      </c>
      <c r="AN674" s="37"/>
      <c r="AO674" s="29"/>
      <c r="AP674" s="29" t="b">
        <v>0</v>
      </c>
      <c r="AQ674" s="22" t="str">
        <f t="shared" si="11"/>
        <v/>
      </c>
      <c r="AR674" s="7">
        <f>IF(ISBLANK(AN674), 0, VLOOKUP(AN674, 'Price Sheet'!$A$2:$B1015, 2, false))</f>
        <v>0</v>
      </c>
      <c r="AS674" s="33" t="str">
        <f t="shared" si="12"/>
        <v/>
      </c>
      <c r="AT674" s="37"/>
      <c r="AU674" s="29"/>
      <c r="AV674" s="29" t="b">
        <v>0</v>
      </c>
      <c r="AW674" s="22" t="str">
        <f t="shared" si="13"/>
        <v/>
      </c>
      <c r="AX674" s="7">
        <f>IF(ISBLANK(AT674), 0, VLOOKUP(AT674, 'Price Sheet'!$A$2:$B1015, 2, false))</f>
        <v>0</v>
      </c>
      <c r="AY674" s="33" t="str">
        <f t="shared" si="14"/>
        <v/>
      </c>
      <c r="AZ674" s="37"/>
      <c r="BA674" s="29"/>
      <c r="BB674" s="29" t="b">
        <v>0</v>
      </c>
      <c r="BC674" s="22" t="str">
        <f t="shared" si="15"/>
        <v/>
      </c>
      <c r="BD674" s="7">
        <f>IF(ISBLANK(AZ674), 0, VLOOKUP(AZ674, 'Price Sheet'!$A$2:$B1015, 2, false))</f>
        <v>0</v>
      </c>
      <c r="BE674" s="33" t="str">
        <f t="shared" si="16"/>
        <v/>
      </c>
      <c r="BF674" s="37"/>
      <c r="BG674" s="29"/>
      <c r="BH674" s="29" t="b">
        <v>0</v>
      </c>
      <c r="BI674" s="22" t="str">
        <f t="shared" si="17"/>
        <v/>
      </c>
      <c r="BJ674" s="7">
        <f>IF(ISBLANK(BF674), 0, VLOOKUP(BF674, 'Price Sheet'!$A$2:$B1015, 2, false))</f>
        <v>0</v>
      </c>
      <c r="BK674" s="33" t="str">
        <f t="shared" si="18"/>
        <v/>
      </c>
      <c r="BL674" s="37"/>
      <c r="BM674" s="29"/>
      <c r="BN674" s="29" t="b">
        <v>0</v>
      </c>
      <c r="BO674" s="22" t="str">
        <f t="shared" si="19"/>
        <v/>
      </c>
      <c r="BP674" s="7">
        <f>IF(ISBLANK(BL674), 0, VLOOKUP(BL674, 'Price Sheet'!$A$2:$B1015, 2, false))</f>
        <v>0</v>
      </c>
      <c r="BQ674" s="33" t="str">
        <f t="shared" si="20"/>
        <v/>
      </c>
    </row>
    <row r="675">
      <c r="B675" s="19"/>
      <c r="C675" s="29"/>
      <c r="D675" s="29"/>
      <c r="E675" s="7" t="str">
        <f>IF(ISBLANK(D675), "", VLOOKUP(D675,'Crafting Tables'!$A$2:$B1015, 2, false))</f>
        <v/>
      </c>
      <c r="F675" s="7" t="str">
        <f>IFERROR(IF(E675 = "None", 1, VLOOKUP(C675,General!$A$5:$L$35, SWITCH(E675, "Basic", 8, "Advanced", 10, "Modern", 12), false)),"")</f>
        <v/>
      </c>
      <c r="G675" s="29"/>
      <c r="H675" s="7">
        <f>IFERROR(VLOOKUP(C675, General!$A$5:$L$35, 6, false) * G675 / 1000, 0)</f>
        <v>0</v>
      </c>
      <c r="I675" s="29"/>
      <c r="J675" s="22" t="str">
        <f>IFERROR(I675*VLOOKUP(D675,'Crafting Tables'!$1:$1000, 4, false)*F675,"")</f>
        <v/>
      </c>
      <c r="K675" s="29" t="b">
        <v>0</v>
      </c>
      <c r="L675" s="37"/>
      <c r="M675" s="29"/>
      <c r="N675" s="21" t="str">
        <f t="shared" si="2"/>
        <v/>
      </c>
      <c r="P675" s="37"/>
      <c r="Q675" s="29"/>
      <c r="R675" s="29" t="b">
        <v>0</v>
      </c>
      <c r="S675" s="22" t="str">
        <f t="shared" si="3"/>
        <v/>
      </c>
      <c r="T675" s="7">
        <f>IF(ISBLANK(P675), 0, VLOOKUP(P675, 'Price Sheet'!$A$2:$B1015, 2, false))</f>
        <v>0</v>
      </c>
      <c r="U675" s="33" t="str">
        <f t="shared" si="4"/>
        <v/>
      </c>
      <c r="V675" s="37"/>
      <c r="W675" s="29"/>
      <c r="X675" s="29" t="b">
        <v>0</v>
      </c>
      <c r="Y675" s="22" t="str">
        <f t="shared" si="5"/>
        <v/>
      </c>
      <c r="Z675" s="7">
        <f>IF(ISBLANK(V675), 0, VLOOKUP(V675, 'Price Sheet'!$A$2:$B1015, 2, false))</f>
        <v>0</v>
      </c>
      <c r="AA675" s="33" t="str">
        <f t="shared" si="6"/>
        <v/>
      </c>
      <c r="AB675" s="37"/>
      <c r="AC675" s="29"/>
      <c r="AD675" s="29" t="b">
        <v>0</v>
      </c>
      <c r="AE675" s="22" t="str">
        <f t="shared" si="7"/>
        <v/>
      </c>
      <c r="AF675" s="7">
        <f>IF(ISBLANK(AB675), 0, VLOOKUP(AB675, 'Price Sheet'!$A$2:$B1015, 2, false))</f>
        <v>0</v>
      </c>
      <c r="AG675" s="33" t="str">
        <f t="shared" si="8"/>
        <v/>
      </c>
      <c r="AH675" s="37"/>
      <c r="AI675" s="29"/>
      <c r="AJ675" s="29" t="b">
        <v>0</v>
      </c>
      <c r="AK675" s="22" t="str">
        <f t="shared" si="9"/>
        <v/>
      </c>
      <c r="AL675" s="7">
        <f>IF(ISBLANK(AH675), 0, VLOOKUP(AH675, 'Price Sheet'!$A$2:$B1015, 2, false))</f>
        <v>0</v>
      </c>
      <c r="AM675" s="33" t="str">
        <f t="shared" si="10"/>
        <v/>
      </c>
      <c r="AN675" s="37"/>
      <c r="AO675" s="29"/>
      <c r="AP675" s="29" t="b">
        <v>0</v>
      </c>
      <c r="AQ675" s="22" t="str">
        <f t="shared" si="11"/>
        <v/>
      </c>
      <c r="AR675" s="7">
        <f>IF(ISBLANK(AN675), 0, VLOOKUP(AN675, 'Price Sheet'!$A$2:$B1015, 2, false))</f>
        <v>0</v>
      </c>
      <c r="AS675" s="33" t="str">
        <f t="shared" si="12"/>
        <v/>
      </c>
      <c r="AT675" s="37"/>
      <c r="AU675" s="29"/>
      <c r="AV675" s="29" t="b">
        <v>0</v>
      </c>
      <c r="AW675" s="22" t="str">
        <f t="shared" si="13"/>
        <v/>
      </c>
      <c r="AX675" s="7">
        <f>IF(ISBLANK(AT675), 0, VLOOKUP(AT675, 'Price Sheet'!$A$2:$B1015, 2, false))</f>
        <v>0</v>
      </c>
      <c r="AY675" s="33" t="str">
        <f t="shared" si="14"/>
        <v/>
      </c>
      <c r="AZ675" s="37"/>
      <c r="BA675" s="29"/>
      <c r="BB675" s="29" t="b">
        <v>0</v>
      </c>
      <c r="BC675" s="22" t="str">
        <f t="shared" si="15"/>
        <v/>
      </c>
      <c r="BD675" s="7">
        <f>IF(ISBLANK(AZ675), 0, VLOOKUP(AZ675, 'Price Sheet'!$A$2:$B1015, 2, false))</f>
        <v>0</v>
      </c>
      <c r="BE675" s="33" t="str">
        <f t="shared" si="16"/>
        <v/>
      </c>
      <c r="BF675" s="37"/>
      <c r="BG675" s="29"/>
      <c r="BH675" s="29" t="b">
        <v>0</v>
      </c>
      <c r="BI675" s="22" t="str">
        <f t="shared" si="17"/>
        <v/>
      </c>
      <c r="BJ675" s="7">
        <f>IF(ISBLANK(BF675), 0, VLOOKUP(BF675, 'Price Sheet'!$A$2:$B1015, 2, false))</f>
        <v>0</v>
      </c>
      <c r="BK675" s="33" t="str">
        <f t="shared" si="18"/>
        <v/>
      </c>
      <c r="BL675" s="37"/>
      <c r="BM675" s="29"/>
      <c r="BN675" s="29" t="b">
        <v>0</v>
      </c>
      <c r="BO675" s="22" t="str">
        <f t="shared" si="19"/>
        <v/>
      </c>
      <c r="BP675" s="7">
        <f>IF(ISBLANK(BL675), 0, VLOOKUP(BL675, 'Price Sheet'!$A$2:$B1015, 2, false))</f>
        <v>0</v>
      </c>
      <c r="BQ675" s="33" t="str">
        <f t="shared" si="20"/>
        <v/>
      </c>
    </row>
    <row r="676">
      <c r="B676" s="19"/>
      <c r="C676" s="29"/>
      <c r="D676" s="29"/>
      <c r="E676" s="7" t="str">
        <f>IF(ISBLANK(D676), "", VLOOKUP(D676,'Crafting Tables'!$A$2:$B1015, 2, false))</f>
        <v/>
      </c>
      <c r="F676" s="7" t="str">
        <f>IFERROR(IF(E676 = "None", 1, VLOOKUP(C676,General!$A$5:$L$35, SWITCH(E676, "Basic", 8, "Advanced", 10, "Modern", 12), false)),"")</f>
        <v/>
      </c>
      <c r="G676" s="29"/>
      <c r="H676" s="7">
        <f>IFERROR(VLOOKUP(C676, General!$A$5:$L$35, 6, false) * G676 / 1000, 0)</f>
        <v>0</v>
      </c>
      <c r="I676" s="29"/>
      <c r="J676" s="22" t="str">
        <f>IFERROR(I676*VLOOKUP(D676,'Crafting Tables'!$1:$1000, 4, false)*F676,"")</f>
        <v/>
      </c>
      <c r="K676" s="29" t="b">
        <v>0</v>
      </c>
      <c r="L676" s="37"/>
      <c r="M676" s="29"/>
      <c r="N676" s="21" t="str">
        <f t="shared" si="2"/>
        <v/>
      </c>
      <c r="P676" s="37"/>
      <c r="Q676" s="29"/>
      <c r="R676" s="29" t="b">
        <v>0</v>
      </c>
      <c r="S676" s="22" t="str">
        <f t="shared" si="3"/>
        <v/>
      </c>
      <c r="T676" s="7">
        <f>IF(ISBLANK(P676), 0, VLOOKUP(P676, 'Price Sheet'!$A$2:$B1015, 2, false))</f>
        <v>0</v>
      </c>
      <c r="U676" s="33" t="str">
        <f t="shared" si="4"/>
        <v/>
      </c>
      <c r="V676" s="37"/>
      <c r="W676" s="29"/>
      <c r="X676" s="29" t="b">
        <v>0</v>
      </c>
      <c r="Y676" s="22" t="str">
        <f t="shared" si="5"/>
        <v/>
      </c>
      <c r="Z676" s="7">
        <f>IF(ISBLANK(V676), 0, VLOOKUP(V676, 'Price Sheet'!$A$2:$B1015, 2, false))</f>
        <v>0</v>
      </c>
      <c r="AA676" s="33" t="str">
        <f t="shared" si="6"/>
        <v/>
      </c>
      <c r="AB676" s="37"/>
      <c r="AC676" s="29"/>
      <c r="AD676" s="29" t="b">
        <v>0</v>
      </c>
      <c r="AE676" s="22" t="str">
        <f t="shared" si="7"/>
        <v/>
      </c>
      <c r="AF676" s="7">
        <f>IF(ISBLANK(AB676), 0, VLOOKUP(AB676, 'Price Sheet'!$A$2:$B1015, 2, false))</f>
        <v>0</v>
      </c>
      <c r="AG676" s="33" t="str">
        <f t="shared" si="8"/>
        <v/>
      </c>
      <c r="AH676" s="37"/>
      <c r="AI676" s="29"/>
      <c r="AJ676" s="29" t="b">
        <v>0</v>
      </c>
      <c r="AK676" s="22" t="str">
        <f t="shared" si="9"/>
        <v/>
      </c>
      <c r="AL676" s="7">
        <f>IF(ISBLANK(AH676), 0, VLOOKUP(AH676, 'Price Sheet'!$A$2:$B1015, 2, false))</f>
        <v>0</v>
      </c>
      <c r="AM676" s="33" t="str">
        <f t="shared" si="10"/>
        <v/>
      </c>
      <c r="AN676" s="37"/>
      <c r="AO676" s="29"/>
      <c r="AP676" s="29" t="b">
        <v>0</v>
      </c>
      <c r="AQ676" s="22" t="str">
        <f t="shared" si="11"/>
        <v/>
      </c>
      <c r="AR676" s="7">
        <f>IF(ISBLANK(AN676), 0, VLOOKUP(AN676, 'Price Sheet'!$A$2:$B1015, 2, false))</f>
        <v>0</v>
      </c>
      <c r="AS676" s="33" t="str">
        <f t="shared" si="12"/>
        <v/>
      </c>
      <c r="AT676" s="37"/>
      <c r="AU676" s="29"/>
      <c r="AV676" s="29" t="b">
        <v>0</v>
      </c>
      <c r="AW676" s="22" t="str">
        <f t="shared" si="13"/>
        <v/>
      </c>
      <c r="AX676" s="7">
        <f>IF(ISBLANK(AT676), 0, VLOOKUP(AT676, 'Price Sheet'!$A$2:$B1015, 2, false))</f>
        <v>0</v>
      </c>
      <c r="AY676" s="33" t="str">
        <f t="shared" si="14"/>
        <v/>
      </c>
      <c r="AZ676" s="37"/>
      <c r="BA676" s="29"/>
      <c r="BB676" s="29" t="b">
        <v>0</v>
      </c>
      <c r="BC676" s="22" t="str">
        <f t="shared" si="15"/>
        <v/>
      </c>
      <c r="BD676" s="7">
        <f>IF(ISBLANK(AZ676), 0, VLOOKUP(AZ676, 'Price Sheet'!$A$2:$B1015, 2, false))</f>
        <v>0</v>
      </c>
      <c r="BE676" s="33" t="str">
        <f t="shared" si="16"/>
        <v/>
      </c>
      <c r="BF676" s="37"/>
      <c r="BG676" s="29"/>
      <c r="BH676" s="29" t="b">
        <v>0</v>
      </c>
      <c r="BI676" s="22" t="str">
        <f t="shared" si="17"/>
        <v/>
      </c>
      <c r="BJ676" s="7">
        <f>IF(ISBLANK(BF676), 0, VLOOKUP(BF676, 'Price Sheet'!$A$2:$B1015, 2, false))</f>
        <v>0</v>
      </c>
      <c r="BK676" s="33" t="str">
        <f t="shared" si="18"/>
        <v/>
      </c>
      <c r="BL676" s="37"/>
      <c r="BM676" s="29"/>
      <c r="BN676" s="29" t="b">
        <v>0</v>
      </c>
      <c r="BO676" s="22" t="str">
        <f t="shared" si="19"/>
        <v/>
      </c>
      <c r="BP676" s="7">
        <f>IF(ISBLANK(BL676), 0, VLOOKUP(BL676, 'Price Sheet'!$A$2:$B1015, 2, false))</f>
        <v>0</v>
      </c>
      <c r="BQ676" s="33" t="str">
        <f t="shared" si="20"/>
        <v/>
      </c>
    </row>
    <row r="677">
      <c r="B677" s="19"/>
      <c r="C677" s="29"/>
      <c r="D677" s="29"/>
      <c r="E677" s="7" t="str">
        <f>IF(ISBLANK(D677), "", VLOOKUP(D677,'Crafting Tables'!$A$2:$B1015, 2, false))</f>
        <v/>
      </c>
      <c r="F677" s="7" t="str">
        <f>IFERROR(IF(E677 = "None", 1, VLOOKUP(C677,General!$A$5:$L$35, SWITCH(E677, "Basic", 8, "Advanced", 10, "Modern", 12), false)),"")</f>
        <v/>
      </c>
      <c r="G677" s="29"/>
      <c r="H677" s="7">
        <f>IFERROR(VLOOKUP(C677, General!$A$5:$L$35, 6, false) * G677 / 1000, 0)</f>
        <v>0</v>
      </c>
      <c r="I677" s="29"/>
      <c r="J677" s="22" t="str">
        <f>IFERROR(I677*VLOOKUP(D677,'Crafting Tables'!$1:$1000, 4, false)*F677,"")</f>
        <v/>
      </c>
      <c r="K677" s="29" t="b">
        <v>0</v>
      </c>
      <c r="L677" s="37"/>
      <c r="M677" s="29"/>
      <c r="N677" s="21" t="str">
        <f t="shared" si="2"/>
        <v/>
      </c>
      <c r="P677" s="37"/>
      <c r="Q677" s="29"/>
      <c r="R677" s="29" t="b">
        <v>0</v>
      </c>
      <c r="S677" s="22" t="str">
        <f t="shared" si="3"/>
        <v/>
      </c>
      <c r="T677" s="7">
        <f>IF(ISBLANK(P677), 0, VLOOKUP(P677, 'Price Sheet'!$A$2:$B1015, 2, false))</f>
        <v>0</v>
      </c>
      <c r="U677" s="33" t="str">
        <f t="shared" si="4"/>
        <v/>
      </c>
      <c r="V677" s="37"/>
      <c r="W677" s="29"/>
      <c r="X677" s="29" t="b">
        <v>0</v>
      </c>
      <c r="Y677" s="22" t="str">
        <f t="shared" si="5"/>
        <v/>
      </c>
      <c r="Z677" s="7">
        <f>IF(ISBLANK(V677), 0, VLOOKUP(V677, 'Price Sheet'!$A$2:$B1015, 2, false))</f>
        <v>0</v>
      </c>
      <c r="AA677" s="33" t="str">
        <f t="shared" si="6"/>
        <v/>
      </c>
      <c r="AB677" s="37"/>
      <c r="AC677" s="29"/>
      <c r="AD677" s="29" t="b">
        <v>0</v>
      </c>
      <c r="AE677" s="22" t="str">
        <f t="shared" si="7"/>
        <v/>
      </c>
      <c r="AF677" s="7">
        <f>IF(ISBLANK(AB677), 0, VLOOKUP(AB677, 'Price Sheet'!$A$2:$B1015, 2, false))</f>
        <v>0</v>
      </c>
      <c r="AG677" s="33" t="str">
        <f t="shared" si="8"/>
        <v/>
      </c>
      <c r="AH677" s="37"/>
      <c r="AI677" s="29"/>
      <c r="AJ677" s="29" t="b">
        <v>0</v>
      </c>
      <c r="AK677" s="22" t="str">
        <f t="shared" si="9"/>
        <v/>
      </c>
      <c r="AL677" s="7">
        <f>IF(ISBLANK(AH677), 0, VLOOKUP(AH677, 'Price Sheet'!$A$2:$B1015, 2, false))</f>
        <v>0</v>
      </c>
      <c r="AM677" s="33" t="str">
        <f t="shared" si="10"/>
        <v/>
      </c>
      <c r="AN677" s="37"/>
      <c r="AO677" s="29"/>
      <c r="AP677" s="29" t="b">
        <v>0</v>
      </c>
      <c r="AQ677" s="22" t="str">
        <f t="shared" si="11"/>
        <v/>
      </c>
      <c r="AR677" s="7">
        <f>IF(ISBLANK(AN677), 0, VLOOKUP(AN677, 'Price Sheet'!$A$2:$B1015, 2, false))</f>
        <v>0</v>
      </c>
      <c r="AS677" s="33" t="str">
        <f t="shared" si="12"/>
        <v/>
      </c>
      <c r="AT677" s="37"/>
      <c r="AU677" s="29"/>
      <c r="AV677" s="29" t="b">
        <v>0</v>
      </c>
      <c r="AW677" s="22" t="str">
        <f t="shared" si="13"/>
        <v/>
      </c>
      <c r="AX677" s="7">
        <f>IF(ISBLANK(AT677), 0, VLOOKUP(AT677, 'Price Sheet'!$A$2:$B1015, 2, false))</f>
        <v>0</v>
      </c>
      <c r="AY677" s="33" t="str">
        <f t="shared" si="14"/>
        <v/>
      </c>
      <c r="AZ677" s="37"/>
      <c r="BA677" s="29"/>
      <c r="BB677" s="29" t="b">
        <v>0</v>
      </c>
      <c r="BC677" s="22" t="str">
        <f t="shared" si="15"/>
        <v/>
      </c>
      <c r="BD677" s="7">
        <f>IF(ISBLANK(AZ677), 0, VLOOKUP(AZ677, 'Price Sheet'!$A$2:$B1015, 2, false))</f>
        <v>0</v>
      </c>
      <c r="BE677" s="33" t="str">
        <f t="shared" si="16"/>
        <v/>
      </c>
      <c r="BF677" s="37"/>
      <c r="BG677" s="29"/>
      <c r="BH677" s="29" t="b">
        <v>0</v>
      </c>
      <c r="BI677" s="22" t="str">
        <f t="shared" si="17"/>
        <v/>
      </c>
      <c r="BJ677" s="7">
        <f>IF(ISBLANK(BF677), 0, VLOOKUP(BF677, 'Price Sheet'!$A$2:$B1015, 2, false))</f>
        <v>0</v>
      </c>
      <c r="BK677" s="33" t="str">
        <f t="shared" si="18"/>
        <v/>
      </c>
      <c r="BL677" s="37"/>
      <c r="BM677" s="29"/>
      <c r="BN677" s="29" t="b">
        <v>0</v>
      </c>
      <c r="BO677" s="22" t="str">
        <f t="shared" si="19"/>
        <v/>
      </c>
      <c r="BP677" s="7">
        <f>IF(ISBLANK(BL677), 0, VLOOKUP(BL677, 'Price Sheet'!$A$2:$B1015, 2, false))</f>
        <v>0</v>
      </c>
      <c r="BQ677" s="33" t="str">
        <f t="shared" si="20"/>
        <v/>
      </c>
    </row>
    <row r="678">
      <c r="B678" s="19"/>
      <c r="C678" s="29"/>
      <c r="D678" s="29"/>
      <c r="E678" s="7" t="str">
        <f>IF(ISBLANK(D678), "", VLOOKUP(D678,'Crafting Tables'!$A$2:$B1015, 2, false))</f>
        <v/>
      </c>
      <c r="F678" s="7" t="str">
        <f>IFERROR(IF(E678 = "None", 1, VLOOKUP(C678,General!$A$5:$L$35, SWITCH(E678, "Basic", 8, "Advanced", 10, "Modern", 12), false)),"")</f>
        <v/>
      </c>
      <c r="G678" s="29"/>
      <c r="H678" s="7">
        <f>IFERROR(VLOOKUP(C678, General!$A$5:$L$35, 6, false) * G678 / 1000, 0)</f>
        <v>0</v>
      </c>
      <c r="I678" s="29"/>
      <c r="J678" s="22" t="str">
        <f>IFERROR(I678*VLOOKUP(D678,'Crafting Tables'!$1:$1000, 4, false)*F678,"")</f>
        <v/>
      </c>
      <c r="K678" s="29" t="b">
        <v>0</v>
      </c>
      <c r="L678" s="37"/>
      <c r="M678" s="29"/>
      <c r="N678" s="21" t="str">
        <f t="shared" si="2"/>
        <v/>
      </c>
      <c r="P678" s="37"/>
      <c r="Q678" s="29"/>
      <c r="R678" s="29" t="b">
        <v>0</v>
      </c>
      <c r="S678" s="22" t="str">
        <f t="shared" si="3"/>
        <v/>
      </c>
      <c r="T678" s="7">
        <f>IF(ISBLANK(P678), 0, VLOOKUP(P678, 'Price Sheet'!$A$2:$B1015, 2, false))</f>
        <v>0</v>
      </c>
      <c r="U678" s="33" t="str">
        <f t="shared" si="4"/>
        <v/>
      </c>
      <c r="V678" s="37"/>
      <c r="W678" s="29"/>
      <c r="X678" s="29" t="b">
        <v>0</v>
      </c>
      <c r="Y678" s="22" t="str">
        <f t="shared" si="5"/>
        <v/>
      </c>
      <c r="Z678" s="7">
        <f>IF(ISBLANK(V678), 0, VLOOKUP(V678, 'Price Sheet'!$A$2:$B1015, 2, false))</f>
        <v>0</v>
      </c>
      <c r="AA678" s="33" t="str">
        <f t="shared" si="6"/>
        <v/>
      </c>
      <c r="AB678" s="37"/>
      <c r="AC678" s="29"/>
      <c r="AD678" s="29" t="b">
        <v>0</v>
      </c>
      <c r="AE678" s="22" t="str">
        <f t="shared" si="7"/>
        <v/>
      </c>
      <c r="AF678" s="7">
        <f>IF(ISBLANK(AB678), 0, VLOOKUP(AB678, 'Price Sheet'!$A$2:$B1015, 2, false))</f>
        <v>0</v>
      </c>
      <c r="AG678" s="33" t="str">
        <f t="shared" si="8"/>
        <v/>
      </c>
      <c r="AH678" s="37"/>
      <c r="AI678" s="29"/>
      <c r="AJ678" s="29" t="b">
        <v>0</v>
      </c>
      <c r="AK678" s="22" t="str">
        <f t="shared" si="9"/>
        <v/>
      </c>
      <c r="AL678" s="7">
        <f>IF(ISBLANK(AH678), 0, VLOOKUP(AH678, 'Price Sheet'!$A$2:$B1015, 2, false))</f>
        <v>0</v>
      </c>
      <c r="AM678" s="33" t="str">
        <f t="shared" si="10"/>
        <v/>
      </c>
      <c r="AN678" s="37"/>
      <c r="AO678" s="29"/>
      <c r="AP678" s="29" t="b">
        <v>0</v>
      </c>
      <c r="AQ678" s="22" t="str">
        <f t="shared" si="11"/>
        <v/>
      </c>
      <c r="AR678" s="7">
        <f>IF(ISBLANK(AN678), 0, VLOOKUP(AN678, 'Price Sheet'!$A$2:$B1015, 2, false))</f>
        <v>0</v>
      </c>
      <c r="AS678" s="33" t="str">
        <f t="shared" si="12"/>
        <v/>
      </c>
      <c r="AT678" s="37"/>
      <c r="AU678" s="29"/>
      <c r="AV678" s="29" t="b">
        <v>0</v>
      </c>
      <c r="AW678" s="22" t="str">
        <f t="shared" si="13"/>
        <v/>
      </c>
      <c r="AX678" s="7">
        <f>IF(ISBLANK(AT678), 0, VLOOKUP(AT678, 'Price Sheet'!$A$2:$B1015, 2, false))</f>
        <v>0</v>
      </c>
      <c r="AY678" s="33" t="str">
        <f t="shared" si="14"/>
        <v/>
      </c>
      <c r="AZ678" s="37"/>
      <c r="BA678" s="29"/>
      <c r="BB678" s="29" t="b">
        <v>0</v>
      </c>
      <c r="BC678" s="22" t="str">
        <f t="shared" si="15"/>
        <v/>
      </c>
      <c r="BD678" s="7">
        <f>IF(ISBLANK(AZ678), 0, VLOOKUP(AZ678, 'Price Sheet'!$A$2:$B1015, 2, false))</f>
        <v>0</v>
      </c>
      <c r="BE678" s="33" t="str">
        <f t="shared" si="16"/>
        <v/>
      </c>
      <c r="BF678" s="37"/>
      <c r="BG678" s="29"/>
      <c r="BH678" s="29" t="b">
        <v>0</v>
      </c>
      <c r="BI678" s="22" t="str">
        <f t="shared" si="17"/>
        <v/>
      </c>
      <c r="BJ678" s="7">
        <f>IF(ISBLANK(BF678), 0, VLOOKUP(BF678, 'Price Sheet'!$A$2:$B1015, 2, false))</f>
        <v>0</v>
      </c>
      <c r="BK678" s="33" t="str">
        <f t="shared" si="18"/>
        <v/>
      </c>
      <c r="BL678" s="37"/>
      <c r="BM678" s="29"/>
      <c r="BN678" s="29" t="b">
        <v>0</v>
      </c>
      <c r="BO678" s="22" t="str">
        <f t="shared" si="19"/>
        <v/>
      </c>
      <c r="BP678" s="7">
        <f>IF(ISBLANK(BL678), 0, VLOOKUP(BL678, 'Price Sheet'!$A$2:$B1015, 2, false))</f>
        <v>0</v>
      </c>
      <c r="BQ678" s="33" t="str">
        <f t="shared" si="20"/>
        <v/>
      </c>
    </row>
    <row r="679">
      <c r="B679" s="19"/>
      <c r="C679" s="29"/>
      <c r="D679" s="29"/>
      <c r="E679" s="7" t="str">
        <f>IF(ISBLANK(D679), "", VLOOKUP(D679,'Crafting Tables'!$A$2:$B1015, 2, false))</f>
        <v/>
      </c>
      <c r="F679" s="7" t="str">
        <f>IFERROR(IF(E679 = "None", 1, VLOOKUP(C679,General!$A$5:$L$35, SWITCH(E679, "Basic", 8, "Advanced", 10, "Modern", 12), false)),"")</f>
        <v/>
      </c>
      <c r="G679" s="29"/>
      <c r="H679" s="7">
        <f>IFERROR(VLOOKUP(C679, General!$A$5:$L$35, 6, false) * G679 / 1000, 0)</f>
        <v>0</v>
      </c>
      <c r="I679" s="29"/>
      <c r="J679" s="22" t="str">
        <f>IFERROR(I679*VLOOKUP(D679,'Crafting Tables'!$1:$1000, 4, false)*F679,"")</f>
        <v/>
      </c>
      <c r="K679" s="29" t="b">
        <v>0</v>
      </c>
      <c r="L679" s="37"/>
      <c r="M679" s="29"/>
      <c r="N679" s="21" t="str">
        <f t="shared" si="2"/>
        <v/>
      </c>
      <c r="P679" s="37"/>
      <c r="Q679" s="29"/>
      <c r="R679" s="29" t="b">
        <v>0</v>
      </c>
      <c r="S679" s="22" t="str">
        <f t="shared" si="3"/>
        <v/>
      </c>
      <c r="T679" s="7">
        <f>IF(ISBLANK(P679), 0, VLOOKUP(P679, 'Price Sheet'!$A$2:$B1015, 2, false))</f>
        <v>0</v>
      </c>
      <c r="U679" s="33" t="str">
        <f t="shared" si="4"/>
        <v/>
      </c>
      <c r="V679" s="37"/>
      <c r="W679" s="29"/>
      <c r="X679" s="29" t="b">
        <v>0</v>
      </c>
      <c r="Y679" s="22" t="str">
        <f t="shared" si="5"/>
        <v/>
      </c>
      <c r="Z679" s="7">
        <f>IF(ISBLANK(V679), 0, VLOOKUP(V679, 'Price Sheet'!$A$2:$B1015, 2, false))</f>
        <v>0</v>
      </c>
      <c r="AA679" s="33" t="str">
        <f t="shared" si="6"/>
        <v/>
      </c>
      <c r="AB679" s="37"/>
      <c r="AC679" s="29"/>
      <c r="AD679" s="29" t="b">
        <v>0</v>
      </c>
      <c r="AE679" s="22" t="str">
        <f t="shared" si="7"/>
        <v/>
      </c>
      <c r="AF679" s="7">
        <f>IF(ISBLANK(AB679), 0, VLOOKUP(AB679, 'Price Sheet'!$A$2:$B1015, 2, false))</f>
        <v>0</v>
      </c>
      <c r="AG679" s="33" t="str">
        <f t="shared" si="8"/>
        <v/>
      </c>
      <c r="AH679" s="37"/>
      <c r="AI679" s="29"/>
      <c r="AJ679" s="29" t="b">
        <v>0</v>
      </c>
      <c r="AK679" s="22" t="str">
        <f t="shared" si="9"/>
        <v/>
      </c>
      <c r="AL679" s="7">
        <f>IF(ISBLANK(AH679), 0, VLOOKUP(AH679, 'Price Sheet'!$A$2:$B1015, 2, false))</f>
        <v>0</v>
      </c>
      <c r="AM679" s="33" t="str">
        <f t="shared" si="10"/>
        <v/>
      </c>
      <c r="AN679" s="37"/>
      <c r="AO679" s="29"/>
      <c r="AP679" s="29" t="b">
        <v>0</v>
      </c>
      <c r="AQ679" s="22" t="str">
        <f t="shared" si="11"/>
        <v/>
      </c>
      <c r="AR679" s="7">
        <f>IF(ISBLANK(AN679), 0, VLOOKUP(AN679, 'Price Sheet'!$A$2:$B1015, 2, false))</f>
        <v>0</v>
      </c>
      <c r="AS679" s="33" t="str">
        <f t="shared" si="12"/>
        <v/>
      </c>
      <c r="AT679" s="37"/>
      <c r="AU679" s="29"/>
      <c r="AV679" s="29" t="b">
        <v>0</v>
      </c>
      <c r="AW679" s="22" t="str">
        <f t="shared" si="13"/>
        <v/>
      </c>
      <c r="AX679" s="7">
        <f>IF(ISBLANK(AT679), 0, VLOOKUP(AT679, 'Price Sheet'!$A$2:$B1015, 2, false))</f>
        <v>0</v>
      </c>
      <c r="AY679" s="33" t="str">
        <f t="shared" si="14"/>
        <v/>
      </c>
      <c r="AZ679" s="37"/>
      <c r="BA679" s="29"/>
      <c r="BB679" s="29" t="b">
        <v>0</v>
      </c>
      <c r="BC679" s="22" t="str">
        <f t="shared" si="15"/>
        <v/>
      </c>
      <c r="BD679" s="7">
        <f>IF(ISBLANK(AZ679), 0, VLOOKUP(AZ679, 'Price Sheet'!$A$2:$B1015, 2, false))</f>
        <v>0</v>
      </c>
      <c r="BE679" s="33" t="str">
        <f t="shared" si="16"/>
        <v/>
      </c>
      <c r="BF679" s="37"/>
      <c r="BG679" s="29"/>
      <c r="BH679" s="29" t="b">
        <v>0</v>
      </c>
      <c r="BI679" s="22" t="str">
        <f t="shared" si="17"/>
        <v/>
      </c>
      <c r="BJ679" s="7">
        <f>IF(ISBLANK(BF679), 0, VLOOKUP(BF679, 'Price Sheet'!$A$2:$B1015, 2, false))</f>
        <v>0</v>
      </c>
      <c r="BK679" s="33" t="str">
        <f t="shared" si="18"/>
        <v/>
      </c>
      <c r="BL679" s="37"/>
      <c r="BM679" s="29"/>
      <c r="BN679" s="29" t="b">
        <v>0</v>
      </c>
      <c r="BO679" s="22" t="str">
        <f t="shared" si="19"/>
        <v/>
      </c>
      <c r="BP679" s="7">
        <f>IF(ISBLANK(BL679), 0, VLOOKUP(BL679, 'Price Sheet'!$A$2:$B1015, 2, false))</f>
        <v>0</v>
      </c>
      <c r="BQ679" s="33" t="str">
        <f t="shared" si="20"/>
        <v/>
      </c>
    </row>
    <row r="680">
      <c r="B680" s="19"/>
      <c r="C680" s="29"/>
      <c r="D680" s="29"/>
      <c r="E680" s="7" t="str">
        <f>IF(ISBLANK(D680), "", VLOOKUP(D680,'Crafting Tables'!$A$2:$B1015, 2, false))</f>
        <v/>
      </c>
      <c r="F680" s="7" t="str">
        <f>IFERROR(IF(E680 = "None", 1, VLOOKUP(C680,General!$A$5:$L$35, SWITCH(E680, "Basic", 8, "Advanced", 10, "Modern", 12), false)),"")</f>
        <v/>
      </c>
      <c r="G680" s="29"/>
      <c r="H680" s="7">
        <f>IFERROR(VLOOKUP(C680, General!$A$5:$L$35, 6, false) * G680 / 1000, 0)</f>
        <v>0</v>
      </c>
      <c r="I680" s="29"/>
      <c r="J680" s="22" t="str">
        <f>IFERROR(I680*VLOOKUP(D680,'Crafting Tables'!$1:$1000, 4, false)*F680,"")</f>
        <v/>
      </c>
      <c r="K680" s="29" t="b">
        <v>0</v>
      </c>
      <c r="L680" s="37"/>
      <c r="M680" s="29"/>
      <c r="N680" s="21" t="str">
        <f t="shared" si="2"/>
        <v/>
      </c>
      <c r="P680" s="37"/>
      <c r="Q680" s="29"/>
      <c r="R680" s="29" t="b">
        <v>0</v>
      </c>
      <c r="S680" s="22" t="str">
        <f t="shared" si="3"/>
        <v/>
      </c>
      <c r="T680" s="7">
        <f>IF(ISBLANK(P680), 0, VLOOKUP(P680, 'Price Sheet'!$A$2:$B1015, 2, false))</f>
        <v>0</v>
      </c>
      <c r="U680" s="33" t="str">
        <f t="shared" si="4"/>
        <v/>
      </c>
      <c r="V680" s="37"/>
      <c r="W680" s="29"/>
      <c r="X680" s="29" t="b">
        <v>0</v>
      </c>
      <c r="Y680" s="22" t="str">
        <f t="shared" si="5"/>
        <v/>
      </c>
      <c r="Z680" s="7">
        <f>IF(ISBLANK(V680), 0, VLOOKUP(V680, 'Price Sheet'!$A$2:$B1015, 2, false))</f>
        <v>0</v>
      </c>
      <c r="AA680" s="33" t="str">
        <f t="shared" si="6"/>
        <v/>
      </c>
      <c r="AB680" s="37"/>
      <c r="AC680" s="29"/>
      <c r="AD680" s="29" t="b">
        <v>0</v>
      </c>
      <c r="AE680" s="22" t="str">
        <f t="shared" si="7"/>
        <v/>
      </c>
      <c r="AF680" s="7">
        <f>IF(ISBLANK(AB680), 0, VLOOKUP(AB680, 'Price Sheet'!$A$2:$B1015, 2, false))</f>
        <v>0</v>
      </c>
      <c r="AG680" s="33" t="str">
        <f t="shared" si="8"/>
        <v/>
      </c>
      <c r="AH680" s="37"/>
      <c r="AI680" s="29"/>
      <c r="AJ680" s="29" t="b">
        <v>0</v>
      </c>
      <c r="AK680" s="22" t="str">
        <f t="shared" si="9"/>
        <v/>
      </c>
      <c r="AL680" s="7">
        <f>IF(ISBLANK(AH680), 0, VLOOKUP(AH680, 'Price Sheet'!$A$2:$B1015, 2, false))</f>
        <v>0</v>
      </c>
      <c r="AM680" s="33" t="str">
        <f t="shared" si="10"/>
        <v/>
      </c>
      <c r="AN680" s="37"/>
      <c r="AO680" s="29"/>
      <c r="AP680" s="29" t="b">
        <v>0</v>
      </c>
      <c r="AQ680" s="22" t="str">
        <f t="shared" si="11"/>
        <v/>
      </c>
      <c r="AR680" s="7">
        <f>IF(ISBLANK(AN680), 0, VLOOKUP(AN680, 'Price Sheet'!$A$2:$B1015, 2, false))</f>
        <v>0</v>
      </c>
      <c r="AS680" s="33" t="str">
        <f t="shared" si="12"/>
        <v/>
      </c>
      <c r="AT680" s="37"/>
      <c r="AU680" s="29"/>
      <c r="AV680" s="29" t="b">
        <v>0</v>
      </c>
      <c r="AW680" s="22" t="str">
        <f t="shared" si="13"/>
        <v/>
      </c>
      <c r="AX680" s="7">
        <f>IF(ISBLANK(AT680), 0, VLOOKUP(AT680, 'Price Sheet'!$A$2:$B1015, 2, false))</f>
        <v>0</v>
      </c>
      <c r="AY680" s="33" t="str">
        <f t="shared" si="14"/>
        <v/>
      </c>
      <c r="AZ680" s="37"/>
      <c r="BA680" s="29"/>
      <c r="BB680" s="29" t="b">
        <v>0</v>
      </c>
      <c r="BC680" s="22" t="str">
        <f t="shared" si="15"/>
        <v/>
      </c>
      <c r="BD680" s="7">
        <f>IF(ISBLANK(AZ680), 0, VLOOKUP(AZ680, 'Price Sheet'!$A$2:$B1015, 2, false))</f>
        <v>0</v>
      </c>
      <c r="BE680" s="33" t="str">
        <f t="shared" si="16"/>
        <v/>
      </c>
      <c r="BF680" s="37"/>
      <c r="BG680" s="29"/>
      <c r="BH680" s="29" t="b">
        <v>0</v>
      </c>
      <c r="BI680" s="22" t="str">
        <f t="shared" si="17"/>
        <v/>
      </c>
      <c r="BJ680" s="7">
        <f>IF(ISBLANK(BF680), 0, VLOOKUP(BF680, 'Price Sheet'!$A$2:$B1015, 2, false))</f>
        <v>0</v>
      </c>
      <c r="BK680" s="33" t="str">
        <f t="shared" si="18"/>
        <v/>
      </c>
      <c r="BL680" s="37"/>
      <c r="BM680" s="29"/>
      <c r="BN680" s="29" t="b">
        <v>0</v>
      </c>
      <c r="BO680" s="22" t="str">
        <f t="shared" si="19"/>
        <v/>
      </c>
      <c r="BP680" s="7">
        <f>IF(ISBLANK(BL680), 0, VLOOKUP(BL680, 'Price Sheet'!$A$2:$B1015, 2, false))</f>
        <v>0</v>
      </c>
      <c r="BQ680" s="33" t="str">
        <f t="shared" si="20"/>
        <v/>
      </c>
    </row>
    <row r="681">
      <c r="B681" s="19"/>
      <c r="C681" s="29"/>
      <c r="D681" s="29"/>
      <c r="E681" s="7" t="str">
        <f>IF(ISBLANK(D681), "", VLOOKUP(D681,'Crafting Tables'!$A$2:$B1015, 2, false))</f>
        <v/>
      </c>
      <c r="F681" s="7" t="str">
        <f>IFERROR(IF(E681 = "None", 1, VLOOKUP(C681,General!$A$5:$L$35, SWITCH(E681, "Basic", 8, "Advanced", 10, "Modern", 12), false)),"")</f>
        <v/>
      </c>
      <c r="G681" s="29"/>
      <c r="H681" s="7">
        <f>IFERROR(VLOOKUP(C681, General!$A$5:$L$35, 6, false) * G681 / 1000, 0)</f>
        <v>0</v>
      </c>
      <c r="I681" s="29"/>
      <c r="J681" s="22" t="str">
        <f>IFERROR(I681*VLOOKUP(D681,'Crafting Tables'!$1:$1000, 4, false)*F681,"")</f>
        <v/>
      </c>
      <c r="K681" s="29" t="b">
        <v>0</v>
      </c>
      <c r="L681" s="37"/>
      <c r="M681" s="29"/>
      <c r="N681" s="21" t="str">
        <f t="shared" si="2"/>
        <v/>
      </c>
      <c r="P681" s="37"/>
      <c r="Q681" s="29"/>
      <c r="R681" s="29" t="b">
        <v>0</v>
      </c>
      <c r="S681" s="22" t="str">
        <f t="shared" si="3"/>
        <v/>
      </c>
      <c r="T681" s="7">
        <f>IF(ISBLANK(P681), 0, VLOOKUP(P681, 'Price Sheet'!$A$2:$B1015, 2, false))</f>
        <v>0</v>
      </c>
      <c r="U681" s="33" t="str">
        <f t="shared" si="4"/>
        <v/>
      </c>
      <c r="V681" s="37"/>
      <c r="W681" s="29"/>
      <c r="X681" s="29" t="b">
        <v>0</v>
      </c>
      <c r="Y681" s="22" t="str">
        <f t="shared" si="5"/>
        <v/>
      </c>
      <c r="Z681" s="7">
        <f>IF(ISBLANK(V681), 0, VLOOKUP(V681, 'Price Sheet'!$A$2:$B1015, 2, false))</f>
        <v>0</v>
      </c>
      <c r="AA681" s="33" t="str">
        <f t="shared" si="6"/>
        <v/>
      </c>
      <c r="AB681" s="37"/>
      <c r="AC681" s="29"/>
      <c r="AD681" s="29" t="b">
        <v>0</v>
      </c>
      <c r="AE681" s="22" t="str">
        <f t="shared" si="7"/>
        <v/>
      </c>
      <c r="AF681" s="7">
        <f>IF(ISBLANK(AB681), 0, VLOOKUP(AB681, 'Price Sheet'!$A$2:$B1015, 2, false))</f>
        <v>0</v>
      </c>
      <c r="AG681" s="33" t="str">
        <f t="shared" si="8"/>
        <v/>
      </c>
      <c r="AH681" s="37"/>
      <c r="AI681" s="29"/>
      <c r="AJ681" s="29" t="b">
        <v>0</v>
      </c>
      <c r="AK681" s="22" t="str">
        <f t="shared" si="9"/>
        <v/>
      </c>
      <c r="AL681" s="7">
        <f>IF(ISBLANK(AH681), 0, VLOOKUP(AH681, 'Price Sheet'!$A$2:$B1015, 2, false))</f>
        <v>0</v>
      </c>
      <c r="AM681" s="33" t="str">
        <f t="shared" si="10"/>
        <v/>
      </c>
      <c r="AN681" s="37"/>
      <c r="AO681" s="29"/>
      <c r="AP681" s="29" t="b">
        <v>0</v>
      </c>
      <c r="AQ681" s="22" t="str">
        <f t="shared" si="11"/>
        <v/>
      </c>
      <c r="AR681" s="7">
        <f>IF(ISBLANK(AN681), 0, VLOOKUP(AN681, 'Price Sheet'!$A$2:$B1015, 2, false))</f>
        <v>0</v>
      </c>
      <c r="AS681" s="33" t="str">
        <f t="shared" si="12"/>
        <v/>
      </c>
      <c r="AT681" s="37"/>
      <c r="AU681" s="29"/>
      <c r="AV681" s="29" t="b">
        <v>0</v>
      </c>
      <c r="AW681" s="22" t="str">
        <f t="shared" si="13"/>
        <v/>
      </c>
      <c r="AX681" s="7">
        <f>IF(ISBLANK(AT681), 0, VLOOKUP(AT681, 'Price Sheet'!$A$2:$B1015, 2, false))</f>
        <v>0</v>
      </c>
      <c r="AY681" s="33" t="str">
        <f t="shared" si="14"/>
        <v/>
      </c>
      <c r="AZ681" s="37"/>
      <c r="BA681" s="29"/>
      <c r="BB681" s="29" t="b">
        <v>0</v>
      </c>
      <c r="BC681" s="22" t="str">
        <f t="shared" si="15"/>
        <v/>
      </c>
      <c r="BD681" s="7">
        <f>IF(ISBLANK(AZ681), 0, VLOOKUP(AZ681, 'Price Sheet'!$A$2:$B1015, 2, false))</f>
        <v>0</v>
      </c>
      <c r="BE681" s="33" t="str">
        <f t="shared" si="16"/>
        <v/>
      </c>
      <c r="BF681" s="37"/>
      <c r="BG681" s="29"/>
      <c r="BH681" s="29" t="b">
        <v>0</v>
      </c>
      <c r="BI681" s="22" t="str">
        <f t="shared" si="17"/>
        <v/>
      </c>
      <c r="BJ681" s="7">
        <f>IF(ISBLANK(BF681), 0, VLOOKUP(BF681, 'Price Sheet'!$A$2:$B1015, 2, false))</f>
        <v>0</v>
      </c>
      <c r="BK681" s="33" t="str">
        <f t="shared" si="18"/>
        <v/>
      </c>
      <c r="BL681" s="37"/>
      <c r="BM681" s="29"/>
      <c r="BN681" s="29" t="b">
        <v>0</v>
      </c>
      <c r="BO681" s="22" t="str">
        <f t="shared" si="19"/>
        <v/>
      </c>
      <c r="BP681" s="7">
        <f>IF(ISBLANK(BL681), 0, VLOOKUP(BL681, 'Price Sheet'!$A$2:$B1015, 2, false))</f>
        <v>0</v>
      </c>
      <c r="BQ681" s="33" t="str">
        <f t="shared" si="20"/>
        <v/>
      </c>
    </row>
    <row r="682">
      <c r="B682" s="19"/>
      <c r="C682" s="29"/>
      <c r="D682" s="29"/>
      <c r="E682" s="7" t="str">
        <f>IF(ISBLANK(D682), "", VLOOKUP(D682,'Crafting Tables'!$A$2:$B1015, 2, false))</f>
        <v/>
      </c>
      <c r="F682" s="7" t="str">
        <f>IFERROR(IF(E682 = "None", 1, VLOOKUP(C682,General!$A$5:$L$35, SWITCH(E682, "Basic", 8, "Advanced", 10, "Modern", 12), false)),"")</f>
        <v/>
      </c>
      <c r="G682" s="29"/>
      <c r="H682" s="7">
        <f>IFERROR(VLOOKUP(C682, General!$A$5:$L$35, 6, false) * G682 / 1000, 0)</f>
        <v>0</v>
      </c>
      <c r="I682" s="29"/>
      <c r="J682" s="22" t="str">
        <f>IFERROR(I682*VLOOKUP(D682,'Crafting Tables'!$1:$1000, 4, false)*F682,"")</f>
        <v/>
      </c>
      <c r="K682" s="29" t="b">
        <v>0</v>
      </c>
      <c r="L682" s="37"/>
      <c r="M682" s="29"/>
      <c r="N682" s="21" t="str">
        <f t="shared" si="2"/>
        <v/>
      </c>
      <c r="P682" s="37"/>
      <c r="Q682" s="29"/>
      <c r="R682" s="29" t="b">
        <v>0</v>
      </c>
      <c r="S682" s="22" t="str">
        <f t="shared" si="3"/>
        <v/>
      </c>
      <c r="T682" s="7">
        <f>IF(ISBLANK(P682), 0, VLOOKUP(P682, 'Price Sheet'!$A$2:$B1015, 2, false))</f>
        <v>0</v>
      </c>
      <c r="U682" s="33" t="str">
        <f t="shared" si="4"/>
        <v/>
      </c>
      <c r="V682" s="37"/>
      <c r="W682" s="29"/>
      <c r="X682" s="29" t="b">
        <v>0</v>
      </c>
      <c r="Y682" s="22" t="str">
        <f t="shared" si="5"/>
        <v/>
      </c>
      <c r="Z682" s="7">
        <f>IF(ISBLANK(V682), 0, VLOOKUP(V682, 'Price Sheet'!$A$2:$B1015, 2, false))</f>
        <v>0</v>
      </c>
      <c r="AA682" s="33" t="str">
        <f t="shared" si="6"/>
        <v/>
      </c>
      <c r="AB682" s="37"/>
      <c r="AC682" s="29"/>
      <c r="AD682" s="29" t="b">
        <v>0</v>
      </c>
      <c r="AE682" s="22" t="str">
        <f t="shared" si="7"/>
        <v/>
      </c>
      <c r="AF682" s="7">
        <f>IF(ISBLANK(AB682), 0, VLOOKUP(AB682, 'Price Sheet'!$A$2:$B1015, 2, false))</f>
        <v>0</v>
      </c>
      <c r="AG682" s="33" t="str">
        <f t="shared" si="8"/>
        <v/>
      </c>
      <c r="AH682" s="37"/>
      <c r="AI682" s="29"/>
      <c r="AJ682" s="29" t="b">
        <v>0</v>
      </c>
      <c r="AK682" s="22" t="str">
        <f t="shared" si="9"/>
        <v/>
      </c>
      <c r="AL682" s="7">
        <f>IF(ISBLANK(AH682), 0, VLOOKUP(AH682, 'Price Sheet'!$A$2:$B1015, 2, false))</f>
        <v>0</v>
      </c>
      <c r="AM682" s="33" t="str">
        <f t="shared" si="10"/>
        <v/>
      </c>
      <c r="AN682" s="37"/>
      <c r="AO682" s="29"/>
      <c r="AP682" s="29" t="b">
        <v>0</v>
      </c>
      <c r="AQ682" s="22" t="str">
        <f t="shared" si="11"/>
        <v/>
      </c>
      <c r="AR682" s="7">
        <f>IF(ISBLANK(AN682), 0, VLOOKUP(AN682, 'Price Sheet'!$A$2:$B1015, 2, false))</f>
        <v>0</v>
      </c>
      <c r="AS682" s="33" t="str">
        <f t="shared" si="12"/>
        <v/>
      </c>
      <c r="AT682" s="37"/>
      <c r="AU682" s="29"/>
      <c r="AV682" s="29" t="b">
        <v>0</v>
      </c>
      <c r="AW682" s="22" t="str">
        <f t="shared" si="13"/>
        <v/>
      </c>
      <c r="AX682" s="7">
        <f>IF(ISBLANK(AT682), 0, VLOOKUP(AT682, 'Price Sheet'!$A$2:$B1015, 2, false))</f>
        <v>0</v>
      </c>
      <c r="AY682" s="33" t="str">
        <f t="shared" si="14"/>
        <v/>
      </c>
      <c r="AZ682" s="37"/>
      <c r="BA682" s="29"/>
      <c r="BB682" s="29" t="b">
        <v>0</v>
      </c>
      <c r="BC682" s="22" t="str">
        <f t="shared" si="15"/>
        <v/>
      </c>
      <c r="BD682" s="7">
        <f>IF(ISBLANK(AZ682), 0, VLOOKUP(AZ682, 'Price Sheet'!$A$2:$B1015, 2, false))</f>
        <v>0</v>
      </c>
      <c r="BE682" s="33" t="str">
        <f t="shared" si="16"/>
        <v/>
      </c>
      <c r="BF682" s="37"/>
      <c r="BG682" s="29"/>
      <c r="BH682" s="29" t="b">
        <v>0</v>
      </c>
      <c r="BI682" s="22" t="str">
        <f t="shared" si="17"/>
        <v/>
      </c>
      <c r="BJ682" s="7">
        <f>IF(ISBLANK(BF682), 0, VLOOKUP(BF682, 'Price Sheet'!$A$2:$B1015, 2, false))</f>
        <v>0</v>
      </c>
      <c r="BK682" s="33" t="str">
        <f t="shared" si="18"/>
        <v/>
      </c>
      <c r="BL682" s="37"/>
      <c r="BM682" s="29"/>
      <c r="BN682" s="29" t="b">
        <v>0</v>
      </c>
      <c r="BO682" s="22" t="str">
        <f t="shared" si="19"/>
        <v/>
      </c>
      <c r="BP682" s="7">
        <f>IF(ISBLANK(BL682), 0, VLOOKUP(BL682, 'Price Sheet'!$A$2:$B1015, 2, false))</f>
        <v>0</v>
      </c>
      <c r="BQ682" s="33" t="str">
        <f t="shared" si="20"/>
        <v/>
      </c>
    </row>
    <row r="683">
      <c r="B683" s="19"/>
      <c r="C683" s="29"/>
      <c r="D683" s="29"/>
      <c r="E683" s="7" t="str">
        <f>IF(ISBLANK(D683), "", VLOOKUP(D683,'Crafting Tables'!$A$2:$B1015, 2, false))</f>
        <v/>
      </c>
      <c r="F683" s="7" t="str">
        <f>IFERROR(IF(E683 = "None", 1, VLOOKUP(C683,General!$A$5:$L$35, SWITCH(E683, "Basic", 8, "Advanced", 10, "Modern", 12), false)),"")</f>
        <v/>
      </c>
      <c r="G683" s="29"/>
      <c r="H683" s="7">
        <f>IFERROR(VLOOKUP(C683, General!$A$5:$L$35, 6, false) * G683 / 1000, 0)</f>
        <v>0</v>
      </c>
      <c r="I683" s="29"/>
      <c r="J683" s="22" t="str">
        <f>IFERROR(I683*VLOOKUP(D683,'Crafting Tables'!$1:$1000, 4, false)*F683,"")</f>
        <v/>
      </c>
      <c r="K683" s="29" t="b">
        <v>0</v>
      </c>
      <c r="L683" s="37"/>
      <c r="M683" s="29"/>
      <c r="N683" s="21" t="str">
        <f t="shared" si="2"/>
        <v/>
      </c>
      <c r="P683" s="37"/>
      <c r="Q683" s="29"/>
      <c r="R683" s="29" t="b">
        <v>0</v>
      </c>
      <c r="S683" s="22" t="str">
        <f t="shared" si="3"/>
        <v/>
      </c>
      <c r="T683" s="7">
        <f>IF(ISBLANK(P683), 0, VLOOKUP(P683, 'Price Sheet'!$A$2:$B1015, 2, false))</f>
        <v>0</v>
      </c>
      <c r="U683" s="33" t="str">
        <f t="shared" si="4"/>
        <v/>
      </c>
      <c r="V683" s="37"/>
      <c r="W683" s="29"/>
      <c r="X683" s="29" t="b">
        <v>0</v>
      </c>
      <c r="Y683" s="22" t="str">
        <f t="shared" si="5"/>
        <v/>
      </c>
      <c r="Z683" s="7">
        <f>IF(ISBLANK(V683), 0, VLOOKUP(V683, 'Price Sheet'!$A$2:$B1015, 2, false))</f>
        <v>0</v>
      </c>
      <c r="AA683" s="33" t="str">
        <f t="shared" si="6"/>
        <v/>
      </c>
      <c r="AB683" s="37"/>
      <c r="AC683" s="29"/>
      <c r="AD683" s="29" t="b">
        <v>0</v>
      </c>
      <c r="AE683" s="22" t="str">
        <f t="shared" si="7"/>
        <v/>
      </c>
      <c r="AF683" s="7">
        <f>IF(ISBLANK(AB683), 0, VLOOKUP(AB683, 'Price Sheet'!$A$2:$B1015, 2, false))</f>
        <v>0</v>
      </c>
      <c r="AG683" s="33" t="str">
        <f t="shared" si="8"/>
        <v/>
      </c>
      <c r="AH683" s="37"/>
      <c r="AI683" s="29"/>
      <c r="AJ683" s="29" t="b">
        <v>0</v>
      </c>
      <c r="AK683" s="22" t="str">
        <f t="shared" si="9"/>
        <v/>
      </c>
      <c r="AL683" s="7">
        <f>IF(ISBLANK(AH683), 0, VLOOKUP(AH683, 'Price Sheet'!$A$2:$B1015, 2, false))</f>
        <v>0</v>
      </c>
      <c r="AM683" s="33" t="str">
        <f t="shared" si="10"/>
        <v/>
      </c>
      <c r="AN683" s="37"/>
      <c r="AO683" s="29"/>
      <c r="AP683" s="29" t="b">
        <v>0</v>
      </c>
      <c r="AQ683" s="22" t="str">
        <f t="shared" si="11"/>
        <v/>
      </c>
      <c r="AR683" s="7">
        <f>IF(ISBLANK(AN683), 0, VLOOKUP(AN683, 'Price Sheet'!$A$2:$B1015, 2, false))</f>
        <v>0</v>
      </c>
      <c r="AS683" s="33" t="str">
        <f t="shared" si="12"/>
        <v/>
      </c>
      <c r="AT683" s="37"/>
      <c r="AU683" s="29"/>
      <c r="AV683" s="29" t="b">
        <v>0</v>
      </c>
      <c r="AW683" s="22" t="str">
        <f t="shared" si="13"/>
        <v/>
      </c>
      <c r="AX683" s="7">
        <f>IF(ISBLANK(AT683), 0, VLOOKUP(AT683, 'Price Sheet'!$A$2:$B1015, 2, false))</f>
        <v>0</v>
      </c>
      <c r="AY683" s="33" t="str">
        <f t="shared" si="14"/>
        <v/>
      </c>
      <c r="AZ683" s="37"/>
      <c r="BA683" s="29"/>
      <c r="BB683" s="29" t="b">
        <v>0</v>
      </c>
      <c r="BC683" s="22" t="str">
        <f t="shared" si="15"/>
        <v/>
      </c>
      <c r="BD683" s="7">
        <f>IF(ISBLANK(AZ683), 0, VLOOKUP(AZ683, 'Price Sheet'!$A$2:$B1015, 2, false))</f>
        <v>0</v>
      </c>
      <c r="BE683" s="33" t="str">
        <f t="shared" si="16"/>
        <v/>
      </c>
      <c r="BF683" s="37"/>
      <c r="BG683" s="29"/>
      <c r="BH683" s="29" t="b">
        <v>0</v>
      </c>
      <c r="BI683" s="22" t="str">
        <f t="shared" si="17"/>
        <v/>
      </c>
      <c r="BJ683" s="7">
        <f>IF(ISBLANK(BF683), 0, VLOOKUP(BF683, 'Price Sheet'!$A$2:$B1015, 2, false))</f>
        <v>0</v>
      </c>
      <c r="BK683" s="33" t="str">
        <f t="shared" si="18"/>
        <v/>
      </c>
      <c r="BL683" s="37"/>
      <c r="BM683" s="29"/>
      <c r="BN683" s="29" t="b">
        <v>0</v>
      </c>
      <c r="BO683" s="22" t="str">
        <f t="shared" si="19"/>
        <v/>
      </c>
      <c r="BP683" s="7">
        <f>IF(ISBLANK(BL683), 0, VLOOKUP(BL683, 'Price Sheet'!$A$2:$B1015, 2, false))</f>
        <v>0</v>
      </c>
      <c r="BQ683" s="33" t="str">
        <f t="shared" si="20"/>
        <v/>
      </c>
    </row>
    <row r="684">
      <c r="B684" s="19"/>
      <c r="C684" s="29"/>
      <c r="D684" s="29"/>
      <c r="E684" s="7" t="str">
        <f>IF(ISBLANK(D684), "", VLOOKUP(D684,'Crafting Tables'!$A$2:$B1015, 2, false))</f>
        <v/>
      </c>
      <c r="F684" s="7" t="str">
        <f>IFERROR(IF(E684 = "None", 1, VLOOKUP(C684,General!$A$5:$L$35, SWITCH(E684, "Basic", 8, "Advanced", 10, "Modern", 12), false)),"")</f>
        <v/>
      </c>
      <c r="G684" s="29"/>
      <c r="H684" s="7">
        <f>IFERROR(VLOOKUP(C684, General!$A$5:$L$35, 6, false) * G684 / 1000, 0)</f>
        <v>0</v>
      </c>
      <c r="I684" s="29"/>
      <c r="J684" s="22" t="str">
        <f>IFERROR(I684*VLOOKUP(D684,'Crafting Tables'!$1:$1000, 4, false)*F684,"")</f>
        <v/>
      </c>
      <c r="K684" s="29" t="b">
        <v>0</v>
      </c>
      <c r="L684" s="37"/>
      <c r="M684" s="29"/>
      <c r="N684" s="21" t="str">
        <f t="shared" si="2"/>
        <v/>
      </c>
      <c r="P684" s="37"/>
      <c r="Q684" s="29"/>
      <c r="R684" s="29" t="b">
        <v>0</v>
      </c>
      <c r="S684" s="22" t="str">
        <f t="shared" si="3"/>
        <v/>
      </c>
      <c r="T684" s="7">
        <f>IF(ISBLANK(P684), 0, VLOOKUP(P684, 'Price Sheet'!$A$2:$B1015, 2, false))</f>
        <v>0</v>
      </c>
      <c r="U684" s="33" t="str">
        <f t="shared" si="4"/>
        <v/>
      </c>
      <c r="V684" s="37"/>
      <c r="W684" s="29"/>
      <c r="X684" s="29" t="b">
        <v>0</v>
      </c>
      <c r="Y684" s="22" t="str">
        <f t="shared" si="5"/>
        <v/>
      </c>
      <c r="Z684" s="7">
        <f>IF(ISBLANK(V684), 0, VLOOKUP(V684, 'Price Sheet'!$A$2:$B1015, 2, false))</f>
        <v>0</v>
      </c>
      <c r="AA684" s="33" t="str">
        <f t="shared" si="6"/>
        <v/>
      </c>
      <c r="AB684" s="37"/>
      <c r="AC684" s="29"/>
      <c r="AD684" s="29" t="b">
        <v>0</v>
      </c>
      <c r="AE684" s="22" t="str">
        <f t="shared" si="7"/>
        <v/>
      </c>
      <c r="AF684" s="7">
        <f>IF(ISBLANK(AB684), 0, VLOOKUP(AB684, 'Price Sheet'!$A$2:$B1015, 2, false))</f>
        <v>0</v>
      </c>
      <c r="AG684" s="33" t="str">
        <f t="shared" si="8"/>
        <v/>
      </c>
      <c r="AH684" s="37"/>
      <c r="AI684" s="29"/>
      <c r="AJ684" s="29" t="b">
        <v>0</v>
      </c>
      <c r="AK684" s="22" t="str">
        <f t="shared" si="9"/>
        <v/>
      </c>
      <c r="AL684" s="7">
        <f>IF(ISBLANK(AH684), 0, VLOOKUP(AH684, 'Price Sheet'!$A$2:$B1015, 2, false))</f>
        <v>0</v>
      </c>
      <c r="AM684" s="33" t="str">
        <f t="shared" si="10"/>
        <v/>
      </c>
      <c r="AN684" s="37"/>
      <c r="AO684" s="29"/>
      <c r="AP684" s="29" t="b">
        <v>0</v>
      </c>
      <c r="AQ684" s="22" t="str">
        <f t="shared" si="11"/>
        <v/>
      </c>
      <c r="AR684" s="7">
        <f>IF(ISBLANK(AN684), 0, VLOOKUP(AN684, 'Price Sheet'!$A$2:$B1015, 2, false))</f>
        <v>0</v>
      </c>
      <c r="AS684" s="33" t="str">
        <f t="shared" si="12"/>
        <v/>
      </c>
      <c r="AT684" s="37"/>
      <c r="AU684" s="29"/>
      <c r="AV684" s="29" t="b">
        <v>0</v>
      </c>
      <c r="AW684" s="22" t="str">
        <f t="shared" si="13"/>
        <v/>
      </c>
      <c r="AX684" s="7">
        <f>IF(ISBLANK(AT684), 0, VLOOKUP(AT684, 'Price Sheet'!$A$2:$B1015, 2, false))</f>
        <v>0</v>
      </c>
      <c r="AY684" s="33" t="str">
        <f t="shared" si="14"/>
        <v/>
      </c>
      <c r="AZ684" s="37"/>
      <c r="BA684" s="29"/>
      <c r="BB684" s="29" t="b">
        <v>0</v>
      </c>
      <c r="BC684" s="22" t="str">
        <f t="shared" si="15"/>
        <v/>
      </c>
      <c r="BD684" s="7">
        <f>IF(ISBLANK(AZ684), 0, VLOOKUP(AZ684, 'Price Sheet'!$A$2:$B1015, 2, false))</f>
        <v>0</v>
      </c>
      <c r="BE684" s="33" t="str">
        <f t="shared" si="16"/>
        <v/>
      </c>
      <c r="BF684" s="37"/>
      <c r="BG684" s="29"/>
      <c r="BH684" s="29" t="b">
        <v>0</v>
      </c>
      <c r="BI684" s="22" t="str">
        <f t="shared" si="17"/>
        <v/>
      </c>
      <c r="BJ684" s="7">
        <f>IF(ISBLANK(BF684), 0, VLOOKUP(BF684, 'Price Sheet'!$A$2:$B1015, 2, false))</f>
        <v>0</v>
      </c>
      <c r="BK684" s="33" t="str">
        <f t="shared" si="18"/>
        <v/>
      </c>
      <c r="BL684" s="37"/>
      <c r="BM684" s="29"/>
      <c r="BN684" s="29" t="b">
        <v>0</v>
      </c>
      <c r="BO684" s="22" t="str">
        <f t="shared" si="19"/>
        <v/>
      </c>
      <c r="BP684" s="7">
        <f>IF(ISBLANK(BL684), 0, VLOOKUP(BL684, 'Price Sheet'!$A$2:$B1015, 2, false))</f>
        <v>0</v>
      </c>
      <c r="BQ684" s="33" t="str">
        <f t="shared" si="20"/>
        <v/>
      </c>
    </row>
    <row r="685">
      <c r="B685" s="19"/>
      <c r="C685" s="29"/>
      <c r="D685" s="29"/>
      <c r="E685" s="7" t="str">
        <f>IF(ISBLANK(D685), "", VLOOKUP(D685,'Crafting Tables'!$A$2:$B1015, 2, false))</f>
        <v/>
      </c>
      <c r="F685" s="7" t="str">
        <f>IFERROR(IF(E685 = "None", 1, VLOOKUP(C685,General!$A$5:$L$35, SWITCH(E685, "Basic", 8, "Advanced", 10, "Modern", 12), false)),"")</f>
        <v/>
      </c>
      <c r="G685" s="29"/>
      <c r="H685" s="7">
        <f>IFERROR(VLOOKUP(C685, General!$A$5:$L$35, 6, false) * G685 / 1000, 0)</f>
        <v>0</v>
      </c>
      <c r="I685" s="29"/>
      <c r="J685" s="22" t="str">
        <f>IFERROR(I685*VLOOKUP(D685,'Crafting Tables'!$1:$1000, 4, false)*F685,"")</f>
        <v/>
      </c>
      <c r="K685" s="29" t="b">
        <v>0</v>
      </c>
      <c r="L685" s="37"/>
      <c r="M685" s="29"/>
      <c r="N685" s="21" t="str">
        <f t="shared" si="2"/>
        <v/>
      </c>
      <c r="P685" s="37"/>
      <c r="Q685" s="29"/>
      <c r="R685" s="29" t="b">
        <v>0</v>
      </c>
      <c r="S685" s="22" t="str">
        <f t="shared" si="3"/>
        <v/>
      </c>
      <c r="T685" s="7">
        <f>IF(ISBLANK(P685), 0, VLOOKUP(P685, 'Price Sheet'!$A$2:$B1015, 2, false))</f>
        <v>0</v>
      </c>
      <c r="U685" s="33" t="str">
        <f t="shared" si="4"/>
        <v/>
      </c>
      <c r="V685" s="37"/>
      <c r="W685" s="29"/>
      <c r="X685" s="29" t="b">
        <v>0</v>
      </c>
      <c r="Y685" s="22" t="str">
        <f t="shared" si="5"/>
        <v/>
      </c>
      <c r="Z685" s="7">
        <f>IF(ISBLANK(V685), 0, VLOOKUP(V685, 'Price Sheet'!$A$2:$B1015, 2, false))</f>
        <v>0</v>
      </c>
      <c r="AA685" s="33" t="str">
        <f t="shared" si="6"/>
        <v/>
      </c>
      <c r="AB685" s="37"/>
      <c r="AC685" s="29"/>
      <c r="AD685" s="29" t="b">
        <v>0</v>
      </c>
      <c r="AE685" s="22" t="str">
        <f t="shared" si="7"/>
        <v/>
      </c>
      <c r="AF685" s="7">
        <f>IF(ISBLANK(AB685), 0, VLOOKUP(AB685, 'Price Sheet'!$A$2:$B1015, 2, false))</f>
        <v>0</v>
      </c>
      <c r="AG685" s="33" t="str">
        <f t="shared" si="8"/>
        <v/>
      </c>
      <c r="AH685" s="37"/>
      <c r="AI685" s="29"/>
      <c r="AJ685" s="29" t="b">
        <v>0</v>
      </c>
      <c r="AK685" s="22" t="str">
        <f t="shared" si="9"/>
        <v/>
      </c>
      <c r="AL685" s="7">
        <f>IF(ISBLANK(AH685), 0, VLOOKUP(AH685, 'Price Sheet'!$A$2:$B1015, 2, false))</f>
        <v>0</v>
      </c>
      <c r="AM685" s="33" t="str">
        <f t="shared" si="10"/>
        <v/>
      </c>
      <c r="AN685" s="37"/>
      <c r="AO685" s="29"/>
      <c r="AP685" s="29" t="b">
        <v>0</v>
      </c>
      <c r="AQ685" s="22" t="str">
        <f t="shared" si="11"/>
        <v/>
      </c>
      <c r="AR685" s="7">
        <f>IF(ISBLANK(AN685), 0, VLOOKUP(AN685, 'Price Sheet'!$A$2:$B1015, 2, false))</f>
        <v>0</v>
      </c>
      <c r="AS685" s="33" t="str">
        <f t="shared" si="12"/>
        <v/>
      </c>
      <c r="AT685" s="37"/>
      <c r="AU685" s="29"/>
      <c r="AV685" s="29" t="b">
        <v>0</v>
      </c>
      <c r="AW685" s="22" t="str">
        <f t="shared" si="13"/>
        <v/>
      </c>
      <c r="AX685" s="7">
        <f>IF(ISBLANK(AT685), 0, VLOOKUP(AT685, 'Price Sheet'!$A$2:$B1015, 2, false))</f>
        <v>0</v>
      </c>
      <c r="AY685" s="33" t="str">
        <f t="shared" si="14"/>
        <v/>
      </c>
      <c r="AZ685" s="37"/>
      <c r="BA685" s="29"/>
      <c r="BB685" s="29" t="b">
        <v>0</v>
      </c>
      <c r="BC685" s="22" t="str">
        <f t="shared" si="15"/>
        <v/>
      </c>
      <c r="BD685" s="7">
        <f>IF(ISBLANK(AZ685), 0, VLOOKUP(AZ685, 'Price Sheet'!$A$2:$B1015, 2, false))</f>
        <v>0</v>
      </c>
      <c r="BE685" s="33" t="str">
        <f t="shared" si="16"/>
        <v/>
      </c>
      <c r="BF685" s="37"/>
      <c r="BG685" s="29"/>
      <c r="BH685" s="29" t="b">
        <v>0</v>
      </c>
      <c r="BI685" s="22" t="str">
        <f t="shared" si="17"/>
        <v/>
      </c>
      <c r="BJ685" s="7">
        <f>IF(ISBLANK(BF685), 0, VLOOKUP(BF685, 'Price Sheet'!$A$2:$B1015, 2, false))</f>
        <v>0</v>
      </c>
      <c r="BK685" s="33" t="str">
        <f t="shared" si="18"/>
        <v/>
      </c>
      <c r="BL685" s="37"/>
      <c r="BM685" s="29"/>
      <c r="BN685" s="29" t="b">
        <v>0</v>
      </c>
      <c r="BO685" s="22" t="str">
        <f t="shared" si="19"/>
        <v/>
      </c>
      <c r="BP685" s="7">
        <f>IF(ISBLANK(BL685), 0, VLOOKUP(BL685, 'Price Sheet'!$A$2:$B1015, 2, false))</f>
        <v>0</v>
      </c>
      <c r="BQ685" s="33" t="str">
        <f t="shared" si="20"/>
        <v/>
      </c>
    </row>
    <row r="686">
      <c r="B686" s="19"/>
      <c r="C686" s="29"/>
      <c r="D686" s="29"/>
      <c r="E686" s="7" t="str">
        <f>IF(ISBLANK(D686), "", VLOOKUP(D686,'Crafting Tables'!$A$2:$B1015, 2, false))</f>
        <v/>
      </c>
      <c r="F686" s="7" t="str">
        <f>IFERROR(IF(E686 = "None", 1, VLOOKUP(C686,General!$A$5:$L$35, SWITCH(E686, "Basic", 8, "Advanced", 10, "Modern", 12), false)),"")</f>
        <v/>
      </c>
      <c r="G686" s="29"/>
      <c r="H686" s="7">
        <f>IFERROR(VLOOKUP(C686, General!$A$5:$L$35, 6, false) * G686 / 1000, 0)</f>
        <v>0</v>
      </c>
      <c r="I686" s="29"/>
      <c r="J686" s="22" t="str">
        <f>IFERROR(I686*VLOOKUP(D686,'Crafting Tables'!$1:$1000, 4, false)*F686,"")</f>
        <v/>
      </c>
      <c r="K686" s="29" t="b">
        <v>0</v>
      </c>
      <c r="L686" s="37"/>
      <c r="M686" s="29"/>
      <c r="N686" s="21" t="str">
        <f t="shared" si="2"/>
        <v/>
      </c>
      <c r="P686" s="37"/>
      <c r="Q686" s="29"/>
      <c r="R686" s="29" t="b">
        <v>0</v>
      </c>
      <c r="S686" s="22" t="str">
        <f t="shared" si="3"/>
        <v/>
      </c>
      <c r="T686" s="7">
        <f>IF(ISBLANK(P686), 0, VLOOKUP(P686, 'Price Sheet'!$A$2:$B1015, 2, false))</f>
        <v>0</v>
      </c>
      <c r="U686" s="33" t="str">
        <f t="shared" si="4"/>
        <v/>
      </c>
      <c r="V686" s="37"/>
      <c r="W686" s="29"/>
      <c r="X686" s="29" t="b">
        <v>0</v>
      </c>
      <c r="Y686" s="22" t="str">
        <f t="shared" si="5"/>
        <v/>
      </c>
      <c r="Z686" s="7">
        <f>IF(ISBLANK(V686), 0, VLOOKUP(V686, 'Price Sheet'!$A$2:$B1015, 2, false))</f>
        <v>0</v>
      </c>
      <c r="AA686" s="33" t="str">
        <f t="shared" si="6"/>
        <v/>
      </c>
      <c r="AB686" s="37"/>
      <c r="AC686" s="29"/>
      <c r="AD686" s="29" t="b">
        <v>0</v>
      </c>
      <c r="AE686" s="22" t="str">
        <f t="shared" si="7"/>
        <v/>
      </c>
      <c r="AF686" s="7">
        <f>IF(ISBLANK(AB686), 0, VLOOKUP(AB686, 'Price Sheet'!$A$2:$B1015, 2, false))</f>
        <v>0</v>
      </c>
      <c r="AG686" s="33" t="str">
        <f t="shared" si="8"/>
        <v/>
      </c>
      <c r="AH686" s="37"/>
      <c r="AI686" s="29"/>
      <c r="AJ686" s="29" t="b">
        <v>0</v>
      </c>
      <c r="AK686" s="22" t="str">
        <f t="shared" si="9"/>
        <v/>
      </c>
      <c r="AL686" s="7">
        <f>IF(ISBLANK(AH686), 0, VLOOKUP(AH686, 'Price Sheet'!$A$2:$B1015, 2, false))</f>
        <v>0</v>
      </c>
      <c r="AM686" s="33" t="str">
        <f t="shared" si="10"/>
        <v/>
      </c>
      <c r="AN686" s="37"/>
      <c r="AO686" s="29"/>
      <c r="AP686" s="29" t="b">
        <v>0</v>
      </c>
      <c r="AQ686" s="22" t="str">
        <f t="shared" si="11"/>
        <v/>
      </c>
      <c r="AR686" s="7">
        <f>IF(ISBLANK(AN686), 0, VLOOKUP(AN686, 'Price Sheet'!$A$2:$B1015, 2, false))</f>
        <v>0</v>
      </c>
      <c r="AS686" s="33" t="str">
        <f t="shared" si="12"/>
        <v/>
      </c>
      <c r="AT686" s="37"/>
      <c r="AU686" s="29"/>
      <c r="AV686" s="29" t="b">
        <v>0</v>
      </c>
      <c r="AW686" s="22" t="str">
        <f t="shared" si="13"/>
        <v/>
      </c>
      <c r="AX686" s="7">
        <f>IF(ISBLANK(AT686), 0, VLOOKUP(AT686, 'Price Sheet'!$A$2:$B1015, 2, false))</f>
        <v>0</v>
      </c>
      <c r="AY686" s="33" t="str">
        <f t="shared" si="14"/>
        <v/>
      </c>
      <c r="AZ686" s="37"/>
      <c r="BA686" s="29"/>
      <c r="BB686" s="29" t="b">
        <v>0</v>
      </c>
      <c r="BC686" s="22" t="str">
        <f t="shared" si="15"/>
        <v/>
      </c>
      <c r="BD686" s="7">
        <f>IF(ISBLANK(AZ686), 0, VLOOKUP(AZ686, 'Price Sheet'!$A$2:$B1015, 2, false))</f>
        <v>0</v>
      </c>
      <c r="BE686" s="33" t="str">
        <f t="shared" si="16"/>
        <v/>
      </c>
      <c r="BF686" s="37"/>
      <c r="BG686" s="29"/>
      <c r="BH686" s="29" t="b">
        <v>0</v>
      </c>
      <c r="BI686" s="22" t="str">
        <f t="shared" si="17"/>
        <v/>
      </c>
      <c r="BJ686" s="7">
        <f>IF(ISBLANK(BF686), 0, VLOOKUP(BF686, 'Price Sheet'!$A$2:$B1015, 2, false))</f>
        <v>0</v>
      </c>
      <c r="BK686" s="33" t="str">
        <f t="shared" si="18"/>
        <v/>
      </c>
      <c r="BL686" s="37"/>
      <c r="BM686" s="29"/>
      <c r="BN686" s="29" t="b">
        <v>0</v>
      </c>
      <c r="BO686" s="22" t="str">
        <f t="shared" si="19"/>
        <v/>
      </c>
      <c r="BP686" s="7">
        <f>IF(ISBLANK(BL686), 0, VLOOKUP(BL686, 'Price Sheet'!$A$2:$B1015, 2, false))</f>
        <v>0</v>
      </c>
      <c r="BQ686" s="33" t="str">
        <f t="shared" si="20"/>
        <v/>
      </c>
    </row>
    <row r="687">
      <c r="B687" s="19"/>
      <c r="C687" s="29"/>
      <c r="D687" s="29"/>
      <c r="E687" s="7" t="str">
        <f>IF(ISBLANK(D687), "", VLOOKUP(D687,'Crafting Tables'!$A$2:$B1015, 2, false))</f>
        <v/>
      </c>
      <c r="F687" s="7" t="str">
        <f>IFERROR(IF(E687 = "None", 1, VLOOKUP(C687,General!$A$5:$L$35, SWITCH(E687, "Basic", 8, "Advanced", 10, "Modern", 12), false)),"")</f>
        <v/>
      </c>
      <c r="G687" s="29"/>
      <c r="H687" s="7">
        <f>IFERROR(VLOOKUP(C687, General!$A$5:$L$35, 6, false) * G687 / 1000, 0)</f>
        <v>0</v>
      </c>
      <c r="I687" s="29"/>
      <c r="J687" s="22" t="str">
        <f>IFERROR(I687*VLOOKUP(D687,'Crafting Tables'!$1:$1000, 4, false)*F687,"")</f>
        <v/>
      </c>
      <c r="K687" s="29" t="b">
        <v>0</v>
      </c>
      <c r="L687" s="37"/>
      <c r="M687" s="29"/>
      <c r="N687" s="21" t="str">
        <f t="shared" si="2"/>
        <v/>
      </c>
      <c r="P687" s="37"/>
      <c r="Q687" s="29"/>
      <c r="R687" s="29" t="b">
        <v>0</v>
      </c>
      <c r="S687" s="22" t="str">
        <f t="shared" si="3"/>
        <v/>
      </c>
      <c r="T687" s="7">
        <f>IF(ISBLANK(P687), 0, VLOOKUP(P687, 'Price Sheet'!$A$2:$B1015, 2, false))</f>
        <v>0</v>
      </c>
      <c r="U687" s="33" t="str">
        <f t="shared" si="4"/>
        <v/>
      </c>
      <c r="V687" s="37"/>
      <c r="W687" s="29"/>
      <c r="X687" s="29" t="b">
        <v>0</v>
      </c>
      <c r="Y687" s="22" t="str">
        <f t="shared" si="5"/>
        <v/>
      </c>
      <c r="Z687" s="7">
        <f>IF(ISBLANK(V687), 0, VLOOKUP(V687, 'Price Sheet'!$A$2:$B1015, 2, false))</f>
        <v>0</v>
      </c>
      <c r="AA687" s="33" t="str">
        <f t="shared" si="6"/>
        <v/>
      </c>
      <c r="AB687" s="37"/>
      <c r="AC687" s="29"/>
      <c r="AD687" s="29" t="b">
        <v>0</v>
      </c>
      <c r="AE687" s="22" t="str">
        <f t="shared" si="7"/>
        <v/>
      </c>
      <c r="AF687" s="7">
        <f>IF(ISBLANK(AB687), 0, VLOOKUP(AB687, 'Price Sheet'!$A$2:$B1015, 2, false))</f>
        <v>0</v>
      </c>
      <c r="AG687" s="33" t="str">
        <f t="shared" si="8"/>
        <v/>
      </c>
      <c r="AH687" s="37"/>
      <c r="AI687" s="29"/>
      <c r="AJ687" s="29" t="b">
        <v>0</v>
      </c>
      <c r="AK687" s="22" t="str">
        <f t="shared" si="9"/>
        <v/>
      </c>
      <c r="AL687" s="7">
        <f>IF(ISBLANK(AH687), 0, VLOOKUP(AH687, 'Price Sheet'!$A$2:$B1015, 2, false))</f>
        <v>0</v>
      </c>
      <c r="AM687" s="33" t="str">
        <f t="shared" si="10"/>
        <v/>
      </c>
      <c r="AN687" s="37"/>
      <c r="AO687" s="29"/>
      <c r="AP687" s="29" t="b">
        <v>0</v>
      </c>
      <c r="AQ687" s="22" t="str">
        <f t="shared" si="11"/>
        <v/>
      </c>
      <c r="AR687" s="7">
        <f>IF(ISBLANK(AN687), 0, VLOOKUP(AN687, 'Price Sheet'!$A$2:$B1015, 2, false))</f>
        <v>0</v>
      </c>
      <c r="AS687" s="33" t="str">
        <f t="shared" si="12"/>
        <v/>
      </c>
      <c r="AT687" s="37"/>
      <c r="AU687" s="29"/>
      <c r="AV687" s="29" t="b">
        <v>0</v>
      </c>
      <c r="AW687" s="22" t="str">
        <f t="shared" si="13"/>
        <v/>
      </c>
      <c r="AX687" s="7">
        <f>IF(ISBLANK(AT687), 0, VLOOKUP(AT687, 'Price Sheet'!$A$2:$B1015, 2, false))</f>
        <v>0</v>
      </c>
      <c r="AY687" s="33" t="str">
        <f t="shared" si="14"/>
        <v/>
      </c>
      <c r="AZ687" s="37"/>
      <c r="BA687" s="29"/>
      <c r="BB687" s="29" t="b">
        <v>0</v>
      </c>
      <c r="BC687" s="22" t="str">
        <f t="shared" si="15"/>
        <v/>
      </c>
      <c r="BD687" s="7">
        <f>IF(ISBLANK(AZ687), 0, VLOOKUP(AZ687, 'Price Sheet'!$A$2:$B1015, 2, false))</f>
        <v>0</v>
      </c>
      <c r="BE687" s="33" t="str">
        <f t="shared" si="16"/>
        <v/>
      </c>
      <c r="BF687" s="37"/>
      <c r="BG687" s="29"/>
      <c r="BH687" s="29" t="b">
        <v>0</v>
      </c>
      <c r="BI687" s="22" t="str">
        <f t="shared" si="17"/>
        <v/>
      </c>
      <c r="BJ687" s="7">
        <f>IF(ISBLANK(BF687), 0, VLOOKUP(BF687, 'Price Sheet'!$A$2:$B1015, 2, false))</f>
        <v>0</v>
      </c>
      <c r="BK687" s="33" t="str">
        <f t="shared" si="18"/>
        <v/>
      </c>
      <c r="BL687" s="37"/>
      <c r="BM687" s="29"/>
      <c r="BN687" s="29" t="b">
        <v>0</v>
      </c>
      <c r="BO687" s="22" t="str">
        <f t="shared" si="19"/>
        <v/>
      </c>
      <c r="BP687" s="7">
        <f>IF(ISBLANK(BL687), 0, VLOOKUP(BL687, 'Price Sheet'!$A$2:$B1015, 2, false))</f>
        <v>0</v>
      </c>
      <c r="BQ687" s="33" t="str">
        <f t="shared" si="20"/>
        <v/>
      </c>
    </row>
    <row r="688">
      <c r="B688" s="19"/>
      <c r="C688" s="29"/>
      <c r="D688" s="29"/>
      <c r="E688" s="7" t="str">
        <f>IF(ISBLANK(D688), "", VLOOKUP(D688,'Crafting Tables'!$A$2:$B1015, 2, false))</f>
        <v/>
      </c>
      <c r="F688" s="7" t="str">
        <f>IFERROR(IF(E688 = "None", 1, VLOOKUP(C688,General!$A$5:$L$35, SWITCH(E688, "Basic", 8, "Advanced", 10, "Modern", 12), false)),"")</f>
        <v/>
      </c>
      <c r="G688" s="29"/>
      <c r="H688" s="7">
        <f>IFERROR(VLOOKUP(C688, General!$A$5:$L$35, 6, false) * G688 / 1000, 0)</f>
        <v>0</v>
      </c>
      <c r="I688" s="29"/>
      <c r="J688" s="22" t="str">
        <f>IFERROR(I688*VLOOKUP(D688,'Crafting Tables'!$1:$1000, 4, false)*F688,"")</f>
        <v/>
      </c>
      <c r="K688" s="29" t="b">
        <v>0</v>
      </c>
      <c r="L688" s="37"/>
      <c r="M688" s="29"/>
      <c r="N688" s="21" t="str">
        <f t="shared" si="2"/>
        <v/>
      </c>
      <c r="P688" s="37"/>
      <c r="Q688" s="29"/>
      <c r="R688" s="29" t="b">
        <v>0</v>
      </c>
      <c r="S688" s="22" t="str">
        <f t="shared" si="3"/>
        <v/>
      </c>
      <c r="T688" s="7">
        <f>IF(ISBLANK(P688), 0, VLOOKUP(P688, 'Price Sheet'!$A$2:$B1015, 2, false))</f>
        <v>0</v>
      </c>
      <c r="U688" s="33" t="str">
        <f t="shared" si="4"/>
        <v/>
      </c>
      <c r="V688" s="37"/>
      <c r="W688" s="29"/>
      <c r="X688" s="29" t="b">
        <v>0</v>
      </c>
      <c r="Y688" s="22" t="str">
        <f t="shared" si="5"/>
        <v/>
      </c>
      <c r="Z688" s="7">
        <f>IF(ISBLANK(V688), 0, VLOOKUP(V688, 'Price Sheet'!$A$2:$B1015, 2, false))</f>
        <v>0</v>
      </c>
      <c r="AA688" s="33" t="str">
        <f t="shared" si="6"/>
        <v/>
      </c>
      <c r="AB688" s="37"/>
      <c r="AC688" s="29"/>
      <c r="AD688" s="29" t="b">
        <v>0</v>
      </c>
      <c r="AE688" s="22" t="str">
        <f t="shared" si="7"/>
        <v/>
      </c>
      <c r="AF688" s="7">
        <f>IF(ISBLANK(AB688), 0, VLOOKUP(AB688, 'Price Sheet'!$A$2:$B1015, 2, false))</f>
        <v>0</v>
      </c>
      <c r="AG688" s="33" t="str">
        <f t="shared" si="8"/>
        <v/>
      </c>
      <c r="AH688" s="37"/>
      <c r="AI688" s="29"/>
      <c r="AJ688" s="29" t="b">
        <v>0</v>
      </c>
      <c r="AK688" s="22" t="str">
        <f t="shared" si="9"/>
        <v/>
      </c>
      <c r="AL688" s="7">
        <f>IF(ISBLANK(AH688), 0, VLOOKUP(AH688, 'Price Sheet'!$A$2:$B1015, 2, false))</f>
        <v>0</v>
      </c>
      <c r="AM688" s="33" t="str">
        <f t="shared" si="10"/>
        <v/>
      </c>
      <c r="AN688" s="37"/>
      <c r="AO688" s="29"/>
      <c r="AP688" s="29" t="b">
        <v>0</v>
      </c>
      <c r="AQ688" s="22" t="str">
        <f t="shared" si="11"/>
        <v/>
      </c>
      <c r="AR688" s="7">
        <f>IF(ISBLANK(AN688), 0, VLOOKUP(AN688, 'Price Sheet'!$A$2:$B1015, 2, false))</f>
        <v>0</v>
      </c>
      <c r="AS688" s="33" t="str">
        <f t="shared" si="12"/>
        <v/>
      </c>
      <c r="AT688" s="37"/>
      <c r="AU688" s="29"/>
      <c r="AV688" s="29" t="b">
        <v>0</v>
      </c>
      <c r="AW688" s="22" t="str">
        <f t="shared" si="13"/>
        <v/>
      </c>
      <c r="AX688" s="7">
        <f>IF(ISBLANK(AT688), 0, VLOOKUP(AT688, 'Price Sheet'!$A$2:$B1015, 2, false))</f>
        <v>0</v>
      </c>
      <c r="AY688" s="33" t="str">
        <f t="shared" si="14"/>
        <v/>
      </c>
      <c r="AZ688" s="37"/>
      <c r="BA688" s="29"/>
      <c r="BB688" s="29" t="b">
        <v>0</v>
      </c>
      <c r="BC688" s="22" t="str">
        <f t="shared" si="15"/>
        <v/>
      </c>
      <c r="BD688" s="7">
        <f>IF(ISBLANK(AZ688), 0, VLOOKUP(AZ688, 'Price Sheet'!$A$2:$B1015, 2, false))</f>
        <v>0</v>
      </c>
      <c r="BE688" s="33" t="str">
        <f t="shared" si="16"/>
        <v/>
      </c>
      <c r="BF688" s="37"/>
      <c r="BG688" s="29"/>
      <c r="BH688" s="29" t="b">
        <v>0</v>
      </c>
      <c r="BI688" s="22" t="str">
        <f t="shared" si="17"/>
        <v/>
      </c>
      <c r="BJ688" s="7">
        <f>IF(ISBLANK(BF688), 0, VLOOKUP(BF688, 'Price Sheet'!$A$2:$B1015, 2, false))</f>
        <v>0</v>
      </c>
      <c r="BK688" s="33" t="str">
        <f t="shared" si="18"/>
        <v/>
      </c>
      <c r="BL688" s="37"/>
      <c r="BM688" s="29"/>
      <c r="BN688" s="29" t="b">
        <v>0</v>
      </c>
      <c r="BO688" s="22" t="str">
        <f t="shared" si="19"/>
        <v/>
      </c>
      <c r="BP688" s="7">
        <f>IF(ISBLANK(BL688), 0, VLOOKUP(BL688, 'Price Sheet'!$A$2:$B1015, 2, false))</f>
        <v>0</v>
      </c>
      <c r="BQ688" s="33" t="str">
        <f t="shared" si="20"/>
        <v/>
      </c>
    </row>
    <row r="689">
      <c r="B689" s="19"/>
      <c r="C689" s="29"/>
      <c r="D689" s="29"/>
      <c r="E689" s="7" t="str">
        <f>IF(ISBLANK(D689), "", VLOOKUP(D689,'Crafting Tables'!$A$2:$B1015, 2, false))</f>
        <v/>
      </c>
      <c r="F689" s="7" t="str">
        <f>IFERROR(IF(E689 = "None", 1, VLOOKUP(C689,General!$A$5:$L$35, SWITCH(E689, "Basic", 8, "Advanced", 10, "Modern", 12), false)),"")</f>
        <v/>
      </c>
      <c r="G689" s="29"/>
      <c r="H689" s="7">
        <f>IFERROR(VLOOKUP(C689, General!$A$5:$L$35, 6, false) * G689 / 1000, 0)</f>
        <v>0</v>
      </c>
      <c r="I689" s="29"/>
      <c r="J689" s="22" t="str">
        <f>IFERROR(I689*VLOOKUP(D689,'Crafting Tables'!$1:$1000, 4, false)*F689,"")</f>
        <v/>
      </c>
      <c r="K689" s="29" t="b">
        <v>0</v>
      </c>
      <c r="L689" s="37"/>
      <c r="M689" s="29"/>
      <c r="N689" s="21" t="str">
        <f t="shared" si="2"/>
        <v/>
      </c>
      <c r="P689" s="37"/>
      <c r="Q689" s="29"/>
      <c r="R689" s="29" t="b">
        <v>0</v>
      </c>
      <c r="S689" s="22" t="str">
        <f t="shared" si="3"/>
        <v/>
      </c>
      <c r="T689" s="7">
        <f>IF(ISBLANK(P689), 0, VLOOKUP(P689, 'Price Sheet'!$A$2:$B1015, 2, false))</f>
        <v>0</v>
      </c>
      <c r="U689" s="33" t="str">
        <f t="shared" si="4"/>
        <v/>
      </c>
      <c r="V689" s="37"/>
      <c r="W689" s="29"/>
      <c r="X689" s="29" t="b">
        <v>0</v>
      </c>
      <c r="Y689" s="22" t="str">
        <f t="shared" si="5"/>
        <v/>
      </c>
      <c r="Z689" s="7">
        <f>IF(ISBLANK(V689), 0, VLOOKUP(V689, 'Price Sheet'!$A$2:$B1015, 2, false))</f>
        <v>0</v>
      </c>
      <c r="AA689" s="33" t="str">
        <f t="shared" si="6"/>
        <v/>
      </c>
      <c r="AB689" s="37"/>
      <c r="AC689" s="29"/>
      <c r="AD689" s="29" t="b">
        <v>0</v>
      </c>
      <c r="AE689" s="22" t="str">
        <f t="shared" si="7"/>
        <v/>
      </c>
      <c r="AF689" s="7">
        <f>IF(ISBLANK(AB689), 0, VLOOKUP(AB689, 'Price Sheet'!$A$2:$B1015, 2, false))</f>
        <v>0</v>
      </c>
      <c r="AG689" s="33" t="str">
        <f t="shared" si="8"/>
        <v/>
      </c>
      <c r="AH689" s="37"/>
      <c r="AI689" s="29"/>
      <c r="AJ689" s="29" t="b">
        <v>0</v>
      </c>
      <c r="AK689" s="22" t="str">
        <f t="shared" si="9"/>
        <v/>
      </c>
      <c r="AL689" s="7">
        <f>IF(ISBLANK(AH689), 0, VLOOKUP(AH689, 'Price Sheet'!$A$2:$B1015, 2, false))</f>
        <v>0</v>
      </c>
      <c r="AM689" s="33" t="str">
        <f t="shared" si="10"/>
        <v/>
      </c>
      <c r="AN689" s="37"/>
      <c r="AO689" s="29"/>
      <c r="AP689" s="29" t="b">
        <v>0</v>
      </c>
      <c r="AQ689" s="22" t="str">
        <f t="shared" si="11"/>
        <v/>
      </c>
      <c r="AR689" s="7">
        <f>IF(ISBLANK(AN689), 0, VLOOKUP(AN689, 'Price Sheet'!$A$2:$B1015, 2, false))</f>
        <v>0</v>
      </c>
      <c r="AS689" s="33" t="str">
        <f t="shared" si="12"/>
        <v/>
      </c>
      <c r="AT689" s="37"/>
      <c r="AU689" s="29"/>
      <c r="AV689" s="29" t="b">
        <v>0</v>
      </c>
      <c r="AW689" s="22" t="str">
        <f t="shared" si="13"/>
        <v/>
      </c>
      <c r="AX689" s="7">
        <f>IF(ISBLANK(AT689), 0, VLOOKUP(AT689, 'Price Sheet'!$A$2:$B1015, 2, false))</f>
        <v>0</v>
      </c>
      <c r="AY689" s="33" t="str">
        <f t="shared" si="14"/>
        <v/>
      </c>
      <c r="AZ689" s="37"/>
      <c r="BA689" s="29"/>
      <c r="BB689" s="29" t="b">
        <v>0</v>
      </c>
      <c r="BC689" s="22" t="str">
        <f t="shared" si="15"/>
        <v/>
      </c>
      <c r="BD689" s="7">
        <f>IF(ISBLANK(AZ689), 0, VLOOKUP(AZ689, 'Price Sheet'!$A$2:$B1015, 2, false))</f>
        <v>0</v>
      </c>
      <c r="BE689" s="33" t="str">
        <f t="shared" si="16"/>
        <v/>
      </c>
      <c r="BF689" s="37"/>
      <c r="BG689" s="29"/>
      <c r="BH689" s="29" t="b">
        <v>0</v>
      </c>
      <c r="BI689" s="22" t="str">
        <f t="shared" si="17"/>
        <v/>
      </c>
      <c r="BJ689" s="7">
        <f>IF(ISBLANK(BF689), 0, VLOOKUP(BF689, 'Price Sheet'!$A$2:$B1015, 2, false))</f>
        <v>0</v>
      </c>
      <c r="BK689" s="33" t="str">
        <f t="shared" si="18"/>
        <v/>
      </c>
      <c r="BL689" s="37"/>
      <c r="BM689" s="29"/>
      <c r="BN689" s="29" t="b">
        <v>0</v>
      </c>
      <c r="BO689" s="22" t="str">
        <f t="shared" si="19"/>
        <v/>
      </c>
      <c r="BP689" s="7">
        <f>IF(ISBLANK(BL689), 0, VLOOKUP(BL689, 'Price Sheet'!$A$2:$B1015, 2, false))</f>
        <v>0</v>
      </c>
      <c r="BQ689" s="33" t="str">
        <f t="shared" si="20"/>
        <v/>
      </c>
    </row>
    <row r="690">
      <c r="B690" s="19"/>
      <c r="C690" s="29"/>
      <c r="D690" s="29"/>
      <c r="E690" s="7" t="str">
        <f>IF(ISBLANK(D690), "", VLOOKUP(D690,'Crafting Tables'!$A$2:$B1015, 2, false))</f>
        <v/>
      </c>
      <c r="F690" s="7" t="str">
        <f>IFERROR(IF(E690 = "None", 1, VLOOKUP(C690,General!$A$5:$L$35, SWITCH(E690, "Basic", 8, "Advanced", 10, "Modern", 12), false)),"")</f>
        <v/>
      </c>
      <c r="G690" s="29"/>
      <c r="H690" s="7">
        <f>IFERROR(VLOOKUP(C690, General!$A$5:$L$35, 6, false) * G690 / 1000, 0)</f>
        <v>0</v>
      </c>
      <c r="I690" s="29"/>
      <c r="J690" s="22" t="str">
        <f>IFERROR(I690*VLOOKUP(D690,'Crafting Tables'!$1:$1000, 4, false)*F690,"")</f>
        <v/>
      </c>
      <c r="K690" s="29" t="b">
        <v>0</v>
      </c>
      <c r="L690" s="37"/>
      <c r="M690" s="29"/>
      <c r="N690" s="21" t="str">
        <f t="shared" si="2"/>
        <v/>
      </c>
      <c r="P690" s="37"/>
      <c r="Q690" s="29"/>
      <c r="R690" s="29" t="b">
        <v>0</v>
      </c>
      <c r="S690" s="22" t="str">
        <f t="shared" si="3"/>
        <v/>
      </c>
      <c r="T690" s="7">
        <f>IF(ISBLANK(P690), 0, VLOOKUP(P690, 'Price Sheet'!$A$2:$B1015, 2, false))</f>
        <v>0</v>
      </c>
      <c r="U690" s="33" t="str">
        <f t="shared" si="4"/>
        <v/>
      </c>
      <c r="V690" s="37"/>
      <c r="W690" s="29"/>
      <c r="X690" s="29" t="b">
        <v>0</v>
      </c>
      <c r="Y690" s="22" t="str">
        <f t="shared" si="5"/>
        <v/>
      </c>
      <c r="Z690" s="7">
        <f>IF(ISBLANK(V690), 0, VLOOKUP(V690, 'Price Sheet'!$A$2:$B1015, 2, false))</f>
        <v>0</v>
      </c>
      <c r="AA690" s="33" t="str">
        <f t="shared" si="6"/>
        <v/>
      </c>
      <c r="AB690" s="37"/>
      <c r="AC690" s="29"/>
      <c r="AD690" s="29" t="b">
        <v>0</v>
      </c>
      <c r="AE690" s="22" t="str">
        <f t="shared" si="7"/>
        <v/>
      </c>
      <c r="AF690" s="7">
        <f>IF(ISBLANK(AB690), 0, VLOOKUP(AB690, 'Price Sheet'!$A$2:$B1015, 2, false))</f>
        <v>0</v>
      </c>
      <c r="AG690" s="33" t="str">
        <f t="shared" si="8"/>
        <v/>
      </c>
      <c r="AH690" s="37"/>
      <c r="AI690" s="29"/>
      <c r="AJ690" s="29" t="b">
        <v>0</v>
      </c>
      <c r="AK690" s="22" t="str">
        <f t="shared" si="9"/>
        <v/>
      </c>
      <c r="AL690" s="7">
        <f>IF(ISBLANK(AH690), 0, VLOOKUP(AH690, 'Price Sheet'!$A$2:$B1015, 2, false))</f>
        <v>0</v>
      </c>
      <c r="AM690" s="33" t="str">
        <f t="shared" si="10"/>
        <v/>
      </c>
      <c r="AN690" s="37"/>
      <c r="AO690" s="29"/>
      <c r="AP690" s="29" t="b">
        <v>0</v>
      </c>
      <c r="AQ690" s="22" t="str">
        <f t="shared" si="11"/>
        <v/>
      </c>
      <c r="AR690" s="7">
        <f>IF(ISBLANK(AN690), 0, VLOOKUP(AN690, 'Price Sheet'!$A$2:$B1015, 2, false))</f>
        <v>0</v>
      </c>
      <c r="AS690" s="33" t="str">
        <f t="shared" si="12"/>
        <v/>
      </c>
      <c r="AT690" s="37"/>
      <c r="AU690" s="29"/>
      <c r="AV690" s="29" t="b">
        <v>0</v>
      </c>
      <c r="AW690" s="22" t="str">
        <f t="shared" si="13"/>
        <v/>
      </c>
      <c r="AX690" s="7">
        <f>IF(ISBLANK(AT690), 0, VLOOKUP(AT690, 'Price Sheet'!$A$2:$B1015, 2, false))</f>
        <v>0</v>
      </c>
      <c r="AY690" s="33" t="str">
        <f t="shared" si="14"/>
        <v/>
      </c>
      <c r="AZ690" s="37"/>
      <c r="BA690" s="29"/>
      <c r="BB690" s="29" t="b">
        <v>0</v>
      </c>
      <c r="BC690" s="22" t="str">
        <f t="shared" si="15"/>
        <v/>
      </c>
      <c r="BD690" s="7">
        <f>IF(ISBLANK(AZ690), 0, VLOOKUP(AZ690, 'Price Sheet'!$A$2:$B1015, 2, false))</f>
        <v>0</v>
      </c>
      <c r="BE690" s="33" t="str">
        <f t="shared" si="16"/>
        <v/>
      </c>
      <c r="BF690" s="37"/>
      <c r="BG690" s="29"/>
      <c r="BH690" s="29" t="b">
        <v>0</v>
      </c>
      <c r="BI690" s="22" t="str">
        <f t="shared" si="17"/>
        <v/>
      </c>
      <c r="BJ690" s="7">
        <f>IF(ISBLANK(BF690), 0, VLOOKUP(BF690, 'Price Sheet'!$A$2:$B1015, 2, false))</f>
        <v>0</v>
      </c>
      <c r="BK690" s="33" t="str">
        <f t="shared" si="18"/>
        <v/>
      </c>
      <c r="BL690" s="37"/>
      <c r="BM690" s="29"/>
      <c r="BN690" s="29" t="b">
        <v>0</v>
      </c>
      <c r="BO690" s="22" t="str">
        <f t="shared" si="19"/>
        <v/>
      </c>
      <c r="BP690" s="7">
        <f>IF(ISBLANK(BL690), 0, VLOOKUP(BL690, 'Price Sheet'!$A$2:$B1015, 2, false))</f>
        <v>0</v>
      </c>
      <c r="BQ690" s="33" t="str">
        <f t="shared" si="20"/>
        <v/>
      </c>
    </row>
    <row r="691">
      <c r="B691" s="19"/>
      <c r="C691" s="29"/>
      <c r="D691" s="29"/>
      <c r="E691" s="7" t="str">
        <f>IF(ISBLANK(D691), "", VLOOKUP(D691,'Crafting Tables'!$A$2:$B1015, 2, false))</f>
        <v/>
      </c>
      <c r="F691" s="7" t="str">
        <f>IFERROR(IF(E691 = "None", 1, VLOOKUP(C691,General!$A$5:$L$35, SWITCH(E691, "Basic", 8, "Advanced", 10, "Modern", 12), false)),"")</f>
        <v/>
      </c>
      <c r="G691" s="29"/>
      <c r="H691" s="7">
        <f>IFERROR(VLOOKUP(C691, General!$A$5:$L$35, 6, false) * G691 / 1000, 0)</f>
        <v>0</v>
      </c>
      <c r="I691" s="29"/>
      <c r="J691" s="22" t="str">
        <f>IFERROR(I691*VLOOKUP(D691,'Crafting Tables'!$1:$1000, 4, false)*F691,"")</f>
        <v/>
      </c>
      <c r="K691" s="29" t="b">
        <v>0</v>
      </c>
      <c r="L691" s="37"/>
      <c r="M691" s="29"/>
      <c r="N691" s="21" t="str">
        <f t="shared" si="2"/>
        <v/>
      </c>
      <c r="P691" s="37"/>
      <c r="Q691" s="29"/>
      <c r="R691" s="29" t="b">
        <v>0</v>
      </c>
      <c r="S691" s="22" t="str">
        <f t="shared" si="3"/>
        <v/>
      </c>
      <c r="T691" s="7">
        <f>IF(ISBLANK(P691), 0, VLOOKUP(P691, 'Price Sheet'!$A$2:$B1015, 2, false))</f>
        <v>0</v>
      </c>
      <c r="U691" s="33" t="str">
        <f t="shared" si="4"/>
        <v/>
      </c>
      <c r="V691" s="37"/>
      <c r="W691" s="29"/>
      <c r="X691" s="29" t="b">
        <v>0</v>
      </c>
      <c r="Y691" s="22" t="str">
        <f t="shared" si="5"/>
        <v/>
      </c>
      <c r="Z691" s="7">
        <f>IF(ISBLANK(V691), 0, VLOOKUP(V691, 'Price Sheet'!$A$2:$B1015, 2, false))</f>
        <v>0</v>
      </c>
      <c r="AA691" s="33" t="str">
        <f t="shared" si="6"/>
        <v/>
      </c>
      <c r="AB691" s="37"/>
      <c r="AC691" s="29"/>
      <c r="AD691" s="29" t="b">
        <v>0</v>
      </c>
      <c r="AE691" s="22" t="str">
        <f t="shared" si="7"/>
        <v/>
      </c>
      <c r="AF691" s="7">
        <f>IF(ISBLANK(AB691), 0, VLOOKUP(AB691, 'Price Sheet'!$A$2:$B1015, 2, false))</f>
        <v>0</v>
      </c>
      <c r="AG691" s="33" t="str">
        <f t="shared" si="8"/>
        <v/>
      </c>
      <c r="AH691" s="37"/>
      <c r="AI691" s="29"/>
      <c r="AJ691" s="29" t="b">
        <v>0</v>
      </c>
      <c r="AK691" s="22" t="str">
        <f t="shared" si="9"/>
        <v/>
      </c>
      <c r="AL691" s="7">
        <f>IF(ISBLANK(AH691), 0, VLOOKUP(AH691, 'Price Sheet'!$A$2:$B1015, 2, false))</f>
        <v>0</v>
      </c>
      <c r="AM691" s="33" t="str">
        <f t="shared" si="10"/>
        <v/>
      </c>
      <c r="AN691" s="37"/>
      <c r="AO691" s="29"/>
      <c r="AP691" s="29" t="b">
        <v>0</v>
      </c>
      <c r="AQ691" s="22" t="str">
        <f t="shared" si="11"/>
        <v/>
      </c>
      <c r="AR691" s="7">
        <f>IF(ISBLANK(AN691), 0, VLOOKUP(AN691, 'Price Sheet'!$A$2:$B1015, 2, false))</f>
        <v>0</v>
      </c>
      <c r="AS691" s="33" t="str">
        <f t="shared" si="12"/>
        <v/>
      </c>
      <c r="AT691" s="37"/>
      <c r="AU691" s="29"/>
      <c r="AV691" s="29" t="b">
        <v>0</v>
      </c>
      <c r="AW691" s="22" t="str">
        <f t="shared" si="13"/>
        <v/>
      </c>
      <c r="AX691" s="7">
        <f>IF(ISBLANK(AT691), 0, VLOOKUP(AT691, 'Price Sheet'!$A$2:$B1015, 2, false))</f>
        <v>0</v>
      </c>
      <c r="AY691" s="33" t="str">
        <f t="shared" si="14"/>
        <v/>
      </c>
      <c r="AZ691" s="37"/>
      <c r="BA691" s="29"/>
      <c r="BB691" s="29" t="b">
        <v>0</v>
      </c>
      <c r="BC691" s="22" t="str">
        <f t="shared" si="15"/>
        <v/>
      </c>
      <c r="BD691" s="7">
        <f>IF(ISBLANK(AZ691), 0, VLOOKUP(AZ691, 'Price Sheet'!$A$2:$B1015, 2, false))</f>
        <v>0</v>
      </c>
      <c r="BE691" s="33" t="str">
        <f t="shared" si="16"/>
        <v/>
      </c>
      <c r="BF691" s="37"/>
      <c r="BG691" s="29"/>
      <c r="BH691" s="29" t="b">
        <v>0</v>
      </c>
      <c r="BI691" s="22" t="str">
        <f t="shared" si="17"/>
        <v/>
      </c>
      <c r="BJ691" s="7">
        <f>IF(ISBLANK(BF691), 0, VLOOKUP(BF691, 'Price Sheet'!$A$2:$B1015, 2, false))</f>
        <v>0</v>
      </c>
      <c r="BK691" s="33" t="str">
        <f t="shared" si="18"/>
        <v/>
      </c>
      <c r="BL691" s="37"/>
      <c r="BM691" s="29"/>
      <c r="BN691" s="29" t="b">
        <v>0</v>
      </c>
      <c r="BO691" s="22" t="str">
        <f t="shared" si="19"/>
        <v/>
      </c>
      <c r="BP691" s="7">
        <f>IF(ISBLANK(BL691), 0, VLOOKUP(BL691, 'Price Sheet'!$A$2:$B1015, 2, false))</f>
        <v>0</v>
      </c>
      <c r="BQ691" s="33" t="str">
        <f t="shared" si="20"/>
        <v/>
      </c>
    </row>
    <row r="692">
      <c r="B692" s="19"/>
      <c r="C692" s="29"/>
      <c r="D692" s="29"/>
      <c r="E692" s="7" t="str">
        <f>IF(ISBLANK(D692), "", VLOOKUP(D692,'Crafting Tables'!$A$2:$B1015, 2, false))</f>
        <v/>
      </c>
      <c r="F692" s="7" t="str">
        <f>IFERROR(IF(E692 = "None", 1, VLOOKUP(C692,General!$A$5:$L$35, SWITCH(E692, "Basic", 8, "Advanced", 10, "Modern", 12), false)),"")</f>
        <v/>
      </c>
      <c r="G692" s="29"/>
      <c r="H692" s="7">
        <f>IFERROR(VLOOKUP(C692, General!$A$5:$L$35, 6, false) * G692 / 1000, 0)</f>
        <v>0</v>
      </c>
      <c r="I692" s="29"/>
      <c r="J692" s="22" t="str">
        <f>IFERROR(I692*VLOOKUP(D692,'Crafting Tables'!$1:$1000, 4, false)*F692,"")</f>
        <v/>
      </c>
      <c r="K692" s="29" t="b">
        <v>0</v>
      </c>
      <c r="L692" s="37"/>
      <c r="M692" s="29"/>
      <c r="N692" s="21" t="str">
        <f t="shared" si="2"/>
        <v/>
      </c>
      <c r="P692" s="37"/>
      <c r="Q692" s="29"/>
      <c r="R692" s="29" t="b">
        <v>0</v>
      </c>
      <c r="S692" s="22" t="str">
        <f t="shared" si="3"/>
        <v/>
      </c>
      <c r="T692" s="7">
        <f>IF(ISBLANK(P692), 0, VLOOKUP(P692, 'Price Sheet'!$A$2:$B1015, 2, false))</f>
        <v>0</v>
      </c>
      <c r="U692" s="33" t="str">
        <f t="shared" si="4"/>
        <v/>
      </c>
      <c r="V692" s="37"/>
      <c r="W692" s="29"/>
      <c r="X692" s="29" t="b">
        <v>0</v>
      </c>
      <c r="Y692" s="22" t="str">
        <f t="shared" si="5"/>
        <v/>
      </c>
      <c r="Z692" s="7">
        <f>IF(ISBLANK(V692), 0, VLOOKUP(V692, 'Price Sheet'!$A$2:$B1015, 2, false))</f>
        <v>0</v>
      </c>
      <c r="AA692" s="33" t="str">
        <f t="shared" si="6"/>
        <v/>
      </c>
      <c r="AB692" s="37"/>
      <c r="AC692" s="29"/>
      <c r="AD692" s="29" t="b">
        <v>0</v>
      </c>
      <c r="AE692" s="22" t="str">
        <f t="shared" si="7"/>
        <v/>
      </c>
      <c r="AF692" s="7">
        <f>IF(ISBLANK(AB692), 0, VLOOKUP(AB692, 'Price Sheet'!$A$2:$B1015, 2, false))</f>
        <v>0</v>
      </c>
      <c r="AG692" s="33" t="str">
        <f t="shared" si="8"/>
        <v/>
      </c>
      <c r="AH692" s="37"/>
      <c r="AI692" s="29"/>
      <c r="AJ692" s="29" t="b">
        <v>0</v>
      </c>
      <c r="AK692" s="22" t="str">
        <f t="shared" si="9"/>
        <v/>
      </c>
      <c r="AL692" s="7">
        <f>IF(ISBLANK(AH692), 0, VLOOKUP(AH692, 'Price Sheet'!$A$2:$B1015, 2, false))</f>
        <v>0</v>
      </c>
      <c r="AM692" s="33" t="str">
        <f t="shared" si="10"/>
        <v/>
      </c>
      <c r="AN692" s="37"/>
      <c r="AO692" s="29"/>
      <c r="AP692" s="29" t="b">
        <v>0</v>
      </c>
      <c r="AQ692" s="22" t="str">
        <f t="shared" si="11"/>
        <v/>
      </c>
      <c r="AR692" s="7">
        <f>IF(ISBLANK(AN692), 0, VLOOKUP(AN692, 'Price Sheet'!$A$2:$B1015, 2, false))</f>
        <v>0</v>
      </c>
      <c r="AS692" s="33" t="str">
        <f t="shared" si="12"/>
        <v/>
      </c>
      <c r="AT692" s="37"/>
      <c r="AU692" s="29"/>
      <c r="AV692" s="29" t="b">
        <v>0</v>
      </c>
      <c r="AW692" s="22" t="str">
        <f t="shared" si="13"/>
        <v/>
      </c>
      <c r="AX692" s="7">
        <f>IF(ISBLANK(AT692), 0, VLOOKUP(AT692, 'Price Sheet'!$A$2:$B1015, 2, false))</f>
        <v>0</v>
      </c>
      <c r="AY692" s="33" t="str">
        <f t="shared" si="14"/>
        <v/>
      </c>
      <c r="AZ692" s="37"/>
      <c r="BA692" s="29"/>
      <c r="BB692" s="29" t="b">
        <v>0</v>
      </c>
      <c r="BC692" s="22" t="str">
        <f t="shared" si="15"/>
        <v/>
      </c>
      <c r="BD692" s="7">
        <f>IF(ISBLANK(AZ692), 0, VLOOKUP(AZ692, 'Price Sheet'!$A$2:$B1015, 2, false))</f>
        <v>0</v>
      </c>
      <c r="BE692" s="33" t="str">
        <f t="shared" si="16"/>
        <v/>
      </c>
      <c r="BF692" s="37"/>
      <c r="BG692" s="29"/>
      <c r="BH692" s="29" t="b">
        <v>0</v>
      </c>
      <c r="BI692" s="22" t="str">
        <f t="shared" si="17"/>
        <v/>
      </c>
      <c r="BJ692" s="7">
        <f>IF(ISBLANK(BF692), 0, VLOOKUP(BF692, 'Price Sheet'!$A$2:$B1015, 2, false))</f>
        <v>0</v>
      </c>
      <c r="BK692" s="33" t="str">
        <f t="shared" si="18"/>
        <v/>
      </c>
      <c r="BL692" s="37"/>
      <c r="BM692" s="29"/>
      <c r="BN692" s="29" t="b">
        <v>0</v>
      </c>
      <c r="BO692" s="22" t="str">
        <f t="shared" si="19"/>
        <v/>
      </c>
      <c r="BP692" s="7">
        <f>IF(ISBLANK(BL692), 0, VLOOKUP(BL692, 'Price Sheet'!$A$2:$B1015, 2, false))</f>
        <v>0</v>
      </c>
      <c r="BQ692" s="33" t="str">
        <f t="shared" si="20"/>
        <v/>
      </c>
    </row>
    <row r="693">
      <c r="B693" s="19"/>
      <c r="C693" s="29"/>
      <c r="D693" s="29"/>
      <c r="E693" s="7" t="str">
        <f>IF(ISBLANK(D693), "", VLOOKUP(D693,'Crafting Tables'!$A$2:$B1015, 2, false))</f>
        <v/>
      </c>
      <c r="F693" s="7" t="str">
        <f>IFERROR(IF(E693 = "None", 1, VLOOKUP(C693,General!$A$5:$L$35, SWITCH(E693, "Basic", 8, "Advanced", 10, "Modern", 12), false)),"")</f>
        <v/>
      </c>
      <c r="G693" s="29"/>
      <c r="H693" s="7">
        <f>IFERROR(VLOOKUP(C693, General!$A$5:$L$35, 6, false) * G693 / 1000, 0)</f>
        <v>0</v>
      </c>
      <c r="I693" s="29"/>
      <c r="J693" s="22" t="str">
        <f>IFERROR(I693*VLOOKUP(D693,'Crafting Tables'!$1:$1000, 4, false)*F693,"")</f>
        <v/>
      </c>
      <c r="K693" s="29" t="b">
        <v>0</v>
      </c>
      <c r="L693" s="37"/>
      <c r="M693" s="29"/>
      <c r="N693" s="21" t="str">
        <f t="shared" si="2"/>
        <v/>
      </c>
      <c r="P693" s="37"/>
      <c r="Q693" s="29"/>
      <c r="R693" s="29" t="b">
        <v>0</v>
      </c>
      <c r="S693" s="22" t="str">
        <f t="shared" si="3"/>
        <v/>
      </c>
      <c r="T693" s="7">
        <f>IF(ISBLANK(P693), 0, VLOOKUP(P693, 'Price Sheet'!$A$2:$B1015, 2, false))</f>
        <v>0</v>
      </c>
      <c r="U693" s="33" t="str">
        <f t="shared" si="4"/>
        <v/>
      </c>
      <c r="V693" s="37"/>
      <c r="W693" s="29"/>
      <c r="X693" s="29" t="b">
        <v>0</v>
      </c>
      <c r="Y693" s="22" t="str">
        <f t="shared" si="5"/>
        <v/>
      </c>
      <c r="Z693" s="7">
        <f>IF(ISBLANK(V693), 0, VLOOKUP(V693, 'Price Sheet'!$A$2:$B1015, 2, false))</f>
        <v>0</v>
      </c>
      <c r="AA693" s="33" t="str">
        <f t="shared" si="6"/>
        <v/>
      </c>
      <c r="AB693" s="37"/>
      <c r="AC693" s="29"/>
      <c r="AD693" s="29" t="b">
        <v>0</v>
      </c>
      <c r="AE693" s="22" t="str">
        <f t="shared" si="7"/>
        <v/>
      </c>
      <c r="AF693" s="7">
        <f>IF(ISBLANK(AB693), 0, VLOOKUP(AB693, 'Price Sheet'!$A$2:$B1015, 2, false))</f>
        <v>0</v>
      </c>
      <c r="AG693" s="33" t="str">
        <f t="shared" si="8"/>
        <v/>
      </c>
      <c r="AH693" s="37"/>
      <c r="AI693" s="29"/>
      <c r="AJ693" s="29" t="b">
        <v>0</v>
      </c>
      <c r="AK693" s="22" t="str">
        <f t="shared" si="9"/>
        <v/>
      </c>
      <c r="AL693" s="7">
        <f>IF(ISBLANK(AH693), 0, VLOOKUP(AH693, 'Price Sheet'!$A$2:$B1015, 2, false))</f>
        <v>0</v>
      </c>
      <c r="AM693" s="33" t="str">
        <f t="shared" si="10"/>
        <v/>
      </c>
      <c r="AN693" s="37"/>
      <c r="AO693" s="29"/>
      <c r="AP693" s="29" t="b">
        <v>0</v>
      </c>
      <c r="AQ693" s="22" t="str">
        <f t="shared" si="11"/>
        <v/>
      </c>
      <c r="AR693" s="7">
        <f>IF(ISBLANK(AN693), 0, VLOOKUP(AN693, 'Price Sheet'!$A$2:$B1015, 2, false))</f>
        <v>0</v>
      </c>
      <c r="AS693" s="33" t="str">
        <f t="shared" si="12"/>
        <v/>
      </c>
      <c r="AT693" s="37"/>
      <c r="AU693" s="29"/>
      <c r="AV693" s="29" t="b">
        <v>0</v>
      </c>
      <c r="AW693" s="22" t="str">
        <f t="shared" si="13"/>
        <v/>
      </c>
      <c r="AX693" s="7">
        <f>IF(ISBLANK(AT693), 0, VLOOKUP(AT693, 'Price Sheet'!$A$2:$B1015, 2, false))</f>
        <v>0</v>
      </c>
      <c r="AY693" s="33" t="str">
        <f t="shared" si="14"/>
        <v/>
      </c>
      <c r="AZ693" s="37"/>
      <c r="BA693" s="29"/>
      <c r="BB693" s="29" t="b">
        <v>0</v>
      </c>
      <c r="BC693" s="22" t="str">
        <f t="shared" si="15"/>
        <v/>
      </c>
      <c r="BD693" s="7">
        <f>IF(ISBLANK(AZ693), 0, VLOOKUP(AZ693, 'Price Sheet'!$A$2:$B1015, 2, false))</f>
        <v>0</v>
      </c>
      <c r="BE693" s="33" t="str">
        <f t="shared" si="16"/>
        <v/>
      </c>
      <c r="BF693" s="37"/>
      <c r="BG693" s="29"/>
      <c r="BH693" s="29" t="b">
        <v>0</v>
      </c>
      <c r="BI693" s="22" t="str">
        <f t="shared" si="17"/>
        <v/>
      </c>
      <c r="BJ693" s="7">
        <f>IF(ISBLANK(BF693), 0, VLOOKUP(BF693, 'Price Sheet'!$A$2:$B1015, 2, false))</f>
        <v>0</v>
      </c>
      <c r="BK693" s="33" t="str">
        <f t="shared" si="18"/>
        <v/>
      </c>
      <c r="BL693" s="37"/>
      <c r="BM693" s="29"/>
      <c r="BN693" s="29" t="b">
        <v>0</v>
      </c>
      <c r="BO693" s="22" t="str">
        <f t="shared" si="19"/>
        <v/>
      </c>
      <c r="BP693" s="7">
        <f>IF(ISBLANK(BL693), 0, VLOOKUP(BL693, 'Price Sheet'!$A$2:$B1015, 2, false))</f>
        <v>0</v>
      </c>
      <c r="BQ693" s="33" t="str">
        <f t="shared" si="20"/>
        <v/>
      </c>
    </row>
    <row r="694">
      <c r="B694" s="19"/>
      <c r="C694" s="29"/>
      <c r="D694" s="29"/>
      <c r="E694" s="7" t="str">
        <f>IF(ISBLANK(D694), "", VLOOKUP(D694,'Crafting Tables'!$A$2:$B1015, 2, false))</f>
        <v/>
      </c>
      <c r="F694" s="7" t="str">
        <f>IFERROR(IF(E694 = "None", 1, VLOOKUP(C694,General!$A$5:$L$35, SWITCH(E694, "Basic", 8, "Advanced", 10, "Modern", 12), false)),"")</f>
        <v/>
      </c>
      <c r="G694" s="29"/>
      <c r="H694" s="7">
        <f>IFERROR(VLOOKUP(C694, General!$A$5:$L$35, 6, false) * G694 / 1000, 0)</f>
        <v>0</v>
      </c>
      <c r="I694" s="29"/>
      <c r="J694" s="22" t="str">
        <f>IFERROR(I694*VLOOKUP(D694,'Crafting Tables'!$1:$1000, 4, false)*F694,"")</f>
        <v/>
      </c>
      <c r="K694" s="29" t="b">
        <v>0</v>
      </c>
      <c r="L694" s="37"/>
      <c r="M694" s="29"/>
      <c r="N694" s="21" t="str">
        <f t="shared" si="2"/>
        <v/>
      </c>
      <c r="P694" s="37"/>
      <c r="Q694" s="29"/>
      <c r="R694" s="29" t="b">
        <v>0</v>
      </c>
      <c r="S694" s="22" t="str">
        <f t="shared" si="3"/>
        <v/>
      </c>
      <c r="T694" s="7">
        <f>IF(ISBLANK(P694), 0, VLOOKUP(P694, 'Price Sheet'!$A$2:$B1015, 2, false))</f>
        <v>0</v>
      </c>
      <c r="U694" s="33" t="str">
        <f t="shared" si="4"/>
        <v/>
      </c>
      <c r="V694" s="37"/>
      <c r="W694" s="29"/>
      <c r="X694" s="29" t="b">
        <v>0</v>
      </c>
      <c r="Y694" s="22" t="str">
        <f t="shared" si="5"/>
        <v/>
      </c>
      <c r="Z694" s="7">
        <f>IF(ISBLANK(V694), 0, VLOOKUP(V694, 'Price Sheet'!$A$2:$B1015, 2, false))</f>
        <v>0</v>
      </c>
      <c r="AA694" s="33" t="str">
        <f t="shared" si="6"/>
        <v/>
      </c>
      <c r="AB694" s="37"/>
      <c r="AC694" s="29"/>
      <c r="AD694" s="29" t="b">
        <v>0</v>
      </c>
      <c r="AE694" s="22" t="str">
        <f t="shared" si="7"/>
        <v/>
      </c>
      <c r="AF694" s="7">
        <f>IF(ISBLANK(AB694), 0, VLOOKUP(AB694, 'Price Sheet'!$A$2:$B1015, 2, false))</f>
        <v>0</v>
      </c>
      <c r="AG694" s="33" t="str">
        <f t="shared" si="8"/>
        <v/>
      </c>
      <c r="AH694" s="37"/>
      <c r="AI694" s="29"/>
      <c r="AJ694" s="29" t="b">
        <v>0</v>
      </c>
      <c r="AK694" s="22" t="str">
        <f t="shared" si="9"/>
        <v/>
      </c>
      <c r="AL694" s="7">
        <f>IF(ISBLANK(AH694), 0, VLOOKUP(AH694, 'Price Sheet'!$A$2:$B1015, 2, false))</f>
        <v>0</v>
      </c>
      <c r="AM694" s="33" t="str">
        <f t="shared" si="10"/>
        <v/>
      </c>
      <c r="AN694" s="37"/>
      <c r="AO694" s="29"/>
      <c r="AP694" s="29" t="b">
        <v>0</v>
      </c>
      <c r="AQ694" s="22" t="str">
        <f t="shared" si="11"/>
        <v/>
      </c>
      <c r="AR694" s="7">
        <f>IF(ISBLANK(AN694), 0, VLOOKUP(AN694, 'Price Sheet'!$A$2:$B1015, 2, false))</f>
        <v>0</v>
      </c>
      <c r="AS694" s="33" t="str">
        <f t="shared" si="12"/>
        <v/>
      </c>
      <c r="AT694" s="37"/>
      <c r="AU694" s="29"/>
      <c r="AV694" s="29" t="b">
        <v>0</v>
      </c>
      <c r="AW694" s="22" t="str">
        <f t="shared" si="13"/>
        <v/>
      </c>
      <c r="AX694" s="7">
        <f>IF(ISBLANK(AT694), 0, VLOOKUP(AT694, 'Price Sheet'!$A$2:$B1015, 2, false))</f>
        <v>0</v>
      </c>
      <c r="AY694" s="33" t="str">
        <f t="shared" si="14"/>
        <v/>
      </c>
      <c r="AZ694" s="37"/>
      <c r="BA694" s="29"/>
      <c r="BB694" s="29" t="b">
        <v>0</v>
      </c>
      <c r="BC694" s="22" t="str">
        <f t="shared" si="15"/>
        <v/>
      </c>
      <c r="BD694" s="7">
        <f>IF(ISBLANK(AZ694), 0, VLOOKUP(AZ694, 'Price Sheet'!$A$2:$B1015, 2, false))</f>
        <v>0</v>
      </c>
      <c r="BE694" s="33" t="str">
        <f t="shared" si="16"/>
        <v/>
      </c>
      <c r="BF694" s="37"/>
      <c r="BG694" s="29"/>
      <c r="BH694" s="29" t="b">
        <v>0</v>
      </c>
      <c r="BI694" s="22" t="str">
        <f t="shared" si="17"/>
        <v/>
      </c>
      <c r="BJ694" s="7">
        <f>IF(ISBLANK(BF694), 0, VLOOKUP(BF694, 'Price Sheet'!$A$2:$B1015, 2, false))</f>
        <v>0</v>
      </c>
      <c r="BK694" s="33" t="str">
        <f t="shared" si="18"/>
        <v/>
      </c>
      <c r="BL694" s="37"/>
      <c r="BM694" s="29"/>
      <c r="BN694" s="29" t="b">
        <v>0</v>
      </c>
      <c r="BO694" s="22" t="str">
        <f t="shared" si="19"/>
        <v/>
      </c>
      <c r="BP694" s="7">
        <f>IF(ISBLANK(BL694), 0, VLOOKUP(BL694, 'Price Sheet'!$A$2:$B1015, 2, false))</f>
        <v>0</v>
      </c>
      <c r="BQ694" s="33" t="str">
        <f t="shared" si="20"/>
        <v/>
      </c>
    </row>
    <row r="695">
      <c r="B695" s="19"/>
      <c r="C695" s="29"/>
      <c r="D695" s="29"/>
      <c r="E695" s="7" t="str">
        <f>IF(ISBLANK(D695), "", VLOOKUP(D695,'Crafting Tables'!$A$2:$B1015, 2, false))</f>
        <v/>
      </c>
      <c r="F695" s="7" t="str">
        <f>IFERROR(IF(E695 = "None", 1, VLOOKUP(C695,General!$A$5:$L$35, SWITCH(E695, "Basic", 8, "Advanced", 10, "Modern", 12), false)),"")</f>
        <v/>
      </c>
      <c r="G695" s="29"/>
      <c r="H695" s="7">
        <f>IFERROR(VLOOKUP(C695, General!$A$5:$L$35, 6, false) * G695 / 1000, 0)</f>
        <v>0</v>
      </c>
      <c r="I695" s="29"/>
      <c r="J695" s="22" t="str">
        <f>IFERROR(I695*VLOOKUP(D695,'Crafting Tables'!$1:$1000, 4, false)*F695,"")</f>
        <v/>
      </c>
      <c r="K695" s="29" t="b">
        <v>0</v>
      </c>
      <c r="L695" s="37"/>
      <c r="M695" s="29"/>
      <c r="N695" s="21" t="str">
        <f t="shared" si="2"/>
        <v/>
      </c>
      <c r="P695" s="37"/>
      <c r="Q695" s="29"/>
      <c r="R695" s="29" t="b">
        <v>0</v>
      </c>
      <c r="S695" s="22" t="str">
        <f t="shared" si="3"/>
        <v/>
      </c>
      <c r="T695" s="7">
        <f>IF(ISBLANK(P695), 0, VLOOKUP(P695, 'Price Sheet'!$A$2:$B1015, 2, false))</f>
        <v>0</v>
      </c>
      <c r="U695" s="33" t="str">
        <f t="shared" si="4"/>
        <v/>
      </c>
      <c r="V695" s="37"/>
      <c r="W695" s="29"/>
      <c r="X695" s="29" t="b">
        <v>0</v>
      </c>
      <c r="Y695" s="22" t="str">
        <f t="shared" si="5"/>
        <v/>
      </c>
      <c r="Z695" s="7">
        <f>IF(ISBLANK(V695), 0, VLOOKUP(V695, 'Price Sheet'!$A$2:$B1015, 2, false))</f>
        <v>0</v>
      </c>
      <c r="AA695" s="33" t="str">
        <f t="shared" si="6"/>
        <v/>
      </c>
      <c r="AB695" s="37"/>
      <c r="AC695" s="29"/>
      <c r="AD695" s="29" t="b">
        <v>0</v>
      </c>
      <c r="AE695" s="22" t="str">
        <f t="shared" si="7"/>
        <v/>
      </c>
      <c r="AF695" s="7">
        <f>IF(ISBLANK(AB695), 0, VLOOKUP(AB695, 'Price Sheet'!$A$2:$B1015, 2, false))</f>
        <v>0</v>
      </c>
      <c r="AG695" s="33" t="str">
        <f t="shared" si="8"/>
        <v/>
      </c>
      <c r="AH695" s="37"/>
      <c r="AI695" s="29"/>
      <c r="AJ695" s="29" t="b">
        <v>0</v>
      </c>
      <c r="AK695" s="22" t="str">
        <f t="shared" si="9"/>
        <v/>
      </c>
      <c r="AL695" s="7">
        <f>IF(ISBLANK(AH695), 0, VLOOKUP(AH695, 'Price Sheet'!$A$2:$B1015, 2, false))</f>
        <v>0</v>
      </c>
      <c r="AM695" s="33" t="str">
        <f t="shared" si="10"/>
        <v/>
      </c>
      <c r="AN695" s="37"/>
      <c r="AO695" s="29"/>
      <c r="AP695" s="29" t="b">
        <v>0</v>
      </c>
      <c r="AQ695" s="22" t="str">
        <f t="shared" si="11"/>
        <v/>
      </c>
      <c r="AR695" s="7">
        <f>IF(ISBLANK(AN695), 0, VLOOKUP(AN695, 'Price Sheet'!$A$2:$B1015, 2, false))</f>
        <v>0</v>
      </c>
      <c r="AS695" s="33" t="str">
        <f t="shared" si="12"/>
        <v/>
      </c>
      <c r="AT695" s="37"/>
      <c r="AU695" s="29"/>
      <c r="AV695" s="29" t="b">
        <v>0</v>
      </c>
      <c r="AW695" s="22" t="str">
        <f t="shared" si="13"/>
        <v/>
      </c>
      <c r="AX695" s="7">
        <f>IF(ISBLANK(AT695), 0, VLOOKUP(AT695, 'Price Sheet'!$A$2:$B1015, 2, false))</f>
        <v>0</v>
      </c>
      <c r="AY695" s="33" t="str">
        <f t="shared" si="14"/>
        <v/>
      </c>
      <c r="AZ695" s="37"/>
      <c r="BA695" s="29"/>
      <c r="BB695" s="29" t="b">
        <v>0</v>
      </c>
      <c r="BC695" s="22" t="str">
        <f t="shared" si="15"/>
        <v/>
      </c>
      <c r="BD695" s="7">
        <f>IF(ISBLANK(AZ695), 0, VLOOKUP(AZ695, 'Price Sheet'!$A$2:$B1015, 2, false))</f>
        <v>0</v>
      </c>
      <c r="BE695" s="33" t="str">
        <f t="shared" si="16"/>
        <v/>
      </c>
      <c r="BF695" s="37"/>
      <c r="BG695" s="29"/>
      <c r="BH695" s="29" t="b">
        <v>0</v>
      </c>
      <c r="BI695" s="22" t="str">
        <f t="shared" si="17"/>
        <v/>
      </c>
      <c r="BJ695" s="7">
        <f>IF(ISBLANK(BF695), 0, VLOOKUP(BF695, 'Price Sheet'!$A$2:$B1015, 2, false))</f>
        <v>0</v>
      </c>
      <c r="BK695" s="33" t="str">
        <f t="shared" si="18"/>
        <v/>
      </c>
      <c r="BL695" s="37"/>
      <c r="BM695" s="29"/>
      <c r="BN695" s="29" t="b">
        <v>0</v>
      </c>
      <c r="BO695" s="22" t="str">
        <f t="shared" si="19"/>
        <v/>
      </c>
      <c r="BP695" s="7">
        <f>IF(ISBLANK(BL695), 0, VLOOKUP(BL695, 'Price Sheet'!$A$2:$B1015, 2, false))</f>
        <v>0</v>
      </c>
      <c r="BQ695" s="33" t="str">
        <f t="shared" si="20"/>
        <v/>
      </c>
    </row>
    <row r="696">
      <c r="B696" s="19"/>
      <c r="C696" s="29"/>
      <c r="D696" s="29"/>
      <c r="E696" s="7" t="str">
        <f>IF(ISBLANK(D696), "", VLOOKUP(D696,'Crafting Tables'!$A$2:$B1015, 2, false))</f>
        <v/>
      </c>
      <c r="F696" s="7" t="str">
        <f>IFERROR(IF(E696 = "None", 1, VLOOKUP(C696,General!$A$5:$L$35, SWITCH(E696, "Basic", 8, "Advanced", 10, "Modern", 12), false)),"")</f>
        <v/>
      </c>
      <c r="G696" s="29"/>
      <c r="H696" s="7">
        <f>IFERROR(VLOOKUP(C696, General!$A$5:$L$35, 6, false) * G696 / 1000, 0)</f>
        <v>0</v>
      </c>
      <c r="I696" s="29"/>
      <c r="J696" s="22" t="str">
        <f>IFERROR(I696*VLOOKUP(D696,'Crafting Tables'!$1:$1000, 4, false)*F696,"")</f>
        <v/>
      </c>
      <c r="K696" s="29" t="b">
        <v>0</v>
      </c>
      <c r="L696" s="37"/>
      <c r="M696" s="29"/>
      <c r="N696" s="21" t="str">
        <f t="shared" si="2"/>
        <v/>
      </c>
      <c r="P696" s="37"/>
      <c r="Q696" s="29"/>
      <c r="R696" s="29" t="b">
        <v>0</v>
      </c>
      <c r="S696" s="22" t="str">
        <f t="shared" si="3"/>
        <v/>
      </c>
      <c r="T696" s="7">
        <f>IF(ISBLANK(P696), 0, VLOOKUP(P696, 'Price Sheet'!$A$2:$B1015, 2, false))</f>
        <v>0</v>
      </c>
      <c r="U696" s="33" t="str">
        <f t="shared" si="4"/>
        <v/>
      </c>
      <c r="V696" s="37"/>
      <c r="W696" s="29"/>
      <c r="X696" s="29" t="b">
        <v>0</v>
      </c>
      <c r="Y696" s="22" t="str">
        <f t="shared" si="5"/>
        <v/>
      </c>
      <c r="Z696" s="7">
        <f>IF(ISBLANK(V696), 0, VLOOKUP(V696, 'Price Sheet'!$A$2:$B1015, 2, false))</f>
        <v>0</v>
      </c>
      <c r="AA696" s="33" t="str">
        <f t="shared" si="6"/>
        <v/>
      </c>
      <c r="AB696" s="37"/>
      <c r="AC696" s="29"/>
      <c r="AD696" s="29" t="b">
        <v>0</v>
      </c>
      <c r="AE696" s="22" t="str">
        <f t="shared" si="7"/>
        <v/>
      </c>
      <c r="AF696" s="7">
        <f>IF(ISBLANK(AB696), 0, VLOOKUP(AB696, 'Price Sheet'!$A$2:$B1015, 2, false))</f>
        <v>0</v>
      </c>
      <c r="AG696" s="33" t="str">
        <f t="shared" si="8"/>
        <v/>
      </c>
      <c r="AH696" s="37"/>
      <c r="AI696" s="29"/>
      <c r="AJ696" s="29" t="b">
        <v>0</v>
      </c>
      <c r="AK696" s="22" t="str">
        <f t="shared" si="9"/>
        <v/>
      </c>
      <c r="AL696" s="7">
        <f>IF(ISBLANK(AH696), 0, VLOOKUP(AH696, 'Price Sheet'!$A$2:$B1015, 2, false))</f>
        <v>0</v>
      </c>
      <c r="AM696" s="33" t="str">
        <f t="shared" si="10"/>
        <v/>
      </c>
      <c r="AN696" s="37"/>
      <c r="AO696" s="29"/>
      <c r="AP696" s="29" t="b">
        <v>0</v>
      </c>
      <c r="AQ696" s="22" t="str">
        <f t="shared" si="11"/>
        <v/>
      </c>
      <c r="AR696" s="7">
        <f>IF(ISBLANK(AN696), 0, VLOOKUP(AN696, 'Price Sheet'!$A$2:$B1015, 2, false))</f>
        <v>0</v>
      </c>
      <c r="AS696" s="33" t="str">
        <f t="shared" si="12"/>
        <v/>
      </c>
      <c r="AT696" s="37"/>
      <c r="AU696" s="29"/>
      <c r="AV696" s="29" t="b">
        <v>0</v>
      </c>
      <c r="AW696" s="22" t="str">
        <f t="shared" si="13"/>
        <v/>
      </c>
      <c r="AX696" s="7">
        <f>IF(ISBLANK(AT696), 0, VLOOKUP(AT696, 'Price Sheet'!$A$2:$B1015, 2, false))</f>
        <v>0</v>
      </c>
      <c r="AY696" s="33" t="str">
        <f t="shared" si="14"/>
        <v/>
      </c>
      <c r="AZ696" s="37"/>
      <c r="BA696" s="29"/>
      <c r="BB696" s="29" t="b">
        <v>0</v>
      </c>
      <c r="BC696" s="22" t="str">
        <f t="shared" si="15"/>
        <v/>
      </c>
      <c r="BD696" s="7">
        <f>IF(ISBLANK(AZ696), 0, VLOOKUP(AZ696, 'Price Sheet'!$A$2:$B1015, 2, false))</f>
        <v>0</v>
      </c>
      <c r="BE696" s="33" t="str">
        <f t="shared" si="16"/>
        <v/>
      </c>
      <c r="BF696" s="37"/>
      <c r="BG696" s="29"/>
      <c r="BH696" s="29" t="b">
        <v>0</v>
      </c>
      <c r="BI696" s="22" t="str">
        <f t="shared" si="17"/>
        <v/>
      </c>
      <c r="BJ696" s="7">
        <f>IF(ISBLANK(BF696), 0, VLOOKUP(BF696, 'Price Sheet'!$A$2:$B1015, 2, false))</f>
        <v>0</v>
      </c>
      <c r="BK696" s="33" t="str">
        <f t="shared" si="18"/>
        <v/>
      </c>
      <c r="BL696" s="37"/>
      <c r="BM696" s="29"/>
      <c r="BN696" s="29" t="b">
        <v>0</v>
      </c>
      <c r="BO696" s="22" t="str">
        <f t="shared" si="19"/>
        <v/>
      </c>
      <c r="BP696" s="7">
        <f>IF(ISBLANK(BL696), 0, VLOOKUP(BL696, 'Price Sheet'!$A$2:$B1015, 2, false))</f>
        <v>0</v>
      </c>
      <c r="BQ696" s="33" t="str">
        <f t="shared" si="20"/>
        <v/>
      </c>
    </row>
    <row r="697">
      <c r="B697" s="19"/>
      <c r="C697" s="29"/>
      <c r="D697" s="29"/>
      <c r="E697" s="7" t="str">
        <f>IF(ISBLANK(D697), "", VLOOKUP(D697,'Crafting Tables'!$A$2:$B1015, 2, false))</f>
        <v/>
      </c>
      <c r="F697" s="7" t="str">
        <f>IFERROR(IF(E697 = "None", 1, VLOOKUP(C697,General!$A$5:$L$35, SWITCH(E697, "Basic", 8, "Advanced", 10, "Modern", 12), false)),"")</f>
        <v/>
      </c>
      <c r="G697" s="29"/>
      <c r="H697" s="7">
        <f>IFERROR(VLOOKUP(C697, General!$A$5:$L$35, 6, false) * G697 / 1000, 0)</f>
        <v>0</v>
      </c>
      <c r="I697" s="29"/>
      <c r="J697" s="22" t="str">
        <f>IFERROR(I697*VLOOKUP(D697,'Crafting Tables'!$1:$1000, 4, false)*F697,"")</f>
        <v/>
      </c>
      <c r="K697" s="29" t="b">
        <v>0</v>
      </c>
      <c r="L697" s="37"/>
      <c r="M697" s="29"/>
      <c r="N697" s="21" t="str">
        <f t="shared" si="2"/>
        <v/>
      </c>
      <c r="P697" s="37"/>
      <c r="Q697" s="29"/>
      <c r="R697" s="29" t="b">
        <v>0</v>
      </c>
      <c r="S697" s="22" t="str">
        <f t="shared" si="3"/>
        <v/>
      </c>
      <c r="T697" s="7">
        <f>IF(ISBLANK(P697), 0, VLOOKUP(P697, 'Price Sheet'!$A$2:$B1015, 2, false))</f>
        <v>0</v>
      </c>
      <c r="U697" s="33" t="str">
        <f t="shared" si="4"/>
        <v/>
      </c>
      <c r="V697" s="37"/>
      <c r="W697" s="29"/>
      <c r="X697" s="29" t="b">
        <v>0</v>
      </c>
      <c r="Y697" s="22" t="str">
        <f t="shared" si="5"/>
        <v/>
      </c>
      <c r="Z697" s="7">
        <f>IF(ISBLANK(V697), 0, VLOOKUP(V697, 'Price Sheet'!$A$2:$B1015, 2, false))</f>
        <v>0</v>
      </c>
      <c r="AA697" s="33" t="str">
        <f t="shared" si="6"/>
        <v/>
      </c>
      <c r="AB697" s="37"/>
      <c r="AC697" s="29"/>
      <c r="AD697" s="29" t="b">
        <v>0</v>
      </c>
      <c r="AE697" s="22" t="str">
        <f t="shared" si="7"/>
        <v/>
      </c>
      <c r="AF697" s="7">
        <f>IF(ISBLANK(AB697), 0, VLOOKUP(AB697, 'Price Sheet'!$A$2:$B1015, 2, false))</f>
        <v>0</v>
      </c>
      <c r="AG697" s="33" t="str">
        <f t="shared" si="8"/>
        <v/>
      </c>
      <c r="AH697" s="37"/>
      <c r="AI697" s="29"/>
      <c r="AJ697" s="29" t="b">
        <v>0</v>
      </c>
      <c r="AK697" s="22" t="str">
        <f t="shared" si="9"/>
        <v/>
      </c>
      <c r="AL697" s="7">
        <f>IF(ISBLANK(AH697), 0, VLOOKUP(AH697, 'Price Sheet'!$A$2:$B1015, 2, false))</f>
        <v>0</v>
      </c>
      <c r="AM697" s="33" t="str">
        <f t="shared" si="10"/>
        <v/>
      </c>
      <c r="AN697" s="37"/>
      <c r="AO697" s="29"/>
      <c r="AP697" s="29" t="b">
        <v>0</v>
      </c>
      <c r="AQ697" s="22" t="str">
        <f t="shared" si="11"/>
        <v/>
      </c>
      <c r="AR697" s="7">
        <f>IF(ISBLANK(AN697), 0, VLOOKUP(AN697, 'Price Sheet'!$A$2:$B1015, 2, false))</f>
        <v>0</v>
      </c>
      <c r="AS697" s="33" t="str">
        <f t="shared" si="12"/>
        <v/>
      </c>
      <c r="AT697" s="37"/>
      <c r="AU697" s="29"/>
      <c r="AV697" s="29" t="b">
        <v>0</v>
      </c>
      <c r="AW697" s="22" t="str">
        <f t="shared" si="13"/>
        <v/>
      </c>
      <c r="AX697" s="7">
        <f>IF(ISBLANK(AT697), 0, VLOOKUP(AT697, 'Price Sheet'!$A$2:$B1015, 2, false))</f>
        <v>0</v>
      </c>
      <c r="AY697" s="33" t="str">
        <f t="shared" si="14"/>
        <v/>
      </c>
      <c r="AZ697" s="37"/>
      <c r="BA697" s="29"/>
      <c r="BB697" s="29" t="b">
        <v>0</v>
      </c>
      <c r="BC697" s="22" t="str">
        <f t="shared" si="15"/>
        <v/>
      </c>
      <c r="BD697" s="7">
        <f>IF(ISBLANK(AZ697), 0, VLOOKUP(AZ697, 'Price Sheet'!$A$2:$B1015, 2, false))</f>
        <v>0</v>
      </c>
      <c r="BE697" s="33" t="str">
        <f t="shared" si="16"/>
        <v/>
      </c>
      <c r="BF697" s="37"/>
      <c r="BG697" s="29"/>
      <c r="BH697" s="29" t="b">
        <v>0</v>
      </c>
      <c r="BI697" s="22" t="str">
        <f t="shared" si="17"/>
        <v/>
      </c>
      <c r="BJ697" s="7">
        <f>IF(ISBLANK(BF697), 0, VLOOKUP(BF697, 'Price Sheet'!$A$2:$B1015, 2, false))</f>
        <v>0</v>
      </c>
      <c r="BK697" s="33" t="str">
        <f t="shared" si="18"/>
        <v/>
      </c>
      <c r="BL697" s="37"/>
      <c r="BM697" s="29"/>
      <c r="BN697" s="29" t="b">
        <v>0</v>
      </c>
      <c r="BO697" s="22" t="str">
        <f t="shared" si="19"/>
        <v/>
      </c>
      <c r="BP697" s="7">
        <f>IF(ISBLANK(BL697), 0, VLOOKUP(BL697, 'Price Sheet'!$A$2:$B1015, 2, false))</f>
        <v>0</v>
      </c>
      <c r="BQ697" s="33" t="str">
        <f t="shared" si="20"/>
        <v/>
      </c>
    </row>
    <row r="698">
      <c r="B698" s="19"/>
      <c r="C698" s="29"/>
      <c r="D698" s="29"/>
      <c r="E698" s="7" t="str">
        <f>IF(ISBLANK(D698), "", VLOOKUP(D698,'Crafting Tables'!$A$2:$B1015, 2, false))</f>
        <v/>
      </c>
      <c r="F698" s="7" t="str">
        <f>IFERROR(IF(E698 = "None", 1, VLOOKUP(C698,General!$A$5:$L$35, SWITCH(E698, "Basic", 8, "Advanced", 10, "Modern", 12), false)),"")</f>
        <v/>
      </c>
      <c r="G698" s="29"/>
      <c r="H698" s="7">
        <f>IFERROR(VLOOKUP(C698, General!$A$5:$L$35, 6, false) * G698 / 1000, 0)</f>
        <v>0</v>
      </c>
      <c r="I698" s="29"/>
      <c r="J698" s="22" t="str">
        <f>IFERROR(I698*VLOOKUP(D698,'Crafting Tables'!$1:$1000, 4, false)*F698,"")</f>
        <v/>
      </c>
      <c r="K698" s="29" t="b">
        <v>0</v>
      </c>
      <c r="L698" s="37"/>
      <c r="M698" s="29"/>
      <c r="N698" s="21" t="str">
        <f t="shared" si="2"/>
        <v/>
      </c>
      <c r="P698" s="37"/>
      <c r="Q698" s="29"/>
      <c r="R698" s="29" t="b">
        <v>0</v>
      </c>
      <c r="S698" s="22" t="str">
        <f t="shared" si="3"/>
        <v/>
      </c>
      <c r="T698" s="7">
        <f>IF(ISBLANK(P698), 0, VLOOKUP(P698, 'Price Sheet'!$A$2:$B1015, 2, false))</f>
        <v>0</v>
      </c>
      <c r="U698" s="33" t="str">
        <f t="shared" si="4"/>
        <v/>
      </c>
      <c r="V698" s="37"/>
      <c r="W698" s="29"/>
      <c r="X698" s="29" t="b">
        <v>0</v>
      </c>
      <c r="Y698" s="22" t="str">
        <f t="shared" si="5"/>
        <v/>
      </c>
      <c r="Z698" s="7">
        <f>IF(ISBLANK(V698), 0, VLOOKUP(V698, 'Price Sheet'!$A$2:$B1015, 2, false))</f>
        <v>0</v>
      </c>
      <c r="AA698" s="33" t="str">
        <f t="shared" si="6"/>
        <v/>
      </c>
      <c r="AB698" s="37"/>
      <c r="AC698" s="29"/>
      <c r="AD698" s="29" t="b">
        <v>0</v>
      </c>
      <c r="AE698" s="22" t="str">
        <f t="shared" si="7"/>
        <v/>
      </c>
      <c r="AF698" s="7">
        <f>IF(ISBLANK(AB698), 0, VLOOKUP(AB698, 'Price Sheet'!$A$2:$B1015, 2, false))</f>
        <v>0</v>
      </c>
      <c r="AG698" s="33" t="str">
        <f t="shared" si="8"/>
        <v/>
      </c>
      <c r="AH698" s="37"/>
      <c r="AI698" s="29"/>
      <c r="AJ698" s="29" t="b">
        <v>0</v>
      </c>
      <c r="AK698" s="22" t="str">
        <f t="shared" si="9"/>
        <v/>
      </c>
      <c r="AL698" s="7">
        <f>IF(ISBLANK(AH698), 0, VLOOKUP(AH698, 'Price Sheet'!$A$2:$B1015, 2, false))</f>
        <v>0</v>
      </c>
      <c r="AM698" s="33" t="str">
        <f t="shared" si="10"/>
        <v/>
      </c>
      <c r="AN698" s="37"/>
      <c r="AO698" s="29"/>
      <c r="AP698" s="29" t="b">
        <v>0</v>
      </c>
      <c r="AQ698" s="22" t="str">
        <f t="shared" si="11"/>
        <v/>
      </c>
      <c r="AR698" s="7">
        <f>IF(ISBLANK(AN698), 0, VLOOKUP(AN698, 'Price Sheet'!$A$2:$B1015, 2, false))</f>
        <v>0</v>
      </c>
      <c r="AS698" s="33" t="str">
        <f t="shared" si="12"/>
        <v/>
      </c>
      <c r="AT698" s="37"/>
      <c r="AU698" s="29"/>
      <c r="AV698" s="29" t="b">
        <v>0</v>
      </c>
      <c r="AW698" s="22" t="str">
        <f t="shared" si="13"/>
        <v/>
      </c>
      <c r="AX698" s="7">
        <f>IF(ISBLANK(AT698), 0, VLOOKUP(AT698, 'Price Sheet'!$A$2:$B1015, 2, false))</f>
        <v>0</v>
      </c>
      <c r="AY698" s="33" t="str">
        <f t="shared" si="14"/>
        <v/>
      </c>
      <c r="AZ698" s="37"/>
      <c r="BA698" s="29"/>
      <c r="BB698" s="29" t="b">
        <v>0</v>
      </c>
      <c r="BC698" s="22" t="str">
        <f t="shared" si="15"/>
        <v/>
      </c>
      <c r="BD698" s="7">
        <f>IF(ISBLANK(AZ698), 0, VLOOKUP(AZ698, 'Price Sheet'!$A$2:$B1015, 2, false))</f>
        <v>0</v>
      </c>
      <c r="BE698" s="33" t="str">
        <f t="shared" si="16"/>
        <v/>
      </c>
      <c r="BF698" s="37"/>
      <c r="BG698" s="29"/>
      <c r="BH698" s="29" t="b">
        <v>0</v>
      </c>
      <c r="BI698" s="22" t="str">
        <f t="shared" si="17"/>
        <v/>
      </c>
      <c r="BJ698" s="7">
        <f>IF(ISBLANK(BF698), 0, VLOOKUP(BF698, 'Price Sheet'!$A$2:$B1015, 2, false))</f>
        <v>0</v>
      </c>
      <c r="BK698" s="33" t="str">
        <f t="shared" si="18"/>
        <v/>
      </c>
      <c r="BL698" s="37"/>
      <c r="BM698" s="29"/>
      <c r="BN698" s="29" t="b">
        <v>0</v>
      </c>
      <c r="BO698" s="22" t="str">
        <f t="shared" si="19"/>
        <v/>
      </c>
      <c r="BP698" s="7">
        <f>IF(ISBLANK(BL698), 0, VLOOKUP(BL698, 'Price Sheet'!$A$2:$B1015, 2, false))</f>
        <v>0</v>
      </c>
      <c r="BQ698" s="33" t="str">
        <f t="shared" si="20"/>
        <v/>
      </c>
    </row>
    <row r="699">
      <c r="B699" s="19"/>
      <c r="C699" s="29"/>
      <c r="D699" s="29"/>
      <c r="E699" s="7" t="str">
        <f>IF(ISBLANK(D699), "", VLOOKUP(D699,'Crafting Tables'!$A$2:$B1015, 2, false))</f>
        <v/>
      </c>
      <c r="F699" s="7" t="str">
        <f>IFERROR(IF(E699 = "None", 1, VLOOKUP(C699,General!$A$5:$L$35, SWITCH(E699, "Basic", 8, "Advanced", 10, "Modern", 12), false)),"")</f>
        <v/>
      </c>
      <c r="G699" s="29"/>
      <c r="H699" s="7">
        <f>IFERROR(VLOOKUP(C699, General!$A$5:$L$35, 6, false) * G699 / 1000, 0)</f>
        <v>0</v>
      </c>
      <c r="I699" s="29"/>
      <c r="J699" s="22" t="str">
        <f>IFERROR(I699*VLOOKUP(D699,'Crafting Tables'!$1:$1000, 4, false)*F699,"")</f>
        <v/>
      </c>
      <c r="K699" s="29" t="b">
        <v>0</v>
      </c>
      <c r="L699" s="37"/>
      <c r="M699" s="29"/>
      <c r="N699" s="21" t="str">
        <f t="shared" si="2"/>
        <v/>
      </c>
      <c r="P699" s="37"/>
      <c r="Q699" s="29"/>
      <c r="R699" s="29" t="b">
        <v>0</v>
      </c>
      <c r="S699" s="22" t="str">
        <f t="shared" si="3"/>
        <v/>
      </c>
      <c r="T699" s="7">
        <f>IF(ISBLANK(P699), 0, VLOOKUP(P699, 'Price Sheet'!$A$2:$B1015, 2, false))</f>
        <v>0</v>
      </c>
      <c r="U699" s="33" t="str">
        <f t="shared" si="4"/>
        <v/>
      </c>
      <c r="V699" s="37"/>
      <c r="W699" s="29"/>
      <c r="X699" s="29" t="b">
        <v>0</v>
      </c>
      <c r="Y699" s="22" t="str">
        <f t="shared" si="5"/>
        <v/>
      </c>
      <c r="Z699" s="7">
        <f>IF(ISBLANK(V699), 0, VLOOKUP(V699, 'Price Sheet'!$A$2:$B1015, 2, false))</f>
        <v>0</v>
      </c>
      <c r="AA699" s="33" t="str">
        <f t="shared" si="6"/>
        <v/>
      </c>
      <c r="AB699" s="37"/>
      <c r="AC699" s="29"/>
      <c r="AD699" s="29" t="b">
        <v>0</v>
      </c>
      <c r="AE699" s="22" t="str">
        <f t="shared" si="7"/>
        <v/>
      </c>
      <c r="AF699" s="7">
        <f>IF(ISBLANK(AB699), 0, VLOOKUP(AB699, 'Price Sheet'!$A$2:$B1015, 2, false))</f>
        <v>0</v>
      </c>
      <c r="AG699" s="33" t="str">
        <f t="shared" si="8"/>
        <v/>
      </c>
      <c r="AH699" s="37"/>
      <c r="AI699" s="29"/>
      <c r="AJ699" s="29" t="b">
        <v>0</v>
      </c>
      <c r="AK699" s="22" t="str">
        <f t="shared" si="9"/>
        <v/>
      </c>
      <c r="AL699" s="7">
        <f>IF(ISBLANK(AH699), 0, VLOOKUP(AH699, 'Price Sheet'!$A$2:$B1015, 2, false))</f>
        <v>0</v>
      </c>
      <c r="AM699" s="33" t="str">
        <f t="shared" si="10"/>
        <v/>
      </c>
      <c r="AN699" s="37"/>
      <c r="AO699" s="29"/>
      <c r="AP699" s="29" t="b">
        <v>0</v>
      </c>
      <c r="AQ699" s="22" t="str">
        <f t="shared" si="11"/>
        <v/>
      </c>
      <c r="AR699" s="7">
        <f>IF(ISBLANK(AN699), 0, VLOOKUP(AN699, 'Price Sheet'!$A$2:$B1015, 2, false))</f>
        <v>0</v>
      </c>
      <c r="AS699" s="33" t="str">
        <f t="shared" si="12"/>
        <v/>
      </c>
      <c r="AT699" s="37"/>
      <c r="AU699" s="29"/>
      <c r="AV699" s="29" t="b">
        <v>0</v>
      </c>
      <c r="AW699" s="22" t="str">
        <f t="shared" si="13"/>
        <v/>
      </c>
      <c r="AX699" s="7">
        <f>IF(ISBLANK(AT699), 0, VLOOKUP(AT699, 'Price Sheet'!$A$2:$B1015, 2, false))</f>
        <v>0</v>
      </c>
      <c r="AY699" s="33" t="str">
        <f t="shared" si="14"/>
        <v/>
      </c>
      <c r="AZ699" s="37"/>
      <c r="BA699" s="29"/>
      <c r="BB699" s="29" t="b">
        <v>0</v>
      </c>
      <c r="BC699" s="22" t="str">
        <f t="shared" si="15"/>
        <v/>
      </c>
      <c r="BD699" s="7">
        <f>IF(ISBLANK(AZ699), 0, VLOOKUP(AZ699, 'Price Sheet'!$A$2:$B1015, 2, false))</f>
        <v>0</v>
      </c>
      <c r="BE699" s="33" t="str">
        <f t="shared" si="16"/>
        <v/>
      </c>
      <c r="BF699" s="37"/>
      <c r="BG699" s="29"/>
      <c r="BH699" s="29" t="b">
        <v>0</v>
      </c>
      <c r="BI699" s="22" t="str">
        <f t="shared" si="17"/>
        <v/>
      </c>
      <c r="BJ699" s="7">
        <f>IF(ISBLANK(BF699), 0, VLOOKUP(BF699, 'Price Sheet'!$A$2:$B1015, 2, false))</f>
        <v>0</v>
      </c>
      <c r="BK699" s="33" t="str">
        <f t="shared" si="18"/>
        <v/>
      </c>
      <c r="BL699" s="37"/>
      <c r="BM699" s="29"/>
      <c r="BN699" s="29" t="b">
        <v>0</v>
      </c>
      <c r="BO699" s="22" t="str">
        <f t="shared" si="19"/>
        <v/>
      </c>
      <c r="BP699" s="7">
        <f>IF(ISBLANK(BL699), 0, VLOOKUP(BL699, 'Price Sheet'!$A$2:$B1015, 2, false))</f>
        <v>0</v>
      </c>
      <c r="BQ699" s="33" t="str">
        <f t="shared" si="20"/>
        <v/>
      </c>
    </row>
    <row r="700">
      <c r="B700" s="19"/>
      <c r="C700" s="29"/>
      <c r="D700" s="29"/>
      <c r="E700" s="7" t="str">
        <f>IF(ISBLANK(D700), "", VLOOKUP(D700,'Crafting Tables'!$A$2:$B1015, 2, false))</f>
        <v/>
      </c>
      <c r="F700" s="7" t="str">
        <f>IFERROR(IF(E700 = "None", 1, VLOOKUP(C700,General!$A$5:$L$35, SWITCH(E700, "Basic", 8, "Advanced", 10, "Modern", 12), false)),"")</f>
        <v/>
      </c>
      <c r="G700" s="29"/>
      <c r="H700" s="7">
        <f>IFERROR(VLOOKUP(C700, General!$A$5:$L$35, 6, false) * G700 / 1000, 0)</f>
        <v>0</v>
      </c>
      <c r="I700" s="29"/>
      <c r="J700" s="22" t="str">
        <f>IFERROR(I700*VLOOKUP(D700,'Crafting Tables'!$1:$1000, 4, false)*F700,"")</f>
        <v/>
      </c>
      <c r="K700" s="29" t="b">
        <v>0</v>
      </c>
      <c r="L700" s="37"/>
      <c r="M700" s="29"/>
      <c r="N700" s="21" t="str">
        <f t="shared" si="2"/>
        <v/>
      </c>
      <c r="P700" s="37"/>
      <c r="Q700" s="29"/>
      <c r="R700" s="29" t="b">
        <v>0</v>
      </c>
      <c r="S700" s="22" t="str">
        <f t="shared" si="3"/>
        <v/>
      </c>
      <c r="T700" s="7">
        <f>IF(ISBLANK(P700), 0, VLOOKUP(P700, 'Price Sheet'!$A$2:$B1015, 2, false))</f>
        <v>0</v>
      </c>
      <c r="U700" s="33" t="str">
        <f t="shared" si="4"/>
        <v/>
      </c>
      <c r="V700" s="37"/>
      <c r="W700" s="29"/>
      <c r="X700" s="29" t="b">
        <v>0</v>
      </c>
      <c r="Y700" s="22" t="str">
        <f t="shared" si="5"/>
        <v/>
      </c>
      <c r="Z700" s="7">
        <f>IF(ISBLANK(V700), 0, VLOOKUP(V700, 'Price Sheet'!$A$2:$B1015, 2, false))</f>
        <v>0</v>
      </c>
      <c r="AA700" s="33" t="str">
        <f t="shared" si="6"/>
        <v/>
      </c>
      <c r="AB700" s="37"/>
      <c r="AC700" s="29"/>
      <c r="AD700" s="29" t="b">
        <v>0</v>
      </c>
      <c r="AE700" s="22" t="str">
        <f t="shared" si="7"/>
        <v/>
      </c>
      <c r="AF700" s="7">
        <f>IF(ISBLANK(AB700), 0, VLOOKUP(AB700, 'Price Sheet'!$A$2:$B1015, 2, false))</f>
        <v>0</v>
      </c>
      <c r="AG700" s="33" t="str">
        <f t="shared" si="8"/>
        <v/>
      </c>
      <c r="AH700" s="37"/>
      <c r="AI700" s="29"/>
      <c r="AJ700" s="29" t="b">
        <v>0</v>
      </c>
      <c r="AK700" s="22" t="str">
        <f t="shared" si="9"/>
        <v/>
      </c>
      <c r="AL700" s="7">
        <f>IF(ISBLANK(AH700), 0, VLOOKUP(AH700, 'Price Sheet'!$A$2:$B1015, 2, false))</f>
        <v>0</v>
      </c>
      <c r="AM700" s="33" t="str">
        <f t="shared" si="10"/>
        <v/>
      </c>
      <c r="AN700" s="37"/>
      <c r="AO700" s="29"/>
      <c r="AP700" s="29" t="b">
        <v>0</v>
      </c>
      <c r="AQ700" s="22" t="str">
        <f t="shared" si="11"/>
        <v/>
      </c>
      <c r="AR700" s="7">
        <f>IF(ISBLANK(AN700), 0, VLOOKUP(AN700, 'Price Sheet'!$A$2:$B1015, 2, false))</f>
        <v>0</v>
      </c>
      <c r="AS700" s="33" t="str">
        <f t="shared" si="12"/>
        <v/>
      </c>
      <c r="AT700" s="37"/>
      <c r="AU700" s="29"/>
      <c r="AV700" s="29" t="b">
        <v>0</v>
      </c>
      <c r="AW700" s="22" t="str">
        <f t="shared" si="13"/>
        <v/>
      </c>
      <c r="AX700" s="7">
        <f>IF(ISBLANK(AT700), 0, VLOOKUP(AT700, 'Price Sheet'!$A$2:$B1015, 2, false))</f>
        <v>0</v>
      </c>
      <c r="AY700" s="33" t="str">
        <f t="shared" si="14"/>
        <v/>
      </c>
      <c r="AZ700" s="37"/>
      <c r="BA700" s="29"/>
      <c r="BB700" s="29" t="b">
        <v>0</v>
      </c>
      <c r="BC700" s="22" t="str">
        <f t="shared" si="15"/>
        <v/>
      </c>
      <c r="BD700" s="7">
        <f>IF(ISBLANK(AZ700), 0, VLOOKUP(AZ700, 'Price Sheet'!$A$2:$B1015, 2, false))</f>
        <v>0</v>
      </c>
      <c r="BE700" s="33" t="str">
        <f t="shared" si="16"/>
        <v/>
      </c>
      <c r="BF700" s="37"/>
      <c r="BG700" s="29"/>
      <c r="BH700" s="29" t="b">
        <v>0</v>
      </c>
      <c r="BI700" s="22" t="str">
        <f t="shared" si="17"/>
        <v/>
      </c>
      <c r="BJ700" s="7">
        <f>IF(ISBLANK(BF700), 0, VLOOKUP(BF700, 'Price Sheet'!$A$2:$B1015, 2, false))</f>
        <v>0</v>
      </c>
      <c r="BK700" s="33" t="str">
        <f t="shared" si="18"/>
        <v/>
      </c>
      <c r="BL700" s="37"/>
      <c r="BM700" s="29"/>
      <c r="BN700" s="29" t="b">
        <v>0</v>
      </c>
      <c r="BO700" s="22" t="str">
        <f t="shared" si="19"/>
        <v/>
      </c>
      <c r="BP700" s="7">
        <f>IF(ISBLANK(BL700), 0, VLOOKUP(BL700, 'Price Sheet'!$A$2:$B1015, 2, false))</f>
        <v>0</v>
      </c>
      <c r="BQ700" s="33" t="str">
        <f t="shared" si="20"/>
        <v/>
      </c>
    </row>
    <row r="701">
      <c r="B701" s="19"/>
      <c r="C701" s="29"/>
      <c r="D701" s="29"/>
      <c r="E701" s="7" t="str">
        <f>IF(ISBLANK(D701), "", VLOOKUP(D701,'Crafting Tables'!$A$2:$B1015, 2, false))</f>
        <v/>
      </c>
      <c r="F701" s="7" t="str">
        <f>IFERROR(IF(E701 = "None", 1, VLOOKUP(C701,General!$A$5:$L$35, SWITCH(E701, "Basic", 8, "Advanced", 10, "Modern", 12), false)),"")</f>
        <v/>
      </c>
      <c r="G701" s="29"/>
      <c r="H701" s="7">
        <f>IFERROR(VLOOKUP(C701, General!$A$5:$L$35, 6, false) * G701 / 1000, 0)</f>
        <v>0</v>
      </c>
      <c r="I701" s="29"/>
      <c r="J701" s="22" t="str">
        <f>IFERROR(I701*VLOOKUP(D701,'Crafting Tables'!$1:$1000, 4, false)*F701,"")</f>
        <v/>
      </c>
      <c r="K701" s="29" t="b">
        <v>0</v>
      </c>
      <c r="L701" s="37"/>
      <c r="M701" s="29"/>
      <c r="N701" s="21" t="str">
        <f t="shared" si="2"/>
        <v/>
      </c>
      <c r="P701" s="37"/>
      <c r="Q701" s="29"/>
      <c r="R701" s="29" t="b">
        <v>0</v>
      </c>
      <c r="S701" s="22" t="str">
        <f t="shared" si="3"/>
        <v/>
      </c>
      <c r="T701" s="7">
        <f>IF(ISBLANK(P701), 0, VLOOKUP(P701, 'Price Sheet'!$A$2:$B1015, 2, false))</f>
        <v>0</v>
      </c>
      <c r="U701" s="33" t="str">
        <f t="shared" si="4"/>
        <v/>
      </c>
      <c r="V701" s="37"/>
      <c r="W701" s="29"/>
      <c r="X701" s="29" t="b">
        <v>0</v>
      </c>
      <c r="Y701" s="22" t="str">
        <f t="shared" si="5"/>
        <v/>
      </c>
      <c r="Z701" s="7">
        <f>IF(ISBLANK(V701), 0, VLOOKUP(V701, 'Price Sheet'!$A$2:$B1015, 2, false))</f>
        <v>0</v>
      </c>
      <c r="AA701" s="33" t="str">
        <f t="shared" si="6"/>
        <v/>
      </c>
      <c r="AB701" s="37"/>
      <c r="AC701" s="29"/>
      <c r="AD701" s="29" t="b">
        <v>0</v>
      </c>
      <c r="AE701" s="22" t="str">
        <f t="shared" si="7"/>
        <v/>
      </c>
      <c r="AF701" s="7">
        <f>IF(ISBLANK(AB701), 0, VLOOKUP(AB701, 'Price Sheet'!$A$2:$B1015, 2, false))</f>
        <v>0</v>
      </c>
      <c r="AG701" s="33" t="str">
        <f t="shared" si="8"/>
        <v/>
      </c>
      <c r="AH701" s="37"/>
      <c r="AI701" s="29"/>
      <c r="AJ701" s="29" t="b">
        <v>0</v>
      </c>
      <c r="AK701" s="22" t="str">
        <f t="shared" si="9"/>
        <v/>
      </c>
      <c r="AL701" s="7">
        <f>IF(ISBLANK(AH701), 0, VLOOKUP(AH701, 'Price Sheet'!$A$2:$B1015, 2, false))</f>
        <v>0</v>
      </c>
      <c r="AM701" s="33" t="str">
        <f t="shared" si="10"/>
        <v/>
      </c>
      <c r="AN701" s="37"/>
      <c r="AO701" s="29"/>
      <c r="AP701" s="29" t="b">
        <v>0</v>
      </c>
      <c r="AQ701" s="22" t="str">
        <f t="shared" si="11"/>
        <v/>
      </c>
      <c r="AR701" s="7">
        <f>IF(ISBLANK(AN701), 0, VLOOKUP(AN701, 'Price Sheet'!$A$2:$B1015, 2, false))</f>
        <v>0</v>
      </c>
      <c r="AS701" s="33" t="str">
        <f t="shared" si="12"/>
        <v/>
      </c>
      <c r="AT701" s="37"/>
      <c r="AU701" s="29"/>
      <c r="AV701" s="29" t="b">
        <v>0</v>
      </c>
      <c r="AW701" s="22" t="str">
        <f t="shared" si="13"/>
        <v/>
      </c>
      <c r="AX701" s="7">
        <f>IF(ISBLANK(AT701), 0, VLOOKUP(AT701, 'Price Sheet'!$A$2:$B1015, 2, false))</f>
        <v>0</v>
      </c>
      <c r="AY701" s="33" t="str">
        <f t="shared" si="14"/>
        <v/>
      </c>
      <c r="AZ701" s="37"/>
      <c r="BA701" s="29"/>
      <c r="BB701" s="29" t="b">
        <v>0</v>
      </c>
      <c r="BC701" s="22" t="str">
        <f t="shared" si="15"/>
        <v/>
      </c>
      <c r="BD701" s="7">
        <f>IF(ISBLANK(AZ701), 0, VLOOKUP(AZ701, 'Price Sheet'!$A$2:$B1015, 2, false))</f>
        <v>0</v>
      </c>
      <c r="BE701" s="33" t="str">
        <f t="shared" si="16"/>
        <v/>
      </c>
      <c r="BF701" s="37"/>
      <c r="BG701" s="29"/>
      <c r="BH701" s="29" t="b">
        <v>0</v>
      </c>
      <c r="BI701" s="22" t="str">
        <f t="shared" si="17"/>
        <v/>
      </c>
      <c r="BJ701" s="7">
        <f>IF(ISBLANK(BF701), 0, VLOOKUP(BF701, 'Price Sheet'!$A$2:$B1015, 2, false))</f>
        <v>0</v>
      </c>
      <c r="BK701" s="33" t="str">
        <f t="shared" si="18"/>
        <v/>
      </c>
      <c r="BL701" s="37"/>
      <c r="BM701" s="29"/>
      <c r="BN701" s="29" t="b">
        <v>0</v>
      </c>
      <c r="BO701" s="22" t="str">
        <f t="shared" si="19"/>
        <v/>
      </c>
      <c r="BP701" s="7">
        <f>IF(ISBLANK(BL701), 0, VLOOKUP(BL701, 'Price Sheet'!$A$2:$B1015, 2, false))</f>
        <v>0</v>
      </c>
      <c r="BQ701" s="33" t="str">
        <f t="shared" si="20"/>
        <v/>
      </c>
    </row>
    <row r="702">
      <c r="B702" s="19"/>
      <c r="C702" s="29"/>
      <c r="D702" s="29"/>
      <c r="E702" s="7" t="str">
        <f>IF(ISBLANK(D702), "", VLOOKUP(D702,'Crafting Tables'!$A$2:$B1015, 2, false))</f>
        <v/>
      </c>
      <c r="F702" s="7" t="str">
        <f>IFERROR(IF(E702 = "None", 1, VLOOKUP(C702,General!$A$5:$L$35, SWITCH(E702, "Basic", 8, "Advanced", 10, "Modern", 12), false)),"")</f>
        <v/>
      </c>
      <c r="G702" s="29"/>
      <c r="H702" s="7">
        <f>IFERROR(VLOOKUP(C702, General!$A$5:$L$35, 6, false) * G702 / 1000, 0)</f>
        <v>0</v>
      </c>
      <c r="I702" s="29"/>
      <c r="J702" s="22" t="str">
        <f>IFERROR(I702*VLOOKUP(D702,'Crafting Tables'!$1:$1000, 4, false)*F702,"")</f>
        <v/>
      </c>
      <c r="K702" s="29" t="b">
        <v>0</v>
      </c>
      <c r="L702" s="37"/>
      <c r="M702" s="29"/>
      <c r="N702" s="21" t="str">
        <f t="shared" si="2"/>
        <v/>
      </c>
      <c r="P702" s="37"/>
      <c r="Q702" s="29"/>
      <c r="R702" s="29" t="b">
        <v>0</v>
      </c>
      <c r="S702" s="22" t="str">
        <f t="shared" si="3"/>
        <v/>
      </c>
      <c r="T702" s="7">
        <f>IF(ISBLANK(P702), 0, VLOOKUP(P702, 'Price Sheet'!$A$2:$B1015, 2, false))</f>
        <v>0</v>
      </c>
      <c r="U702" s="33" t="str">
        <f t="shared" si="4"/>
        <v/>
      </c>
      <c r="V702" s="37"/>
      <c r="W702" s="29"/>
      <c r="X702" s="29" t="b">
        <v>0</v>
      </c>
      <c r="Y702" s="22" t="str">
        <f t="shared" si="5"/>
        <v/>
      </c>
      <c r="Z702" s="7">
        <f>IF(ISBLANK(V702), 0, VLOOKUP(V702, 'Price Sheet'!$A$2:$B1015, 2, false))</f>
        <v>0</v>
      </c>
      <c r="AA702" s="33" t="str">
        <f t="shared" si="6"/>
        <v/>
      </c>
      <c r="AB702" s="37"/>
      <c r="AC702" s="29"/>
      <c r="AD702" s="29" t="b">
        <v>0</v>
      </c>
      <c r="AE702" s="22" t="str">
        <f t="shared" si="7"/>
        <v/>
      </c>
      <c r="AF702" s="7">
        <f>IF(ISBLANK(AB702), 0, VLOOKUP(AB702, 'Price Sheet'!$A$2:$B1015, 2, false))</f>
        <v>0</v>
      </c>
      <c r="AG702" s="33" t="str">
        <f t="shared" si="8"/>
        <v/>
      </c>
      <c r="AH702" s="37"/>
      <c r="AI702" s="29"/>
      <c r="AJ702" s="29" t="b">
        <v>0</v>
      </c>
      <c r="AK702" s="22" t="str">
        <f t="shared" si="9"/>
        <v/>
      </c>
      <c r="AL702" s="7">
        <f>IF(ISBLANK(AH702), 0, VLOOKUP(AH702, 'Price Sheet'!$A$2:$B1015, 2, false))</f>
        <v>0</v>
      </c>
      <c r="AM702" s="33" t="str">
        <f t="shared" si="10"/>
        <v/>
      </c>
      <c r="AN702" s="37"/>
      <c r="AO702" s="29"/>
      <c r="AP702" s="29" t="b">
        <v>0</v>
      </c>
      <c r="AQ702" s="22" t="str">
        <f t="shared" si="11"/>
        <v/>
      </c>
      <c r="AR702" s="7">
        <f>IF(ISBLANK(AN702), 0, VLOOKUP(AN702, 'Price Sheet'!$A$2:$B1015, 2, false))</f>
        <v>0</v>
      </c>
      <c r="AS702" s="33" t="str">
        <f t="shared" si="12"/>
        <v/>
      </c>
      <c r="AT702" s="37"/>
      <c r="AU702" s="29"/>
      <c r="AV702" s="29" t="b">
        <v>0</v>
      </c>
      <c r="AW702" s="22" t="str">
        <f t="shared" si="13"/>
        <v/>
      </c>
      <c r="AX702" s="7">
        <f>IF(ISBLANK(AT702), 0, VLOOKUP(AT702, 'Price Sheet'!$A$2:$B1015, 2, false))</f>
        <v>0</v>
      </c>
      <c r="AY702" s="33" t="str">
        <f t="shared" si="14"/>
        <v/>
      </c>
      <c r="AZ702" s="37"/>
      <c r="BA702" s="29"/>
      <c r="BB702" s="29" t="b">
        <v>0</v>
      </c>
      <c r="BC702" s="22" t="str">
        <f t="shared" si="15"/>
        <v/>
      </c>
      <c r="BD702" s="7">
        <f>IF(ISBLANK(AZ702), 0, VLOOKUP(AZ702, 'Price Sheet'!$A$2:$B1015, 2, false))</f>
        <v>0</v>
      </c>
      <c r="BE702" s="33" t="str">
        <f t="shared" si="16"/>
        <v/>
      </c>
      <c r="BF702" s="37"/>
      <c r="BG702" s="29"/>
      <c r="BH702" s="29" t="b">
        <v>0</v>
      </c>
      <c r="BI702" s="22" t="str">
        <f t="shared" si="17"/>
        <v/>
      </c>
      <c r="BJ702" s="7">
        <f>IF(ISBLANK(BF702), 0, VLOOKUP(BF702, 'Price Sheet'!$A$2:$B1015, 2, false))</f>
        <v>0</v>
      </c>
      <c r="BK702" s="33" t="str">
        <f t="shared" si="18"/>
        <v/>
      </c>
      <c r="BL702" s="37"/>
      <c r="BM702" s="29"/>
      <c r="BN702" s="29" t="b">
        <v>0</v>
      </c>
      <c r="BO702" s="22" t="str">
        <f t="shared" si="19"/>
        <v/>
      </c>
      <c r="BP702" s="7">
        <f>IF(ISBLANK(BL702), 0, VLOOKUP(BL702, 'Price Sheet'!$A$2:$B1015, 2, false))</f>
        <v>0</v>
      </c>
      <c r="BQ702" s="33" t="str">
        <f t="shared" si="20"/>
        <v/>
      </c>
    </row>
    <row r="703">
      <c r="B703" s="19"/>
      <c r="C703" s="29"/>
      <c r="D703" s="29"/>
      <c r="E703" s="7" t="str">
        <f>IF(ISBLANK(D703), "", VLOOKUP(D703,'Crafting Tables'!$A$2:$B1015, 2, false))</f>
        <v/>
      </c>
      <c r="F703" s="7" t="str">
        <f>IFERROR(IF(E703 = "None", 1, VLOOKUP(C703,General!$A$5:$L$35, SWITCH(E703, "Basic", 8, "Advanced", 10, "Modern", 12), false)),"")</f>
        <v/>
      </c>
      <c r="G703" s="29"/>
      <c r="H703" s="7">
        <f>IFERROR(VLOOKUP(C703, General!$A$5:$L$35, 6, false) * G703 / 1000, 0)</f>
        <v>0</v>
      </c>
      <c r="I703" s="29"/>
      <c r="J703" s="22" t="str">
        <f>IFERROR(I703*VLOOKUP(D703,'Crafting Tables'!$1:$1000, 4, false)*F703,"")</f>
        <v/>
      </c>
      <c r="K703" s="29" t="b">
        <v>0</v>
      </c>
      <c r="L703" s="37"/>
      <c r="M703" s="29"/>
      <c r="N703" s="21" t="str">
        <f t="shared" si="2"/>
        <v/>
      </c>
      <c r="P703" s="37"/>
      <c r="Q703" s="29"/>
      <c r="R703" s="29" t="b">
        <v>0</v>
      </c>
      <c r="S703" s="22" t="str">
        <f t="shared" si="3"/>
        <v/>
      </c>
      <c r="T703" s="7">
        <f>IF(ISBLANK(P703), 0, VLOOKUP(P703, 'Price Sheet'!$A$2:$B1015, 2, false))</f>
        <v>0</v>
      </c>
      <c r="U703" s="33" t="str">
        <f t="shared" si="4"/>
        <v/>
      </c>
      <c r="V703" s="37"/>
      <c r="W703" s="29"/>
      <c r="X703" s="29" t="b">
        <v>0</v>
      </c>
      <c r="Y703" s="22" t="str">
        <f t="shared" si="5"/>
        <v/>
      </c>
      <c r="Z703" s="7">
        <f>IF(ISBLANK(V703), 0, VLOOKUP(V703, 'Price Sheet'!$A$2:$B1015, 2, false))</f>
        <v>0</v>
      </c>
      <c r="AA703" s="33" t="str">
        <f t="shared" si="6"/>
        <v/>
      </c>
      <c r="AB703" s="37"/>
      <c r="AC703" s="29"/>
      <c r="AD703" s="29" t="b">
        <v>0</v>
      </c>
      <c r="AE703" s="22" t="str">
        <f t="shared" si="7"/>
        <v/>
      </c>
      <c r="AF703" s="7">
        <f>IF(ISBLANK(AB703), 0, VLOOKUP(AB703, 'Price Sheet'!$A$2:$B1015, 2, false))</f>
        <v>0</v>
      </c>
      <c r="AG703" s="33" t="str">
        <f t="shared" si="8"/>
        <v/>
      </c>
      <c r="AH703" s="37"/>
      <c r="AI703" s="29"/>
      <c r="AJ703" s="29" t="b">
        <v>0</v>
      </c>
      <c r="AK703" s="22" t="str">
        <f t="shared" si="9"/>
        <v/>
      </c>
      <c r="AL703" s="7">
        <f>IF(ISBLANK(AH703), 0, VLOOKUP(AH703, 'Price Sheet'!$A$2:$B1015, 2, false))</f>
        <v>0</v>
      </c>
      <c r="AM703" s="33" t="str">
        <f t="shared" si="10"/>
        <v/>
      </c>
      <c r="AN703" s="37"/>
      <c r="AO703" s="29"/>
      <c r="AP703" s="29" t="b">
        <v>0</v>
      </c>
      <c r="AQ703" s="22" t="str">
        <f t="shared" si="11"/>
        <v/>
      </c>
      <c r="AR703" s="7">
        <f>IF(ISBLANK(AN703), 0, VLOOKUP(AN703, 'Price Sheet'!$A$2:$B1015, 2, false))</f>
        <v>0</v>
      </c>
      <c r="AS703" s="33" t="str">
        <f t="shared" si="12"/>
        <v/>
      </c>
      <c r="AT703" s="37"/>
      <c r="AU703" s="29"/>
      <c r="AV703" s="29" t="b">
        <v>0</v>
      </c>
      <c r="AW703" s="22" t="str">
        <f t="shared" si="13"/>
        <v/>
      </c>
      <c r="AX703" s="7">
        <f>IF(ISBLANK(AT703), 0, VLOOKUP(AT703, 'Price Sheet'!$A$2:$B1015, 2, false))</f>
        <v>0</v>
      </c>
      <c r="AY703" s="33" t="str">
        <f t="shared" si="14"/>
        <v/>
      </c>
      <c r="AZ703" s="37"/>
      <c r="BA703" s="29"/>
      <c r="BB703" s="29" t="b">
        <v>0</v>
      </c>
      <c r="BC703" s="22" t="str">
        <f t="shared" si="15"/>
        <v/>
      </c>
      <c r="BD703" s="7">
        <f>IF(ISBLANK(AZ703), 0, VLOOKUP(AZ703, 'Price Sheet'!$A$2:$B1015, 2, false))</f>
        <v>0</v>
      </c>
      <c r="BE703" s="33" t="str">
        <f t="shared" si="16"/>
        <v/>
      </c>
      <c r="BF703" s="37"/>
      <c r="BG703" s="29"/>
      <c r="BH703" s="29" t="b">
        <v>0</v>
      </c>
      <c r="BI703" s="22" t="str">
        <f t="shared" si="17"/>
        <v/>
      </c>
      <c r="BJ703" s="7">
        <f>IF(ISBLANK(BF703), 0, VLOOKUP(BF703, 'Price Sheet'!$A$2:$B1015, 2, false))</f>
        <v>0</v>
      </c>
      <c r="BK703" s="33" t="str">
        <f t="shared" si="18"/>
        <v/>
      </c>
      <c r="BL703" s="37"/>
      <c r="BM703" s="29"/>
      <c r="BN703" s="29" t="b">
        <v>0</v>
      </c>
      <c r="BO703" s="22" t="str">
        <f t="shared" si="19"/>
        <v/>
      </c>
      <c r="BP703" s="7">
        <f>IF(ISBLANK(BL703), 0, VLOOKUP(BL703, 'Price Sheet'!$A$2:$B1015, 2, false))</f>
        <v>0</v>
      </c>
      <c r="BQ703" s="33" t="str">
        <f t="shared" si="20"/>
        <v/>
      </c>
    </row>
    <row r="704">
      <c r="B704" s="19"/>
      <c r="C704" s="29"/>
      <c r="D704" s="29"/>
      <c r="E704" s="7" t="str">
        <f>IF(ISBLANK(D704), "", VLOOKUP(D704,'Crafting Tables'!$A$2:$B1015, 2, false))</f>
        <v/>
      </c>
      <c r="F704" s="7" t="str">
        <f>IFERROR(IF(E704 = "None", 1, VLOOKUP(C704,General!$A$5:$L$35, SWITCH(E704, "Basic", 8, "Advanced", 10, "Modern", 12), false)),"")</f>
        <v/>
      </c>
      <c r="G704" s="29"/>
      <c r="H704" s="7">
        <f>IFERROR(VLOOKUP(C704, General!$A$5:$L$35, 6, false) * G704 / 1000, 0)</f>
        <v>0</v>
      </c>
      <c r="I704" s="29"/>
      <c r="J704" s="22" t="str">
        <f>IFERROR(I704*VLOOKUP(D704,'Crafting Tables'!$1:$1000, 4, false)*F704,"")</f>
        <v/>
      </c>
      <c r="K704" s="29" t="b">
        <v>0</v>
      </c>
      <c r="L704" s="37"/>
      <c r="M704" s="29"/>
      <c r="N704" s="21" t="str">
        <f t="shared" si="2"/>
        <v/>
      </c>
      <c r="P704" s="37"/>
      <c r="Q704" s="29"/>
      <c r="R704" s="29" t="b">
        <v>0</v>
      </c>
      <c r="S704" s="22" t="str">
        <f t="shared" si="3"/>
        <v/>
      </c>
      <c r="T704" s="7">
        <f>IF(ISBLANK(P704), 0, VLOOKUP(P704, 'Price Sheet'!$A$2:$B1015, 2, false))</f>
        <v>0</v>
      </c>
      <c r="U704" s="33" t="str">
        <f t="shared" si="4"/>
        <v/>
      </c>
      <c r="V704" s="37"/>
      <c r="W704" s="29"/>
      <c r="X704" s="29" t="b">
        <v>0</v>
      </c>
      <c r="Y704" s="22" t="str">
        <f t="shared" si="5"/>
        <v/>
      </c>
      <c r="Z704" s="7">
        <f>IF(ISBLANK(V704), 0, VLOOKUP(V704, 'Price Sheet'!$A$2:$B1015, 2, false))</f>
        <v>0</v>
      </c>
      <c r="AA704" s="33" t="str">
        <f t="shared" si="6"/>
        <v/>
      </c>
      <c r="AB704" s="37"/>
      <c r="AC704" s="29"/>
      <c r="AD704" s="29" t="b">
        <v>0</v>
      </c>
      <c r="AE704" s="22" t="str">
        <f t="shared" si="7"/>
        <v/>
      </c>
      <c r="AF704" s="7">
        <f>IF(ISBLANK(AB704), 0, VLOOKUP(AB704, 'Price Sheet'!$A$2:$B1015, 2, false))</f>
        <v>0</v>
      </c>
      <c r="AG704" s="33" t="str">
        <f t="shared" si="8"/>
        <v/>
      </c>
      <c r="AH704" s="37"/>
      <c r="AI704" s="29"/>
      <c r="AJ704" s="29" t="b">
        <v>0</v>
      </c>
      <c r="AK704" s="22" t="str">
        <f t="shared" si="9"/>
        <v/>
      </c>
      <c r="AL704" s="7">
        <f>IF(ISBLANK(AH704), 0, VLOOKUP(AH704, 'Price Sheet'!$A$2:$B1015, 2, false))</f>
        <v>0</v>
      </c>
      <c r="AM704" s="33" t="str">
        <f t="shared" si="10"/>
        <v/>
      </c>
      <c r="AN704" s="37"/>
      <c r="AO704" s="29"/>
      <c r="AP704" s="29" t="b">
        <v>0</v>
      </c>
      <c r="AQ704" s="22" t="str">
        <f t="shared" si="11"/>
        <v/>
      </c>
      <c r="AR704" s="7">
        <f>IF(ISBLANK(AN704), 0, VLOOKUP(AN704, 'Price Sheet'!$A$2:$B1015, 2, false))</f>
        <v>0</v>
      </c>
      <c r="AS704" s="33" t="str">
        <f t="shared" si="12"/>
        <v/>
      </c>
      <c r="AT704" s="37"/>
      <c r="AU704" s="29"/>
      <c r="AV704" s="29" t="b">
        <v>0</v>
      </c>
      <c r="AW704" s="22" t="str">
        <f t="shared" si="13"/>
        <v/>
      </c>
      <c r="AX704" s="7">
        <f>IF(ISBLANK(AT704), 0, VLOOKUP(AT704, 'Price Sheet'!$A$2:$B1015, 2, false))</f>
        <v>0</v>
      </c>
      <c r="AY704" s="33" t="str">
        <f t="shared" si="14"/>
        <v/>
      </c>
      <c r="AZ704" s="37"/>
      <c r="BA704" s="29"/>
      <c r="BB704" s="29" t="b">
        <v>0</v>
      </c>
      <c r="BC704" s="22" t="str">
        <f t="shared" si="15"/>
        <v/>
      </c>
      <c r="BD704" s="7">
        <f>IF(ISBLANK(AZ704), 0, VLOOKUP(AZ704, 'Price Sheet'!$A$2:$B1015, 2, false))</f>
        <v>0</v>
      </c>
      <c r="BE704" s="33" t="str">
        <f t="shared" si="16"/>
        <v/>
      </c>
      <c r="BF704" s="37"/>
      <c r="BG704" s="29"/>
      <c r="BH704" s="29" t="b">
        <v>0</v>
      </c>
      <c r="BI704" s="22" t="str">
        <f t="shared" si="17"/>
        <v/>
      </c>
      <c r="BJ704" s="7">
        <f>IF(ISBLANK(BF704), 0, VLOOKUP(BF704, 'Price Sheet'!$A$2:$B1015, 2, false))</f>
        <v>0</v>
      </c>
      <c r="BK704" s="33" t="str">
        <f t="shared" si="18"/>
        <v/>
      </c>
      <c r="BL704" s="37"/>
      <c r="BM704" s="29"/>
      <c r="BN704" s="29" t="b">
        <v>0</v>
      </c>
      <c r="BO704" s="22" t="str">
        <f t="shared" si="19"/>
        <v/>
      </c>
      <c r="BP704" s="7">
        <f>IF(ISBLANK(BL704), 0, VLOOKUP(BL704, 'Price Sheet'!$A$2:$B1015, 2, false))</f>
        <v>0</v>
      </c>
      <c r="BQ704" s="33" t="str">
        <f t="shared" si="20"/>
        <v/>
      </c>
    </row>
    <row r="705">
      <c r="B705" s="19"/>
      <c r="C705" s="29"/>
      <c r="D705" s="29"/>
      <c r="E705" s="7" t="str">
        <f>IF(ISBLANK(D705), "", VLOOKUP(D705,'Crafting Tables'!$A$2:$B1015, 2, false))</f>
        <v/>
      </c>
      <c r="F705" s="7" t="str">
        <f>IFERROR(IF(E705 = "None", 1, VLOOKUP(C705,General!$A$5:$L$35, SWITCH(E705, "Basic", 8, "Advanced", 10, "Modern", 12), false)),"")</f>
        <v/>
      </c>
      <c r="G705" s="29"/>
      <c r="H705" s="7">
        <f>IFERROR(VLOOKUP(C705, General!$A$5:$L$35, 6, false) * G705 / 1000, 0)</f>
        <v>0</v>
      </c>
      <c r="I705" s="29"/>
      <c r="J705" s="22" t="str">
        <f>IFERROR(I705*VLOOKUP(D705,'Crafting Tables'!$1:$1000, 4, false)*F705,"")</f>
        <v/>
      </c>
      <c r="K705" s="29" t="b">
        <v>0</v>
      </c>
      <c r="L705" s="37"/>
      <c r="M705" s="29"/>
      <c r="N705" s="21" t="str">
        <f t="shared" si="2"/>
        <v/>
      </c>
      <c r="P705" s="37"/>
      <c r="Q705" s="29"/>
      <c r="R705" s="29" t="b">
        <v>0</v>
      </c>
      <c r="S705" s="22" t="str">
        <f t="shared" si="3"/>
        <v/>
      </c>
      <c r="T705" s="7">
        <f>IF(ISBLANK(P705), 0, VLOOKUP(P705, 'Price Sheet'!$A$2:$B1015, 2, false))</f>
        <v>0</v>
      </c>
      <c r="U705" s="33" t="str">
        <f t="shared" si="4"/>
        <v/>
      </c>
      <c r="V705" s="37"/>
      <c r="W705" s="29"/>
      <c r="X705" s="29" t="b">
        <v>0</v>
      </c>
      <c r="Y705" s="22" t="str">
        <f t="shared" si="5"/>
        <v/>
      </c>
      <c r="Z705" s="7">
        <f>IF(ISBLANK(V705), 0, VLOOKUP(V705, 'Price Sheet'!$A$2:$B1015, 2, false))</f>
        <v>0</v>
      </c>
      <c r="AA705" s="33" t="str">
        <f t="shared" si="6"/>
        <v/>
      </c>
      <c r="AB705" s="37"/>
      <c r="AC705" s="29"/>
      <c r="AD705" s="29" t="b">
        <v>0</v>
      </c>
      <c r="AE705" s="22" t="str">
        <f t="shared" si="7"/>
        <v/>
      </c>
      <c r="AF705" s="7">
        <f>IF(ISBLANK(AB705), 0, VLOOKUP(AB705, 'Price Sheet'!$A$2:$B1015, 2, false))</f>
        <v>0</v>
      </c>
      <c r="AG705" s="33" t="str">
        <f t="shared" si="8"/>
        <v/>
      </c>
      <c r="AH705" s="37"/>
      <c r="AI705" s="29"/>
      <c r="AJ705" s="29" t="b">
        <v>0</v>
      </c>
      <c r="AK705" s="22" t="str">
        <f t="shared" si="9"/>
        <v/>
      </c>
      <c r="AL705" s="7">
        <f>IF(ISBLANK(AH705), 0, VLOOKUP(AH705, 'Price Sheet'!$A$2:$B1015, 2, false))</f>
        <v>0</v>
      </c>
      <c r="AM705" s="33" t="str">
        <f t="shared" si="10"/>
        <v/>
      </c>
      <c r="AN705" s="37"/>
      <c r="AO705" s="29"/>
      <c r="AP705" s="29" t="b">
        <v>0</v>
      </c>
      <c r="AQ705" s="22" t="str">
        <f t="shared" si="11"/>
        <v/>
      </c>
      <c r="AR705" s="7">
        <f>IF(ISBLANK(AN705), 0, VLOOKUP(AN705, 'Price Sheet'!$A$2:$B1015, 2, false))</f>
        <v>0</v>
      </c>
      <c r="AS705" s="33" t="str">
        <f t="shared" si="12"/>
        <v/>
      </c>
      <c r="AT705" s="37"/>
      <c r="AU705" s="29"/>
      <c r="AV705" s="29" t="b">
        <v>0</v>
      </c>
      <c r="AW705" s="22" t="str">
        <f t="shared" si="13"/>
        <v/>
      </c>
      <c r="AX705" s="7">
        <f>IF(ISBLANK(AT705), 0, VLOOKUP(AT705, 'Price Sheet'!$A$2:$B1015, 2, false))</f>
        <v>0</v>
      </c>
      <c r="AY705" s="33" t="str">
        <f t="shared" si="14"/>
        <v/>
      </c>
      <c r="AZ705" s="37"/>
      <c r="BA705" s="29"/>
      <c r="BB705" s="29" t="b">
        <v>0</v>
      </c>
      <c r="BC705" s="22" t="str">
        <f t="shared" si="15"/>
        <v/>
      </c>
      <c r="BD705" s="7">
        <f>IF(ISBLANK(AZ705), 0, VLOOKUP(AZ705, 'Price Sheet'!$A$2:$B1015, 2, false))</f>
        <v>0</v>
      </c>
      <c r="BE705" s="33" t="str">
        <f t="shared" si="16"/>
        <v/>
      </c>
      <c r="BF705" s="37"/>
      <c r="BG705" s="29"/>
      <c r="BH705" s="29" t="b">
        <v>0</v>
      </c>
      <c r="BI705" s="22" t="str">
        <f t="shared" si="17"/>
        <v/>
      </c>
      <c r="BJ705" s="7">
        <f>IF(ISBLANK(BF705), 0, VLOOKUP(BF705, 'Price Sheet'!$A$2:$B1015, 2, false))</f>
        <v>0</v>
      </c>
      <c r="BK705" s="33" t="str">
        <f t="shared" si="18"/>
        <v/>
      </c>
      <c r="BL705" s="37"/>
      <c r="BM705" s="29"/>
      <c r="BN705" s="29" t="b">
        <v>0</v>
      </c>
      <c r="BO705" s="22" t="str">
        <f t="shared" si="19"/>
        <v/>
      </c>
      <c r="BP705" s="7">
        <f>IF(ISBLANK(BL705), 0, VLOOKUP(BL705, 'Price Sheet'!$A$2:$B1015, 2, false))</f>
        <v>0</v>
      </c>
      <c r="BQ705" s="33" t="str">
        <f t="shared" si="20"/>
        <v/>
      </c>
    </row>
    <row r="706">
      <c r="B706" s="19"/>
      <c r="C706" s="29"/>
      <c r="D706" s="29"/>
      <c r="E706" s="7" t="str">
        <f>IF(ISBLANK(D706), "", VLOOKUP(D706,'Crafting Tables'!$A$2:$B1015, 2, false))</f>
        <v/>
      </c>
      <c r="F706" s="7" t="str">
        <f>IFERROR(IF(E706 = "None", 1, VLOOKUP(C706,General!$A$5:$L$35, SWITCH(E706, "Basic", 8, "Advanced", 10, "Modern", 12), false)),"")</f>
        <v/>
      </c>
      <c r="G706" s="29"/>
      <c r="H706" s="7">
        <f>IFERROR(VLOOKUP(C706, General!$A$5:$L$35, 6, false) * G706 / 1000, 0)</f>
        <v>0</v>
      </c>
      <c r="I706" s="29"/>
      <c r="J706" s="22" t="str">
        <f>IFERROR(I706*VLOOKUP(D706,'Crafting Tables'!$1:$1000, 4, false)*F706,"")</f>
        <v/>
      </c>
      <c r="K706" s="29" t="b">
        <v>0</v>
      </c>
      <c r="L706" s="37"/>
      <c r="M706" s="29"/>
      <c r="N706" s="21" t="str">
        <f t="shared" si="2"/>
        <v/>
      </c>
      <c r="P706" s="37"/>
      <c r="Q706" s="29"/>
      <c r="R706" s="29" t="b">
        <v>0</v>
      </c>
      <c r="S706" s="22" t="str">
        <f t="shared" si="3"/>
        <v/>
      </c>
      <c r="T706" s="7">
        <f>IF(ISBLANK(P706), 0, VLOOKUP(P706, 'Price Sheet'!$A$2:$B1015, 2, false))</f>
        <v>0</v>
      </c>
      <c r="U706" s="33" t="str">
        <f t="shared" si="4"/>
        <v/>
      </c>
      <c r="V706" s="37"/>
      <c r="W706" s="29"/>
      <c r="X706" s="29" t="b">
        <v>0</v>
      </c>
      <c r="Y706" s="22" t="str">
        <f t="shared" si="5"/>
        <v/>
      </c>
      <c r="Z706" s="7">
        <f>IF(ISBLANK(V706), 0, VLOOKUP(V706, 'Price Sheet'!$A$2:$B1015, 2, false))</f>
        <v>0</v>
      </c>
      <c r="AA706" s="33" t="str">
        <f t="shared" si="6"/>
        <v/>
      </c>
      <c r="AB706" s="37"/>
      <c r="AC706" s="29"/>
      <c r="AD706" s="29" t="b">
        <v>0</v>
      </c>
      <c r="AE706" s="22" t="str">
        <f t="shared" si="7"/>
        <v/>
      </c>
      <c r="AF706" s="7">
        <f>IF(ISBLANK(AB706), 0, VLOOKUP(AB706, 'Price Sheet'!$A$2:$B1015, 2, false))</f>
        <v>0</v>
      </c>
      <c r="AG706" s="33" t="str">
        <f t="shared" si="8"/>
        <v/>
      </c>
      <c r="AH706" s="37"/>
      <c r="AI706" s="29"/>
      <c r="AJ706" s="29" t="b">
        <v>0</v>
      </c>
      <c r="AK706" s="22" t="str">
        <f t="shared" si="9"/>
        <v/>
      </c>
      <c r="AL706" s="7">
        <f>IF(ISBLANK(AH706), 0, VLOOKUP(AH706, 'Price Sheet'!$A$2:$B1015, 2, false))</f>
        <v>0</v>
      </c>
      <c r="AM706" s="33" t="str">
        <f t="shared" si="10"/>
        <v/>
      </c>
      <c r="AN706" s="37"/>
      <c r="AO706" s="29"/>
      <c r="AP706" s="29" t="b">
        <v>0</v>
      </c>
      <c r="AQ706" s="22" t="str">
        <f t="shared" si="11"/>
        <v/>
      </c>
      <c r="AR706" s="7">
        <f>IF(ISBLANK(AN706), 0, VLOOKUP(AN706, 'Price Sheet'!$A$2:$B1015, 2, false))</f>
        <v>0</v>
      </c>
      <c r="AS706" s="33" t="str">
        <f t="shared" si="12"/>
        <v/>
      </c>
      <c r="AT706" s="37"/>
      <c r="AU706" s="29"/>
      <c r="AV706" s="29" t="b">
        <v>0</v>
      </c>
      <c r="AW706" s="22" t="str">
        <f t="shared" si="13"/>
        <v/>
      </c>
      <c r="AX706" s="7">
        <f>IF(ISBLANK(AT706), 0, VLOOKUP(AT706, 'Price Sheet'!$A$2:$B1015, 2, false))</f>
        <v>0</v>
      </c>
      <c r="AY706" s="33" t="str">
        <f t="shared" si="14"/>
        <v/>
      </c>
      <c r="AZ706" s="37"/>
      <c r="BA706" s="29"/>
      <c r="BB706" s="29" t="b">
        <v>0</v>
      </c>
      <c r="BC706" s="22" t="str">
        <f t="shared" si="15"/>
        <v/>
      </c>
      <c r="BD706" s="7">
        <f>IF(ISBLANK(AZ706), 0, VLOOKUP(AZ706, 'Price Sheet'!$A$2:$B1015, 2, false))</f>
        <v>0</v>
      </c>
      <c r="BE706" s="33" t="str">
        <f t="shared" si="16"/>
        <v/>
      </c>
      <c r="BF706" s="37"/>
      <c r="BG706" s="29"/>
      <c r="BH706" s="29" t="b">
        <v>0</v>
      </c>
      <c r="BI706" s="22" t="str">
        <f t="shared" si="17"/>
        <v/>
      </c>
      <c r="BJ706" s="7">
        <f>IF(ISBLANK(BF706), 0, VLOOKUP(BF706, 'Price Sheet'!$A$2:$B1015, 2, false))</f>
        <v>0</v>
      </c>
      <c r="BK706" s="33" t="str">
        <f t="shared" si="18"/>
        <v/>
      </c>
      <c r="BL706" s="37"/>
      <c r="BM706" s="29"/>
      <c r="BN706" s="29" t="b">
        <v>0</v>
      </c>
      <c r="BO706" s="22" t="str">
        <f t="shared" si="19"/>
        <v/>
      </c>
      <c r="BP706" s="7">
        <f>IF(ISBLANK(BL706), 0, VLOOKUP(BL706, 'Price Sheet'!$A$2:$B1015, 2, false))</f>
        <v>0</v>
      </c>
      <c r="BQ706" s="33" t="str">
        <f t="shared" si="20"/>
        <v/>
      </c>
    </row>
    <row r="707">
      <c r="B707" s="19"/>
      <c r="C707" s="29"/>
      <c r="D707" s="29"/>
      <c r="E707" s="7" t="str">
        <f>IF(ISBLANK(D707), "", VLOOKUP(D707,'Crafting Tables'!$A$2:$B1015, 2, false))</f>
        <v/>
      </c>
      <c r="F707" s="7" t="str">
        <f>IFERROR(IF(E707 = "None", 1, VLOOKUP(C707,General!$A$5:$L$35, SWITCH(E707, "Basic", 8, "Advanced", 10, "Modern", 12), false)),"")</f>
        <v/>
      </c>
      <c r="G707" s="29"/>
      <c r="H707" s="7">
        <f>IFERROR(VLOOKUP(C707, General!$A$5:$L$35, 6, false) * G707 / 1000, 0)</f>
        <v>0</v>
      </c>
      <c r="I707" s="29"/>
      <c r="J707" s="22" t="str">
        <f>IFERROR(I707*VLOOKUP(D707,'Crafting Tables'!$1:$1000, 4, false)*F707,"")</f>
        <v/>
      </c>
      <c r="K707" s="29" t="b">
        <v>0</v>
      </c>
      <c r="L707" s="37"/>
      <c r="M707" s="29"/>
      <c r="N707" s="21" t="str">
        <f t="shared" si="2"/>
        <v/>
      </c>
      <c r="P707" s="37"/>
      <c r="Q707" s="29"/>
      <c r="R707" s="29" t="b">
        <v>0</v>
      </c>
      <c r="S707" s="22" t="str">
        <f t="shared" si="3"/>
        <v/>
      </c>
      <c r="T707" s="7">
        <f>IF(ISBLANK(P707), 0, VLOOKUP(P707, 'Price Sheet'!$A$2:$B1015, 2, false))</f>
        <v>0</v>
      </c>
      <c r="U707" s="33" t="str">
        <f t="shared" si="4"/>
        <v/>
      </c>
      <c r="V707" s="37"/>
      <c r="W707" s="29"/>
      <c r="X707" s="29" t="b">
        <v>0</v>
      </c>
      <c r="Y707" s="22" t="str">
        <f t="shared" si="5"/>
        <v/>
      </c>
      <c r="Z707" s="7">
        <f>IF(ISBLANK(V707), 0, VLOOKUP(V707, 'Price Sheet'!$A$2:$B1015, 2, false))</f>
        <v>0</v>
      </c>
      <c r="AA707" s="33" t="str">
        <f t="shared" si="6"/>
        <v/>
      </c>
      <c r="AB707" s="37"/>
      <c r="AC707" s="29"/>
      <c r="AD707" s="29" t="b">
        <v>0</v>
      </c>
      <c r="AE707" s="22" t="str">
        <f t="shared" si="7"/>
        <v/>
      </c>
      <c r="AF707" s="7">
        <f>IF(ISBLANK(AB707), 0, VLOOKUP(AB707, 'Price Sheet'!$A$2:$B1015, 2, false))</f>
        <v>0</v>
      </c>
      <c r="AG707" s="33" t="str">
        <f t="shared" si="8"/>
        <v/>
      </c>
      <c r="AH707" s="37"/>
      <c r="AI707" s="29"/>
      <c r="AJ707" s="29" t="b">
        <v>0</v>
      </c>
      <c r="AK707" s="22" t="str">
        <f t="shared" si="9"/>
        <v/>
      </c>
      <c r="AL707" s="7">
        <f>IF(ISBLANK(AH707), 0, VLOOKUP(AH707, 'Price Sheet'!$A$2:$B1015, 2, false))</f>
        <v>0</v>
      </c>
      <c r="AM707" s="33" t="str">
        <f t="shared" si="10"/>
        <v/>
      </c>
      <c r="AN707" s="37"/>
      <c r="AO707" s="29"/>
      <c r="AP707" s="29" t="b">
        <v>0</v>
      </c>
      <c r="AQ707" s="22" t="str">
        <f t="shared" si="11"/>
        <v/>
      </c>
      <c r="AR707" s="7">
        <f>IF(ISBLANK(AN707), 0, VLOOKUP(AN707, 'Price Sheet'!$A$2:$B1015, 2, false))</f>
        <v>0</v>
      </c>
      <c r="AS707" s="33" t="str">
        <f t="shared" si="12"/>
        <v/>
      </c>
      <c r="AT707" s="37"/>
      <c r="AU707" s="29"/>
      <c r="AV707" s="29" t="b">
        <v>0</v>
      </c>
      <c r="AW707" s="22" t="str">
        <f t="shared" si="13"/>
        <v/>
      </c>
      <c r="AX707" s="7">
        <f>IF(ISBLANK(AT707), 0, VLOOKUP(AT707, 'Price Sheet'!$A$2:$B1015, 2, false))</f>
        <v>0</v>
      </c>
      <c r="AY707" s="33" t="str">
        <f t="shared" si="14"/>
        <v/>
      </c>
      <c r="AZ707" s="37"/>
      <c r="BA707" s="29"/>
      <c r="BB707" s="29" t="b">
        <v>0</v>
      </c>
      <c r="BC707" s="22" t="str">
        <f t="shared" si="15"/>
        <v/>
      </c>
      <c r="BD707" s="7">
        <f>IF(ISBLANK(AZ707), 0, VLOOKUP(AZ707, 'Price Sheet'!$A$2:$B1015, 2, false))</f>
        <v>0</v>
      </c>
      <c r="BE707" s="33" t="str">
        <f t="shared" si="16"/>
        <v/>
      </c>
      <c r="BF707" s="37"/>
      <c r="BG707" s="29"/>
      <c r="BH707" s="29" t="b">
        <v>0</v>
      </c>
      <c r="BI707" s="22" t="str">
        <f t="shared" si="17"/>
        <v/>
      </c>
      <c r="BJ707" s="7">
        <f>IF(ISBLANK(BF707), 0, VLOOKUP(BF707, 'Price Sheet'!$A$2:$B1015, 2, false))</f>
        <v>0</v>
      </c>
      <c r="BK707" s="33" t="str">
        <f t="shared" si="18"/>
        <v/>
      </c>
      <c r="BL707" s="37"/>
      <c r="BM707" s="29"/>
      <c r="BN707" s="29" t="b">
        <v>0</v>
      </c>
      <c r="BO707" s="22" t="str">
        <f t="shared" si="19"/>
        <v/>
      </c>
      <c r="BP707" s="7">
        <f>IF(ISBLANK(BL707), 0, VLOOKUP(BL707, 'Price Sheet'!$A$2:$B1015, 2, false))</f>
        <v>0</v>
      </c>
      <c r="BQ707" s="33" t="str">
        <f t="shared" si="20"/>
        <v/>
      </c>
    </row>
    <row r="708">
      <c r="B708" s="19"/>
      <c r="C708" s="29"/>
      <c r="D708" s="29"/>
      <c r="E708" s="7" t="str">
        <f>IF(ISBLANK(D708), "", VLOOKUP(D708,'Crafting Tables'!$A$2:$B1015, 2, false))</f>
        <v/>
      </c>
      <c r="F708" s="7" t="str">
        <f>IFERROR(IF(E708 = "None", 1, VLOOKUP(C708,General!$A$5:$L$35, SWITCH(E708, "Basic", 8, "Advanced", 10, "Modern", 12), false)),"")</f>
        <v/>
      </c>
      <c r="G708" s="29"/>
      <c r="H708" s="7">
        <f>IFERROR(VLOOKUP(C708, General!$A$5:$L$35, 6, false) * G708 / 1000, 0)</f>
        <v>0</v>
      </c>
      <c r="I708" s="29"/>
      <c r="J708" s="22" t="str">
        <f>IFERROR(I708*VLOOKUP(D708,'Crafting Tables'!$1:$1000, 4, false)*F708,"")</f>
        <v/>
      </c>
      <c r="K708" s="29" t="b">
        <v>0</v>
      </c>
      <c r="L708" s="37"/>
      <c r="M708" s="29"/>
      <c r="N708" s="21" t="str">
        <f t="shared" si="2"/>
        <v/>
      </c>
      <c r="P708" s="37"/>
      <c r="Q708" s="29"/>
      <c r="R708" s="29" t="b">
        <v>0</v>
      </c>
      <c r="S708" s="22" t="str">
        <f t="shared" si="3"/>
        <v/>
      </c>
      <c r="T708" s="7">
        <f>IF(ISBLANK(P708), 0, VLOOKUP(P708, 'Price Sheet'!$A$2:$B1015, 2, false))</f>
        <v>0</v>
      </c>
      <c r="U708" s="33" t="str">
        <f t="shared" si="4"/>
        <v/>
      </c>
      <c r="V708" s="37"/>
      <c r="W708" s="29"/>
      <c r="X708" s="29" t="b">
        <v>0</v>
      </c>
      <c r="Y708" s="22" t="str">
        <f t="shared" si="5"/>
        <v/>
      </c>
      <c r="Z708" s="7">
        <f>IF(ISBLANK(V708), 0, VLOOKUP(V708, 'Price Sheet'!$A$2:$B1015, 2, false))</f>
        <v>0</v>
      </c>
      <c r="AA708" s="33" t="str">
        <f t="shared" si="6"/>
        <v/>
      </c>
      <c r="AB708" s="37"/>
      <c r="AC708" s="29"/>
      <c r="AD708" s="29" t="b">
        <v>0</v>
      </c>
      <c r="AE708" s="22" t="str">
        <f t="shared" si="7"/>
        <v/>
      </c>
      <c r="AF708" s="7">
        <f>IF(ISBLANK(AB708), 0, VLOOKUP(AB708, 'Price Sheet'!$A$2:$B1015, 2, false))</f>
        <v>0</v>
      </c>
      <c r="AG708" s="33" t="str">
        <f t="shared" si="8"/>
        <v/>
      </c>
      <c r="AH708" s="37"/>
      <c r="AI708" s="29"/>
      <c r="AJ708" s="29" t="b">
        <v>0</v>
      </c>
      <c r="AK708" s="22" t="str">
        <f t="shared" si="9"/>
        <v/>
      </c>
      <c r="AL708" s="7">
        <f>IF(ISBLANK(AH708), 0, VLOOKUP(AH708, 'Price Sheet'!$A$2:$B1015, 2, false))</f>
        <v>0</v>
      </c>
      <c r="AM708" s="33" t="str">
        <f t="shared" si="10"/>
        <v/>
      </c>
      <c r="AN708" s="37"/>
      <c r="AO708" s="29"/>
      <c r="AP708" s="29" t="b">
        <v>0</v>
      </c>
      <c r="AQ708" s="22" t="str">
        <f t="shared" si="11"/>
        <v/>
      </c>
      <c r="AR708" s="7">
        <f>IF(ISBLANK(AN708), 0, VLOOKUP(AN708, 'Price Sheet'!$A$2:$B1015, 2, false))</f>
        <v>0</v>
      </c>
      <c r="AS708" s="33" t="str">
        <f t="shared" si="12"/>
        <v/>
      </c>
      <c r="AT708" s="37"/>
      <c r="AU708" s="29"/>
      <c r="AV708" s="29" t="b">
        <v>0</v>
      </c>
      <c r="AW708" s="22" t="str">
        <f t="shared" si="13"/>
        <v/>
      </c>
      <c r="AX708" s="7">
        <f>IF(ISBLANK(AT708), 0, VLOOKUP(AT708, 'Price Sheet'!$A$2:$B1015, 2, false))</f>
        <v>0</v>
      </c>
      <c r="AY708" s="33" t="str">
        <f t="shared" si="14"/>
        <v/>
      </c>
      <c r="AZ708" s="37"/>
      <c r="BA708" s="29"/>
      <c r="BB708" s="29" t="b">
        <v>0</v>
      </c>
      <c r="BC708" s="22" t="str">
        <f t="shared" si="15"/>
        <v/>
      </c>
      <c r="BD708" s="7">
        <f>IF(ISBLANK(AZ708), 0, VLOOKUP(AZ708, 'Price Sheet'!$A$2:$B1015, 2, false))</f>
        <v>0</v>
      </c>
      <c r="BE708" s="33" t="str">
        <f t="shared" si="16"/>
        <v/>
      </c>
      <c r="BF708" s="37"/>
      <c r="BG708" s="29"/>
      <c r="BH708" s="29" t="b">
        <v>0</v>
      </c>
      <c r="BI708" s="22" t="str">
        <f t="shared" si="17"/>
        <v/>
      </c>
      <c r="BJ708" s="7">
        <f>IF(ISBLANK(BF708), 0, VLOOKUP(BF708, 'Price Sheet'!$A$2:$B1015, 2, false))</f>
        <v>0</v>
      </c>
      <c r="BK708" s="33" t="str">
        <f t="shared" si="18"/>
        <v/>
      </c>
      <c r="BL708" s="37"/>
      <c r="BM708" s="29"/>
      <c r="BN708" s="29" t="b">
        <v>0</v>
      </c>
      <c r="BO708" s="22" t="str">
        <f t="shared" si="19"/>
        <v/>
      </c>
      <c r="BP708" s="7">
        <f>IF(ISBLANK(BL708), 0, VLOOKUP(BL708, 'Price Sheet'!$A$2:$B1015, 2, false))</f>
        <v>0</v>
      </c>
      <c r="BQ708" s="33" t="str">
        <f t="shared" si="20"/>
        <v/>
      </c>
    </row>
    <row r="709">
      <c r="B709" s="19"/>
      <c r="C709" s="29"/>
      <c r="D709" s="29"/>
      <c r="E709" s="7" t="str">
        <f>IF(ISBLANK(D709), "", VLOOKUP(D709,'Crafting Tables'!$A$2:$B1015, 2, false))</f>
        <v/>
      </c>
      <c r="F709" s="7" t="str">
        <f>IFERROR(IF(E709 = "None", 1, VLOOKUP(C709,General!$A$5:$L$35, SWITCH(E709, "Basic", 8, "Advanced", 10, "Modern", 12), false)),"")</f>
        <v/>
      </c>
      <c r="G709" s="29"/>
      <c r="H709" s="7">
        <f>IFERROR(VLOOKUP(C709, General!$A$5:$L$35, 6, false) * G709 / 1000, 0)</f>
        <v>0</v>
      </c>
      <c r="I709" s="29"/>
      <c r="J709" s="22" t="str">
        <f>IFERROR(I709*VLOOKUP(D709,'Crafting Tables'!$1:$1000, 4, false)*F709,"")</f>
        <v/>
      </c>
      <c r="K709" s="29" t="b">
        <v>0</v>
      </c>
      <c r="L709" s="37"/>
      <c r="M709" s="29"/>
      <c r="N709" s="21" t="str">
        <f t="shared" si="2"/>
        <v/>
      </c>
      <c r="P709" s="37"/>
      <c r="Q709" s="29"/>
      <c r="R709" s="29" t="b">
        <v>0</v>
      </c>
      <c r="S709" s="22" t="str">
        <f t="shared" si="3"/>
        <v/>
      </c>
      <c r="T709" s="7">
        <f>IF(ISBLANK(P709), 0, VLOOKUP(P709, 'Price Sheet'!$A$2:$B1015, 2, false))</f>
        <v>0</v>
      </c>
      <c r="U709" s="33" t="str">
        <f t="shared" si="4"/>
        <v/>
      </c>
      <c r="V709" s="37"/>
      <c r="W709" s="29"/>
      <c r="X709" s="29" t="b">
        <v>0</v>
      </c>
      <c r="Y709" s="22" t="str">
        <f t="shared" si="5"/>
        <v/>
      </c>
      <c r="Z709" s="7">
        <f>IF(ISBLANK(V709), 0, VLOOKUP(V709, 'Price Sheet'!$A$2:$B1015, 2, false))</f>
        <v>0</v>
      </c>
      <c r="AA709" s="33" t="str">
        <f t="shared" si="6"/>
        <v/>
      </c>
      <c r="AB709" s="37"/>
      <c r="AC709" s="29"/>
      <c r="AD709" s="29" t="b">
        <v>0</v>
      </c>
      <c r="AE709" s="22" t="str">
        <f t="shared" si="7"/>
        <v/>
      </c>
      <c r="AF709" s="7">
        <f>IF(ISBLANK(AB709), 0, VLOOKUP(AB709, 'Price Sheet'!$A$2:$B1015, 2, false))</f>
        <v>0</v>
      </c>
      <c r="AG709" s="33" t="str">
        <f t="shared" si="8"/>
        <v/>
      </c>
      <c r="AH709" s="37"/>
      <c r="AI709" s="29"/>
      <c r="AJ709" s="29" t="b">
        <v>0</v>
      </c>
      <c r="AK709" s="22" t="str">
        <f t="shared" si="9"/>
        <v/>
      </c>
      <c r="AL709" s="7">
        <f>IF(ISBLANK(AH709), 0, VLOOKUP(AH709, 'Price Sheet'!$A$2:$B1015, 2, false))</f>
        <v>0</v>
      </c>
      <c r="AM709" s="33" t="str">
        <f t="shared" si="10"/>
        <v/>
      </c>
      <c r="AN709" s="37"/>
      <c r="AO709" s="29"/>
      <c r="AP709" s="29" t="b">
        <v>0</v>
      </c>
      <c r="AQ709" s="22" t="str">
        <f t="shared" si="11"/>
        <v/>
      </c>
      <c r="AR709" s="7">
        <f>IF(ISBLANK(AN709), 0, VLOOKUP(AN709, 'Price Sheet'!$A$2:$B1015, 2, false))</f>
        <v>0</v>
      </c>
      <c r="AS709" s="33" t="str">
        <f t="shared" si="12"/>
        <v/>
      </c>
      <c r="AT709" s="37"/>
      <c r="AU709" s="29"/>
      <c r="AV709" s="29" t="b">
        <v>0</v>
      </c>
      <c r="AW709" s="22" t="str">
        <f t="shared" si="13"/>
        <v/>
      </c>
      <c r="AX709" s="7">
        <f>IF(ISBLANK(AT709), 0, VLOOKUP(AT709, 'Price Sheet'!$A$2:$B1015, 2, false))</f>
        <v>0</v>
      </c>
      <c r="AY709" s="33" t="str">
        <f t="shared" si="14"/>
        <v/>
      </c>
      <c r="AZ709" s="37"/>
      <c r="BA709" s="29"/>
      <c r="BB709" s="29" t="b">
        <v>0</v>
      </c>
      <c r="BC709" s="22" t="str">
        <f t="shared" si="15"/>
        <v/>
      </c>
      <c r="BD709" s="7">
        <f>IF(ISBLANK(AZ709), 0, VLOOKUP(AZ709, 'Price Sheet'!$A$2:$B1015, 2, false))</f>
        <v>0</v>
      </c>
      <c r="BE709" s="33" t="str">
        <f t="shared" si="16"/>
        <v/>
      </c>
      <c r="BF709" s="37"/>
      <c r="BG709" s="29"/>
      <c r="BH709" s="29" t="b">
        <v>0</v>
      </c>
      <c r="BI709" s="22" t="str">
        <f t="shared" si="17"/>
        <v/>
      </c>
      <c r="BJ709" s="7">
        <f>IF(ISBLANK(BF709), 0, VLOOKUP(BF709, 'Price Sheet'!$A$2:$B1015, 2, false))</f>
        <v>0</v>
      </c>
      <c r="BK709" s="33" t="str">
        <f t="shared" si="18"/>
        <v/>
      </c>
      <c r="BL709" s="37"/>
      <c r="BM709" s="29"/>
      <c r="BN709" s="29" t="b">
        <v>0</v>
      </c>
      <c r="BO709" s="22" t="str">
        <f t="shared" si="19"/>
        <v/>
      </c>
      <c r="BP709" s="7">
        <f>IF(ISBLANK(BL709), 0, VLOOKUP(BL709, 'Price Sheet'!$A$2:$B1015, 2, false))</f>
        <v>0</v>
      </c>
      <c r="BQ709" s="33" t="str">
        <f t="shared" si="20"/>
        <v/>
      </c>
    </row>
    <row r="710">
      <c r="B710" s="19"/>
      <c r="C710" s="29"/>
      <c r="D710" s="29"/>
      <c r="E710" s="7" t="str">
        <f>IF(ISBLANK(D710), "", VLOOKUP(D710,'Crafting Tables'!$A$2:$B1015, 2, false))</f>
        <v/>
      </c>
      <c r="F710" s="7" t="str">
        <f>IFERROR(IF(E710 = "None", 1, VLOOKUP(C710,General!$A$5:$L$35, SWITCH(E710, "Basic", 8, "Advanced", 10, "Modern", 12), false)),"")</f>
        <v/>
      </c>
      <c r="G710" s="29"/>
      <c r="H710" s="7">
        <f>IFERROR(VLOOKUP(C710, General!$A$5:$L$35, 6, false) * G710 / 1000, 0)</f>
        <v>0</v>
      </c>
      <c r="I710" s="29"/>
      <c r="J710" s="22" t="str">
        <f>IFERROR(I710*VLOOKUP(D710,'Crafting Tables'!$1:$1000, 4, false)*F710,"")</f>
        <v/>
      </c>
      <c r="K710" s="29" t="b">
        <v>0</v>
      </c>
      <c r="L710" s="37"/>
      <c r="M710" s="29"/>
      <c r="N710" s="21" t="str">
        <f t="shared" si="2"/>
        <v/>
      </c>
      <c r="P710" s="37"/>
      <c r="Q710" s="29"/>
      <c r="R710" s="29" t="b">
        <v>0</v>
      </c>
      <c r="S710" s="22" t="str">
        <f t="shared" si="3"/>
        <v/>
      </c>
      <c r="T710" s="7">
        <f>IF(ISBLANK(P710), 0, VLOOKUP(P710, 'Price Sheet'!$A$2:$B1015, 2, false))</f>
        <v>0</v>
      </c>
      <c r="U710" s="33" t="str">
        <f t="shared" si="4"/>
        <v/>
      </c>
      <c r="V710" s="37"/>
      <c r="W710" s="29"/>
      <c r="X710" s="29" t="b">
        <v>0</v>
      </c>
      <c r="Y710" s="22" t="str">
        <f t="shared" si="5"/>
        <v/>
      </c>
      <c r="Z710" s="7">
        <f>IF(ISBLANK(V710), 0, VLOOKUP(V710, 'Price Sheet'!$A$2:$B1015, 2, false))</f>
        <v>0</v>
      </c>
      <c r="AA710" s="33" t="str">
        <f t="shared" si="6"/>
        <v/>
      </c>
      <c r="AB710" s="37"/>
      <c r="AC710" s="29"/>
      <c r="AD710" s="29" t="b">
        <v>0</v>
      </c>
      <c r="AE710" s="22" t="str">
        <f t="shared" si="7"/>
        <v/>
      </c>
      <c r="AF710" s="7">
        <f>IF(ISBLANK(AB710), 0, VLOOKUP(AB710, 'Price Sheet'!$A$2:$B1015, 2, false))</f>
        <v>0</v>
      </c>
      <c r="AG710" s="33" t="str">
        <f t="shared" si="8"/>
        <v/>
      </c>
      <c r="AH710" s="37"/>
      <c r="AI710" s="29"/>
      <c r="AJ710" s="29" t="b">
        <v>0</v>
      </c>
      <c r="AK710" s="22" t="str">
        <f t="shared" si="9"/>
        <v/>
      </c>
      <c r="AL710" s="7">
        <f>IF(ISBLANK(AH710), 0, VLOOKUP(AH710, 'Price Sheet'!$A$2:$B1015, 2, false))</f>
        <v>0</v>
      </c>
      <c r="AM710" s="33" t="str">
        <f t="shared" si="10"/>
        <v/>
      </c>
      <c r="AN710" s="37"/>
      <c r="AO710" s="29"/>
      <c r="AP710" s="29" t="b">
        <v>0</v>
      </c>
      <c r="AQ710" s="22" t="str">
        <f t="shared" si="11"/>
        <v/>
      </c>
      <c r="AR710" s="7">
        <f>IF(ISBLANK(AN710), 0, VLOOKUP(AN710, 'Price Sheet'!$A$2:$B1015, 2, false))</f>
        <v>0</v>
      </c>
      <c r="AS710" s="33" t="str">
        <f t="shared" si="12"/>
        <v/>
      </c>
      <c r="AT710" s="37"/>
      <c r="AU710" s="29"/>
      <c r="AV710" s="29" t="b">
        <v>0</v>
      </c>
      <c r="AW710" s="22" t="str">
        <f t="shared" si="13"/>
        <v/>
      </c>
      <c r="AX710" s="7">
        <f>IF(ISBLANK(AT710), 0, VLOOKUP(AT710, 'Price Sheet'!$A$2:$B1015, 2, false))</f>
        <v>0</v>
      </c>
      <c r="AY710" s="33" t="str">
        <f t="shared" si="14"/>
        <v/>
      </c>
      <c r="AZ710" s="37"/>
      <c r="BA710" s="29"/>
      <c r="BB710" s="29" t="b">
        <v>0</v>
      </c>
      <c r="BC710" s="22" t="str">
        <f t="shared" si="15"/>
        <v/>
      </c>
      <c r="BD710" s="7">
        <f>IF(ISBLANK(AZ710), 0, VLOOKUP(AZ710, 'Price Sheet'!$A$2:$B1015, 2, false))</f>
        <v>0</v>
      </c>
      <c r="BE710" s="33" t="str">
        <f t="shared" si="16"/>
        <v/>
      </c>
      <c r="BF710" s="37"/>
      <c r="BG710" s="29"/>
      <c r="BH710" s="29" t="b">
        <v>0</v>
      </c>
      <c r="BI710" s="22" t="str">
        <f t="shared" si="17"/>
        <v/>
      </c>
      <c r="BJ710" s="7">
        <f>IF(ISBLANK(BF710), 0, VLOOKUP(BF710, 'Price Sheet'!$A$2:$B1015, 2, false))</f>
        <v>0</v>
      </c>
      <c r="BK710" s="33" t="str">
        <f t="shared" si="18"/>
        <v/>
      </c>
      <c r="BL710" s="37"/>
      <c r="BM710" s="29"/>
      <c r="BN710" s="29" t="b">
        <v>0</v>
      </c>
      <c r="BO710" s="22" t="str">
        <f t="shared" si="19"/>
        <v/>
      </c>
      <c r="BP710" s="7">
        <f>IF(ISBLANK(BL710), 0, VLOOKUP(BL710, 'Price Sheet'!$A$2:$B1015, 2, false))</f>
        <v>0</v>
      </c>
      <c r="BQ710" s="33" t="str">
        <f t="shared" si="20"/>
        <v/>
      </c>
    </row>
    <row r="711">
      <c r="B711" s="19"/>
      <c r="C711" s="29"/>
      <c r="D711" s="29"/>
      <c r="E711" s="7" t="str">
        <f>IF(ISBLANK(D711), "", VLOOKUP(D711,'Crafting Tables'!$A$2:$B1015, 2, false))</f>
        <v/>
      </c>
      <c r="F711" s="7" t="str">
        <f>IFERROR(IF(E711 = "None", 1, VLOOKUP(C711,General!$A$5:$L$35, SWITCH(E711, "Basic", 8, "Advanced", 10, "Modern", 12), false)),"")</f>
        <v/>
      </c>
      <c r="G711" s="29"/>
      <c r="H711" s="7">
        <f>IFERROR(VLOOKUP(C711, General!$A$5:$L$35, 6, false) * G711 / 1000, 0)</f>
        <v>0</v>
      </c>
      <c r="I711" s="29"/>
      <c r="J711" s="22" t="str">
        <f>IFERROR(I711*VLOOKUP(D711,'Crafting Tables'!$1:$1000, 4, false)*F711,"")</f>
        <v/>
      </c>
      <c r="K711" s="29" t="b">
        <v>0</v>
      </c>
      <c r="L711" s="37"/>
      <c r="M711" s="29"/>
      <c r="N711" s="21" t="str">
        <f t="shared" si="2"/>
        <v/>
      </c>
      <c r="P711" s="37"/>
      <c r="Q711" s="29"/>
      <c r="R711" s="29" t="b">
        <v>0</v>
      </c>
      <c r="S711" s="22" t="str">
        <f t="shared" si="3"/>
        <v/>
      </c>
      <c r="T711" s="7">
        <f>IF(ISBLANK(P711), 0, VLOOKUP(P711, 'Price Sheet'!$A$2:$B1015, 2, false))</f>
        <v>0</v>
      </c>
      <c r="U711" s="33" t="str">
        <f t="shared" si="4"/>
        <v/>
      </c>
      <c r="V711" s="37"/>
      <c r="W711" s="29"/>
      <c r="X711" s="29" t="b">
        <v>0</v>
      </c>
      <c r="Y711" s="22" t="str">
        <f t="shared" si="5"/>
        <v/>
      </c>
      <c r="Z711" s="7">
        <f>IF(ISBLANK(V711), 0, VLOOKUP(V711, 'Price Sheet'!$A$2:$B1015, 2, false))</f>
        <v>0</v>
      </c>
      <c r="AA711" s="33" t="str">
        <f t="shared" si="6"/>
        <v/>
      </c>
      <c r="AB711" s="37"/>
      <c r="AC711" s="29"/>
      <c r="AD711" s="29" t="b">
        <v>0</v>
      </c>
      <c r="AE711" s="22" t="str">
        <f t="shared" si="7"/>
        <v/>
      </c>
      <c r="AF711" s="7">
        <f>IF(ISBLANK(AB711), 0, VLOOKUP(AB711, 'Price Sheet'!$A$2:$B1015, 2, false))</f>
        <v>0</v>
      </c>
      <c r="AG711" s="33" t="str">
        <f t="shared" si="8"/>
        <v/>
      </c>
      <c r="AH711" s="37"/>
      <c r="AI711" s="29"/>
      <c r="AJ711" s="29" t="b">
        <v>0</v>
      </c>
      <c r="AK711" s="22" t="str">
        <f t="shared" si="9"/>
        <v/>
      </c>
      <c r="AL711" s="7">
        <f>IF(ISBLANK(AH711), 0, VLOOKUP(AH711, 'Price Sheet'!$A$2:$B1015, 2, false))</f>
        <v>0</v>
      </c>
      <c r="AM711" s="33" t="str">
        <f t="shared" si="10"/>
        <v/>
      </c>
      <c r="AN711" s="37"/>
      <c r="AO711" s="29"/>
      <c r="AP711" s="29" t="b">
        <v>0</v>
      </c>
      <c r="AQ711" s="22" t="str">
        <f t="shared" si="11"/>
        <v/>
      </c>
      <c r="AR711" s="7">
        <f>IF(ISBLANK(AN711), 0, VLOOKUP(AN711, 'Price Sheet'!$A$2:$B1015, 2, false))</f>
        <v>0</v>
      </c>
      <c r="AS711" s="33" t="str">
        <f t="shared" si="12"/>
        <v/>
      </c>
      <c r="AT711" s="37"/>
      <c r="AU711" s="29"/>
      <c r="AV711" s="29" t="b">
        <v>0</v>
      </c>
      <c r="AW711" s="22" t="str">
        <f t="shared" si="13"/>
        <v/>
      </c>
      <c r="AX711" s="7">
        <f>IF(ISBLANK(AT711), 0, VLOOKUP(AT711, 'Price Sheet'!$A$2:$B1015, 2, false))</f>
        <v>0</v>
      </c>
      <c r="AY711" s="33" t="str">
        <f t="shared" si="14"/>
        <v/>
      </c>
      <c r="AZ711" s="37"/>
      <c r="BA711" s="29"/>
      <c r="BB711" s="29" t="b">
        <v>0</v>
      </c>
      <c r="BC711" s="22" t="str">
        <f t="shared" si="15"/>
        <v/>
      </c>
      <c r="BD711" s="7">
        <f>IF(ISBLANK(AZ711), 0, VLOOKUP(AZ711, 'Price Sheet'!$A$2:$B1015, 2, false))</f>
        <v>0</v>
      </c>
      <c r="BE711" s="33" t="str">
        <f t="shared" si="16"/>
        <v/>
      </c>
      <c r="BF711" s="37"/>
      <c r="BG711" s="29"/>
      <c r="BH711" s="29" t="b">
        <v>0</v>
      </c>
      <c r="BI711" s="22" t="str">
        <f t="shared" si="17"/>
        <v/>
      </c>
      <c r="BJ711" s="7">
        <f>IF(ISBLANK(BF711), 0, VLOOKUP(BF711, 'Price Sheet'!$A$2:$B1015, 2, false))</f>
        <v>0</v>
      </c>
      <c r="BK711" s="33" t="str">
        <f t="shared" si="18"/>
        <v/>
      </c>
      <c r="BL711" s="37"/>
      <c r="BM711" s="29"/>
      <c r="BN711" s="29" t="b">
        <v>0</v>
      </c>
      <c r="BO711" s="22" t="str">
        <f t="shared" si="19"/>
        <v/>
      </c>
      <c r="BP711" s="7">
        <f>IF(ISBLANK(BL711), 0, VLOOKUP(BL711, 'Price Sheet'!$A$2:$B1015, 2, false))</f>
        <v>0</v>
      </c>
      <c r="BQ711" s="33" t="str">
        <f t="shared" si="20"/>
        <v/>
      </c>
    </row>
    <row r="712">
      <c r="B712" s="19"/>
      <c r="C712" s="29"/>
      <c r="D712" s="29"/>
      <c r="E712" s="7" t="str">
        <f>IF(ISBLANK(D712), "", VLOOKUP(D712,'Crafting Tables'!$A$2:$B1015, 2, false))</f>
        <v/>
      </c>
      <c r="F712" s="7" t="str">
        <f>IFERROR(IF(E712 = "None", 1, VLOOKUP(C712,General!$A$5:$L$35, SWITCH(E712, "Basic", 8, "Advanced", 10, "Modern", 12), false)),"")</f>
        <v/>
      </c>
      <c r="G712" s="29"/>
      <c r="H712" s="7">
        <f>IFERROR(VLOOKUP(C712, General!$A$5:$L$35, 6, false) * G712 / 1000, 0)</f>
        <v>0</v>
      </c>
      <c r="I712" s="29"/>
      <c r="J712" s="22" t="str">
        <f>IFERROR(I712*VLOOKUP(D712,'Crafting Tables'!$1:$1000, 4, false)*F712,"")</f>
        <v/>
      </c>
      <c r="K712" s="29" t="b">
        <v>0</v>
      </c>
      <c r="L712" s="37"/>
      <c r="M712" s="29"/>
      <c r="N712" s="21" t="str">
        <f t="shared" si="2"/>
        <v/>
      </c>
      <c r="P712" s="37"/>
      <c r="Q712" s="29"/>
      <c r="R712" s="29" t="b">
        <v>0</v>
      </c>
      <c r="S712" s="22" t="str">
        <f t="shared" si="3"/>
        <v/>
      </c>
      <c r="T712" s="7">
        <f>IF(ISBLANK(P712), 0, VLOOKUP(P712, 'Price Sheet'!$A$2:$B1015, 2, false))</f>
        <v>0</v>
      </c>
      <c r="U712" s="33" t="str">
        <f t="shared" si="4"/>
        <v/>
      </c>
      <c r="V712" s="37"/>
      <c r="W712" s="29"/>
      <c r="X712" s="29" t="b">
        <v>0</v>
      </c>
      <c r="Y712" s="22" t="str">
        <f t="shared" si="5"/>
        <v/>
      </c>
      <c r="Z712" s="7">
        <f>IF(ISBLANK(V712), 0, VLOOKUP(V712, 'Price Sheet'!$A$2:$B1015, 2, false))</f>
        <v>0</v>
      </c>
      <c r="AA712" s="33" t="str">
        <f t="shared" si="6"/>
        <v/>
      </c>
      <c r="AB712" s="37"/>
      <c r="AC712" s="29"/>
      <c r="AD712" s="29" t="b">
        <v>0</v>
      </c>
      <c r="AE712" s="22" t="str">
        <f t="shared" si="7"/>
        <v/>
      </c>
      <c r="AF712" s="7">
        <f>IF(ISBLANK(AB712), 0, VLOOKUP(AB712, 'Price Sheet'!$A$2:$B1015, 2, false))</f>
        <v>0</v>
      </c>
      <c r="AG712" s="33" t="str">
        <f t="shared" si="8"/>
        <v/>
      </c>
      <c r="AH712" s="37"/>
      <c r="AI712" s="29"/>
      <c r="AJ712" s="29" t="b">
        <v>0</v>
      </c>
      <c r="AK712" s="22" t="str">
        <f t="shared" si="9"/>
        <v/>
      </c>
      <c r="AL712" s="7">
        <f>IF(ISBLANK(AH712), 0, VLOOKUP(AH712, 'Price Sheet'!$A$2:$B1015, 2, false))</f>
        <v>0</v>
      </c>
      <c r="AM712" s="33" t="str">
        <f t="shared" si="10"/>
        <v/>
      </c>
      <c r="AN712" s="37"/>
      <c r="AO712" s="29"/>
      <c r="AP712" s="29" t="b">
        <v>0</v>
      </c>
      <c r="AQ712" s="22" t="str">
        <f t="shared" si="11"/>
        <v/>
      </c>
      <c r="AR712" s="7">
        <f>IF(ISBLANK(AN712), 0, VLOOKUP(AN712, 'Price Sheet'!$A$2:$B1015, 2, false))</f>
        <v>0</v>
      </c>
      <c r="AS712" s="33" t="str">
        <f t="shared" si="12"/>
        <v/>
      </c>
      <c r="AT712" s="37"/>
      <c r="AU712" s="29"/>
      <c r="AV712" s="29" t="b">
        <v>0</v>
      </c>
      <c r="AW712" s="22" t="str">
        <f t="shared" si="13"/>
        <v/>
      </c>
      <c r="AX712" s="7">
        <f>IF(ISBLANK(AT712), 0, VLOOKUP(AT712, 'Price Sheet'!$A$2:$B1015, 2, false))</f>
        <v>0</v>
      </c>
      <c r="AY712" s="33" t="str">
        <f t="shared" si="14"/>
        <v/>
      </c>
      <c r="AZ712" s="37"/>
      <c r="BA712" s="29"/>
      <c r="BB712" s="29" t="b">
        <v>0</v>
      </c>
      <c r="BC712" s="22" t="str">
        <f t="shared" si="15"/>
        <v/>
      </c>
      <c r="BD712" s="7">
        <f>IF(ISBLANK(AZ712), 0, VLOOKUP(AZ712, 'Price Sheet'!$A$2:$B1015, 2, false))</f>
        <v>0</v>
      </c>
      <c r="BE712" s="33" t="str">
        <f t="shared" si="16"/>
        <v/>
      </c>
      <c r="BF712" s="37"/>
      <c r="BG712" s="29"/>
      <c r="BH712" s="29" t="b">
        <v>0</v>
      </c>
      <c r="BI712" s="22" t="str">
        <f t="shared" si="17"/>
        <v/>
      </c>
      <c r="BJ712" s="7">
        <f>IF(ISBLANK(BF712), 0, VLOOKUP(BF712, 'Price Sheet'!$A$2:$B1015, 2, false))</f>
        <v>0</v>
      </c>
      <c r="BK712" s="33" t="str">
        <f t="shared" si="18"/>
        <v/>
      </c>
      <c r="BL712" s="37"/>
      <c r="BM712" s="29"/>
      <c r="BN712" s="29" t="b">
        <v>0</v>
      </c>
      <c r="BO712" s="22" t="str">
        <f t="shared" si="19"/>
        <v/>
      </c>
      <c r="BP712" s="7">
        <f>IF(ISBLANK(BL712), 0, VLOOKUP(BL712, 'Price Sheet'!$A$2:$B1015, 2, false))</f>
        <v>0</v>
      </c>
      <c r="BQ712" s="33" t="str">
        <f t="shared" si="20"/>
        <v/>
      </c>
    </row>
    <row r="713">
      <c r="B713" s="19"/>
      <c r="C713" s="29"/>
      <c r="D713" s="29"/>
      <c r="E713" s="7" t="str">
        <f>IF(ISBLANK(D713), "", VLOOKUP(D713,'Crafting Tables'!$A$2:$B1015, 2, false))</f>
        <v/>
      </c>
      <c r="F713" s="7" t="str">
        <f>IFERROR(IF(E713 = "None", 1, VLOOKUP(C713,General!$A$5:$L$35, SWITCH(E713, "Basic", 8, "Advanced", 10, "Modern", 12), false)),"")</f>
        <v/>
      </c>
      <c r="G713" s="29"/>
      <c r="H713" s="7">
        <f>IFERROR(VLOOKUP(C713, General!$A$5:$L$35, 6, false) * G713 / 1000, 0)</f>
        <v>0</v>
      </c>
      <c r="I713" s="29"/>
      <c r="J713" s="22" t="str">
        <f>IFERROR(I713*VLOOKUP(D713,'Crafting Tables'!$1:$1000, 4, false)*F713,"")</f>
        <v/>
      </c>
      <c r="K713" s="29" t="b">
        <v>0</v>
      </c>
      <c r="L713" s="37"/>
      <c r="M713" s="29"/>
      <c r="N713" s="21" t="str">
        <f t="shared" si="2"/>
        <v/>
      </c>
      <c r="P713" s="37"/>
      <c r="Q713" s="29"/>
      <c r="R713" s="29" t="b">
        <v>0</v>
      </c>
      <c r="S713" s="22" t="str">
        <f t="shared" si="3"/>
        <v/>
      </c>
      <c r="T713" s="7">
        <f>IF(ISBLANK(P713), 0, VLOOKUP(P713, 'Price Sheet'!$A$2:$B1015, 2, false))</f>
        <v>0</v>
      </c>
      <c r="U713" s="33" t="str">
        <f t="shared" si="4"/>
        <v/>
      </c>
      <c r="V713" s="37"/>
      <c r="W713" s="29"/>
      <c r="X713" s="29" t="b">
        <v>0</v>
      </c>
      <c r="Y713" s="22" t="str">
        <f t="shared" si="5"/>
        <v/>
      </c>
      <c r="Z713" s="7">
        <f>IF(ISBLANK(V713), 0, VLOOKUP(V713, 'Price Sheet'!$A$2:$B1015, 2, false))</f>
        <v>0</v>
      </c>
      <c r="AA713" s="33" t="str">
        <f t="shared" si="6"/>
        <v/>
      </c>
      <c r="AB713" s="37"/>
      <c r="AC713" s="29"/>
      <c r="AD713" s="29" t="b">
        <v>0</v>
      </c>
      <c r="AE713" s="22" t="str">
        <f t="shared" si="7"/>
        <v/>
      </c>
      <c r="AF713" s="7">
        <f>IF(ISBLANK(AB713), 0, VLOOKUP(AB713, 'Price Sheet'!$A$2:$B1015, 2, false))</f>
        <v>0</v>
      </c>
      <c r="AG713" s="33" t="str">
        <f t="shared" si="8"/>
        <v/>
      </c>
      <c r="AH713" s="37"/>
      <c r="AI713" s="29"/>
      <c r="AJ713" s="29" t="b">
        <v>0</v>
      </c>
      <c r="AK713" s="22" t="str">
        <f t="shared" si="9"/>
        <v/>
      </c>
      <c r="AL713" s="7">
        <f>IF(ISBLANK(AH713), 0, VLOOKUP(AH713, 'Price Sheet'!$A$2:$B1015, 2, false))</f>
        <v>0</v>
      </c>
      <c r="AM713" s="33" t="str">
        <f t="shared" si="10"/>
        <v/>
      </c>
      <c r="AN713" s="37"/>
      <c r="AO713" s="29"/>
      <c r="AP713" s="29" t="b">
        <v>0</v>
      </c>
      <c r="AQ713" s="22" t="str">
        <f t="shared" si="11"/>
        <v/>
      </c>
      <c r="AR713" s="7">
        <f>IF(ISBLANK(AN713), 0, VLOOKUP(AN713, 'Price Sheet'!$A$2:$B1015, 2, false))</f>
        <v>0</v>
      </c>
      <c r="AS713" s="33" t="str">
        <f t="shared" si="12"/>
        <v/>
      </c>
      <c r="AT713" s="37"/>
      <c r="AU713" s="29"/>
      <c r="AV713" s="29" t="b">
        <v>0</v>
      </c>
      <c r="AW713" s="22" t="str">
        <f t="shared" si="13"/>
        <v/>
      </c>
      <c r="AX713" s="7">
        <f>IF(ISBLANK(AT713), 0, VLOOKUP(AT713, 'Price Sheet'!$A$2:$B1015, 2, false))</f>
        <v>0</v>
      </c>
      <c r="AY713" s="33" t="str">
        <f t="shared" si="14"/>
        <v/>
      </c>
      <c r="AZ713" s="37"/>
      <c r="BA713" s="29"/>
      <c r="BB713" s="29" t="b">
        <v>0</v>
      </c>
      <c r="BC713" s="22" t="str">
        <f t="shared" si="15"/>
        <v/>
      </c>
      <c r="BD713" s="7">
        <f>IF(ISBLANK(AZ713), 0, VLOOKUP(AZ713, 'Price Sheet'!$A$2:$B1015, 2, false))</f>
        <v>0</v>
      </c>
      <c r="BE713" s="33" t="str">
        <f t="shared" si="16"/>
        <v/>
      </c>
      <c r="BF713" s="37"/>
      <c r="BG713" s="29"/>
      <c r="BH713" s="29" t="b">
        <v>0</v>
      </c>
      <c r="BI713" s="22" t="str">
        <f t="shared" si="17"/>
        <v/>
      </c>
      <c r="BJ713" s="7">
        <f>IF(ISBLANK(BF713), 0, VLOOKUP(BF713, 'Price Sheet'!$A$2:$B1015, 2, false))</f>
        <v>0</v>
      </c>
      <c r="BK713" s="33" t="str">
        <f t="shared" si="18"/>
        <v/>
      </c>
      <c r="BL713" s="37"/>
      <c r="BM713" s="29"/>
      <c r="BN713" s="29" t="b">
        <v>0</v>
      </c>
      <c r="BO713" s="22" t="str">
        <f t="shared" si="19"/>
        <v/>
      </c>
      <c r="BP713" s="7">
        <f>IF(ISBLANK(BL713), 0, VLOOKUP(BL713, 'Price Sheet'!$A$2:$B1015, 2, false))</f>
        <v>0</v>
      </c>
      <c r="BQ713" s="33" t="str">
        <f t="shared" si="20"/>
        <v/>
      </c>
    </row>
    <row r="714">
      <c r="B714" s="19"/>
      <c r="C714" s="29"/>
      <c r="D714" s="29"/>
      <c r="E714" s="7" t="str">
        <f>IF(ISBLANK(D714), "", VLOOKUP(D714,'Crafting Tables'!$A$2:$B1015, 2, false))</f>
        <v/>
      </c>
      <c r="F714" s="7" t="str">
        <f>IFERROR(IF(E714 = "None", 1, VLOOKUP(C714,General!$A$5:$L$35, SWITCH(E714, "Basic", 8, "Advanced", 10, "Modern", 12), false)),"")</f>
        <v/>
      </c>
      <c r="G714" s="29"/>
      <c r="H714" s="7">
        <f>IFERROR(VLOOKUP(C714, General!$A$5:$L$35, 6, false) * G714 / 1000, 0)</f>
        <v>0</v>
      </c>
      <c r="I714" s="29"/>
      <c r="J714" s="22" t="str">
        <f>IFERROR(I714*VLOOKUP(D714,'Crafting Tables'!$1:$1000, 4, false)*F714,"")</f>
        <v/>
      </c>
      <c r="K714" s="29" t="b">
        <v>0</v>
      </c>
      <c r="L714" s="37"/>
      <c r="M714" s="29"/>
      <c r="N714" s="21" t="str">
        <f t="shared" si="2"/>
        <v/>
      </c>
      <c r="P714" s="37"/>
      <c r="Q714" s="29"/>
      <c r="R714" s="29" t="b">
        <v>0</v>
      </c>
      <c r="S714" s="22" t="str">
        <f t="shared" si="3"/>
        <v/>
      </c>
      <c r="T714" s="7">
        <f>IF(ISBLANK(P714), 0, VLOOKUP(P714, 'Price Sheet'!$A$2:$B1015, 2, false))</f>
        <v>0</v>
      </c>
      <c r="U714" s="33" t="str">
        <f t="shared" si="4"/>
        <v/>
      </c>
      <c r="V714" s="37"/>
      <c r="W714" s="29"/>
      <c r="X714" s="29" t="b">
        <v>0</v>
      </c>
      <c r="Y714" s="22" t="str">
        <f t="shared" si="5"/>
        <v/>
      </c>
      <c r="Z714" s="7">
        <f>IF(ISBLANK(V714), 0, VLOOKUP(V714, 'Price Sheet'!$A$2:$B1015, 2, false))</f>
        <v>0</v>
      </c>
      <c r="AA714" s="33" t="str">
        <f t="shared" si="6"/>
        <v/>
      </c>
      <c r="AB714" s="37"/>
      <c r="AC714" s="29"/>
      <c r="AD714" s="29" t="b">
        <v>0</v>
      </c>
      <c r="AE714" s="22" t="str">
        <f t="shared" si="7"/>
        <v/>
      </c>
      <c r="AF714" s="7">
        <f>IF(ISBLANK(AB714), 0, VLOOKUP(AB714, 'Price Sheet'!$A$2:$B1015, 2, false))</f>
        <v>0</v>
      </c>
      <c r="AG714" s="33" t="str">
        <f t="shared" si="8"/>
        <v/>
      </c>
      <c r="AH714" s="37"/>
      <c r="AI714" s="29"/>
      <c r="AJ714" s="29" t="b">
        <v>0</v>
      </c>
      <c r="AK714" s="22" t="str">
        <f t="shared" si="9"/>
        <v/>
      </c>
      <c r="AL714" s="7">
        <f>IF(ISBLANK(AH714), 0, VLOOKUP(AH714, 'Price Sheet'!$A$2:$B1015, 2, false))</f>
        <v>0</v>
      </c>
      <c r="AM714" s="33" t="str">
        <f t="shared" si="10"/>
        <v/>
      </c>
      <c r="AN714" s="37"/>
      <c r="AO714" s="29"/>
      <c r="AP714" s="29" t="b">
        <v>0</v>
      </c>
      <c r="AQ714" s="22" t="str">
        <f t="shared" si="11"/>
        <v/>
      </c>
      <c r="AR714" s="7">
        <f>IF(ISBLANK(AN714), 0, VLOOKUP(AN714, 'Price Sheet'!$A$2:$B1015, 2, false))</f>
        <v>0</v>
      </c>
      <c r="AS714" s="33" t="str">
        <f t="shared" si="12"/>
        <v/>
      </c>
      <c r="AT714" s="37"/>
      <c r="AU714" s="29"/>
      <c r="AV714" s="29" t="b">
        <v>0</v>
      </c>
      <c r="AW714" s="22" t="str">
        <f t="shared" si="13"/>
        <v/>
      </c>
      <c r="AX714" s="7">
        <f>IF(ISBLANK(AT714), 0, VLOOKUP(AT714, 'Price Sheet'!$A$2:$B1015, 2, false))</f>
        <v>0</v>
      </c>
      <c r="AY714" s="33" t="str">
        <f t="shared" si="14"/>
        <v/>
      </c>
      <c r="AZ714" s="37"/>
      <c r="BA714" s="29"/>
      <c r="BB714" s="29" t="b">
        <v>0</v>
      </c>
      <c r="BC714" s="22" t="str">
        <f t="shared" si="15"/>
        <v/>
      </c>
      <c r="BD714" s="7">
        <f>IF(ISBLANK(AZ714), 0, VLOOKUP(AZ714, 'Price Sheet'!$A$2:$B1015, 2, false))</f>
        <v>0</v>
      </c>
      <c r="BE714" s="33" t="str">
        <f t="shared" si="16"/>
        <v/>
      </c>
      <c r="BF714" s="37"/>
      <c r="BG714" s="29"/>
      <c r="BH714" s="29" t="b">
        <v>0</v>
      </c>
      <c r="BI714" s="22" t="str">
        <f t="shared" si="17"/>
        <v/>
      </c>
      <c r="BJ714" s="7">
        <f>IF(ISBLANK(BF714), 0, VLOOKUP(BF714, 'Price Sheet'!$A$2:$B1015, 2, false))</f>
        <v>0</v>
      </c>
      <c r="BK714" s="33" t="str">
        <f t="shared" si="18"/>
        <v/>
      </c>
      <c r="BL714" s="37"/>
      <c r="BM714" s="29"/>
      <c r="BN714" s="29" t="b">
        <v>0</v>
      </c>
      <c r="BO714" s="22" t="str">
        <f t="shared" si="19"/>
        <v/>
      </c>
      <c r="BP714" s="7">
        <f>IF(ISBLANK(BL714), 0, VLOOKUP(BL714, 'Price Sheet'!$A$2:$B1015, 2, false))</f>
        <v>0</v>
      </c>
      <c r="BQ714" s="33" t="str">
        <f t="shared" si="20"/>
        <v/>
      </c>
    </row>
    <row r="715">
      <c r="B715" s="19"/>
      <c r="C715" s="29"/>
      <c r="D715" s="29"/>
      <c r="E715" s="7" t="str">
        <f>IF(ISBLANK(D715), "", VLOOKUP(D715,'Crafting Tables'!$A$2:$B1015, 2, false))</f>
        <v/>
      </c>
      <c r="F715" s="7" t="str">
        <f>IFERROR(IF(E715 = "None", 1, VLOOKUP(C715,General!$A$5:$L$35, SWITCH(E715, "Basic", 8, "Advanced", 10, "Modern", 12), false)),"")</f>
        <v/>
      </c>
      <c r="G715" s="29"/>
      <c r="H715" s="7">
        <f>IFERROR(VLOOKUP(C715, General!$A$5:$L$35, 6, false) * G715 / 1000, 0)</f>
        <v>0</v>
      </c>
      <c r="I715" s="29"/>
      <c r="J715" s="22" t="str">
        <f>IFERROR(I715*VLOOKUP(D715,'Crafting Tables'!$1:$1000, 4, false)*F715,"")</f>
        <v/>
      </c>
      <c r="K715" s="29" t="b">
        <v>0</v>
      </c>
      <c r="L715" s="37"/>
      <c r="M715" s="29"/>
      <c r="N715" s="21" t="str">
        <f t="shared" si="2"/>
        <v/>
      </c>
      <c r="P715" s="37"/>
      <c r="Q715" s="29"/>
      <c r="R715" s="29" t="b">
        <v>0</v>
      </c>
      <c r="S715" s="22" t="str">
        <f t="shared" si="3"/>
        <v/>
      </c>
      <c r="T715" s="7">
        <f>IF(ISBLANK(P715), 0, VLOOKUP(P715, 'Price Sheet'!$A$2:$B1015, 2, false))</f>
        <v>0</v>
      </c>
      <c r="U715" s="33" t="str">
        <f t="shared" si="4"/>
        <v/>
      </c>
      <c r="V715" s="37"/>
      <c r="W715" s="29"/>
      <c r="X715" s="29" t="b">
        <v>0</v>
      </c>
      <c r="Y715" s="22" t="str">
        <f t="shared" si="5"/>
        <v/>
      </c>
      <c r="Z715" s="7">
        <f>IF(ISBLANK(V715), 0, VLOOKUP(V715, 'Price Sheet'!$A$2:$B1015, 2, false))</f>
        <v>0</v>
      </c>
      <c r="AA715" s="33" t="str">
        <f t="shared" si="6"/>
        <v/>
      </c>
      <c r="AB715" s="37"/>
      <c r="AC715" s="29"/>
      <c r="AD715" s="29" t="b">
        <v>0</v>
      </c>
      <c r="AE715" s="22" t="str">
        <f t="shared" si="7"/>
        <v/>
      </c>
      <c r="AF715" s="7">
        <f>IF(ISBLANK(AB715), 0, VLOOKUP(AB715, 'Price Sheet'!$A$2:$B1015, 2, false))</f>
        <v>0</v>
      </c>
      <c r="AG715" s="33" t="str">
        <f t="shared" si="8"/>
        <v/>
      </c>
      <c r="AH715" s="37"/>
      <c r="AI715" s="29"/>
      <c r="AJ715" s="29" t="b">
        <v>0</v>
      </c>
      <c r="AK715" s="22" t="str">
        <f t="shared" si="9"/>
        <v/>
      </c>
      <c r="AL715" s="7">
        <f>IF(ISBLANK(AH715), 0, VLOOKUP(AH715, 'Price Sheet'!$A$2:$B1015, 2, false))</f>
        <v>0</v>
      </c>
      <c r="AM715" s="33" t="str">
        <f t="shared" si="10"/>
        <v/>
      </c>
      <c r="AN715" s="37"/>
      <c r="AO715" s="29"/>
      <c r="AP715" s="29" t="b">
        <v>0</v>
      </c>
      <c r="AQ715" s="22" t="str">
        <f t="shared" si="11"/>
        <v/>
      </c>
      <c r="AR715" s="7">
        <f>IF(ISBLANK(AN715), 0, VLOOKUP(AN715, 'Price Sheet'!$A$2:$B1015, 2, false))</f>
        <v>0</v>
      </c>
      <c r="AS715" s="33" t="str">
        <f t="shared" si="12"/>
        <v/>
      </c>
      <c r="AT715" s="37"/>
      <c r="AU715" s="29"/>
      <c r="AV715" s="29" t="b">
        <v>0</v>
      </c>
      <c r="AW715" s="22" t="str">
        <f t="shared" si="13"/>
        <v/>
      </c>
      <c r="AX715" s="7">
        <f>IF(ISBLANK(AT715), 0, VLOOKUP(AT715, 'Price Sheet'!$A$2:$B1015, 2, false))</f>
        <v>0</v>
      </c>
      <c r="AY715" s="33" t="str">
        <f t="shared" si="14"/>
        <v/>
      </c>
      <c r="AZ715" s="37"/>
      <c r="BA715" s="29"/>
      <c r="BB715" s="29" t="b">
        <v>0</v>
      </c>
      <c r="BC715" s="22" t="str">
        <f t="shared" si="15"/>
        <v/>
      </c>
      <c r="BD715" s="7">
        <f>IF(ISBLANK(AZ715), 0, VLOOKUP(AZ715, 'Price Sheet'!$A$2:$B1015, 2, false))</f>
        <v>0</v>
      </c>
      <c r="BE715" s="33" t="str">
        <f t="shared" si="16"/>
        <v/>
      </c>
      <c r="BF715" s="37"/>
      <c r="BG715" s="29"/>
      <c r="BH715" s="29" t="b">
        <v>0</v>
      </c>
      <c r="BI715" s="22" t="str">
        <f t="shared" si="17"/>
        <v/>
      </c>
      <c r="BJ715" s="7">
        <f>IF(ISBLANK(BF715), 0, VLOOKUP(BF715, 'Price Sheet'!$A$2:$B1015, 2, false))</f>
        <v>0</v>
      </c>
      <c r="BK715" s="33" t="str">
        <f t="shared" si="18"/>
        <v/>
      </c>
      <c r="BL715" s="37"/>
      <c r="BM715" s="29"/>
      <c r="BN715" s="29" t="b">
        <v>0</v>
      </c>
      <c r="BO715" s="22" t="str">
        <f t="shared" si="19"/>
        <v/>
      </c>
      <c r="BP715" s="7">
        <f>IF(ISBLANK(BL715), 0, VLOOKUP(BL715, 'Price Sheet'!$A$2:$B1015, 2, false))</f>
        <v>0</v>
      </c>
      <c r="BQ715" s="33" t="str">
        <f t="shared" si="20"/>
        <v/>
      </c>
    </row>
    <row r="716">
      <c r="B716" s="19"/>
      <c r="C716" s="29"/>
      <c r="D716" s="29"/>
      <c r="E716" s="7" t="str">
        <f>IF(ISBLANK(D716), "", VLOOKUP(D716,'Crafting Tables'!$A$2:$B1015, 2, false))</f>
        <v/>
      </c>
      <c r="F716" s="7" t="str">
        <f>IFERROR(IF(E716 = "None", 1, VLOOKUP(C716,General!$A$5:$L$35, SWITCH(E716, "Basic", 8, "Advanced", 10, "Modern", 12), false)),"")</f>
        <v/>
      </c>
      <c r="G716" s="29"/>
      <c r="H716" s="7">
        <f>IFERROR(VLOOKUP(C716, General!$A$5:$L$35, 6, false) * G716 / 1000, 0)</f>
        <v>0</v>
      </c>
      <c r="I716" s="29"/>
      <c r="J716" s="22" t="str">
        <f>IFERROR(I716*VLOOKUP(D716,'Crafting Tables'!$1:$1000, 4, false)*F716,"")</f>
        <v/>
      </c>
      <c r="K716" s="29" t="b">
        <v>0</v>
      </c>
      <c r="L716" s="37"/>
      <c r="M716" s="29"/>
      <c r="N716" s="21" t="str">
        <f t="shared" si="2"/>
        <v/>
      </c>
      <c r="P716" s="37"/>
      <c r="Q716" s="29"/>
      <c r="R716" s="29" t="b">
        <v>0</v>
      </c>
      <c r="S716" s="22" t="str">
        <f t="shared" si="3"/>
        <v/>
      </c>
      <c r="T716" s="7">
        <f>IF(ISBLANK(P716), 0, VLOOKUP(P716, 'Price Sheet'!$A$2:$B1015, 2, false))</f>
        <v>0</v>
      </c>
      <c r="U716" s="33" t="str">
        <f t="shared" si="4"/>
        <v/>
      </c>
      <c r="V716" s="37"/>
      <c r="W716" s="29"/>
      <c r="X716" s="29" t="b">
        <v>0</v>
      </c>
      <c r="Y716" s="22" t="str">
        <f t="shared" si="5"/>
        <v/>
      </c>
      <c r="Z716" s="7">
        <f>IF(ISBLANK(V716), 0, VLOOKUP(V716, 'Price Sheet'!$A$2:$B1015, 2, false))</f>
        <v>0</v>
      </c>
      <c r="AA716" s="33" t="str">
        <f t="shared" si="6"/>
        <v/>
      </c>
      <c r="AB716" s="37"/>
      <c r="AC716" s="29"/>
      <c r="AD716" s="29" t="b">
        <v>0</v>
      </c>
      <c r="AE716" s="22" t="str">
        <f t="shared" si="7"/>
        <v/>
      </c>
      <c r="AF716" s="7">
        <f>IF(ISBLANK(AB716), 0, VLOOKUP(AB716, 'Price Sheet'!$A$2:$B1015, 2, false))</f>
        <v>0</v>
      </c>
      <c r="AG716" s="33" t="str">
        <f t="shared" si="8"/>
        <v/>
      </c>
      <c r="AH716" s="37"/>
      <c r="AI716" s="29"/>
      <c r="AJ716" s="29" t="b">
        <v>0</v>
      </c>
      <c r="AK716" s="22" t="str">
        <f t="shared" si="9"/>
        <v/>
      </c>
      <c r="AL716" s="7">
        <f>IF(ISBLANK(AH716), 0, VLOOKUP(AH716, 'Price Sheet'!$A$2:$B1015, 2, false))</f>
        <v>0</v>
      </c>
      <c r="AM716" s="33" t="str">
        <f t="shared" si="10"/>
        <v/>
      </c>
      <c r="AN716" s="37"/>
      <c r="AO716" s="29"/>
      <c r="AP716" s="29" t="b">
        <v>0</v>
      </c>
      <c r="AQ716" s="22" t="str">
        <f t="shared" si="11"/>
        <v/>
      </c>
      <c r="AR716" s="7">
        <f>IF(ISBLANK(AN716), 0, VLOOKUP(AN716, 'Price Sheet'!$A$2:$B1015, 2, false))</f>
        <v>0</v>
      </c>
      <c r="AS716" s="33" t="str">
        <f t="shared" si="12"/>
        <v/>
      </c>
      <c r="AT716" s="37"/>
      <c r="AU716" s="29"/>
      <c r="AV716" s="29" t="b">
        <v>0</v>
      </c>
      <c r="AW716" s="22" t="str">
        <f t="shared" si="13"/>
        <v/>
      </c>
      <c r="AX716" s="7">
        <f>IF(ISBLANK(AT716), 0, VLOOKUP(AT716, 'Price Sheet'!$A$2:$B1015, 2, false))</f>
        <v>0</v>
      </c>
      <c r="AY716" s="33" t="str">
        <f t="shared" si="14"/>
        <v/>
      </c>
      <c r="AZ716" s="37"/>
      <c r="BA716" s="29"/>
      <c r="BB716" s="29" t="b">
        <v>0</v>
      </c>
      <c r="BC716" s="22" t="str">
        <f t="shared" si="15"/>
        <v/>
      </c>
      <c r="BD716" s="7">
        <f>IF(ISBLANK(AZ716), 0, VLOOKUP(AZ716, 'Price Sheet'!$A$2:$B1015, 2, false))</f>
        <v>0</v>
      </c>
      <c r="BE716" s="33" t="str">
        <f t="shared" si="16"/>
        <v/>
      </c>
      <c r="BF716" s="37"/>
      <c r="BG716" s="29"/>
      <c r="BH716" s="29" t="b">
        <v>0</v>
      </c>
      <c r="BI716" s="22" t="str">
        <f t="shared" si="17"/>
        <v/>
      </c>
      <c r="BJ716" s="7">
        <f>IF(ISBLANK(BF716), 0, VLOOKUP(BF716, 'Price Sheet'!$A$2:$B1015, 2, false))</f>
        <v>0</v>
      </c>
      <c r="BK716" s="33" t="str">
        <f t="shared" si="18"/>
        <v/>
      </c>
      <c r="BL716" s="37"/>
      <c r="BM716" s="29"/>
      <c r="BN716" s="29" t="b">
        <v>0</v>
      </c>
      <c r="BO716" s="22" t="str">
        <f t="shared" si="19"/>
        <v/>
      </c>
      <c r="BP716" s="7">
        <f>IF(ISBLANK(BL716), 0, VLOOKUP(BL716, 'Price Sheet'!$A$2:$B1015, 2, false))</f>
        <v>0</v>
      </c>
      <c r="BQ716" s="33" t="str">
        <f t="shared" si="20"/>
        <v/>
      </c>
    </row>
    <row r="717">
      <c r="B717" s="19"/>
      <c r="C717" s="29"/>
      <c r="D717" s="29"/>
      <c r="E717" s="7" t="str">
        <f>IF(ISBLANK(D717), "", VLOOKUP(D717,'Crafting Tables'!$A$2:$B1015, 2, false))</f>
        <v/>
      </c>
      <c r="F717" s="7" t="str">
        <f>IFERROR(IF(E717 = "None", 1, VLOOKUP(C717,General!$A$5:$L$35, SWITCH(E717, "Basic", 8, "Advanced", 10, "Modern", 12), false)),"")</f>
        <v/>
      </c>
      <c r="G717" s="29"/>
      <c r="H717" s="7">
        <f>IFERROR(VLOOKUP(C717, General!$A$5:$L$35, 6, false) * G717 / 1000, 0)</f>
        <v>0</v>
      </c>
      <c r="I717" s="29"/>
      <c r="J717" s="22" t="str">
        <f>IFERROR(I717*VLOOKUP(D717,'Crafting Tables'!$1:$1000, 4, false)*F717,"")</f>
        <v/>
      </c>
      <c r="K717" s="29" t="b">
        <v>0</v>
      </c>
      <c r="L717" s="37"/>
      <c r="M717" s="29"/>
      <c r="N717" s="21" t="str">
        <f t="shared" si="2"/>
        <v/>
      </c>
      <c r="P717" s="37"/>
      <c r="Q717" s="29"/>
      <c r="R717" s="29" t="b">
        <v>0</v>
      </c>
      <c r="S717" s="22" t="str">
        <f t="shared" si="3"/>
        <v/>
      </c>
      <c r="T717" s="7">
        <f>IF(ISBLANK(P717), 0, VLOOKUP(P717, 'Price Sheet'!$A$2:$B1015, 2, false))</f>
        <v>0</v>
      </c>
      <c r="U717" s="33" t="str">
        <f t="shared" si="4"/>
        <v/>
      </c>
      <c r="V717" s="37"/>
      <c r="W717" s="29"/>
      <c r="X717" s="29" t="b">
        <v>0</v>
      </c>
      <c r="Y717" s="22" t="str">
        <f t="shared" si="5"/>
        <v/>
      </c>
      <c r="Z717" s="7">
        <f>IF(ISBLANK(V717), 0, VLOOKUP(V717, 'Price Sheet'!$A$2:$B1015, 2, false))</f>
        <v>0</v>
      </c>
      <c r="AA717" s="33" t="str">
        <f t="shared" si="6"/>
        <v/>
      </c>
      <c r="AB717" s="37"/>
      <c r="AC717" s="29"/>
      <c r="AD717" s="29" t="b">
        <v>0</v>
      </c>
      <c r="AE717" s="22" t="str">
        <f t="shared" si="7"/>
        <v/>
      </c>
      <c r="AF717" s="7">
        <f>IF(ISBLANK(AB717), 0, VLOOKUP(AB717, 'Price Sheet'!$A$2:$B1015, 2, false))</f>
        <v>0</v>
      </c>
      <c r="AG717" s="33" t="str">
        <f t="shared" si="8"/>
        <v/>
      </c>
      <c r="AH717" s="37"/>
      <c r="AI717" s="29"/>
      <c r="AJ717" s="29" t="b">
        <v>0</v>
      </c>
      <c r="AK717" s="22" t="str">
        <f t="shared" si="9"/>
        <v/>
      </c>
      <c r="AL717" s="7">
        <f>IF(ISBLANK(AH717), 0, VLOOKUP(AH717, 'Price Sheet'!$A$2:$B1015, 2, false))</f>
        <v>0</v>
      </c>
      <c r="AM717" s="33" t="str">
        <f t="shared" si="10"/>
        <v/>
      </c>
      <c r="AN717" s="37"/>
      <c r="AO717" s="29"/>
      <c r="AP717" s="29" t="b">
        <v>0</v>
      </c>
      <c r="AQ717" s="22" t="str">
        <f t="shared" si="11"/>
        <v/>
      </c>
      <c r="AR717" s="7">
        <f>IF(ISBLANK(AN717), 0, VLOOKUP(AN717, 'Price Sheet'!$A$2:$B1015, 2, false))</f>
        <v>0</v>
      </c>
      <c r="AS717" s="33" t="str">
        <f t="shared" si="12"/>
        <v/>
      </c>
      <c r="AT717" s="37"/>
      <c r="AU717" s="29"/>
      <c r="AV717" s="29" t="b">
        <v>0</v>
      </c>
      <c r="AW717" s="22" t="str">
        <f t="shared" si="13"/>
        <v/>
      </c>
      <c r="AX717" s="7">
        <f>IF(ISBLANK(AT717), 0, VLOOKUP(AT717, 'Price Sheet'!$A$2:$B1015, 2, false))</f>
        <v>0</v>
      </c>
      <c r="AY717" s="33" t="str">
        <f t="shared" si="14"/>
        <v/>
      </c>
      <c r="AZ717" s="37"/>
      <c r="BA717" s="29"/>
      <c r="BB717" s="29" t="b">
        <v>0</v>
      </c>
      <c r="BC717" s="22" t="str">
        <f t="shared" si="15"/>
        <v/>
      </c>
      <c r="BD717" s="7">
        <f>IF(ISBLANK(AZ717), 0, VLOOKUP(AZ717, 'Price Sheet'!$A$2:$B1015, 2, false))</f>
        <v>0</v>
      </c>
      <c r="BE717" s="33" t="str">
        <f t="shared" si="16"/>
        <v/>
      </c>
      <c r="BF717" s="37"/>
      <c r="BG717" s="29"/>
      <c r="BH717" s="29" t="b">
        <v>0</v>
      </c>
      <c r="BI717" s="22" t="str">
        <f t="shared" si="17"/>
        <v/>
      </c>
      <c r="BJ717" s="7">
        <f>IF(ISBLANK(BF717), 0, VLOOKUP(BF717, 'Price Sheet'!$A$2:$B1015, 2, false))</f>
        <v>0</v>
      </c>
      <c r="BK717" s="33" t="str">
        <f t="shared" si="18"/>
        <v/>
      </c>
      <c r="BL717" s="37"/>
      <c r="BM717" s="29"/>
      <c r="BN717" s="29" t="b">
        <v>0</v>
      </c>
      <c r="BO717" s="22" t="str">
        <f t="shared" si="19"/>
        <v/>
      </c>
      <c r="BP717" s="7">
        <f>IF(ISBLANK(BL717), 0, VLOOKUP(BL717, 'Price Sheet'!$A$2:$B1015, 2, false))</f>
        <v>0</v>
      </c>
      <c r="BQ717" s="33" t="str">
        <f t="shared" si="20"/>
        <v/>
      </c>
    </row>
    <row r="718">
      <c r="B718" s="19"/>
      <c r="C718" s="29"/>
      <c r="D718" s="29"/>
      <c r="E718" s="7" t="str">
        <f>IF(ISBLANK(D718), "", VLOOKUP(D718,'Crafting Tables'!$A$2:$B1015, 2, false))</f>
        <v/>
      </c>
      <c r="F718" s="7" t="str">
        <f>IFERROR(IF(E718 = "None", 1, VLOOKUP(C718,General!$A$5:$L$35, SWITCH(E718, "Basic", 8, "Advanced", 10, "Modern", 12), false)),"")</f>
        <v/>
      </c>
      <c r="G718" s="29"/>
      <c r="H718" s="7">
        <f>IFERROR(VLOOKUP(C718, General!$A$5:$L$35, 6, false) * G718 / 1000, 0)</f>
        <v>0</v>
      </c>
      <c r="I718" s="29"/>
      <c r="J718" s="22" t="str">
        <f>IFERROR(I718*VLOOKUP(D718,'Crafting Tables'!$1:$1000, 4, false)*F718,"")</f>
        <v/>
      </c>
      <c r="K718" s="29" t="b">
        <v>0</v>
      </c>
      <c r="L718" s="37"/>
      <c r="M718" s="29"/>
      <c r="N718" s="21" t="str">
        <f t="shared" si="2"/>
        <v/>
      </c>
      <c r="P718" s="37"/>
      <c r="Q718" s="29"/>
      <c r="R718" s="29" t="b">
        <v>0</v>
      </c>
      <c r="S718" s="22" t="str">
        <f t="shared" si="3"/>
        <v/>
      </c>
      <c r="T718" s="7">
        <f>IF(ISBLANK(P718), 0, VLOOKUP(P718, 'Price Sheet'!$A$2:$B1015, 2, false))</f>
        <v>0</v>
      </c>
      <c r="U718" s="33" t="str">
        <f t="shared" si="4"/>
        <v/>
      </c>
      <c r="V718" s="37"/>
      <c r="W718" s="29"/>
      <c r="X718" s="29" t="b">
        <v>0</v>
      </c>
      <c r="Y718" s="22" t="str">
        <f t="shared" si="5"/>
        <v/>
      </c>
      <c r="Z718" s="7">
        <f>IF(ISBLANK(V718), 0, VLOOKUP(V718, 'Price Sheet'!$A$2:$B1015, 2, false))</f>
        <v>0</v>
      </c>
      <c r="AA718" s="33" t="str">
        <f t="shared" si="6"/>
        <v/>
      </c>
      <c r="AB718" s="37"/>
      <c r="AC718" s="29"/>
      <c r="AD718" s="29" t="b">
        <v>0</v>
      </c>
      <c r="AE718" s="22" t="str">
        <f t="shared" si="7"/>
        <v/>
      </c>
      <c r="AF718" s="7">
        <f>IF(ISBLANK(AB718), 0, VLOOKUP(AB718, 'Price Sheet'!$A$2:$B1015, 2, false))</f>
        <v>0</v>
      </c>
      <c r="AG718" s="33" t="str">
        <f t="shared" si="8"/>
        <v/>
      </c>
      <c r="AH718" s="37"/>
      <c r="AI718" s="29"/>
      <c r="AJ718" s="29" t="b">
        <v>0</v>
      </c>
      <c r="AK718" s="22" t="str">
        <f t="shared" si="9"/>
        <v/>
      </c>
      <c r="AL718" s="7">
        <f>IF(ISBLANK(AH718), 0, VLOOKUP(AH718, 'Price Sheet'!$A$2:$B1015, 2, false))</f>
        <v>0</v>
      </c>
      <c r="AM718" s="33" t="str">
        <f t="shared" si="10"/>
        <v/>
      </c>
      <c r="AN718" s="37"/>
      <c r="AO718" s="29"/>
      <c r="AP718" s="29" t="b">
        <v>0</v>
      </c>
      <c r="AQ718" s="22" t="str">
        <f t="shared" si="11"/>
        <v/>
      </c>
      <c r="AR718" s="7">
        <f>IF(ISBLANK(AN718), 0, VLOOKUP(AN718, 'Price Sheet'!$A$2:$B1015, 2, false))</f>
        <v>0</v>
      </c>
      <c r="AS718" s="33" t="str">
        <f t="shared" si="12"/>
        <v/>
      </c>
      <c r="AT718" s="37"/>
      <c r="AU718" s="29"/>
      <c r="AV718" s="29" t="b">
        <v>0</v>
      </c>
      <c r="AW718" s="22" t="str">
        <f t="shared" si="13"/>
        <v/>
      </c>
      <c r="AX718" s="7">
        <f>IF(ISBLANK(AT718), 0, VLOOKUP(AT718, 'Price Sheet'!$A$2:$B1015, 2, false))</f>
        <v>0</v>
      </c>
      <c r="AY718" s="33" t="str">
        <f t="shared" si="14"/>
        <v/>
      </c>
      <c r="AZ718" s="37"/>
      <c r="BA718" s="29"/>
      <c r="BB718" s="29" t="b">
        <v>0</v>
      </c>
      <c r="BC718" s="22" t="str">
        <f t="shared" si="15"/>
        <v/>
      </c>
      <c r="BD718" s="7">
        <f>IF(ISBLANK(AZ718), 0, VLOOKUP(AZ718, 'Price Sheet'!$A$2:$B1015, 2, false))</f>
        <v>0</v>
      </c>
      <c r="BE718" s="33" t="str">
        <f t="shared" si="16"/>
        <v/>
      </c>
      <c r="BF718" s="37"/>
      <c r="BG718" s="29"/>
      <c r="BH718" s="29" t="b">
        <v>0</v>
      </c>
      <c r="BI718" s="22" t="str">
        <f t="shared" si="17"/>
        <v/>
      </c>
      <c r="BJ718" s="7">
        <f>IF(ISBLANK(BF718), 0, VLOOKUP(BF718, 'Price Sheet'!$A$2:$B1015, 2, false))</f>
        <v>0</v>
      </c>
      <c r="BK718" s="33" t="str">
        <f t="shared" si="18"/>
        <v/>
      </c>
      <c r="BL718" s="37"/>
      <c r="BM718" s="29"/>
      <c r="BN718" s="29" t="b">
        <v>0</v>
      </c>
      <c r="BO718" s="22" t="str">
        <f t="shared" si="19"/>
        <v/>
      </c>
      <c r="BP718" s="7">
        <f>IF(ISBLANK(BL718), 0, VLOOKUP(BL718, 'Price Sheet'!$A$2:$B1015, 2, false))</f>
        <v>0</v>
      </c>
      <c r="BQ718" s="33" t="str">
        <f t="shared" si="20"/>
        <v/>
      </c>
    </row>
    <row r="719">
      <c r="B719" s="19"/>
      <c r="C719" s="29"/>
      <c r="D719" s="29"/>
      <c r="E719" s="7" t="str">
        <f>IF(ISBLANK(D719), "", VLOOKUP(D719,'Crafting Tables'!$A$2:$B1015, 2, false))</f>
        <v/>
      </c>
      <c r="F719" s="7" t="str">
        <f>IFERROR(IF(E719 = "None", 1, VLOOKUP(C719,General!$A$5:$L$35, SWITCH(E719, "Basic", 8, "Advanced", 10, "Modern", 12), false)),"")</f>
        <v/>
      </c>
      <c r="G719" s="29"/>
      <c r="H719" s="7">
        <f>IFERROR(VLOOKUP(C719, General!$A$5:$L$35, 6, false) * G719 / 1000, 0)</f>
        <v>0</v>
      </c>
      <c r="I719" s="29"/>
      <c r="J719" s="22" t="str">
        <f>IFERROR(I719*VLOOKUP(D719,'Crafting Tables'!$1:$1000, 4, false)*F719,"")</f>
        <v/>
      </c>
      <c r="K719" s="29" t="b">
        <v>0</v>
      </c>
      <c r="L719" s="37"/>
      <c r="M719" s="29"/>
      <c r="N719" s="21" t="str">
        <f t="shared" si="2"/>
        <v/>
      </c>
      <c r="P719" s="37"/>
      <c r="Q719" s="29"/>
      <c r="R719" s="29" t="b">
        <v>0</v>
      </c>
      <c r="S719" s="22" t="str">
        <f t="shared" si="3"/>
        <v/>
      </c>
      <c r="T719" s="7">
        <f>IF(ISBLANK(P719), 0, VLOOKUP(P719, 'Price Sheet'!$A$2:$B1015, 2, false))</f>
        <v>0</v>
      </c>
      <c r="U719" s="33" t="str">
        <f t="shared" si="4"/>
        <v/>
      </c>
      <c r="V719" s="37"/>
      <c r="W719" s="29"/>
      <c r="X719" s="29" t="b">
        <v>0</v>
      </c>
      <c r="Y719" s="22" t="str">
        <f t="shared" si="5"/>
        <v/>
      </c>
      <c r="Z719" s="7">
        <f>IF(ISBLANK(V719), 0, VLOOKUP(V719, 'Price Sheet'!$A$2:$B1015, 2, false))</f>
        <v>0</v>
      </c>
      <c r="AA719" s="33" t="str">
        <f t="shared" si="6"/>
        <v/>
      </c>
      <c r="AB719" s="37"/>
      <c r="AC719" s="29"/>
      <c r="AD719" s="29" t="b">
        <v>0</v>
      </c>
      <c r="AE719" s="22" t="str">
        <f t="shared" si="7"/>
        <v/>
      </c>
      <c r="AF719" s="7">
        <f>IF(ISBLANK(AB719), 0, VLOOKUP(AB719, 'Price Sheet'!$A$2:$B1015, 2, false))</f>
        <v>0</v>
      </c>
      <c r="AG719" s="33" t="str">
        <f t="shared" si="8"/>
        <v/>
      </c>
      <c r="AH719" s="37"/>
      <c r="AI719" s="29"/>
      <c r="AJ719" s="29" t="b">
        <v>0</v>
      </c>
      <c r="AK719" s="22" t="str">
        <f t="shared" si="9"/>
        <v/>
      </c>
      <c r="AL719" s="7">
        <f>IF(ISBLANK(AH719), 0, VLOOKUP(AH719, 'Price Sheet'!$A$2:$B1015, 2, false))</f>
        <v>0</v>
      </c>
      <c r="AM719" s="33" t="str">
        <f t="shared" si="10"/>
        <v/>
      </c>
      <c r="AN719" s="37"/>
      <c r="AO719" s="29"/>
      <c r="AP719" s="29" t="b">
        <v>0</v>
      </c>
      <c r="AQ719" s="22" t="str">
        <f t="shared" si="11"/>
        <v/>
      </c>
      <c r="AR719" s="7">
        <f>IF(ISBLANK(AN719), 0, VLOOKUP(AN719, 'Price Sheet'!$A$2:$B1015, 2, false))</f>
        <v>0</v>
      </c>
      <c r="AS719" s="33" t="str">
        <f t="shared" si="12"/>
        <v/>
      </c>
      <c r="AT719" s="37"/>
      <c r="AU719" s="29"/>
      <c r="AV719" s="29" t="b">
        <v>0</v>
      </c>
      <c r="AW719" s="22" t="str">
        <f t="shared" si="13"/>
        <v/>
      </c>
      <c r="AX719" s="7">
        <f>IF(ISBLANK(AT719), 0, VLOOKUP(AT719, 'Price Sheet'!$A$2:$B1015, 2, false))</f>
        <v>0</v>
      </c>
      <c r="AY719" s="33" t="str">
        <f t="shared" si="14"/>
        <v/>
      </c>
      <c r="AZ719" s="37"/>
      <c r="BA719" s="29"/>
      <c r="BB719" s="29" t="b">
        <v>0</v>
      </c>
      <c r="BC719" s="22" t="str">
        <f t="shared" si="15"/>
        <v/>
      </c>
      <c r="BD719" s="7">
        <f>IF(ISBLANK(AZ719), 0, VLOOKUP(AZ719, 'Price Sheet'!$A$2:$B1015, 2, false))</f>
        <v>0</v>
      </c>
      <c r="BE719" s="33" t="str">
        <f t="shared" si="16"/>
        <v/>
      </c>
      <c r="BF719" s="37"/>
      <c r="BG719" s="29"/>
      <c r="BH719" s="29" t="b">
        <v>0</v>
      </c>
      <c r="BI719" s="22" t="str">
        <f t="shared" si="17"/>
        <v/>
      </c>
      <c r="BJ719" s="7">
        <f>IF(ISBLANK(BF719), 0, VLOOKUP(BF719, 'Price Sheet'!$A$2:$B1015, 2, false))</f>
        <v>0</v>
      </c>
      <c r="BK719" s="33" t="str">
        <f t="shared" si="18"/>
        <v/>
      </c>
      <c r="BL719" s="37"/>
      <c r="BM719" s="29"/>
      <c r="BN719" s="29" t="b">
        <v>0</v>
      </c>
      <c r="BO719" s="22" t="str">
        <f t="shared" si="19"/>
        <v/>
      </c>
      <c r="BP719" s="7">
        <f>IF(ISBLANK(BL719), 0, VLOOKUP(BL719, 'Price Sheet'!$A$2:$B1015, 2, false))</f>
        <v>0</v>
      </c>
      <c r="BQ719" s="33" t="str">
        <f t="shared" si="20"/>
        <v/>
      </c>
    </row>
    <row r="720">
      <c r="B720" s="19"/>
      <c r="C720" s="29"/>
      <c r="D720" s="29"/>
      <c r="E720" s="7" t="str">
        <f>IF(ISBLANK(D720), "", VLOOKUP(D720,'Crafting Tables'!$A$2:$B1015, 2, false))</f>
        <v/>
      </c>
      <c r="F720" s="7" t="str">
        <f>IFERROR(IF(E720 = "None", 1, VLOOKUP(C720,General!$A$5:$L$35, SWITCH(E720, "Basic", 8, "Advanced", 10, "Modern", 12), false)),"")</f>
        <v/>
      </c>
      <c r="G720" s="29"/>
      <c r="H720" s="7">
        <f>IFERROR(VLOOKUP(C720, General!$A$5:$L$35, 6, false) * G720 / 1000, 0)</f>
        <v>0</v>
      </c>
      <c r="I720" s="29"/>
      <c r="J720" s="22" t="str">
        <f>IFERROR(I720*VLOOKUP(D720,'Crafting Tables'!$1:$1000, 4, false)*F720,"")</f>
        <v/>
      </c>
      <c r="K720" s="29" t="b">
        <v>0</v>
      </c>
      <c r="L720" s="37"/>
      <c r="M720" s="29"/>
      <c r="N720" s="21" t="str">
        <f t="shared" si="2"/>
        <v/>
      </c>
      <c r="P720" s="37"/>
      <c r="Q720" s="29"/>
      <c r="R720" s="29" t="b">
        <v>0</v>
      </c>
      <c r="S720" s="22" t="str">
        <f t="shared" si="3"/>
        <v/>
      </c>
      <c r="T720" s="7">
        <f>IF(ISBLANK(P720), 0, VLOOKUP(P720, 'Price Sheet'!$A$2:$B1015, 2, false))</f>
        <v>0</v>
      </c>
      <c r="U720" s="33" t="str">
        <f t="shared" si="4"/>
        <v/>
      </c>
      <c r="V720" s="37"/>
      <c r="W720" s="29"/>
      <c r="X720" s="29" t="b">
        <v>0</v>
      </c>
      <c r="Y720" s="22" t="str">
        <f t="shared" si="5"/>
        <v/>
      </c>
      <c r="Z720" s="7">
        <f>IF(ISBLANK(V720), 0, VLOOKUP(V720, 'Price Sheet'!$A$2:$B1015, 2, false))</f>
        <v>0</v>
      </c>
      <c r="AA720" s="33" t="str">
        <f t="shared" si="6"/>
        <v/>
      </c>
      <c r="AB720" s="37"/>
      <c r="AC720" s="29"/>
      <c r="AD720" s="29" t="b">
        <v>0</v>
      </c>
      <c r="AE720" s="22" t="str">
        <f t="shared" si="7"/>
        <v/>
      </c>
      <c r="AF720" s="7">
        <f>IF(ISBLANK(AB720), 0, VLOOKUP(AB720, 'Price Sheet'!$A$2:$B1015, 2, false))</f>
        <v>0</v>
      </c>
      <c r="AG720" s="33" t="str">
        <f t="shared" si="8"/>
        <v/>
      </c>
      <c r="AH720" s="37"/>
      <c r="AI720" s="29"/>
      <c r="AJ720" s="29" t="b">
        <v>0</v>
      </c>
      <c r="AK720" s="22" t="str">
        <f t="shared" si="9"/>
        <v/>
      </c>
      <c r="AL720" s="7">
        <f>IF(ISBLANK(AH720), 0, VLOOKUP(AH720, 'Price Sheet'!$A$2:$B1015, 2, false))</f>
        <v>0</v>
      </c>
      <c r="AM720" s="33" t="str">
        <f t="shared" si="10"/>
        <v/>
      </c>
      <c r="AN720" s="37"/>
      <c r="AO720" s="29"/>
      <c r="AP720" s="29" t="b">
        <v>0</v>
      </c>
      <c r="AQ720" s="22" t="str">
        <f t="shared" si="11"/>
        <v/>
      </c>
      <c r="AR720" s="7">
        <f>IF(ISBLANK(AN720), 0, VLOOKUP(AN720, 'Price Sheet'!$A$2:$B1015, 2, false))</f>
        <v>0</v>
      </c>
      <c r="AS720" s="33" t="str">
        <f t="shared" si="12"/>
        <v/>
      </c>
      <c r="AT720" s="37"/>
      <c r="AU720" s="29"/>
      <c r="AV720" s="29" t="b">
        <v>0</v>
      </c>
      <c r="AW720" s="22" t="str">
        <f t="shared" si="13"/>
        <v/>
      </c>
      <c r="AX720" s="7">
        <f>IF(ISBLANK(AT720), 0, VLOOKUP(AT720, 'Price Sheet'!$A$2:$B1015, 2, false))</f>
        <v>0</v>
      </c>
      <c r="AY720" s="33" t="str">
        <f t="shared" si="14"/>
        <v/>
      </c>
      <c r="AZ720" s="37"/>
      <c r="BA720" s="29"/>
      <c r="BB720" s="29" t="b">
        <v>0</v>
      </c>
      <c r="BC720" s="22" t="str">
        <f t="shared" si="15"/>
        <v/>
      </c>
      <c r="BD720" s="7">
        <f>IF(ISBLANK(AZ720), 0, VLOOKUP(AZ720, 'Price Sheet'!$A$2:$B1015, 2, false))</f>
        <v>0</v>
      </c>
      <c r="BE720" s="33" t="str">
        <f t="shared" si="16"/>
        <v/>
      </c>
      <c r="BF720" s="37"/>
      <c r="BG720" s="29"/>
      <c r="BH720" s="29" t="b">
        <v>0</v>
      </c>
      <c r="BI720" s="22" t="str">
        <f t="shared" si="17"/>
        <v/>
      </c>
      <c r="BJ720" s="7">
        <f>IF(ISBLANK(BF720), 0, VLOOKUP(BF720, 'Price Sheet'!$A$2:$B1015, 2, false))</f>
        <v>0</v>
      </c>
      <c r="BK720" s="33" t="str">
        <f t="shared" si="18"/>
        <v/>
      </c>
      <c r="BL720" s="37"/>
      <c r="BM720" s="29"/>
      <c r="BN720" s="29" t="b">
        <v>0</v>
      </c>
      <c r="BO720" s="22" t="str">
        <f t="shared" si="19"/>
        <v/>
      </c>
      <c r="BP720" s="7">
        <f>IF(ISBLANK(BL720), 0, VLOOKUP(BL720, 'Price Sheet'!$A$2:$B1015, 2, false))</f>
        <v>0</v>
      </c>
      <c r="BQ720" s="33" t="str">
        <f t="shared" si="20"/>
        <v/>
      </c>
    </row>
    <row r="721">
      <c r="B721" s="19"/>
      <c r="C721" s="29"/>
      <c r="D721" s="29"/>
      <c r="E721" s="7" t="str">
        <f>IF(ISBLANK(D721), "", VLOOKUP(D721,'Crafting Tables'!$A$2:$B1015, 2, false))</f>
        <v/>
      </c>
      <c r="F721" s="7" t="str">
        <f>IFERROR(IF(E721 = "None", 1, VLOOKUP(C721,General!$A$5:$L$35, SWITCH(E721, "Basic", 8, "Advanced", 10, "Modern", 12), false)),"")</f>
        <v/>
      </c>
      <c r="G721" s="29"/>
      <c r="H721" s="7">
        <f>IFERROR(VLOOKUP(C721, General!$A$5:$L$35, 6, false) * G721 / 1000, 0)</f>
        <v>0</v>
      </c>
      <c r="I721" s="29"/>
      <c r="J721" s="22" t="str">
        <f>IFERROR(I721*VLOOKUP(D721,'Crafting Tables'!$1:$1000, 4, false)*F721,"")</f>
        <v/>
      </c>
      <c r="K721" s="29" t="b">
        <v>0</v>
      </c>
      <c r="L721" s="37"/>
      <c r="M721" s="29"/>
      <c r="N721" s="21" t="str">
        <f t="shared" si="2"/>
        <v/>
      </c>
      <c r="P721" s="37"/>
      <c r="Q721" s="29"/>
      <c r="R721" s="29" t="b">
        <v>0</v>
      </c>
      <c r="S721" s="22" t="str">
        <f t="shared" si="3"/>
        <v/>
      </c>
      <c r="T721" s="7">
        <f>IF(ISBLANK(P721), 0, VLOOKUP(P721, 'Price Sheet'!$A$2:$B1015, 2, false))</f>
        <v>0</v>
      </c>
      <c r="U721" s="33" t="str">
        <f t="shared" si="4"/>
        <v/>
      </c>
      <c r="V721" s="37"/>
      <c r="W721" s="29"/>
      <c r="X721" s="29" t="b">
        <v>0</v>
      </c>
      <c r="Y721" s="22" t="str">
        <f t="shared" si="5"/>
        <v/>
      </c>
      <c r="Z721" s="7">
        <f>IF(ISBLANK(V721), 0, VLOOKUP(V721, 'Price Sheet'!$A$2:$B1015, 2, false))</f>
        <v>0</v>
      </c>
      <c r="AA721" s="33" t="str">
        <f t="shared" si="6"/>
        <v/>
      </c>
      <c r="AB721" s="37"/>
      <c r="AC721" s="29"/>
      <c r="AD721" s="29" t="b">
        <v>0</v>
      </c>
      <c r="AE721" s="22" t="str">
        <f t="shared" si="7"/>
        <v/>
      </c>
      <c r="AF721" s="7">
        <f>IF(ISBLANK(AB721), 0, VLOOKUP(AB721, 'Price Sheet'!$A$2:$B1015, 2, false))</f>
        <v>0</v>
      </c>
      <c r="AG721" s="33" t="str">
        <f t="shared" si="8"/>
        <v/>
      </c>
      <c r="AH721" s="37"/>
      <c r="AI721" s="29"/>
      <c r="AJ721" s="29" t="b">
        <v>0</v>
      </c>
      <c r="AK721" s="22" t="str">
        <f t="shared" si="9"/>
        <v/>
      </c>
      <c r="AL721" s="7">
        <f>IF(ISBLANK(AH721), 0, VLOOKUP(AH721, 'Price Sheet'!$A$2:$B1015, 2, false))</f>
        <v>0</v>
      </c>
      <c r="AM721" s="33" t="str">
        <f t="shared" si="10"/>
        <v/>
      </c>
      <c r="AN721" s="37"/>
      <c r="AO721" s="29"/>
      <c r="AP721" s="29" t="b">
        <v>0</v>
      </c>
      <c r="AQ721" s="22" t="str">
        <f t="shared" si="11"/>
        <v/>
      </c>
      <c r="AR721" s="7">
        <f>IF(ISBLANK(AN721), 0, VLOOKUP(AN721, 'Price Sheet'!$A$2:$B1015, 2, false))</f>
        <v>0</v>
      </c>
      <c r="AS721" s="33" t="str">
        <f t="shared" si="12"/>
        <v/>
      </c>
      <c r="AT721" s="37"/>
      <c r="AU721" s="29"/>
      <c r="AV721" s="29" t="b">
        <v>0</v>
      </c>
      <c r="AW721" s="22" t="str">
        <f t="shared" si="13"/>
        <v/>
      </c>
      <c r="AX721" s="7">
        <f>IF(ISBLANK(AT721), 0, VLOOKUP(AT721, 'Price Sheet'!$A$2:$B1015, 2, false))</f>
        <v>0</v>
      </c>
      <c r="AY721" s="33" t="str">
        <f t="shared" si="14"/>
        <v/>
      </c>
      <c r="AZ721" s="37"/>
      <c r="BA721" s="29"/>
      <c r="BB721" s="29" t="b">
        <v>0</v>
      </c>
      <c r="BC721" s="22" t="str">
        <f t="shared" si="15"/>
        <v/>
      </c>
      <c r="BD721" s="7">
        <f>IF(ISBLANK(AZ721), 0, VLOOKUP(AZ721, 'Price Sheet'!$A$2:$B1015, 2, false))</f>
        <v>0</v>
      </c>
      <c r="BE721" s="33" t="str">
        <f t="shared" si="16"/>
        <v/>
      </c>
      <c r="BF721" s="37"/>
      <c r="BG721" s="29"/>
      <c r="BH721" s="29" t="b">
        <v>0</v>
      </c>
      <c r="BI721" s="22" t="str">
        <f t="shared" si="17"/>
        <v/>
      </c>
      <c r="BJ721" s="7">
        <f>IF(ISBLANK(BF721), 0, VLOOKUP(BF721, 'Price Sheet'!$A$2:$B1015, 2, false))</f>
        <v>0</v>
      </c>
      <c r="BK721" s="33" t="str">
        <f t="shared" si="18"/>
        <v/>
      </c>
      <c r="BL721" s="37"/>
      <c r="BM721" s="29"/>
      <c r="BN721" s="29" t="b">
        <v>0</v>
      </c>
      <c r="BO721" s="22" t="str">
        <f t="shared" si="19"/>
        <v/>
      </c>
      <c r="BP721" s="7">
        <f>IF(ISBLANK(BL721), 0, VLOOKUP(BL721, 'Price Sheet'!$A$2:$B1015, 2, false))</f>
        <v>0</v>
      </c>
      <c r="BQ721" s="33" t="str">
        <f t="shared" si="20"/>
        <v/>
      </c>
    </row>
    <row r="722">
      <c r="B722" s="19"/>
      <c r="C722" s="29"/>
      <c r="D722" s="29"/>
      <c r="E722" s="7" t="str">
        <f>IF(ISBLANK(D722), "", VLOOKUP(D722,'Crafting Tables'!$A$2:$B1015, 2, false))</f>
        <v/>
      </c>
      <c r="F722" s="7" t="str">
        <f>IFERROR(IF(E722 = "None", 1, VLOOKUP(C722,General!$A$5:$L$35, SWITCH(E722, "Basic", 8, "Advanced", 10, "Modern", 12), false)),"")</f>
        <v/>
      </c>
      <c r="G722" s="29"/>
      <c r="H722" s="7">
        <f>IFERROR(VLOOKUP(C722, General!$A$5:$L$35, 6, false) * G722 / 1000, 0)</f>
        <v>0</v>
      </c>
      <c r="I722" s="29"/>
      <c r="J722" s="22" t="str">
        <f>IFERROR(I722*VLOOKUP(D722,'Crafting Tables'!$1:$1000, 4, false)*F722,"")</f>
        <v/>
      </c>
      <c r="K722" s="29" t="b">
        <v>0</v>
      </c>
      <c r="L722" s="37"/>
      <c r="M722" s="29"/>
      <c r="N722" s="21" t="str">
        <f t="shared" si="2"/>
        <v/>
      </c>
      <c r="P722" s="37"/>
      <c r="Q722" s="29"/>
      <c r="R722" s="29" t="b">
        <v>0</v>
      </c>
      <c r="S722" s="22" t="str">
        <f t="shared" si="3"/>
        <v/>
      </c>
      <c r="T722" s="7">
        <f>IF(ISBLANK(P722), 0, VLOOKUP(P722, 'Price Sheet'!$A$2:$B1015, 2, false))</f>
        <v>0</v>
      </c>
      <c r="U722" s="33" t="str">
        <f t="shared" si="4"/>
        <v/>
      </c>
      <c r="V722" s="37"/>
      <c r="W722" s="29"/>
      <c r="X722" s="29" t="b">
        <v>0</v>
      </c>
      <c r="Y722" s="22" t="str">
        <f t="shared" si="5"/>
        <v/>
      </c>
      <c r="Z722" s="7">
        <f>IF(ISBLANK(V722), 0, VLOOKUP(V722, 'Price Sheet'!$A$2:$B1015, 2, false))</f>
        <v>0</v>
      </c>
      <c r="AA722" s="33" t="str">
        <f t="shared" si="6"/>
        <v/>
      </c>
      <c r="AB722" s="37"/>
      <c r="AC722" s="29"/>
      <c r="AD722" s="29" t="b">
        <v>0</v>
      </c>
      <c r="AE722" s="22" t="str">
        <f t="shared" si="7"/>
        <v/>
      </c>
      <c r="AF722" s="7">
        <f>IF(ISBLANK(AB722), 0, VLOOKUP(AB722, 'Price Sheet'!$A$2:$B1015, 2, false))</f>
        <v>0</v>
      </c>
      <c r="AG722" s="33" t="str">
        <f t="shared" si="8"/>
        <v/>
      </c>
      <c r="AH722" s="37"/>
      <c r="AI722" s="29"/>
      <c r="AJ722" s="29" t="b">
        <v>0</v>
      </c>
      <c r="AK722" s="22" t="str">
        <f t="shared" si="9"/>
        <v/>
      </c>
      <c r="AL722" s="7">
        <f>IF(ISBLANK(AH722), 0, VLOOKUP(AH722, 'Price Sheet'!$A$2:$B1015, 2, false))</f>
        <v>0</v>
      </c>
      <c r="AM722" s="33" t="str">
        <f t="shared" si="10"/>
        <v/>
      </c>
      <c r="AN722" s="37"/>
      <c r="AO722" s="29"/>
      <c r="AP722" s="29" t="b">
        <v>0</v>
      </c>
      <c r="AQ722" s="22" t="str">
        <f t="shared" si="11"/>
        <v/>
      </c>
      <c r="AR722" s="7">
        <f>IF(ISBLANK(AN722), 0, VLOOKUP(AN722, 'Price Sheet'!$A$2:$B1015, 2, false))</f>
        <v>0</v>
      </c>
      <c r="AS722" s="33" t="str">
        <f t="shared" si="12"/>
        <v/>
      </c>
      <c r="AT722" s="37"/>
      <c r="AU722" s="29"/>
      <c r="AV722" s="29" t="b">
        <v>0</v>
      </c>
      <c r="AW722" s="22" t="str">
        <f t="shared" si="13"/>
        <v/>
      </c>
      <c r="AX722" s="7">
        <f>IF(ISBLANK(AT722), 0, VLOOKUP(AT722, 'Price Sheet'!$A$2:$B1015, 2, false))</f>
        <v>0</v>
      </c>
      <c r="AY722" s="33" t="str">
        <f t="shared" si="14"/>
        <v/>
      </c>
      <c r="AZ722" s="37"/>
      <c r="BA722" s="29"/>
      <c r="BB722" s="29" t="b">
        <v>0</v>
      </c>
      <c r="BC722" s="22" t="str">
        <f t="shared" si="15"/>
        <v/>
      </c>
      <c r="BD722" s="7">
        <f>IF(ISBLANK(AZ722), 0, VLOOKUP(AZ722, 'Price Sheet'!$A$2:$B1015, 2, false))</f>
        <v>0</v>
      </c>
      <c r="BE722" s="33" t="str">
        <f t="shared" si="16"/>
        <v/>
      </c>
      <c r="BF722" s="37"/>
      <c r="BG722" s="29"/>
      <c r="BH722" s="29" t="b">
        <v>0</v>
      </c>
      <c r="BI722" s="22" t="str">
        <f t="shared" si="17"/>
        <v/>
      </c>
      <c r="BJ722" s="7">
        <f>IF(ISBLANK(BF722), 0, VLOOKUP(BF722, 'Price Sheet'!$A$2:$B1015, 2, false))</f>
        <v>0</v>
      </c>
      <c r="BK722" s="33" t="str">
        <f t="shared" si="18"/>
        <v/>
      </c>
      <c r="BL722" s="37"/>
      <c r="BM722" s="29"/>
      <c r="BN722" s="29" t="b">
        <v>0</v>
      </c>
      <c r="BO722" s="22" t="str">
        <f t="shared" si="19"/>
        <v/>
      </c>
      <c r="BP722" s="7">
        <f>IF(ISBLANK(BL722), 0, VLOOKUP(BL722, 'Price Sheet'!$A$2:$B1015, 2, false))</f>
        <v>0</v>
      </c>
      <c r="BQ722" s="33" t="str">
        <f t="shared" si="20"/>
        <v/>
      </c>
    </row>
    <row r="723">
      <c r="B723" s="19"/>
      <c r="C723" s="29"/>
      <c r="D723" s="29"/>
      <c r="E723" s="7" t="str">
        <f>IF(ISBLANK(D723), "", VLOOKUP(D723,'Crafting Tables'!$A$2:$B1015, 2, false))</f>
        <v/>
      </c>
      <c r="F723" s="7" t="str">
        <f>IFERROR(IF(E723 = "None", 1, VLOOKUP(C723,General!$A$5:$L$35, SWITCH(E723, "Basic", 8, "Advanced", 10, "Modern", 12), false)),"")</f>
        <v/>
      </c>
      <c r="G723" s="29"/>
      <c r="H723" s="7">
        <f>IFERROR(VLOOKUP(C723, General!$A$5:$L$35, 6, false) * G723 / 1000, 0)</f>
        <v>0</v>
      </c>
      <c r="I723" s="29"/>
      <c r="J723" s="22" t="str">
        <f>IFERROR(I723*VLOOKUP(D723,'Crafting Tables'!$1:$1000, 4, false)*F723,"")</f>
        <v/>
      </c>
      <c r="K723" s="29" t="b">
        <v>0</v>
      </c>
      <c r="L723" s="37"/>
      <c r="M723" s="29"/>
      <c r="N723" s="21" t="str">
        <f t="shared" si="2"/>
        <v/>
      </c>
      <c r="P723" s="37"/>
      <c r="Q723" s="29"/>
      <c r="R723" s="29" t="b">
        <v>0</v>
      </c>
      <c r="S723" s="22" t="str">
        <f t="shared" si="3"/>
        <v/>
      </c>
      <c r="T723" s="7">
        <f>IF(ISBLANK(P723), 0, VLOOKUP(P723, 'Price Sheet'!$A$2:$B1015, 2, false))</f>
        <v>0</v>
      </c>
      <c r="U723" s="33" t="str">
        <f t="shared" si="4"/>
        <v/>
      </c>
      <c r="V723" s="37"/>
      <c r="W723" s="29"/>
      <c r="X723" s="29" t="b">
        <v>0</v>
      </c>
      <c r="Y723" s="22" t="str">
        <f t="shared" si="5"/>
        <v/>
      </c>
      <c r="Z723" s="7">
        <f>IF(ISBLANK(V723), 0, VLOOKUP(V723, 'Price Sheet'!$A$2:$B1015, 2, false))</f>
        <v>0</v>
      </c>
      <c r="AA723" s="33" t="str">
        <f t="shared" si="6"/>
        <v/>
      </c>
      <c r="AB723" s="37"/>
      <c r="AC723" s="29"/>
      <c r="AD723" s="29" t="b">
        <v>0</v>
      </c>
      <c r="AE723" s="22" t="str">
        <f t="shared" si="7"/>
        <v/>
      </c>
      <c r="AF723" s="7">
        <f>IF(ISBLANK(AB723), 0, VLOOKUP(AB723, 'Price Sheet'!$A$2:$B1015, 2, false))</f>
        <v>0</v>
      </c>
      <c r="AG723" s="33" t="str">
        <f t="shared" si="8"/>
        <v/>
      </c>
      <c r="AH723" s="37"/>
      <c r="AI723" s="29"/>
      <c r="AJ723" s="29" t="b">
        <v>0</v>
      </c>
      <c r="AK723" s="22" t="str">
        <f t="shared" si="9"/>
        <v/>
      </c>
      <c r="AL723" s="7">
        <f>IF(ISBLANK(AH723), 0, VLOOKUP(AH723, 'Price Sheet'!$A$2:$B1015, 2, false))</f>
        <v>0</v>
      </c>
      <c r="AM723" s="33" t="str">
        <f t="shared" si="10"/>
        <v/>
      </c>
      <c r="AN723" s="37"/>
      <c r="AO723" s="29"/>
      <c r="AP723" s="29" t="b">
        <v>0</v>
      </c>
      <c r="AQ723" s="22" t="str">
        <f t="shared" si="11"/>
        <v/>
      </c>
      <c r="AR723" s="7">
        <f>IF(ISBLANK(AN723), 0, VLOOKUP(AN723, 'Price Sheet'!$A$2:$B1015, 2, false))</f>
        <v>0</v>
      </c>
      <c r="AS723" s="33" t="str">
        <f t="shared" si="12"/>
        <v/>
      </c>
      <c r="AT723" s="37"/>
      <c r="AU723" s="29"/>
      <c r="AV723" s="29" t="b">
        <v>0</v>
      </c>
      <c r="AW723" s="22" t="str">
        <f t="shared" si="13"/>
        <v/>
      </c>
      <c r="AX723" s="7">
        <f>IF(ISBLANK(AT723), 0, VLOOKUP(AT723, 'Price Sheet'!$A$2:$B1015, 2, false))</f>
        <v>0</v>
      </c>
      <c r="AY723" s="33" t="str">
        <f t="shared" si="14"/>
        <v/>
      </c>
      <c r="AZ723" s="37"/>
      <c r="BA723" s="29"/>
      <c r="BB723" s="29" t="b">
        <v>0</v>
      </c>
      <c r="BC723" s="22" t="str">
        <f t="shared" si="15"/>
        <v/>
      </c>
      <c r="BD723" s="7">
        <f>IF(ISBLANK(AZ723), 0, VLOOKUP(AZ723, 'Price Sheet'!$A$2:$B1015, 2, false))</f>
        <v>0</v>
      </c>
      <c r="BE723" s="33" t="str">
        <f t="shared" si="16"/>
        <v/>
      </c>
      <c r="BF723" s="37"/>
      <c r="BG723" s="29"/>
      <c r="BH723" s="29" t="b">
        <v>0</v>
      </c>
      <c r="BI723" s="22" t="str">
        <f t="shared" si="17"/>
        <v/>
      </c>
      <c r="BJ723" s="7">
        <f>IF(ISBLANK(BF723), 0, VLOOKUP(BF723, 'Price Sheet'!$A$2:$B1015, 2, false))</f>
        <v>0</v>
      </c>
      <c r="BK723" s="33" t="str">
        <f t="shared" si="18"/>
        <v/>
      </c>
      <c r="BL723" s="37"/>
      <c r="BM723" s="29"/>
      <c r="BN723" s="29" t="b">
        <v>0</v>
      </c>
      <c r="BO723" s="22" t="str">
        <f t="shared" si="19"/>
        <v/>
      </c>
      <c r="BP723" s="7">
        <f>IF(ISBLANK(BL723), 0, VLOOKUP(BL723, 'Price Sheet'!$A$2:$B1015, 2, false))</f>
        <v>0</v>
      </c>
      <c r="BQ723" s="33" t="str">
        <f t="shared" si="20"/>
        <v/>
      </c>
    </row>
    <row r="724">
      <c r="B724" s="19"/>
      <c r="C724" s="29"/>
      <c r="D724" s="29"/>
      <c r="E724" s="7" t="str">
        <f>IF(ISBLANK(D724), "", VLOOKUP(D724,'Crafting Tables'!$A$2:$B1015, 2, false))</f>
        <v/>
      </c>
      <c r="F724" s="7" t="str">
        <f>IFERROR(IF(E724 = "None", 1, VLOOKUP(C724,General!$A$5:$L$35, SWITCH(E724, "Basic", 8, "Advanced", 10, "Modern", 12), false)),"")</f>
        <v/>
      </c>
      <c r="G724" s="29"/>
      <c r="H724" s="7">
        <f>IFERROR(VLOOKUP(C724, General!$A$5:$L$35, 6, false) * G724 / 1000, 0)</f>
        <v>0</v>
      </c>
      <c r="I724" s="29"/>
      <c r="J724" s="22" t="str">
        <f>IFERROR(I724*VLOOKUP(D724,'Crafting Tables'!$1:$1000, 4, false)*F724,"")</f>
        <v/>
      </c>
      <c r="K724" s="29" t="b">
        <v>0</v>
      </c>
      <c r="L724" s="37"/>
      <c r="M724" s="29"/>
      <c r="N724" s="21" t="str">
        <f t="shared" si="2"/>
        <v/>
      </c>
      <c r="P724" s="37"/>
      <c r="Q724" s="29"/>
      <c r="R724" s="29" t="b">
        <v>0</v>
      </c>
      <c r="S724" s="22" t="str">
        <f t="shared" si="3"/>
        <v/>
      </c>
      <c r="T724" s="7">
        <f>IF(ISBLANK(P724), 0, VLOOKUP(P724, 'Price Sheet'!$A$2:$B1015, 2, false))</f>
        <v>0</v>
      </c>
      <c r="U724" s="33" t="str">
        <f t="shared" si="4"/>
        <v/>
      </c>
      <c r="V724" s="37"/>
      <c r="W724" s="29"/>
      <c r="X724" s="29" t="b">
        <v>0</v>
      </c>
      <c r="Y724" s="22" t="str">
        <f t="shared" si="5"/>
        <v/>
      </c>
      <c r="Z724" s="7">
        <f>IF(ISBLANK(V724), 0, VLOOKUP(V724, 'Price Sheet'!$A$2:$B1015, 2, false))</f>
        <v>0</v>
      </c>
      <c r="AA724" s="33" t="str">
        <f t="shared" si="6"/>
        <v/>
      </c>
      <c r="AB724" s="37"/>
      <c r="AC724" s="29"/>
      <c r="AD724" s="29" t="b">
        <v>0</v>
      </c>
      <c r="AE724" s="22" t="str">
        <f t="shared" si="7"/>
        <v/>
      </c>
      <c r="AF724" s="7">
        <f>IF(ISBLANK(AB724), 0, VLOOKUP(AB724, 'Price Sheet'!$A$2:$B1015, 2, false))</f>
        <v>0</v>
      </c>
      <c r="AG724" s="33" t="str">
        <f t="shared" si="8"/>
        <v/>
      </c>
      <c r="AH724" s="37"/>
      <c r="AI724" s="29"/>
      <c r="AJ724" s="29" t="b">
        <v>0</v>
      </c>
      <c r="AK724" s="22" t="str">
        <f t="shared" si="9"/>
        <v/>
      </c>
      <c r="AL724" s="7">
        <f>IF(ISBLANK(AH724), 0, VLOOKUP(AH724, 'Price Sheet'!$A$2:$B1015, 2, false))</f>
        <v>0</v>
      </c>
      <c r="AM724" s="33" t="str">
        <f t="shared" si="10"/>
        <v/>
      </c>
      <c r="AN724" s="37"/>
      <c r="AO724" s="29"/>
      <c r="AP724" s="29" t="b">
        <v>0</v>
      </c>
      <c r="AQ724" s="22" t="str">
        <f t="shared" si="11"/>
        <v/>
      </c>
      <c r="AR724" s="7">
        <f>IF(ISBLANK(AN724), 0, VLOOKUP(AN724, 'Price Sheet'!$A$2:$B1015, 2, false))</f>
        <v>0</v>
      </c>
      <c r="AS724" s="33" t="str">
        <f t="shared" si="12"/>
        <v/>
      </c>
      <c r="AT724" s="37"/>
      <c r="AU724" s="29"/>
      <c r="AV724" s="29" t="b">
        <v>0</v>
      </c>
      <c r="AW724" s="22" t="str">
        <f t="shared" si="13"/>
        <v/>
      </c>
      <c r="AX724" s="7">
        <f>IF(ISBLANK(AT724), 0, VLOOKUP(AT724, 'Price Sheet'!$A$2:$B1015, 2, false))</f>
        <v>0</v>
      </c>
      <c r="AY724" s="33" t="str">
        <f t="shared" si="14"/>
        <v/>
      </c>
      <c r="AZ724" s="37"/>
      <c r="BA724" s="29"/>
      <c r="BB724" s="29" t="b">
        <v>0</v>
      </c>
      <c r="BC724" s="22" t="str">
        <f t="shared" si="15"/>
        <v/>
      </c>
      <c r="BD724" s="7">
        <f>IF(ISBLANK(AZ724), 0, VLOOKUP(AZ724, 'Price Sheet'!$A$2:$B1015, 2, false))</f>
        <v>0</v>
      </c>
      <c r="BE724" s="33" t="str">
        <f t="shared" si="16"/>
        <v/>
      </c>
      <c r="BF724" s="37"/>
      <c r="BG724" s="29"/>
      <c r="BH724" s="29" t="b">
        <v>0</v>
      </c>
      <c r="BI724" s="22" t="str">
        <f t="shared" si="17"/>
        <v/>
      </c>
      <c r="BJ724" s="7">
        <f>IF(ISBLANK(BF724), 0, VLOOKUP(BF724, 'Price Sheet'!$A$2:$B1015, 2, false))</f>
        <v>0</v>
      </c>
      <c r="BK724" s="33" t="str">
        <f t="shared" si="18"/>
        <v/>
      </c>
      <c r="BL724" s="37"/>
      <c r="BM724" s="29"/>
      <c r="BN724" s="29" t="b">
        <v>0</v>
      </c>
      <c r="BO724" s="22" t="str">
        <f t="shared" si="19"/>
        <v/>
      </c>
      <c r="BP724" s="7">
        <f>IF(ISBLANK(BL724), 0, VLOOKUP(BL724, 'Price Sheet'!$A$2:$B1015, 2, false))</f>
        <v>0</v>
      </c>
      <c r="BQ724" s="33" t="str">
        <f t="shared" si="20"/>
        <v/>
      </c>
    </row>
    <row r="725">
      <c r="B725" s="19"/>
      <c r="C725" s="29"/>
      <c r="D725" s="29"/>
      <c r="E725" s="7" t="str">
        <f>IF(ISBLANK(D725), "", VLOOKUP(D725,'Crafting Tables'!$A$2:$B1015, 2, false))</f>
        <v/>
      </c>
      <c r="F725" s="7" t="str">
        <f>IFERROR(IF(E725 = "None", 1, VLOOKUP(C725,General!$A$5:$L$35, SWITCH(E725, "Basic", 8, "Advanced", 10, "Modern", 12), false)),"")</f>
        <v/>
      </c>
      <c r="G725" s="29"/>
      <c r="H725" s="7">
        <f>IFERROR(VLOOKUP(C725, General!$A$5:$L$35, 6, false) * G725 / 1000, 0)</f>
        <v>0</v>
      </c>
      <c r="I725" s="29"/>
      <c r="J725" s="22" t="str">
        <f>IFERROR(I725*VLOOKUP(D725,'Crafting Tables'!$1:$1000, 4, false)*F725,"")</f>
        <v/>
      </c>
      <c r="K725" s="29" t="b">
        <v>0</v>
      </c>
      <c r="L725" s="37"/>
      <c r="M725" s="29"/>
      <c r="N725" s="21" t="str">
        <f t="shared" si="2"/>
        <v/>
      </c>
      <c r="P725" s="37"/>
      <c r="Q725" s="29"/>
      <c r="R725" s="29" t="b">
        <v>0</v>
      </c>
      <c r="S725" s="22" t="str">
        <f t="shared" si="3"/>
        <v/>
      </c>
      <c r="T725" s="7">
        <f>IF(ISBLANK(P725), 0, VLOOKUP(P725, 'Price Sheet'!$A$2:$B1015, 2, false))</f>
        <v>0</v>
      </c>
      <c r="U725" s="33" t="str">
        <f t="shared" si="4"/>
        <v/>
      </c>
      <c r="V725" s="37"/>
      <c r="W725" s="29"/>
      <c r="X725" s="29" t="b">
        <v>0</v>
      </c>
      <c r="Y725" s="22" t="str">
        <f t="shared" si="5"/>
        <v/>
      </c>
      <c r="Z725" s="7">
        <f>IF(ISBLANK(V725), 0, VLOOKUP(V725, 'Price Sheet'!$A$2:$B1015, 2, false))</f>
        <v>0</v>
      </c>
      <c r="AA725" s="33" t="str">
        <f t="shared" si="6"/>
        <v/>
      </c>
      <c r="AB725" s="37"/>
      <c r="AC725" s="29"/>
      <c r="AD725" s="29" t="b">
        <v>0</v>
      </c>
      <c r="AE725" s="22" t="str">
        <f t="shared" si="7"/>
        <v/>
      </c>
      <c r="AF725" s="7">
        <f>IF(ISBLANK(AB725), 0, VLOOKUP(AB725, 'Price Sheet'!$A$2:$B1015, 2, false))</f>
        <v>0</v>
      </c>
      <c r="AG725" s="33" t="str">
        <f t="shared" si="8"/>
        <v/>
      </c>
      <c r="AH725" s="37"/>
      <c r="AI725" s="29"/>
      <c r="AJ725" s="29" t="b">
        <v>0</v>
      </c>
      <c r="AK725" s="22" t="str">
        <f t="shared" si="9"/>
        <v/>
      </c>
      <c r="AL725" s="7">
        <f>IF(ISBLANK(AH725), 0, VLOOKUP(AH725, 'Price Sheet'!$A$2:$B1015, 2, false))</f>
        <v>0</v>
      </c>
      <c r="AM725" s="33" t="str">
        <f t="shared" si="10"/>
        <v/>
      </c>
      <c r="AN725" s="37"/>
      <c r="AO725" s="29"/>
      <c r="AP725" s="29" t="b">
        <v>0</v>
      </c>
      <c r="AQ725" s="22" t="str">
        <f t="shared" si="11"/>
        <v/>
      </c>
      <c r="AR725" s="7">
        <f>IF(ISBLANK(AN725), 0, VLOOKUP(AN725, 'Price Sheet'!$A$2:$B1015, 2, false))</f>
        <v>0</v>
      </c>
      <c r="AS725" s="33" t="str">
        <f t="shared" si="12"/>
        <v/>
      </c>
      <c r="AT725" s="37"/>
      <c r="AU725" s="29"/>
      <c r="AV725" s="29" t="b">
        <v>0</v>
      </c>
      <c r="AW725" s="22" t="str">
        <f t="shared" si="13"/>
        <v/>
      </c>
      <c r="AX725" s="7">
        <f>IF(ISBLANK(AT725), 0, VLOOKUP(AT725, 'Price Sheet'!$A$2:$B1015, 2, false))</f>
        <v>0</v>
      </c>
      <c r="AY725" s="33" t="str">
        <f t="shared" si="14"/>
        <v/>
      </c>
      <c r="AZ725" s="37"/>
      <c r="BA725" s="29"/>
      <c r="BB725" s="29" t="b">
        <v>0</v>
      </c>
      <c r="BC725" s="22" t="str">
        <f t="shared" si="15"/>
        <v/>
      </c>
      <c r="BD725" s="7">
        <f>IF(ISBLANK(AZ725), 0, VLOOKUP(AZ725, 'Price Sheet'!$A$2:$B1015, 2, false))</f>
        <v>0</v>
      </c>
      <c r="BE725" s="33" t="str">
        <f t="shared" si="16"/>
        <v/>
      </c>
      <c r="BF725" s="37"/>
      <c r="BG725" s="29"/>
      <c r="BH725" s="29" t="b">
        <v>0</v>
      </c>
      <c r="BI725" s="22" t="str">
        <f t="shared" si="17"/>
        <v/>
      </c>
      <c r="BJ725" s="7">
        <f>IF(ISBLANK(BF725), 0, VLOOKUP(BF725, 'Price Sheet'!$A$2:$B1015, 2, false))</f>
        <v>0</v>
      </c>
      <c r="BK725" s="33" t="str">
        <f t="shared" si="18"/>
        <v/>
      </c>
      <c r="BL725" s="37"/>
      <c r="BM725" s="29"/>
      <c r="BN725" s="29" t="b">
        <v>0</v>
      </c>
      <c r="BO725" s="22" t="str">
        <f t="shared" si="19"/>
        <v/>
      </c>
      <c r="BP725" s="7">
        <f>IF(ISBLANK(BL725), 0, VLOOKUP(BL725, 'Price Sheet'!$A$2:$B1015, 2, false))</f>
        <v>0</v>
      </c>
      <c r="BQ725" s="33" t="str">
        <f t="shared" si="20"/>
        <v/>
      </c>
    </row>
    <row r="726">
      <c r="B726" s="19"/>
      <c r="C726" s="29"/>
      <c r="D726" s="29"/>
      <c r="E726" s="7" t="str">
        <f>IF(ISBLANK(D726), "", VLOOKUP(D726,'Crafting Tables'!$A$2:$B1015, 2, false))</f>
        <v/>
      </c>
      <c r="F726" s="7" t="str">
        <f>IFERROR(IF(E726 = "None", 1, VLOOKUP(C726,General!$A$5:$L$35, SWITCH(E726, "Basic", 8, "Advanced", 10, "Modern", 12), false)),"")</f>
        <v/>
      </c>
      <c r="G726" s="29"/>
      <c r="H726" s="7">
        <f>IFERROR(VLOOKUP(C726, General!$A$5:$L$35, 6, false) * G726 / 1000, 0)</f>
        <v>0</v>
      </c>
      <c r="I726" s="29"/>
      <c r="J726" s="22" t="str">
        <f>IFERROR(I726*VLOOKUP(D726,'Crafting Tables'!$1:$1000, 4, false)*F726,"")</f>
        <v/>
      </c>
      <c r="K726" s="29" t="b">
        <v>0</v>
      </c>
      <c r="L726" s="37"/>
      <c r="M726" s="29"/>
      <c r="N726" s="21" t="str">
        <f t="shared" si="2"/>
        <v/>
      </c>
      <c r="P726" s="37"/>
      <c r="Q726" s="29"/>
      <c r="R726" s="29" t="b">
        <v>0</v>
      </c>
      <c r="S726" s="22" t="str">
        <f t="shared" si="3"/>
        <v/>
      </c>
      <c r="T726" s="7">
        <f>IF(ISBLANK(P726), 0, VLOOKUP(P726, 'Price Sheet'!$A$2:$B1015, 2, false))</f>
        <v>0</v>
      </c>
      <c r="U726" s="33" t="str">
        <f t="shared" si="4"/>
        <v/>
      </c>
      <c r="V726" s="37"/>
      <c r="W726" s="29"/>
      <c r="X726" s="29" t="b">
        <v>0</v>
      </c>
      <c r="Y726" s="22" t="str">
        <f t="shared" si="5"/>
        <v/>
      </c>
      <c r="Z726" s="7">
        <f>IF(ISBLANK(V726), 0, VLOOKUP(V726, 'Price Sheet'!$A$2:$B1015, 2, false))</f>
        <v>0</v>
      </c>
      <c r="AA726" s="33" t="str">
        <f t="shared" si="6"/>
        <v/>
      </c>
      <c r="AB726" s="37"/>
      <c r="AC726" s="29"/>
      <c r="AD726" s="29" t="b">
        <v>0</v>
      </c>
      <c r="AE726" s="22" t="str">
        <f t="shared" si="7"/>
        <v/>
      </c>
      <c r="AF726" s="7">
        <f>IF(ISBLANK(AB726), 0, VLOOKUP(AB726, 'Price Sheet'!$A$2:$B1015, 2, false))</f>
        <v>0</v>
      </c>
      <c r="AG726" s="33" t="str">
        <f t="shared" si="8"/>
        <v/>
      </c>
      <c r="AH726" s="37"/>
      <c r="AI726" s="29"/>
      <c r="AJ726" s="29" t="b">
        <v>0</v>
      </c>
      <c r="AK726" s="22" t="str">
        <f t="shared" si="9"/>
        <v/>
      </c>
      <c r="AL726" s="7">
        <f>IF(ISBLANK(AH726), 0, VLOOKUP(AH726, 'Price Sheet'!$A$2:$B1015, 2, false))</f>
        <v>0</v>
      </c>
      <c r="AM726" s="33" t="str">
        <f t="shared" si="10"/>
        <v/>
      </c>
      <c r="AN726" s="37"/>
      <c r="AO726" s="29"/>
      <c r="AP726" s="29" t="b">
        <v>0</v>
      </c>
      <c r="AQ726" s="22" t="str">
        <f t="shared" si="11"/>
        <v/>
      </c>
      <c r="AR726" s="7">
        <f>IF(ISBLANK(AN726), 0, VLOOKUP(AN726, 'Price Sheet'!$A$2:$B1015, 2, false))</f>
        <v>0</v>
      </c>
      <c r="AS726" s="33" t="str">
        <f t="shared" si="12"/>
        <v/>
      </c>
      <c r="AT726" s="37"/>
      <c r="AU726" s="29"/>
      <c r="AV726" s="29" t="b">
        <v>0</v>
      </c>
      <c r="AW726" s="22" t="str">
        <f t="shared" si="13"/>
        <v/>
      </c>
      <c r="AX726" s="7">
        <f>IF(ISBLANK(AT726), 0, VLOOKUP(AT726, 'Price Sheet'!$A$2:$B1015, 2, false))</f>
        <v>0</v>
      </c>
      <c r="AY726" s="33" t="str">
        <f t="shared" si="14"/>
        <v/>
      </c>
      <c r="AZ726" s="37"/>
      <c r="BA726" s="29"/>
      <c r="BB726" s="29" t="b">
        <v>0</v>
      </c>
      <c r="BC726" s="22" t="str">
        <f t="shared" si="15"/>
        <v/>
      </c>
      <c r="BD726" s="7">
        <f>IF(ISBLANK(AZ726), 0, VLOOKUP(AZ726, 'Price Sheet'!$A$2:$B1015, 2, false))</f>
        <v>0</v>
      </c>
      <c r="BE726" s="33" t="str">
        <f t="shared" si="16"/>
        <v/>
      </c>
      <c r="BF726" s="37"/>
      <c r="BG726" s="29"/>
      <c r="BH726" s="29" t="b">
        <v>0</v>
      </c>
      <c r="BI726" s="22" t="str">
        <f t="shared" si="17"/>
        <v/>
      </c>
      <c r="BJ726" s="7">
        <f>IF(ISBLANK(BF726), 0, VLOOKUP(BF726, 'Price Sheet'!$A$2:$B1015, 2, false))</f>
        <v>0</v>
      </c>
      <c r="BK726" s="33" t="str">
        <f t="shared" si="18"/>
        <v/>
      </c>
      <c r="BL726" s="37"/>
      <c r="BM726" s="29"/>
      <c r="BN726" s="29" t="b">
        <v>0</v>
      </c>
      <c r="BO726" s="22" t="str">
        <f t="shared" si="19"/>
        <v/>
      </c>
      <c r="BP726" s="7">
        <f>IF(ISBLANK(BL726), 0, VLOOKUP(BL726, 'Price Sheet'!$A$2:$B1015, 2, false))</f>
        <v>0</v>
      </c>
      <c r="BQ726" s="33" t="str">
        <f t="shared" si="20"/>
        <v/>
      </c>
    </row>
    <row r="727">
      <c r="B727" s="19"/>
      <c r="C727" s="29"/>
      <c r="D727" s="29"/>
      <c r="E727" s="7" t="str">
        <f>IF(ISBLANK(D727), "", VLOOKUP(D727,'Crafting Tables'!$A$2:$B1015, 2, false))</f>
        <v/>
      </c>
      <c r="F727" s="7" t="str">
        <f>IFERROR(IF(E727 = "None", 1, VLOOKUP(C727,General!$A$5:$L$35, SWITCH(E727, "Basic", 8, "Advanced", 10, "Modern", 12), false)),"")</f>
        <v/>
      </c>
      <c r="G727" s="29"/>
      <c r="H727" s="7">
        <f>IFERROR(VLOOKUP(C727, General!$A$5:$L$35, 6, false) * G727 / 1000, 0)</f>
        <v>0</v>
      </c>
      <c r="I727" s="29"/>
      <c r="J727" s="22" t="str">
        <f>IFERROR(I727*VLOOKUP(D727,'Crafting Tables'!$1:$1000, 4, false)*F727,"")</f>
        <v/>
      </c>
      <c r="K727" s="29" t="b">
        <v>0</v>
      </c>
      <c r="L727" s="37"/>
      <c r="M727" s="29"/>
      <c r="N727" s="21" t="str">
        <f t="shared" si="2"/>
        <v/>
      </c>
      <c r="P727" s="37"/>
      <c r="Q727" s="29"/>
      <c r="R727" s="29" t="b">
        <v>0</v>
      </c>
      <c r="S727" s="22" t="str">
        <f t="shared" si="3"/>
        <v/>
      </c>
      <c r="T727" s="7">
        <f>IF(ISBLANK(P727), 0, VLOOKUP(P727, 'Price Sheet'!$A$2:$B1015, 2, false))</f>
        <v>0</v>
      </c>
      <c r="U727" s="33" t="str">
        <f t="shared" si="4"/>
        <v/>
      </c>
      <c r="V727" s="37"/>
      <c r="W727" s="29"/>
      <c r="X727" s="29" t="b">
        <v>0</v>
      </c>
      <c r="Y727" s="22" t="str">
        <f t="shared" si="5"/>
        <v/>
      </c>
      <c r="Z727" s="7">
        <f>IF(ISBLANK(V727), 0, VLOOKUP(V727, 'Price Sheet'!$A$2:$B1015, 2, false))</f>
        <v>0</v>
      </c>
      <c r="AA727" s="33" t="str">
        <f t="shared" si="6"/>
        <v/>
      </c>
      <c r="AB727" s="37"/>
      <c r="AC727" s="29"/>
      <c r="AD727" s="29" t="b">
        <v>0</v>
      </c>
      <c r="AE727" s="22" t="str">
        <f t="shared" si="7"/>
        <v/>
      </c>
      <c r="AF727" s="7">
        <f>IF(ISBLANK(AB727), 0, VLOOKUP(AB727, 'Price Sheet'!$A$2:$B1015, 2, false))</f>
        <v>0</v>
      </c>
      <c r="AG727" s="33" t="str">
        <f t="shared" si="8"/>
        <v/>
      </c>
      <c r="AH727" s="37"/>
      <c r="AI727" s="29"/>
      <c r="AJ727" s="29" t="b">
        <v>0</v>
      </c>
      <c r="AK727" s="22" t="str">
        <f t="shared" si="9"/>
        <v/>
      </c>
      <c r="AL727" s="7">
        <f>IF(ISBLANK(AH727), 0, VLOOKUP(AH727, 'Price Sheet'!$A$2:$B1015, 2, false))</f>
        <v>0</v>
      </c>
      <c r="AM727" s="33" t="str">
        <f t="shared" si="10"/>
        <v/>
      </c>
      <c r="AN727" s="37"/>
      <c r="AO727" s="29"/>
      <c r="AP727" s="29" t="b">
        <v>0</v>
      </c>
      <c r="AQ727" s="22" t="str">
        <f t="shared" si="11"/>
        <v/>
      </c>
      <c r="AR727" s="7">
        <f>IF(ISBLANK(AN727), 0, VLOOKUP(AN727, 'Price Sheet'!$A$2:$B1015, 2, false))</f>
        <v>0</v>
      </c>
      <c r="AS727" s="33" t="str">
        <f t="shared" si="12"/>
        <v/>
      </c>
      <c r="AT727" s="37"/>
      <c r="AU727" s="29"/>
      <c r="AV727" s="29" t="b">
        <v>0</v>
      </c>
      <c r="AW727" s="22" t="str">
        <f t="shared" si="13"/>
        <v/>
      </c>
      <c r="AX727" s="7">
        <f>IF(ISBLANK(AT727), 0, VLOOKUP(AT727, 'Price Sheet'!$A$2:$B1015, 2, false))</f>
        <v>0</v>
      </c>
      <c r="AY727" s="33" t="str">
        <f t="shared" si="14"/>
        <v/>
      </c>
      <c r="AZ727" s="37"/>
      <c r="BA727" s="29"/>
      <c r="BB727" s="29" t="b">
        <v>0</v>
      </c>
      <c r="BC727" s="22" t="str">
        <f t="shared" si="15"/>
        <v/>
      </c>
      <c r="BD727" s="7">
        <f>IF(ISBLANK(AZ727), 0, VLOOKUP(AZ727, 'Price Sheet'!$A$2:$B1015, 2, false))</f>
        <v>0</v>
      </c>
      <c r="BE727" s="33" t="str">
        <f t="shared" si="16"/>
        <v/>
      </c>
      <c r="BF727" s="37"/>
      <c r="BG727" s="29"/>
      <c r="BH727" s="29" t="b">
        <v>0</v>
      </c>
      <c r="BI727" s="22" t="str">
        <f t="shared" si="17"/>
        <v/>
      </c>
      <c r="BJ727" s="7">
        <f>IF(ISBLANK(BF727), 0, VLOOKUP(BF727, 'Price Sheet'!$A$2:$B1015, 2, false))</f>
        <v>0</v>
      </c>
      <c r="BK727" s="33" t="str">
        <f t="shared" si="18"/>
        <v/>
      </c>
      <c r="BL727" s="37"/>
      <c r="BM727" s="29"/>
      <c r="BN727" s="29" t="b">
        <v>0</v>
      </c>
      <c r="BO727" s="22" t="str">
        <f t="shared" si="19"/>
        <v/>
      </c>
      <c r="BP727" s="7">
        <f>IF(ISBLANK(BL727), 0, VLOOKUP(BL727, 'Price Sheet'!$A$2:$B1015, 2, false))</f>
        <v>0</v>
      </c>
      <c r="BQ727" s="33" t="str">
        <f t="shared" si="20"/>
        <v/>
      </c>
    </row>
    <row r="728">
      <c r="B728" s="19"/>
      <c r="C728" s="29"/>
      <c r="D728" s="29"/>
      <c r="E728" s="7" t="str">
        <f>IF(ISBLANK(D728), "", VLOOKUP(D728,'Crafting Tables'!$A$2:$B1015, 2, false))</f>
        <v/>
      </c>
      <c r="F728" s="7" t="str">
        <f>IFERROR(IF(E728 = "None", 1, VLOOKUP(C728,General!$A$5:$L$35, SWITCH(E728, "Basic", 8, "Advanced", 10, "Modern", 12), false)),"")</f>
        <v/>
      </c>
      <c r="G728" s="29"/>
      <c r="H728" s="7">
        <f>IFERROR(VLOOKUP(C728, General!$A$5:$L$35, 6, false) * G728 / 1000, 0)</f>
        <v>0</v>
      </c>
      <c r="I728" s="29"/>
      <c r="J728" s="22" t="str">
        <f>IFERROR(I728*VLOOKUP(D728,'Crafting Tables'!$1:$1000, 4, false)*F728,"")</f>
        <v/>
      </c>
      <c r="K728" s="29" t="b">
        <v>0</v>
      </c>
      <c r="L728" s="37"/>
      <c r="M728" s="29"/>
      <c r="N728" s="21" t="str">
        <f t="shared" si="2"/>
        <v/>
      </c>
      <c r="P728" s="37"/>
      <c r="Q728" s="29"/>
      <c r="R728" s="29" t="b">
        <v>0</v>
      </c>
      <c r="S728" s="22" t="str">
        <f t="shared" si="3"/>
        <v/>
      </c>
      <c r="T728" s="7">
        <f>IF(ISBLANK(P728), 0, VLOOKUP(P728, 'Price Sheet'!$A$2:$B1015, 2, false))</f>
        <v>0</v>
      </c>
      <c r="U728" s="33" t="str">
        <f t="shared" si="4"/>
        <v/>
      </c>
      <c r="V728" s="37"/>
      <c r="W728" s="29"/>
      <c r="X728" s="29" t="b">
        <v>0</v>
      </c>
      <c r="Y728" s="22" t="str">
        <f t="shared" si="5"/>
        <v/>
      </c>
      <c r="Z728" s="7">
        <f>IF(ISBLANK(V728), 0, VLOOKUP(V728, 'Price Sheet'!$A$2:$B1015, 2, false))</f>
        <v>0</v>
      </c>
      <c r="AA728" s="33" t="str">
        <f t="shared" si="6"/>
        <v/>
      </c>
      <c r="AB728" s="37"/>
      <c r="AC728" s="29"/>
      <c r="AD728" s="29" t="b">
        <v>0</v>
      </c>
      <c r="AE728" s="22" t="str">
        <f t="shared" si="7"/>
        <v/>
      </c>
      <c r="AF728" s="7">
        <f>IF(ISBLANK(AB728), 0, VLOOKUP(AB728, 'Price Sheet'!$A$2:$B1015, 2, false))</f>
        <v>0</v>
      </c>
      <c r="AG728" s="33" t="str">
        <f t="shared" si="8"/>
        <v/>
      </c>
      <c r="AH728" s="37"/>
      <c r="AI728" s="29"/>
      <c r="AJ728" s="29" t="b">
        <v>0</v>
      </c>
      <c r="AK728" s="22" t="str">
        <f t="shared" si="9"/>
        <v/>
      </c>
      <c r="AL728" s="7">
        <f>IF(ISBLANK(AH728), 0, VLOOKUP(AH728, 'Price Sheet'!$A$2:$B1015, 2, false))</f>
        <v>0</v>
      </c>
      <c r="AM728" s="33" t="str">
        <f t="shared" si="10"/>
        <v/>
      </c>
      <c r="AN728" s="37"/>
      <c r="AO728" s="29"/>
      <c r="AP728" s="29" t="b">
        <v>0</v>
      </c>
      <c r="AQ728" s="22" t="str">
        <f t="shared" si="11"/>
        <v/>
      </c>
      <c r="AR728" s="7">
        <f>IF(ISBLANK(AN728), 0, VLOOKUP(AN728, 'Price Sheet'!$A$2:$B1015, 2, false))</f>
        <v>0</v>
      </c>
      <c r="AS728" s="33" t="str">
        <f t="shared" si="12"/>
        <v/>
      </c>
      <c r="AT728" s="37"/>
      <c r="AU728" s="29"/>
      <c r="AV728" s="29" t="b">
        <v>0</v>
      </c>
      <c r="AW728" s="22" t="str">
        <f t="shared" si="13"/>
        <v/>
      </c>
      <c r="AX728" s="7">
        <f>IF(ISBLANK(AT728), 0, VLOOKUP(AT728, 'Price Sheet'!$A$2:$B1015, 2, false))</f>
        <v>0</v>
      </c>
      <c r="AY728" s="33" t="str">
        <f t="shared" si="14"/>
        <v/>
      </c>
      <c r="AZ728" s="37"/>
      <c r="BA728" s="29"/>
      <c r="BB728" s="29" t="b">
        <v>0</v>
      </c>
      <c r="BC728" s="22" t="str">
        <f t="shared" si="15"/>
        <v/>
      </c>
      <c r="BD728" s="7">
        <f>IF(ISBLANK(AZ728), 0, VLOOKUP(AZ728, 'Price Sheet'!$A$2:$B1015, 2, false))</f>
        <v>0</v>
      </c>
      <c r="BE728" s="33" t="str">
        <f t="shared" si="16"/>
        <v/>
      </c>
      <c r="BF728" s="37"/>
      <c r="BG728" s="29"/>
      <c r="BH728" s="29" t="b">
        <v>0</v>
      </c>
      <c r="BI728" s="22" t="str">
        <f t="shared" si="17"/>
        <v/>
      </c>
      <c r="BJ728" s="7">
        <f>IF(ISBLANK(BF728), 0, VLOOKUP(BF728, 'Price Sheet'!$A$2:$B1015, 2, false))</f>
        <v>0</v>
      </c>
      <c r="BK728" s="33" t="str">
        <f t="shared" si="18"/>
        <v/>
      </c>
      <c r="BL728" s="37"/>
      <c r="BM728" s="29"/>
      <c r="BN728" s="29" t="b">
        <v>0</v>
      </c>
      <c r="BO728" s="22" t="str">
        <f t="shared" si="19"/>
        <v/>
      </c>
      <c r="BP728" s="7">
        <f>IF(ISBLANK(BL728), 0, VLOOKUP(BL728, 'Price Sheet'!$A$2:$B1015, 2, false))</f>
        <v>0</v>
      </c>
      <c r="BQ728" s="33" t="str">
        <f t="shared" si="20"/>
        <v/>
      </c>
    </row>
    <row r="729">
      <c r="B729" s="19"/>
      <c r="C729" s="29"/>
      <c r="D729" s="29"/>
      <c r="E729" s="7" t="str">
        <f>IF(ISBLANK(D729), "", VLOOKUP(D729,'Crafting Tables'!$A$2:$B1015, 2, false))</f>
        <v/>
      </c>
      <c r="F729" s="7" t="str">
        <f>IFERROR(IF(E729 = "None", 1, VLOOKUP(C729,General!$A$5:$L$35, SWITCH(E729, "Basic", 8, "Advanced", 10, "Modern", 12), false)),"")</f>
        <v/>
      </c>
      <c r="G729" s="29"/>
      <c r="H729" s="7">
        <f>IFERROR(VLOOKUP(C729, General!$A$5:$L$35, 6, false) * G729 / 1000, 0)</f>
        <v>0</v>
      </c>
      <c r="I729" s="29"/>
      <c r="J729" s="22" t="str">
        <f>IFERROR(I729*VLOOKUP(D729,'Crafting Tables'!$1:$1000, 4, false)*F729,"")</f>
        <v/>
      </c>
      <c r="K729" s="29" t="b">
        <v>0</v>
      </c>
      <c r="L729" s="37"/>
      <c r="M729" s="29"/>
      <c r="N729" s="21" t="str">
        <f t="shared" si="2"/>
        <v/>
      </c>
      <c r="P729" s="37"/>
      <c r="Q729" s="29"/>
      <c r="R729" s="29" t="b">
        <v>0</v>
      </c>
      <c r="S729" s="22" t="str">
        <f t="shared" si="3"/>
        <v/>
      </c>
      <c r="T729" s="7">
        <f>IF(ISBLANK(P729), 0, VLOOKUP(P729, 'Price Sheet'!$A$2:$B1015, 2, false))</f>
        <v>0</v>
      </c>
      <c r="U729" s="33" t="str">
        <f t="shared" si="4"/>
        <v/>
      </c>
      <c r="V729" s="37"/>
      <c r="W729" s="29"/>
      <c r="X729" s="29" t="b">
        <v>0</v>
      </c>
      <c r="Y729" s="22" t="str">
        <f t="shared" si="5"/>
        <v/>
      </c>
      <c r="Z729" s="7">
        <f>IF(ISBLANK(V729), 0, VLOOKUP(V729, 'Price Sheet'!$A$2:$B1015, 2, false))</f>
        <v>0</v>
      </c>
      <c r="AA729" s="33" t="str">
        <f t="shared" si="6"/>
        <v/>
      </c>
      <c r="AB729" s="37"/>
      <c r="AC729" s="29"/>
      <c r="AD729" s="29" t="b">
        <v>0</v>
      </c>
      <c r="AE729" s="22" t="str">
        <f t="shared" si="7"/>
        <v/>
      </c>
      <c r="AF729" s="7">
        <f>IF(ISBLANK(AB729), 0, VLOOKUP(AB729, 'Price Sheet'!$A$2:$B1015, 2, false))</f>
        <v>0</v>
      </c>
      <c r="AG729" s="33" t="str">
        <f t="shared" si="8"/>
        <v/>
      </c>
      <c r="AH729" s="37"/>
      <c r="AI729" s="29"/>
      <c r="AJ729" s="29" t="b">
        <v>0</v>
      </c>
      <c r="AK729" s="22" t="str">
        <f t="shared" si="9"/>
        <v/>
      </c>
      <c r="AL729" s="7">
        <f>IF(ISBLANK(AH729), 0, VLOOKUP(AH729, 'Price Sheet'!$A$2:$B1015, 2, false))</f>
        <v>0</v>
      </c>
      <c r="AM729" s="33" t="str">
        <f t="shared" si="10"/>
        <v/>
      </c>
      <c r="AN729" s="37"/>
      <c r="AO729" s="29"/>
      <c r="AP729" s="29" t="b">
        <v>0</v>
      </c>
      <c r="AQ729" s="22" t="str">
        <f t="shared" si="11"/>
        <v/>
      </c>
      <c r="AR729" s="7">
        <f>IF(ISBLANK(AN729), 0, VLOOKUP(AN729, 'Price Sheet'!$A$2:$B1015, 2, false))</f>
        <v>0</v>
      </c>
      <c r="AS729" s="33" t="str">
        <f t="shared" si="12"/>
        <v/>
      </c>
      <c r="AT729" s="37"/>
      <c r="AU729" s="29"/>
      <c r="AV729" s="29" t="b">
        <v>0</v>
      </c>
      <c r="AW729" s="22" t="str">
        <f t="shared" si="13"/>
        <v/>
      </c>
      <c r="AX729" s="7">
        <f>IF(ISBLANK(AT729), 0, VLOOKUP(AT729, 'Price Sheet'!$A$2:$B1015, 2, false))</f>
        <v>0</v>
      </c>
      <c r="AY729" s="33" t="str">
        <f t="shared" si="14"/>
        <v/>
      </c>
      <c r="AZ729" s="37"/>
      <c r="BA729" s="29"/>
      <c r="BB729" s="29" t="b">
        <v>0</v>
      </c>
      <c r="BC729" s="22" t="str">
        <f t="shared" si="15"/>
        <v/>
      </c>
      <c r="BD729" s="7">
        <f>IF(ISBLANK(AZ729), 0, VLOOKUP(AZ729, 'Price Sheet'!$A$2:$B1015, 2, false))</f>
        <v>0</v>
      </c>
      <c r="BE729" s="33" t="str">
        <f t="shared" si="16"/>
        <v/>
      </c>
      <c r="BF729" s="37"/>
      <c r="BG729" s="29"/>
      <c r="BH729" s="29" t="b">
        <v>0</v>
      </c>
      <c r="BI729" s="22" t="str">
        <f t="shared" si="17"/>
        <v/>
      </c>
      <c r="BJ729" s="7">
        <f>IF(ISBLANK(BF729), 0, VLOOKUP(BF729, 'Price Sheet'!$A$2:$B1015, 2, false))</f>
        <v>0</v>
      </c>
      <c r="BK729" s="33" t="str">
        <f t="shared" si="18"/>
        <v/>
      </c>
      <c r="BL729" s="37"/>
      <c r="BM729" s="29"/>
      <c r="BN729" s="29" t="b">
        <v>0</v>
      </c>
      <c r="BO729" s="22" t="str">
        <f t="shared" si="19"/>
        <v/>
      </c>
      <c r="BP729" s="7">
        <f>IF(ISBLANK(BL729), 0, VLOOKUP(BL729, 'Price Sheet'!$A$2:$B1015, 2, false))</f>
        <v>0</v>
      </c>
      <c r="BQ729" s="33" t="str">
        <f t="shared" si="20"/>
        <v/>
      </c>
    </row>
    <row r="730">
      <c r="B730" s="19"/>
      <c r="C730" s="29"/>
      <c r="D730" s="29"/>
      <c r="E730" s="7" t="str">
        <f>IF(ISBLANK(D730), "", VLOOKUP(D730,'Crafting Tables'!$A$2:$B1015, 2, false))</f>
        <v/>
      </c>
      <c r="F730" s="7" t="str">
        <f>IFERROR(IF(E730 = "None", 1, VLOOKUP(C730,General!$A$5:$L$35, SWITCH(E730, "Basic", 8, "Advanced", 10, "Modern", 12), false)),"")</f>
        <v/>
      </c>
      <c r="G730" s="29"/>
      <c r="H730" s="7">
        <f>IFERROR(VLOOKUP(C730, General!$A$5:$L$35, 6, false) * G730 / 1000, 0)</f>
        <v>0</v>
      </c>
      <c r="I730" s="29"/>
      <c r="J730" s="22" t="str">
        <f>IFERROR(I730*VLOOKUP(D730,'Crafting Tables'!$1:$1000, 4, false)*F730,"")</f>
        <v/>
      </c>
      <c r="K730" s="29" t="b">
        <v>0</v>
      </c>
      <c r="L730" s="37"/>
      <c r="M730" s="29"/>
      <c r="N730" s="21" t="str">
        <f t="shared" si="2"/>
        <v/>
      </c>
      <c r="P730" s="37"/>
      <c r="Q730" s="29"/>
      <c r="R730" s="29" t="b">
        <v>0</v>
      </c>
      <c r="S730" s="22" t="str">
        <f t="shared" si="3"/>
        <v/>
      </c>
      <c r="T730" s="7">
        <f>IF(ISBLANK(P730), 0, VLOOKUP(P730, 'Price Sheet'!$A$2:$B1015, 2, false))</f>
        <v>0</v>
      </c>
      <c r="U730" s="33" t="str">
        <f t="shared" si="4"/>
        <v/>
      </c>
      <c r="V730" s="37"/>
      <c r="W730" s="29"/>
      <c r="X730" s="29" t="b">
        <v>0</v>
      </c>
      <c r="Y730" s="22" t="str">
        <f t="shared" si="5"/>
        <v/>
      </c>
      <c r="Z730" s="7">
        <f>IF(ISBLANK(V730), 0, VLOOKUP(V730, 'Price Sheet'!$A$2:$B1015, 2, false))</f>
        <v>0</v>
      </c>
      <c r="AA730" s="33" t="str">
        <f t="shared" si="6"/>
        <v/>
      </c>
      <c r="AB730" s="37"/>
      <c r="AC730" s="29"/>
      <c r="AD730" s="29" t="b">
        <v>0</v>
      </c>
      <c r="AE730" s="22" t="str">
        <f t="shared" si="7"/>
        <v/>
      </c>
      <c r="AF730" s="7">
        <f>IF(ISBLANK(AB730), 0, VLOOKUP(AB730, 'Price Sheet'!$A$2:$B1015, 2, false))</f>
        <v>0</v>
      </c>
      <c r="AG730" s="33" t="str">
        <f t="shared" si="8"/>
        <v/>
      </c>
      <c r="AH730" s="37"/>
      <c r="AI730" s="29"/>
      <c r="AJ730" s="29" t="b">
        <v>0</v>
      </c>
      <c r="AK730" s="22" t="str">
        <f t="shared" si="9"/>
        <v/>
      </c>
      <c r="AL730" s="7">
        <f>IF(ISBLANK(AH730), 0, VLOOKUP(AH730, 'Price Sheet'!$A$2:$B1015, 2, false))</f>
        <v>0</v>
      </c>
      <c r="AM730" s="33" t="str">
        <f t="shared" si="10"/>
        <v/>
      </c>
      <c r="AN730" s="37"/>
      <c r="AO730" s="29"/>
      <c r="AP730" s="29" t="b">
        <v>0</v>
      </c>
      <c r="AQ730" s="22" t="str">
        <f t="shared" si="11"/>
        <v/>
      </c>
      <c r="AR730" s="7">
        <f>IF(ISBLANK(AN730), 0, VLOOKUP(AN730, 'Price Sheet'!$A$2:$B1015, 2, false))</f>
        <v>0</v>
      </c>
      <c r="AS730" s="33" t="str">
        <f t="shared" si="12"/>
        <v/>
      </c>
      <c r="AT730" s="37"/>
      <c r="AU730" s="29"/>
      <c r="AV730" s="29" t="b">
        <v>0</v>
      </c>
      <c r="AW730" s="22" t="str">
        <f t="shared" si="13"/>
        <v/>
      </c>
      <c r="AX730" s="7">
        <f>IF(ISBLANK(AT730), 0, VLOOKUP(AT730, 'Price Sheet'!$A$2:$B1015, 2, false))</f>
        <v>0</v>
      </c>
      <c r="AY730" s="33" t="str">
        <f t="shared" si="14"/>
        <v/>
      </c>
      <c r="AZ730" s="37"/>
      <c r="BA730" s="29"/>
      <c r="BB730" s="29" t="b">
        <v>0</v>
      </c>
      <c r="BC730" s="22" t="str">
        <f t="shared" si="15"/>
        <v/>
      </c>
      <c r="BD730" s="7">
        <f>IF(ISBLANK(AZ730), 0, VLOOKUP(AZ730, 'Price Sheet'!$A$2:$B1015, 2, false))</f>
        <v>0</v>
      </c>
      <c r="BE730" s="33" t="str">
        <f t="shared" si="16"/>
        <v/>
      </c>
      <c r="BF730" s="37"/>
      <c r="BG730" s="29"/>
      <c r="BH730" s="29" t="b">
        <v>0</v>
      </c>
      <c r="BI730" s="22" t="str">
        <f t="shared" si="17"/>
        <v/>
      </c>
      <c r="BJ730" s="7">
        <f>IF(ISBLANK(BF730), 0, VLOOKUP(BF730, 'Price Sheet'!$A$2:$B1015, 2, false))</f>
        <v>0</v>
      </c>
      <c r="BK730" s="33" t="str">
        <f t="shared" si="18"/>
        <v/>
      </c>
      <c r="BL730" s="37"/>
      <c r="BM730" s="29"/>
      <c r="BN730" s="29" t="b">
        <v>0</v>
      </c>
      <c r="BO730" s="22" t="str">
        <f t="shared" si="19"/>
        <v/>
      </c>
      <c r="BP730" s="7">
        <f>IF(ISBLANK(BL730), 0, VLOOKUP(BL730, 'Price Sheet'!$A$2:$B1015, 2, false))</f>
        <v>0</v>
      </c>
      <c r="BQ730" s="33" t="str">
        <f t="shared" si="20"/>
        <v/>
      </c>
    </row>
    <row r="731">
      <c r="B731" s="19"/>
      <c r="C731" s="29"/>
      <c r="D731" s="29"/>
      <c r="E731" s="7" t="str">
        <f>IF(ISBLANK(D731), "", VLOOKUP(D731,'Crafting Tables'!$A$2:$B1015, 2, false))</f>
        <v/>
      </c>
      <c r="F731" s="7" t="str">
        <f>IFERROR(IF(E731 = "None", 1, VLOOKUP(C731,General!$A$5:$L$35, SWITCH(E731, "Basic", 8, "Advanced", 10, "Modern", 12), false)),"")</f>
        <v/>
      </c>
      <c r="G731" s="29"/>
      <c r="H731" s="7">
        <f>IFERROR(VLOOKUP(C731, General!$A$5:$L$35, 6, false) * G731 / 1000, 0)</f>
        <v>0</v>
      </c>
      <c r="I731" s="29"/>
      <c r="J731" s="22" t="str">
        <f>IFERROR(I731*VLOOKUP(D731,'Crafting Tables'!$1:$1000, 4, false)*F731,"")</f>
        <v/>
      </c>
      <c r="K731" s="29" t="b">
        <v>0</v>
      </c>
      <c r="L731" s="37"/>
      <c r="M731" s="29"/>
      <c r="N731" s="21" t="str">
        <f t="shared" si="2"/>
        <v/>
      </c>
      <c r="P731" s="37"/>
      <c r="Q731" s="29"/>
      <c r="R731" s="29" t="b">
        <v>0</v>
      </c>
      <c r="S731" s="22" t="str">
        <f t="shared" si="3"/>
        <v/>
      </c>
      <c r="T731" s="7">
        <f>IF(ISBLANK(P731), 0, VLOOKUP(P731, 'Price Sheet'!$A$2:$B1015, 2, false))</f>
        <v>0</v>
      </c>
      <c r="U731" s="33" t="str">
        <f t="shared" si="4"/>
        <v/>
      </c>
      <c r="V731" s="37"/>
      <c r="W731" s="29"/>
      <c r="X731" s="29" t="b">
        <v>0</v>
      </c>
      <c r="Y731" s="22" t="str">
        <f t="shared" si="5"/>
        <v/>
      </c>
      <c r="Z731" s="7">
        <f>IF(ISBLANK(V731), 0, VLOOKUP(V731, 'Price Sheet'!$A$2:$B1015, 2, false))</f>
        <v>0</v>
      </c>
      <c r="AA731" s="33" t="str">
        <f t="shared" si="6"/>
        <v/>
      </c>
      <c r="AB731" s="37"/>
      <c r="AC731" s="29"/>
      <c r="AD731" s="29" t="b">
        <v>0</v>
      </c>
      <c r="AE731" s="22" t="str">
        <f t="shared" si="7"/>
        <v/>
      </c>
      <c r="AF731" s="7">
        <f>IF(ISBLANK(AB731), 0, VLOOKUP(AB731, 'Price Sheet'!$A$2:$B1015, 2, false))</f>
        <v>0</v>
      </c>
      <c r="AG731" s="33" t="str">
        <f t="shared" si="8"/>
        <v/>
      </c>
      <c r="AH731" s="37"/>
      <c r="AI731" s="29"/>
      <c r="AJ731" s="29" t="b">
        <v>0</v>
      </c>
      <c r="AK731" s="22" t="str">
        <f t="shared" si="9"/>
        <v/>
      </c>
      <c r="AL731" s="7">
        <f>IF(ISBLANK(AH731), 0, VLOOKUP(AH731, 'Price Sheet'!$A$2:$B1015, 2, false))</f>
        <v>0</v>
      </c>
      <c r="AM731" s="33" t="str">
        <f t="shared" si="10"/>
        <v/>
      </c>
      <c r="AN731" s="37"/>
      <c r="AO731" s="29"/>
      <c r="AP731" s="29" t="b">
        <v>0</v>
      </c>
      <c r="AQ731" s="22" t="str">
        <f t="shared" si="11"/>
        <v/>
      </c>
      <c r="AR731" s="7">
        <f>IF(ISBLANK(AN731), 0, VLOOKUP(AN731, 'Price Sheet'!$A$2:$B1015, 2, false))</f>
        <v>0</v>
      </c>
      <c r="AS731" s="33" t="str">
        <f t="shared" si="12"/>
        <v/>
      </c>
      <c r="AT731" s="37"/>
      <c r="AU731" s="29"/>
      <c r="AV731" s="29" t="b">
        <v>0</v>
      </c>
      <c r="AW731" s="22" t="str">
        <f t="shared" si="13"/>
        <v/>
      </c>
      <c r="AX731" s="7">
        <f>IF(ISBLANK(AT731), 0, VLOOKUP(AT731, 'Price Sheet'!$A$2:$B1015, 2, false))</f>
        <v>0</v>
      </c>
      <c r="AY731" s="33" t="str">
        <f t="shared" si="14"/>
        <v/>
      </c>
      <c r="AZ731" s="37"/>
      <c r="BA731" s="29"/>
      <c r="BB731" s="29" t="b">
        <v>0</v>
      </c>
      <c r="BC731" s="22" t="str">
        <f t="shared" si="15"/>
        <v/>
      </c>
      <c r="BD731" s="7">
        <f>IF(ISBLANK(AZ731), 0, VLOOKUP(AZ731, 'Price Sheet'!$A$2:$B1015, 2, false))</f>
        <v>0</v>
      </c>
      <c r="BE731" s="33" t="str">
        <f t="shared" si="16"/>
        <v/>
      </c>
      <c r="BF731" s="37"/>
      <c r="BG731" s="29"/>
      <c r="BH731" s="29" t="b">
        <v>0</v>
      </c>
      <c r="BI731" s="22" t="str">
        <f t="shared" si="17"/>
        <v/>
      </c>
      <c r="BJ731" s="7">
        <f>IF(ISBLANK(BF731), 0, VLOOKUP(BF731, 'Price Sheet'!$A$2:$B1015, 2, false))</f>
        <v>0</v>
      </c>
      <c r="BK731" s="33" t="str">
        <f t="shared" si="18"/>
        <v/>
      </c>
      <c r="BL731" s="37"/>
      <c r="BM731" s="29"/>
      <c r="BN731" s="29" t="b">
        <v>0</v>
      </c>
      <c r="BO731" s="22" t="str">
        <f t="shared" si="19"/>
        <v/>
      </c>
      <c r="BP731" s="7">
        <f>IF(ISBLANK(BL731), 0, VLOOKUP(BL731, 'Price Sheet'!$A$2:$B1015, 2, false))</f>
        <v>0</v>
      </c>
      <c r="BQ731" s="33" t="str">
        <f t="shared" si="20"/>
        <v/>
      </c>
    </row>
    <row r="732">
      <c r="B732" s="19"/>
      <c r="C732" s="29"/>
      <c r="D732" s="29"/>
      <c r="E732" s="7" t="str">
        <f>IF(ISBLANK(D732), "", VLOOKUP(D732,'Crafting Tables'!$A$2:$B1015, 2, false))</f>
        <v/>
      </c>
      <c r="F732" s="7" t="str">
        <f>IFERROR(IF(E732 = "None", 1, VLOOKUP(C732,General!$A$5:$L$35, SWITCH(E732, "Basic", 8, "Advanced", 10, "Modern", 12), false)),"")</f>
        <v/>
      </c>
      <c r="G732" s="29"/>
      <c r="H732" s="7">
        <f>IFERROR(VLOOKUP(C732, General!$A$5:$L$35, 6, false) * G732 / 1000, 0)</f>
        <v>0</v>
      </c>
      <c r="I732" s="29"/>
      <c r="J732" s="22" t="str">
        <f>IFERROR(I732*VLOOKUP(D732,'Crafting Tables'!$1:$1000, 4, false)*F732,"")</f>
        <v/>
      </c>
      <c r="K732" s="29" t="b">
        <v>0</v>
      </c>
      <c r="L732" s="37"/>
      <c r="M732" s="29"/>
      <c r="N732" s="21" t="str">
        <f t="shared" si="2"/>
        <v/>
      </c>
      <c r="P732" s="37"/>
      <c r="Q732" s="29"/>
      <c r="R732" s="29" t="b">
        <v>0</v>
      </c>
      <c r="S732" s="22" t="str">
        <f t="shared" si="3"/>
        <v/>
      </c>
      <c r="T732" s="7">
        <f>IF(ISBLANK(P732), 0, VLOOKUP(P732, 'Price Sheet'!$A$2:$B1015, 2, false))</f>
        <v>0</v>
      </c>
      <c r="U732" s="33" t="str">
        <f t="shared" si="4"/>
        <v/>
      </c>
      <c r="V732" s="37"/>
      <c r="W732" s="29"/>
      <c r="X732" s="29" t="b">
        <v>0</v>
      </c>
      <c r="Y732" s="22" t="str">
        <f t="shared" si="5"/>
        <v/>
      </c>
      <c r="Z732" s="7">
        <f>IF(ISBLANK(V732), 0, VLOOKUP(V732, 'Price Sheet'!$A$2:$B1015, 2, false))</f>
        <v>0</v>
      </c>
      <c r="AA732" s="33" t="str">
        <f t="shared" si="6"/>
        <v/>
      </c>
      <c r="AB732" s="37"/>
      <c r="AC732" s="29"/>
      <c r="AD732" s="29" t="b">
        <v>0</v>
      </c>
      <c r="AE732" s="22" t="str">
        <f t="shared" si="7"/>
        <v/>
      </c>
      <c r="AF732" s="7">
        <f>IF(ISBLANK(AB732), 0, VLOOKUP(AB732, 'Price Sheet'!$A$2:$B1015, 2, false))</f>
        <v>0</v>
      </c>
      <c r="AG732" s="33" t="str">
        <f t="shared" si="8"/>
        <v/>
      </c>
      <c r="AH732" s="37"/>
      <c r="AI732" s="29"/>
      <c r="AJ732" s="29" t="b">
        <v>0</v>
      </c>
      <c r="AK732" s="22" t="str">
        <f t="shared" si="9"/>
        <v/>
      </c>
      <c r="AL732" s="7">
        <f>IF(ISBLANK(AH732), 0, VLOOKUP(AH732, 'Price Sheet'!$A$2:$B1015, 2, false))</f>
        <v>0</v>
      </c>
      <c r="AM732" s="33" t="str">
        <f t="shared" si="10"/>
        <v/>
      </c>
      <c r="AN732" s="37"/>
      <c r="AO732" s="29"/>
      <c r="AP732" s="29" t="b">
        <v>0</v>
      </c>
      <c r="AQ732" s="22" t="str">
        <f t="shared" si="11"/>
        <v/>
      </c>
      <c r="AR732" s="7">
        <f>IF(ISBLANK(AN732), 0, VLOOKUP(AN732, 'Price Sheet'!$A$2:$B1015, 2, false))</f>
        <v>0</v>
      </c>
      <c r="AS732" s="33" t="str">
        <f t="shared" si="12"/>
        <v/>
      </c>
      <c r="AT732" s="37"/>
      <c r="AU732" s="29"/>
      <c r="AV732" s="29" t="b">
        <v>0</v>
      </c>
      <c r="AW732" s="22" t="str">
        <f t="shared" si="13"/>
        <v/>
      </c>
      <c r="AX732" s="7">
        <f>IF(ISBLANK(AT732), 0, VLOOKUP(AT732, 'Price Sheet'!$A$2:$B1015, 2, false))</f>
        <v>0</v>
      </c>
      <c r="AY732" s="33" t="str">
        <f t="shared" si="14"/>
        <v/>
      </c>
      <c r="AZ732" s="37"/>
      <c r="BA732" s="29"/>
      <c r="BB732" s="29" t="b">
        <v>0</v>
      </c>
      <c r="BC732" s="22" t="str">
        <f t="shared" si="15"/>
        <v/>
      </c>
      <c r="BD732" s="7">
        <f>IF(ISBLANK(AZ732), 0, VLOOKUP(AZ732, 'Price Sheet'!$A$2:$B1015, 2, false))</f>
        <v>0</v>
      </c>
      <c r="BE732" s="33" t="str">
        <f t="shared" si="16"/>
        <v/>
      </c>
      <c r="BF732" s="37"/>
      <c r="BG732" s="29"/>
      <c r="BH732" s="29" t="b">
        <v>0</v>
      </c>
      <c r="BI732" s="22" t="str">
        <f t="shared" si="17"/>
        <v/>
      </c>
      <c r="BJ732" s="7">
        <f>IF(ISBLANK(BF732), 0, VLOOKUP(BF732, 'Price Sheet'!$A$2:$B1015, 2, false))</f>
        <v>0</v>
      </c>
      <c r="BK732" s="33" t="str">
        <f t="shared" si="18"/>
        <v/>
      </c>
      <c r="BL732" s="37"/>
      <c r="BM732" s="29"/>
      <c r="BN732" s="29" t="b">
        <v>0</v>
      </c>
      <c r="BO732" s="22" t="str">
        <f t="shared" si="19"/>
        <v/>
      </c>
      <c r="BP732" s="7">
        <f>IF(ISBLANK(BL732), 0, VLOOKUP(BL732, 'Price Sheet'!$A$2:$B1015, 2, false))</f>
        <v>0</v>
      </c>
      <c r="BQ732" s="33" t="str">
        <f t="shared" si="20"/>
        <v/>
      </c>
    </row>
    <row r="733">
      <c r="B733" s="19"/>
      <c r="C733" s="29"/>
      <c r="D733" s="29"/>
      <c r="E733" s="7" t="str">
        <f>IF(ISBLANK(D733), "", VLOOKUP(D733,'Crafting Tables'!$A$2:$B1015, 2, false))</f>
        <v/>
      </c>
      <c r="F733" s="7" t="str">
        <f>IFERROR(IF(E733 = "None", 1, VLOOKUP(C733,General!$A$5:$L$35, SWITCH(E733, "Basic", 8, "Advanced", 10, "Modern", 12), false)),"")</f>
        <v/>
      </c>
      <c r="G733" s="29"/>
      <c r="H733" s="7">
        <f>IFERROR(VLOOKUP(C733, General!$A$5:$L$35, 6, false) * G733 / 1000, 0)</f>
        <v>0</v>
      </c>
      <c r="I733" s="29"/>
      <c r="J733" s="22" t="str">
        <f>IFERROR(I733*VLOOKUP(D733,'Crafting Tables'!$1:$1000, 4, false)*F733,"")</f>
        <v/>
      </c>
      <c r="K733" s="29" t="b">
        <v>0</v>
      </c>
      <c r="L733" s="37"/>
      <c r="M733" s="29"/>
      <c r="N733" s="21" t="str">
        <f t="shared" si="2"/>
        <v/>
      </c>
      <c r="P733" s="37"/>
      <c r="Q733" s="29"/>
      <c r="R733" s="29" t="b">
        <v>0</v>
      </c>
      <c r="S733" s="22" t="str">
        <f t="shared" si="3"/>
        <v/>
      </c>
      <c r="T733" s="7">
        <f>IF(ISBLANK(P733), 0, VLOOKUP(P733, 'Price Sheet'!$A$2:$B1015, 2, false))</f>
        <v>0</v>
      </c>
      <c r="U733" s="33" t="str">
        <f t="shared" si="4"/>
        <v/>
      </c>
      <c r="V733" s="37"/>
      <c r="W733" s="29"/>
      <c r="X733" s="29" t="b">
        <v>0</v>
      </c>
      <c r="Y733" s="22" t="str">
        <f t="shared" si="5"/>
        <v/>
      </c>
      <c r="Z733" s="7">
        <f>IF(ISBLANK(V733), 0, VLOOKUP(V733, 'Price Sheet'!$A$2:$B1015, 2, false))</f>
        <v>0</v>
      </c>
      <c r="AA733" s="33" t="str">
        <f t="shared" si="6"/>
        <v/>
      </c>
      <c r="AB733" s="37"/>
      <c r="AC733" s="29"/>
      <c r="AD733" s="29" t="b">
        <v>0</v>
      </c>
      <c r="AE733" s="22" t="str">
        <f t="shared" si="7"/>
        <v/>
      </c>
      <c r="AF733" s="7">
        <f>IF(ISBLANK(AB733), 0, VLOOKUP(AB733, 'Price Sheet'!$A$2:$B1015, 2, false))</f>
        <v>0</v>
      </c>
      <c r="AG733" s="33" t="str">
        <f t="shared" si="8"/>
        <v/>
      </c>
      <c r="AH733" s="37"/>
      <c r="AI733" s="29"/>
      <c r="AJ733" s="29" t="b">
        <v>0</v>
      </c>
      <c r="AK733" s="22" t="str">
        <f t="shared" si="9"/>
        <v/>
      </c>
      <c r="AL733" s="7">
        <f>IF(ISBLANK(AH733), 0, VLOOKUP(AH733, 'Price Sheet'!$A$2:$B1015, 2, false))</f>
        <v>0</v>
      </c>
      <c r="AM733" s="33" t="str">
        <f t="shared" si="10"/>
        <v/>
      </c>
      <c r="AN733" s="37"/>
      <c r="AO733" s="29"/>
      <c r="AP733" s="29" t="b">
        <v>0</v>
      </c>
      <c r="AQ733" s="22" t="str">
        <f t="shared" si="11"/>
        <v/>
      </c>
      <c r="AR733" s="7">
        <f>IF(ISBLANK(AN733), 0, VLOOKUP(AN733, 'Price Sheet'!$A$2:$B1015, 2, false))</f>
        <v>0</v>
      </c>
      <c r="AS733" s="33" t="str">
        <f t="shared" si="12"/>
        <v/>
      </c>
      <c r="AT733" s="37"/>
      <c r="AU733" s="29"/>
      <c r="AV733" s="29" t="b">
        <v>0</v>
      </c>
      <c r="AW733" s="22" t="str">
        <f t="shared" si="13"/>
        <v/>
      </c>
      <c r="AX733" s="7">
        <f>IF(ISBLANK(AT733), 0, VLOOKUP(AT733, 'Price Sheet'!$A$2:$B1015, 2, false))</f>
        <v>0</v>
      </c>
      <c r="AY733" s="33" t="str">
        <f t="shared" si="14"/>
        <v/>
      </c>
      <c r="AZ733" s="37"/>
      <c r="BA733" s="29"/>
      <c r="BB733" s="29" t="b">
        <v>0</v>
      </c>
      <c r="BC733" s="22" t="str">
        <f t="shared" si="15"/>
        <v/>
      </c>
      <c r="BD733" s="7">
        <f>IF(ISBLANK(AZ733), 0, VLOOKUP(AZ733, 'Price Sheet'!$A$2:$B1015, 2, false))</f>
        <v>0</v>
      </c>
      <c r="BE733" s="33" t="str">
        <f t="shared" si="16"/>
        <v/>
      </c>
      <c r="BF733" s="37"/>
      <c r="BG733" s="29"/>
      <c r="BH733" s="29" t="b">
        <v>0</v>
      </c>
      <c r="BI733" s="22" t="str">
        <f t="shared" si="17"/>
        <v/>
      </c>
      <c r="BJ733" s="7">
        <f>IF(ISBLANK(BF733), 0, VLOOKUP(BF733, 'Price Sheet'!$A$2:$B1015, 2, false))</f>
        <v>0</v>
      </c>
      <c r="BK733" s="33" t="str">
        <f t="shared" si="18"/>
        <v/>
      </c>
      <c r="BL733" s="37"/>
      <c r="BM733" s="29"/>
      <c r="BN733" s="29" t="b">
        <v>0</v>
      </c>
      <c r="BO733" s="22" t="str">
        <f t="shared" si="19"/>
        <v/>
      </c>
      <c r="BP733" s="7">
        <f>IF(ISBLANK(BL733), 0, VLOOKUP(BL733, 'Price Sheet'!$A$2:$B1015, 2, false))</f>
        <v>0</v>
      </c>
      <c r="BQ733" s="33" t="str">
        <f t="shared" si="20"/>
        <v/>
      </c>
    </row>
    <row r="734">
      <c r="B734" s="19"/>
      <c r="C734" s="29"/>
      <c r="D734" s="29"/>
      <c r="E734" s="7" t="str">
        <f>IF(ISBLANK(D734), "", VLOOKUP(D734,'Crafting Tables'!$A$2:$B1015, 2, false))</f>
        <v/>
      </c>
      <c r="F734" s="7" t="str">
        <f>IFERROR(IF(E734 = "None", 1, VLOOKUP(C734,General!$A$5:$L$35, SWITCH(E734, "Basic", 8, "Advanced", 10, "Modern", 12), false)),"")</f>
        <v/>
      </c>
      <c r="G734" s="29"/>
      <c r="H734" s="7">
        <f>IFERROR(VLOOKUP(C734, General!$A$5:$L$35, 6, false) * G734 / 1000, 0)</f>
        <v>0</v>
      </c>
      <c r="I734" s="29"/>
      <c r="J734" s="22" t="str">
        <f>IFERROR(I734*VLOOKUP(D734,'Crafting Tables'!$1:$1000, 4, false)*F734,"")</f>
        <v/>
      </c>
      <c r="K734" s="29" t="b">
        <v>0</v>
      </c>
      <c r="L734" s="37"/>
      <c r="M734" s="29"/>
      <c r="N734" s="21" t="str">
        <f t="shared" si="2"/>
        <v/>
      </c>
      <c r="P734" s="37"/>
      <c r="Q734" s="29"/>
      <c r="R734" s="29" t="b">
        <v>0</v>
      </c>
      <c r="S734" s="22" t="str">
        <f t="shared" si="3"/>
        <v/>
      </c>
      <c r="T734" s="7">
        <f>IF(ISBLANK(P734), 0, VLOOKUP(P734, 'Price Sheet'!$A$2:$B1015, 2, false))</f>
        <v>0</v>
      </c>
      <c r="U734" s="33" t="str">
        <f t="shared" si="4"/>
        <v/>
      </c>
      <c r="V734" s="37"/>
      <c r="W734" s="29"/>
      <c r="X734" s="29" t="b">
        <v>0</v>
      </c>
      <c r="Y734" s="22" t="str">
        <f t="shared" si="5"/>
        <v/>
      </c>
      <c r="Z734" s="7">
        <f>IF(ISBLANK(V734), 0, VLOOKUP(V734, 'Price Sheet'!$A$2:$B1015, 2, false))</f>
        <v>0</v>
      </c>
      <c r="AA734" s="33" t="str">
        <f t="shared" si="6"/>
        <v/>
      </c>
      <c r="AB734" s="37"/>
      <c r="AC734" s="29"/>
      <c r="AD734" s="29" t="b">
        <v>0</v>
      </c>
      <c r="AE734" s="22" t="str">
        <f t="shared" si="7"/>
        <v/>
      </c>
      <c r="AF734" s="7">
        <f>IF(ISBLANK(AB734), 0, VLOOKUP(AB734, 'Price Sheet'!$A$2:$B1015, 2, false))</f>
        <v>0</v>
      </c>
      <c r="AG734" s="33" t="str">
        <f t="shared" si="8"/>
        <v/>
      </c>
      <c r="AH734" s="37"/>
      <c r="AI734" s="29"/>
      <c r="AJ734" s="29" t="b">
        <v>0</v>
      </c>
      <c r="AK734" s="22" t="str">
        <f t="shared" si="9"/>
        <v/>
      </c>
      <c r="AL734" s="7">
        <f>IF(ISBLANK(AH734), 0, VLOOKUP(AH734, 'Price Sheet'!$A$2:$B1015, 2, false))</f>
        <v>0</v>
      </c>
      <c r="AM734" s="33" t="str">
        <f t="shared" si="10"/>
        <v/>
      </c>
      <c r="AN734" s="37"/>
      <c r="AO734" s="29"/>
      <c r="AP734" s="29" t="b">
        <v>0</v>
      </c>
      <c r="AQ734" s="22" t="str">
        <f t="shared" si="11"/>
        <v/>
      </c>
      <c r="AR734" s="7">
        <f>IF(ISBLANK(AN734), 0, VLOOKUP(AN734, 'Price Sheet'!$A$2:$B1015, 2, false))</f>
        <v>0</v>
      </c>
      <c r="AS734" s="33" t="str">
        <f t="shared" si="12"/>
        <v/>
      </c>
      <c r="AT734" s="37"/>
      <c r="AU734" s="29"/>
      <c r="AV734" s="29" t="b">
        <v>0</v>
      </c>
      <c r="AW734" s="22" t="str">
        <f t="shared" si="13"/>
        <v/>
      </c>
      <c r="AX734" s="7">
        <f>IF(ISBLANK(AT734), 0, VLOOKUP(AT734, 'Price Sheet'!$A$2:$B1015, 2, false))</f>
        <v>0</v>
      </c>
      <c r="AY734" s="33" t="str">
        <f t="shared" si="14"/>
        <v/>
      </c>
      <c r="AZ734" s="37"/>
      <c r="BA734" s="29"/>
      <c r="BB734" s="29" t="b">
        <v>0</v>
      </c>
      <c r="BC734" s="22" t="str">
        <f t="shared" si="15"/>
        <v/>
      </c>
      <c r="BD734" s="7">
        <f>IF(ISBLANK(AZ734), 0, VLOOKUP(AZ734, 'Price Sheet'!$A$2:$B1015, 2, false))</f>
        <v>0</v>
      </c>
      <c r="BE734" s="33" t="str">
        <f t="shared" si="16"/>
        <v/>
      </c>
      <c r="BF734" s="37"/>
      <c r="BG734" s="29"/>
      <c r="BH734" s="29" t="b">
        <v>0</v>
      </c>
      <c r="BI734" s="22" t="str">
        <f t="shared" si="17"/>
        <v/>
      </c>
      <c r="BJ734" s="7">
        <f>IF(ISBLANK(BF734), 0, VLOOKUP(BF734, 'Price Sheet'!$A$2:$B1015, 2, false))</f>
        <v>0</v>
      </c>
      <c r="BK734" s="33" t="str">
        <f t="shared" si="18"/>
        <v/>
      </c>
      <c r="BL734" s="37"/>
      <c r="BM734" s="29"/>
      <c r="BN734" s="29" t="b">
        <v>0</v>
      </c>
      <c r="BO734" s="22" t="str">
        <f t="shared" si="19"/>
        <v/>
      </c>
      <c r="BP734" s="7">
        <f>IF(ISBLANK(BL734), 0, VLOOKUP(BL734, 'Price Sheet'!$A$2:$B1015, 2, false))</f>
        <v>0</v>
      </c>
      <c r="BQ734" s="33" t="str">
        <f t="shared" si="20"/>
        <v/>
      </c>
    </row>
    <row r="735">
      <c r="B735" s="19"/>
      <c r="C735" s="29"/>
      <c r="D735" s="29"/>
      <c r="E735" s="7" t="str">
        <f>IF(ISBLANK(D735), "", VLOOKUP(D735,'Crafting Tables'!$A$2:$B1015, 2, false))</f>
        <v/>
      </c>
      <c r="F735" s="7" t="str">
        <f>IFERROR(IF(E735 = "None", 1, VLOOKUP(C735,General!$A$5:$L$35, SWITCH(E735, "Basic", 8, "Advanced", 10, "Modern", 12), false)),"")</f>
        <v/>
      </c>
      <c r="G735" s="29"/>
      <c r="H735" s="7">
        <f>IFERROR(VLOOKUP(C735, General!$A$5:$L$35, 6, false) * G735 / 1000, 0)</f>
        <v>0</v>
      </c>
      <c r="I735" s="29"/>
      <c r="J735" s="22" t="str">
        <f>IFERROR(I735*VLOOKUP(D735,'Crafting Tables'!$1:$1000, 4, false)*F735,"")</f>
        <v/>
      </c>
      <c r="K735" s="29" t="b">
        <v>0</v>
      </c>
      <c r="L735" s="37"/>
      <c r="M735" s="29"/>
      <c r="N735" s="21" t="str">
        <f t="shared" si="2"/>
        <v/>
      </c>
      <c r="P735" s="37"/>
      <c r="Q735" s="29"/>
      <c r="R735" s="29" t="b">
        <v>0</v>
      </c>
      <c r="S735" s="22" t="str">
        <f t="shared" si="3"/>
        <v/>
      </c>
      <c r="T735" s="7">
        <f>IF(ISBLANK(P735), 0, VLOOKUP(P735, 'Price Sheet'!$A$2:$B1015, 2, false))</f>
        <v>0</v>
      </c>
      <c r="U735" s="33" t="str">
        <f t="shared" si="4"/>
        <v/>
      </c>
      <c r="V735" s="37"/>
      <c r="W735" s="29"/>
      <c r="X735" s="29" t="b">
        <v>0</v>
      </c>
      <c r="Y735" s="22" t="str">
        <f t="shared" si="5"/>
        <v/>
      </c>
      <c r="Z735" s="7">
        <f>IF(ISBLANK(V735), 0, VLOOKUP(V735, 'Price Sheet'!$A$2:$B1015, 2, false))</f>
        <v>0</v>
      </c>
      <c r="AA735" s="33" t="str">
        <f t="shared" si="6"/>
        <v/>
      </c>
      <c r="AB735" s="37"/>
      <c r="AC735" s="29"/>
      <c r="AD735" s="29" t="b">
        <v>0</v>
      </c>
      <c r="AE735" s="22" t="str">
        <f t="shared" si="7"/>
        <v/>
      </c>
      <c r="AF735" s="7">
        <f>IF(ISBLANK(AB735), 0, VLOOKUP(AB735, 'Price Sheet'!$A$2:$B1015, 2, false))</f>
        <v>0</v>
      </c>
      <c r="AG735" s="33" t="str">
        <f t="shared" si="8"/>
        <v/>
      </c>
      <c r="AH735" s="37"/>
      <c r="AI735" s="29"/>
      <c r="AJ735" s="29" t="b">
        <v>0</v>
      </c>
      <c r="AK735" s="22" t="str">
        <f t="shared" si="9"/>
        <v/>
      </c>
      <c r="AL735" s="7">
        <f>IF(ISBLANK(AH735), 0, VLOOKUP(AH735, 'Price Sheet'!$A$2:$B1015, 2, false))</f>
        <v>0</v>
      </c>
      <c r="AM735" s="33" t="str">
        <f t="shared" si="10"/>
        <v/>
      </c>
      <c r="AN735" s="37"/>
      <c r="AO735" s="29"/>
      <c r="AP735" s="29" t="b">
        <v>0</v>
      </c>
      <c r="AQ735" s="22" t="str">
        <f t="shared" si="11"/>
        <v/>
      </c>
      <c r="AR735" s="7">
        <f>IF(ISBLANK(AN735), 0, VLOOKUP(AN735, 'Price Sheet'!$A$2:$B1015, 2, false))</f>
        <v>0</v>
      </c>
      <c r="AS735" s="33" t="str">
        <f t="shared" si="12"/>
        <v/>
      </c>
      <c r="AT735" s="37"/>
      <c r="AU735" s="29"/>
      <c r="AV735" s="29" t="b">
        <v>0</v>
      </c>
      <c r="AW735" s="22" t="str">
        <f t="shared" si="13"/>
        <v/>
      </c>
      <c r="AX735" s="7">
        <f>IF(ISBLANK(AT735), 0, VLOOKUP(AT735, 'Price Sheet'!$A$2:$B1015, 2, false))</f>
        <v>0</v>
      </c>
      <c r="AY735" s="33" t="str">
        <f t="shared" si="14"/>
        <v/>
      </c>
      <c r="AZ735" s="37"/>
      <c r="BA735" s="29"/>
      <c r="BB735" s="29" t="b">
        <v>0</v>
      </c>
      <c r="BC735" s="22" t="str">
        <f t="shared" si="15"/>
        <v/>
      </c>
      <c r="BD735" s="7">
        <f>IF(ISBLANK(AZ735), 0, VLOOKUP(AZ735, 'Price Sheet'!$A$2:$B1015, 2, false))</f>
        <v>0</v>
      </c>
      <c r="BE735" s="33" t="str">
        <f t="shared" si="16"/>
        <v/>
      </c>
      <c r="BF735" s="37"/>
      <c r="BG735" s="29"/>
      <c r="BH735" s="29" t="b">
        <v>0</v>
      </c>
      <c r="BI735" s="22" t="str">
        <f t="shared" si="17"/>
        <v/>
      </c>
      <c r="BJ735" s="7">
        <f>IF(ISBLANK(BF735), 0, VLOOKUP(BF735, 'Price Sheet'!$A$2:$B1015, 2, false))</f>
        <v>0</v>
      </c>
      <c r="BK735" s="33" t="str">
        <f t="shared" si="18"/>
        <v/>
      </c>
      <c r="BL735" s="37"/>
      <c r="BM735" s="29"/>
      <c r="BN735" s="29" t="b">
        <v>0</v>
      </c>
      <c r="BO735" s="22" t="str">
        <f t="shared" si="19"/>
        <v/>
      </c>
      <c r="BP735" s="7">
        <f>IF(ISBLANK(BL735), 0, VLOOKUP(BL735, 'Price Sheet'!$A$2:$B1015, 2, false))</f>
        <v>0</v>
      </c>
      <c r="BQ735" s="33" t="str">
        <f t="shared" si="20"/>
        <v/>
      </c>
    </row>
    <row r="736">
      <c r="B736" s="19"/>
      <c r="C736" s="29"/>
      <c r="D736" s="29"/>
      <c r="E736" s="7" t="str">
        <f>IF(ISBLANK(D736), "", VLOOKUP(D736,'Crafting Tables'!$A$2:$B1015, 2, false))</f>
        <v/>
      </c>
      <c r="F736" s="7" t="str">
        <f>IFERROR(IF(E736 = "None", 1, VLOOKUP(C736,General!$A$5:$L$35, SWITCH(E736, "Basic", 8, "Advanced", 10, "Modern", 12), false)),"")</f>
        <v/>
      </c>
      <c r="G736" s="29"/>
      <c r="H736" s="7">
        <f>IFERROR(VLOOKUP(C736, General!$A$5:$L$35, 6, false) * G736 / 1000, 0)</f>
        <v>0</v>
      </c>
      <c r="I736" s="29"/>
      <c r="J736" s="22" t="str">
        <f>IFERROR(I736*VLOOKUP(D736,'Crafting Tables'!$1:$1000, 4, false)*F736,"")</f>
        <v/>
      </c>
      <c r="K736" s="29" t="b">
        <v>0</v>
      </c>
      <c r="L736" s="37"/>
      <c r="M736" s="29"/>
      <c r="N736" s="21" t="str">
        <f t="shared" si="2"/>
        <v/>
      </c>
      <c r="P736" s="37"/>
      <c r="Q736" s="29"/>
      <c r="R736" s="29" t="b">
        <v>0</v>
      </c>
      <c r="S736" s="22" t="str">
        <f t="shared" si="3"/>
        <v/>
      </c>
      <c r="T736" s="7">
        <f>IF(ISBLANK(P736), 0, VLOOKUP(P736, 'Price Sheet'!$A$2:$B1015, 2, false))</f>
        <v>0</v>
      </c>
      <c r="U736" s="33" t="str">
        <f t="shared" si="4"/>
        <v/>
      </c>
      <c r="V736" s="37"/>
      <c r="W736" s="29"/>
      <c r="X736" s="29" t="b">
        <v>0</v>
      </c>
      <c r="Y736" s="22" t="str">
        <f t="shared" si="5"/>
        <v/>
      </c>
      <c r="Z736" s="7">
        <f>IF(ISBLANK(V736), 0, VLOOKUP(V736, 'Price Sheet'!$A$2:$B1015, 2, false))</f>
        <v>0</v>
      </c>
      <c r="AA736" s="33" t="str">
        <f t="shared" si="6"/>
        <v/>
      </c>
      <c r="AB736" s="37"/>
      <c r="AC736" s="29"/>
      <c r="AD736" s="29" t="b">
        <v>0</v>
      </c>
      <c r="AE736" s="22" t="str">
        <f t="shared" si="7"/>
        <v/>
      </c>
      <c r="AF736" s="7">
        <f>IF(ISBLANK(AB736), 0, VLOOKUP(AB736, 'Price Sheet'!$A$2:$B1015, 2, false))</f>
        <v>0</v>
      </c>
      <c r="AG736" s="33" t="str">
        <f t="shared" si="8"/>
        <v/>
      </c>
      <c r="AH736" s="37"/>
      <c r="AI736" s="29"/>
      <c r="AJ736" s="29" t="b">
        <v>0</v>
      </c>
      <c r="AK736" s="22" t="str">
        <f t="shared" si="9"/>
        <v/>
      </c>
      <c r="AL736" s="7">
        <f>IF(ISBLANK(AH736), 0, VLOOKUP(AH736, 'Price Sheet'!$A$2:$B1015, 2, false))</f>
        <v>0</v>
      </c>
      <c r="AM736" s="33" t="str">
        <f t="shared" si="10"/>
        <v/>
      </c>
      <c r="AN736" s="37"/>
      <c r="AO736" s="29"/>
      <c r="AP736" s="29" t="b">
        <v>0</v>
      </c>
      <c r="AQ736" s="22" t="str">
        <f t="shared" si="11"/>
        <v/>
      </c>
      <c r="AR736" s="7">
        <f>IF(ISBLANK(AN736), 0, VLOOKUP(AN736, 'Price Sheet'!$A$2:$B1015, 2, false))</f>
        <v>0</v>
      </c>
      <c r="AS736" s="33" t="str">
        <f t="shared" si="12"/>
        <v/>
      </c>
      <c r="AT736" s="37"/>
      <c r="AU736" s="29"/>
      <c r="AV736" s="29" t="b">
        <v>0</v>
      </c>
      <c r="AW736" s="22" t="str">
        <f t="shared" si="13"/>
        <v/>
      </c>
      <c r="AX736" s="7">
        <f>IF(ISBLANK(AT736), 0, VLOOKUP(AT736, 'Price Sheet'!$A$2:$B1015, 2, false))</f>
        <v>0</v>
      </c>
      <c r="AY736" s="33" t="str">
        <f t="shared" si="14"/>
        <v/>
      </c>
      <c r="AZ736" s="37"/>
      <c r="BA736" s="29"/>
      <c r="BB736" s="29" t="b">
        <v>0</v>
      </c>
      <c r="BC736" s="22" t="str">
        <f t="shared" si="15"/>
        <v/>
      </c>
      <c r="BD736" s="7">
        <f>IF(ISBLANK(AZ736), 0, VLOOKUP(AZ736, 'Price Sheet'!$A$2:$B1015, 2, false))</f>
        <v>0</v>
      </c>
      <c r="BE736" s="33" t="str">
        <f t="shared" si="16"/>
        <v/>
      </c>
      <c r="BF736" s="37"/>
      <c r="BG736" s="29"/>
      <c r="BH736" s="29" t="b">
        <v>0</v>
      </c>
      <c r="BI736" s="22" t="str">
        <f t="shared" si="17"/>
        <v/>
      </c>
      <c r="BJ736" s="7">
        <f>IF(ISBLANK(BF736), 0, VLOOKUP(BF736, 'Price Sheet'!$A$2:$B1015, 2, false))</f>
        <v>0</v>
      </c>
      <c r="BK736" s="33" t="str">
        <f t="shared" si="18"/>
        <v/>
      </c>
      <c r="BL736" s="37"/>
      <c r="BM736" s="29"/>
      <c r="BN736" s="29" t="b">
        <v>0</v>
      </c>
      <c r="BO736" s="22" t="str">
        <f t="shared" si="19"/>
        <v/>
      </c>
      <c r="BP736" s="7">
        <f>IF(ISBLANK(BL736), 0, VLOOKUP(BL736, 'Price Sheet'!$A$2:$B1015, 2, false))</f>
        <v>0</v>
      </c>
      <c r="BQ736" s="33" t="str">
        <f t="shared" si="20"/>
        <v/>
      </c>
    </row>
    <row r="737">
      <c r="B737" s="19"/>
      <c r="C737" s="29"/>
      <c r="D737" s="29"/>
      <c r="E737" s="7" t="str">
        <f>IF(ISBLANK(D737), "", VLOOKUP(D737,'Crafting Tables'!$A$2:$B1015, 2, false))</f>
        <v/>
      </c>
      <c r="F737" s="7" t="str">
        <f>IFERROR(IF(E737 = "None", 1, VLOOKUP(C737,General!$A$5:$L$35, SWITCH(E737, "Basic", 8, "Advanced", 10, "Modern", 12), false)),"")</f>
        <v/>
      </c>
      <c r="G737" s="29"/>
      <c r="H737" s="7">
        <f>IFERROR(VLOOKUP(C737, General!$A$5:$L$35, 6, false) * G737 / 1000, 0)</f>
        <v>0</v>
      </c>
      <c r="I737" s="29"/>
      <c r="J737" s="22" t="str">
        <f>IFERROR(I737*VLOOKUP(D737,'Crafting Tables'!$1:$1000, 4, false)*F737,"")</f>
        <v/>
      </c>
      <c r="K737" s="29" t="b">
        <v>0</v>
      </c>
      <c r="L737" s="37"/>
      <c r="M737" s="29"/>
      <c r="N737" s="21" t="str">
        <f t="shared" si="2"/>
        <v/>
      </c>
      <c r="P737" s="37"/>
      <c r="Q737" s="29"/>
      <c r="R737" s="29" t="b">
        <v>0</v>
      </c>
      <c r="S737" s="22" t="str">
        <f t="shared" si="3"/>
        <v/>
      </c>
      <c r="T737" s="7">
        <f>IF(ISBLANK(P737), 0, VLOOKUP(P737, 'Price Sheet'!$A$2:$B1015, 2, false))</f>
        <v>0</v>
      </c>
      <c r="U737" s="33" t="str">
        <f t="shared" si="4"/>
        <v/>
      </c>
      <c r="V737" s="37"/>
      <c r="W737" s="29"/>
      <c r="X737" s="29" t="b">
        <v>0</v>
      </c>
      <c r="Y737" s="22" t="str">
        <f t="shared" si="5"/>
        <v/>
      </c>
      <c r="Z737" s="7">
        <f>IF(ISBLANK(V737), 0, VLOOKUP(V737, 'Price Sheet'!$A$2:$B1015, 2, false))</f>
        <v>0</v>
      </c>
      <c r="AA737" s="33" t="str">
        <f t="shared" si="6"/>
        <v/>
      </c>
      <c r="AB737" s="37"/>
      <c r="AC737" s="29"/>
      <c r="AD737" s="29" t="b">
        <v>0</v>
      </c>
      <c r="AE737" s="22" t="str">
        <f t="shared" si="7"/>
        <v/>
      </c>
      <c r="AF737" s="7">
        <f>IF(ISBLANK(AB737), 0, VLOOKUP(AB737, 'Price Sheet'!$A$2:$B1015, 2, false))</f>
        <v>0</v>
      </c>
      <c r="AG737" s="33" t="str">
        <f t="shared" si="8"/>
        <v/>
      </c>
      <c r="AH737" s="37"/>
      <c r="AI737" s="29"/>
      <c r="AJ737" s="29" t="b">
        <v>0</v>
      </c>
      <c r="AK737" s="22" t="str">
        <f t="shared" si="9"/>
        <v/>
      </c>
      <c r="AL737" s="7">
        <f>IF(ISBLANK(AH737), 0, VLOOKUP(AH737, 'Price Sheet'!$A$2:$B1015, 2, false))</f>
        <v>0</v>
      </c>
      <c r="AM737" s="33" t="str">
        <f t="shared" si="10"/>
        <v/>
      </c>
      <c r="AN737" s="37"/>
      <c r="AO737" s="29"/>
      <c r="AP737" s="29" t="b">
        <v>0</v>
      </c>
      <c r="AQ737" s="22" t="str">
        <f t="shared" si="11"/>
        <v/>
      </c>
      <c r="AR737" s="7">
        <f>IF(ISBLANK(AN737), 0, VLOOKUP(AN737, 'Price Sheet'!$A$2:$B1015, 2, false))</f>
        <v>0</v>
      </c>
      <c r="AS737" s="33" t="str">
        <f t="shared" si="12"/>
        <v/>
      </c>
      <c r="AT737" s="37"/>
      <c r="AU737" s="29"/>
      <c r="AV737" s="29" t="b">
        <v>0</v>
      </c>
      <c r="AW737" s="22" t="str">
        <f t="shared" si="13"/>
        <v/>
      </c>
      <c r="AX737" s="7">
        <f>IF(ISBLANK(AT737), 0, VLOOKUP(AT737, 'Price Sheet'!$A$2:$B1015, 2, false))</f>
        <v>0</v>
      </c>
      <c r="AY737" s="33" t="str">
        <f t="shared" si="14"/>
        <v/>
      </c>
      <c r="AZ737" s="37"/>
      <c r="BA737" s="29"/>
      <c r="BB737" s="29" t="b">
        <v>0</v>
      </c>
      <c r="BC737" s="22" t="str">
        <f t="shared" si="15"/>
        <v/>
      </c>
      <c r="BD737" s="7">
        <f>IF(ISBLANK(AZ737), 0, VLOOKUP(AZ737, 'Price Sheet'!$A$2:$B1015, 2, false))</f>
        <v>0</v>
      </c>
      <c r="BE737" s="33" t="str">
        <f t="shared" si="16"/>
        <v/>
      </c>
      <c r="BF737" s="37"/>
      <c r="BG737" s="29"/>
      <c r="BH737" s="29" t="b">
        <v>0</v>
      </c>
      <c r="BI737" s="22" t="str">
        <f t="shared" si="17"/>
        <v/>
      </c>
      <c r="BJ737" s="7">
        <f>IF(ISBLANK(BF737), 0, VLOOKUP(BF737, 'Price Sheet'!$A$2:$B1015, 2, false))</f>
        <v>0</v>
      </c>
      <c r="BK737" s="33" t="str">
        <f t="shared" si="18"/>
        <v/>
      </c>
      <c r="BL737" s="37"/>
      <c r="BM737" s="29"/>
      <c r="BN737" s="29" t="b">
        <v>0</v>
      </c>
      <c r="BO737" s="22" t="str">
        <f t="shared" si="19"/>
        <v/>
      </c>
      <c r="BP737" s="7">
        <f>IF(ISBLANK(BL737), 0, VLOOKUP(BL737, 'Price Sheet'!$A$2:$B1015, 2, false))</f>
        <v>0</v>
      </c>
      <c r="BQ737" s="33" t="str">
        <f t="shared" si="20"/>
        <v/>
      </c>
    </row>
    <row r="738">
      <c r="B738" s="19"/>
      <c r="C738" s="29"/>
      <c r="D738" s="29"/>
      <c r="E738" s="7" t="str">
        <f>IF(ISBLANK(D738), "", VLOOKUP(D738,'Crafting Tables'!$A$2:$B1015, 2, false))</f>
        <v/>
      </c>
      <c r="F738" s="7" t="str">
        <f>IFERROR(IF(E738 = "None", 1, VLOOKUP(C738,General!$A$5:$L$35, SWITCH(E738, "Basic", 8, "Advanced", 10, "Modern", 12), false)),"")</f>
        <v/>
      </c>
      <c r="G738" s="29"/>
      <c r="H738" s="7">
        <f>IFERROR(VLOOKUP(C738, General!$A$5:$L$35, 6, false) * G738 / 1000, 0)</f>
        <v>0</v>
      </c>
      <c r="I738" s="29"/>
      <c r="J738" s="22" t="str">
        <f>IFERROR(I738*VLOOKUP(D738,'Crafting Tables'!$1:$1000, 4, false)*F738,"")</f>
        <v/>
      </c>
      <c r="K738" s="29" t="b">
        <v>0</v>
      </c>
      <c r="L738" s="37"/>
      <c r="M738" s="29"/>
      <c r="N738" s="21" t="str">
        <f t="shared" si="2"/>
        <v/>
      </c>
      <c r="P738" s="37"/>
      <c r="Q738" s="29"/>
      <c r="R738" s="29" t="b">
        <v>0</v>
      </c>
      <c r="S738" s="22" t="str">
        <f t="shared" si="3"/>
        <v/>
      </c>
      <c r="T738" s="7">
        <f>IF(ISBLANK(P738), 0, VLOOKUP(P738, 'Price Sheet'!$A$2:$B1015, 2, false))</f>
        <v>0</v>
      </c>
      <c r="U738" s="33" t="str">
        <f t="shared" si="4"/>
        <v/>
      </c>
      <c r="V738" s="37"/>
      <c r="W738" s="29"/>
      <c r="X738" s="29" t="b">
        <v>0</v>
      </c>
      <c r="Y738" s="22" t="str">
        <f t="shared" si="5"/>
        <v/>
      </c>
      <c r="Z738" s="7">
        <f>IF(ISBLANK(V738), 0, VLOOKUP(V738, 'Price Sheet'!$A$2:$B1015, 2, false))</f>
        <v>0</v>
      </c>
      <c r="AA738" s="33" t="str">
        <f t="shared" si="6"/>
        <v/>
      </c>
      <c r="AB738" s="37"/>
      <c r="AC738" s="29"/>
      <c r="AD738" s="29" t="b">
        <v>0</v>
      </c>
      <c r="AE738" s="22" t="str">
        <f t="shared" si="7"/>
        <v/>
      </c>
      <c r="AF738" s="7">
        <f>IF(ISBLANK(AB738), 0, VLOOKUP(AB738, 'Price Sheet'!$A$2:$B1015, 2, false))</f>
        <v>0</v>
      </c>
      <c r="AG738" s="33" t="str">
        <f t="shared" si="8"/>
        <v/>
      </c>
      <c r="AH738" s="37"/>
      <c r="AI738" s="29"/>
      <c r="AJ738" s="29" t="b">
        <v>0</v>
      </c>
      <c r="AK738" s="22" t="str">
        <f t="shared" si="9"/>
        <v/>
      </c>
      <c r="AL738" s="7">
        <f>IF(ISBLANK(AH738), 0, VLOOKUP(AH738, 'Price Sheet'!$A$2:$B1015, 2, false))</f>
        <v>0</v>
      </c>
      <c r="AM738" s="33" t="str">
        <f t="shared" si="10"/>
        <v/>
      </c>
      <c r="AN738" s="37"/>
      <c r="AO738" s="29"/>
      <c r="AP738" s="29" t="b">
        <v>0</v>
      </c>
      <c r="AQ738" s="22" t="str">
        <f t="shared" si="11"/>
        <v/>
      </c>
      <c r="AR738" s="7">
        <f>IF(ISBLANK(AN738), 0, VLOOKUP(AN738, 'Price Sheet'!$A$2:$B1015, 2, false))</f>
        <v>0</v>
      </c>
      <c r="AS738" s="33" t="str">
        <f t="shared" si="12"/>
        <v/>
      </c>
      <c r="AT738" s="37"/>
      <c r="AU738" s="29"/>
      <c r="AV738" s="29" t="b">
        <v>0</v>
      </c>
      <c r="AW738" s="22" t="str">
        <f t="shared" si="13"/>
        <v/>
      </c>
      <c r="AX738" s="7">
        <f>IF(ISBLANK(AT738), 0, VLOOKUP(AT738, 'Price Sheet'!$A$2:$B1015, 2, false))</f>
        <v>0</v>
      </c>
      <c r="AY738" s="33" t="str">
        <f t="shared" si="14"/>
        <v/>
      </c>
      <c r="AZ738" s="37"/>
      <c r="BA738" s="29"/>
      <c r="BB738" s="29" t="b">
        <v>0</v>
      </c>
      <c r="BC738" s="22" t="str">
        <f t="shared" si="15"/>
        <v/>
      </c>
      <c r="BD738" s="7">
        <f>IF(ISBLANK(AZ738), 0, VLOOKUP(AZ738, 'Price Sheet'!$A$2:$B1015, 2, false))</f>
        <v>0</v>
      </c>
      <c r="BE738" s="33" t="str">
        <f t="shared" si="16"/>
        <v/>
      </c>
      <c r="BF738" s="37"/>
      <c r="BG738" s="29"/>
      <c r="BH738" s="29" t="b">
        <v>0</v>
      </c>
      <c r="BI738" s="22" t="str">
        <f t="shared" si="17"/>
        <v/>
      </c>
      <c r="BJ738" s="7">
        <f>IF(ISBLANK(BF738), 0, VLOOKUP(BF738, 'Price Sheet'!$A$2:$B1015, 2, false))</f>
        <v>0</v>
      </c>
      <c r="BK738" s="33" t="str">
        <f t="shared" si="18"/>
        <v/>
      </c>
      <c r="BL738" s="37"/>
      <c r="BM738" s="29"/>
      <c r="BN738" s="29" t="b">
        <v>0</v>
      </c>
      <c r="BO738" s="22" t="str">
        <f t="shared" si="19"/>
        <v/>
      </c>
      <c r="BP738" s="7">
        <f>IF(ISBLANK(BL738), 0, VLOOKUP(BL738, 'Price Sheet'!$A$2:$B1015, 2, false))</f>
        <v>0</v>
      </c>
      <c r="BQ738" s="33" t="str">
        <f t="shared" si="20"/>
        <v/>
      </c>
    </row>
    <row r="739">
      <c r="B739" s="19"/>
      <c r="C739" s="29"/>
      <c r="D739" s="29"/>
      <c r="E739" s="7" t="str">
        <f>IF(ISBLANK(D739), "", VLOOKUP(D739,'Crafting Tables'!$A$2:$B1015, 2, false))</f>
        <v/>
      </c>
      <c r="F739" s="7" t="str">
        <f>IFERROR(IF(E739 = "None", 1, VLOOKUP(C739,General!$A$5:$L$35, SWITCH(E739, "Basic", 8, "Advanced", 10, "Modern", 12), false)),"")</f>
        <v/>
      </c>
      <c r="G739" s="29"/>
      <c r="H739" s="7">
        <f>IFERROR(VLOOKUP(C739, General!$A$5:$L$35, 6, false) * G739 / 1000, 0)</f>
        <v>0</v>
      </c>
      <c r="I739" s="29"/>
      <c r="J739" s="22" t="str">
        <f>IFERROR(I739*VLOOKUP(D739,'Crafting Tables'!$1:$1000, 4, false)*F739,"")</f>
        <v/>
      </c>
      <c r="K739" s="29" t="b">
        <v>0</v>
      </c>
      <c r="L739" s="37"/>
      <c r="M739" s="29"/>
      <c r="N739" s="21" t="str">
        <f t="shared" si="2"/>
        <v/>
      </c>
      <c r="P739" s="37"/>
      <c r="Q739" s="29"/>
      <c r="R739" s="29" t="b">
        <v>0</v>
      </c>
      <c r="S739" s="22" t="str">
        <f t="shared" si="3"/>
        <v/>
      </c>
      <c r="T739" s="7">
        <f>IF(ISBLANK(P739), 0, VLOOKUP(P739, 'Price Sheet'!$A$2:$B1015, 2, false))</f>
        <v>0</v>
      </c>
      <c r="U739" s="33" t="str">
        <f t="shared" si="4"/>
        <v/>
      </c>
      <c r="V739" s="37"/>
      <c r="W739" s="29"/>
      <c r="X739" s="29" t="b">
        <v>0</v>
      </c>
      <c r="Y739" s="22" t="str">
        <f t="shared" si="5"/>
        <v/>
      </c>
      <c r="Z739" s="7">
        <f>IF(ISBLANK(V739), 0, VLOOKUP(V739, 'Price Sheet'!$A$2:$B1015, 2, false))</f>
        <v>0</v>
      </c>
      <c r="AA739" s="33" t="str">
        <f t="shared" si="6"/>
        <v/>
      </c>
      <c r="AB739" s="37"/>
      <c r="AC739" s="29"/>
      <c r="AD739" s="29" t="b">
        <v>0</v>
      </c>
      <c r="AE739" s="22" t="str">
        <f t="shared" si="7"/>
        <v/>
      </c>
      <c r="AF739" s="7">
        <f>IF(ISBLANK(AB739), 0, VLOOKUP(AB739, 'Price Sheet'!$A$2:$B1015, 2, false))</f>
        <v>0</v>
      </c>
      <c r="AG739" s="33" t="str">
        <f t="shared" si="8"/>
        <v/>
      </c>
      <c r="AH739" s="37"/>
      <c r="AI739" s="29"/>
      <c r="AJ739" s="29" t="b">
        <v>0</v>
      </c>
      <c r="AK739" s="22" t="str">
        <f t="shared" si="9"/>
        <v/>
      </c>
      <c r="AL739" s="7">
        <f>IF(ISBLANK(AH739), 0, VLOOKUP(AH739, 'Price Sheet'!$A$2:$B1015, 2, false))</f>
        <v>0</v>
      </c>
      <c r="AM739" s="33" t="str">
        <f t="shared" si="10"/>
        <v/>
      </c>
      <c r="AN739" s="37"/>
      <c r="AO739" s="29"/>
      <c r="AP739" s="29" t="b">
        <v>0</v>
      </c>
      <c r="AQ739" s="22" t="str">
        <f t="shared" si="11"/>
        <v/>
      </c>
      <c r="AR739" s="7">
        <f>IF(ISBLANK(AN739), 0, VLOOKUP(AN739, 'Price Sheet'!$A$2:$B1015, 2, false))</f>
        <v>0</v>
      </c>
      <c r="AS739" s="33" t="str">
        <f t="shared" si="12"/>
        <v/>
      </c>
      <c r="AT739" s="37"/>
      <c r="AU739" s="29"/>
      <c r="AV739" s="29" t="b">
        <v>0</v>
      </c>
      <c r="AW739" s="22" t="str">
        <f t="shared" si="13"/>
        <v/>
      </c>
      <c r="AX739" s="7">
        <f>IF(ISBLANK(AT739), 0, VLOOKUP(AT739, 'Price Sheet'!$A$2:$B1015, 2, false))</f>
        <v>0</v>
      </c>
      <c r="AY739" s="33" t="str">
        <f t="shared" si="14"/>
        <v/>
      </c>
      <c r="AZ739" s="37"/>
      <c r="BA739" s="29"/>
      <c r="BB739" s="29" t="b">
        <v>0</v>
      </c>
      <c r="BC739" s="22" t="str">
        <f t="shared" si="15"/>
        <v/>
      </c>
      <c r="BD739" s="7">
        <f>IF(ISBLANK(AZ739), 0, VLOOKUP(AZ739, 'Price Sheet'!$A$2:$B1015, 2, false))</f>
        <v>0</v>
      </c>
      <c r="BE739" s="33" t="str">
        <f t="shared" si="16"/>
        <v/>
      </c>
      <c r="BF739" s="37"/>
      <c r="BG739" s="29"/>
      <c r="BH739" s="29" t="b">
        <v>0</v>
      </c>
      <c r="BI739" s="22" t="str">
        <f t="shared" si="17"/>
        <v/>
      </c>
      <c r="BJ739" s="7">
        <f>IF(ISBLANK(BF739), 0, VLOOKUP(BF739, 'Price Sheet'!$A$2:$B1015, 2, false))</f>
        <v>0</v>
      </c>
      <c r="BK739" s="33" t="str">
        <f t="shared" si="18"/>
        <v/>
      </c>
      <c r="BL739" s="37"/>
      <c r="BM739" s="29"/>
      <c r="BN739" s="29" t="b">
        <v>0</v>
      </c>
      <c r="BO739" s="22" t="str">
        <f t="shared" si="19"/>
        <v/>
      </c>
      <c r="BP739" s="7">
        <f>IF(ISBLANK(BL739), 0, VLOOKUP(BL739, 'Price Sheet'!$A$2:$B1015, 2, false))</f>
        <v>0</v>
      </c>
      <c r="BQ739" s="33" t="str">
        <f t="shared" si="20"/>
        <v/>
      </c>
    </row>
    <row r="740">
      <c r="B740" s="19"/>
      <c r="C740" s="29"/>
      <c r="D740" s="29"/>
      <c r="E740" s="7" t="str">
        <f>IF(ISBLANK(D740), "", VLOOKUP(D740,'Crafting Tables'!$A$2:$B1015, 2, false))</f>
        <v/>
      </c>
      <c r="F740" s="7" t="str">
        <f>IFERROR(IF(E740 = "None", 1, VLOOKUP(C740,General!$A$5:$L$35, SWITCH(E740, "Basic", 8, "Advanced", 10, "Modern", 12), false)),"")</f>
        <v/>
      </c>
      <c r="G740" s="29"/>
      <c r="H740" s="7">
        <f>IFERROR(VLOOKUP(C740, General!$A$5:$L$35, 6, false) * G740 / 1000, 0)</f>
        <v>0</v>
      </c>
      <c r="I740" s="29"/>
      <c r="J740" s="22" t="str">
        <f>IFERROR(I740*VLOOKUP(D740,'Crafting Tables'!$1:$1000, 4, false)*F740,"")</f>
        <v/>
      </c>
      <c r="K740" s="29" t="b">
        <v>0</v>
      </c>
      <c r="L740" s="37"/>
      <c r="M740" s="29"/>
      <c r="N740" s="21" t="str">
        <f t="shared" si="2"/>
        <v/>
      </c>
      <c r="P740" s="37"/>
      <c r="Q740" s="29"/>
      <c r="R740" s="29" t="b">
        <v>0</v>
      </c>
      <c r="S740" s="22" t="str">
        <f t="shared" si="3"/>
        <v/>
      </c>
      <c r="T740" s="7">
        <f>IF(ISBLANK(P740), 0, VLOOKUP(P740, 'Price Sheet'!$A$2:$B1015, 2, false))</f>
        <v>0</v>
      </c>
      <c r="U740" s="33" t="str">
        <f t="shared" si="4"/>
        <v/>
      </c>
      <c r="V740" s="37"/>
      <c r="W740" s="29"/>
      <c r="X740" s="29" t="b">
        <v>0</v>
      </c>
      <c r="Y740" s="22" t="str">
        <f t="shared" si="5"/>
        <v/>
      </c>
      <c r="Z740" s="7">
        <f>IF(ISBLANK(V740), 0, VLOOKUP(V740, 'Price Sheet'!$A$2:$B1015, 2, false))</f>
        <v>0</v>
      </c>
      <c r="AA740" s="33" t="str">
        <f t="shared" si="6"/>
        <v/>
      </c>
      <c r="AB740" s="37"/>
      <c r="AC740" s="29"/>
      <c r="AD740" s="29" t="b">
        <v>0</v>
      </c>
      <c r="AE740" s="22" t="str">
        <f t="shared" si="7"/>
        <v/>
      </c>
      <c r="AF740" s="7">
        <f>IF(ISBLANK(AB740), 0, VLOOKUP(AB740, 'Price Sheet'!$A$2:$B1015, 2, false))</f>
        <v>0</v>
      </c>
      <c r="AG740" s="33" t="str">
        <f t="shared" si="8"/>
        <v/>
      </c>
      <c r="AH740" s="37"/>
      <c r="AI740" s="29"/>
      <c r="AJ740" s="29" t="b">
        <v>0</v>
      </c>
      <c r="AK740" s="22" t="str">
        <f t="shared" si="9"/>
        <v/>
      </c>
      <c r="AL740" s="7">
        <f>IF(ISBLANK(AH740), 0, VLOOKUP(AH740, 'Price Sheet'!$A$2:$B1015, 2, false))</f>
        <v>0</v>
      </c>
      <c r="AM740" s="33" t="str">
        <f t="shared" si="10"/>
        <v/>
      </c>
      <c r="AN740" s="37"/>
      <c r="AO740" s="29"/>
      <c r="AP740" s="29" t="b">
        <v>0</v>
      </c>
      <c r="AQ740" s="22" t="str">
        <f t="shared" si="11"/>
        <v/>
      </c>
      <c r="AR740" s="7">
        <f>IF(ISBLANK(AN740), 0, VLOOKUP(AN740, 'Price Sheet'!$A$2:$B1015, 2, false))</f>
        <v>0</v>
      </c>
      <c r="AS740" s="33" t="str">
        <f t="shared" si="12"/>
        <v/>
      </c>
      <c r="AT740" s="37"/>
      <c r="AU740" s="29"/>
      <c r="AV740" s="29" t="b">
        <v>0</v>
      </c>
      <c r="AW740" s="22" t="str">
        <f t="shared" si="13"/>
        <v/>
      </c>
      <c r="AX740" s="7">
        <f>IF(ISBLANK(AT740), 0, VLOOKUP(AT740, 'Price Sheet'!$A$2:$B1015, 2, false))</f>
        <v>0</v>
      </c>
      <c r="AY740" s="33" t="str">
        <f t="shared" si="14"/>
        <v/>
      </c>
      <c r="AZ740" s="37"/>
      <c r="BA740" s="29"/>
      <c r="BB740" s="29" t="b">
        <v>0</v>
      </c>
      <c r="BC740" s="22" t="str">
        <f t="shared" si="15"/>
        <v/>
      </c>
      <c r="BD740" s="7">
        <f>IF(ISBLANK(AZ740), 0, VLOOKUP(AZ740, 'Price Sheet'!$A$2:$B1015, 2, false))</f>
        <v>0</v>
      </c>
      <c r="BE740" s="33" t="str">
        <f t="shared" si="16"/>
        <v/>
      </c>
      <c r="BF740" s="37"/>
      <c r="BG740" s="29"/>
      <c r="BH740" s="29" t="b">
        <v>0</v>
      </c>
      <c r="BI740" s="22" t="str">
        <f t="shared" si="17"/>
        <v/>
      </c>
      <c r="BJ740" s="7">
        <f>IF(ISBLANK(BF740), 0, VLOOKUP(BF740, 'Price Sheet'!$A$2:$B1015, 2, false))</f>
        <v>0</v>
      </c>
      <c r="BK740" s="33" t="str">
        <f t="shared" si="18"/>
        <v/>
      </c>
      <c r="BL740" s="37"/>
      <c r="BM740" s="29"/>
      <c r="BN740" s="29" t="b">
        <v>0</v>
      </c>
      <c r="BO740" s="22" t="str">
        <f t="shared" si="19"/>
        <v/>
      </c>
      <c r="BP740" s="7">
        <f>IF(ISBLANK(BL740), 0, VLOOKUP(BL740, 'Price Sheet'!$A$2:$B1015, 2, false))</f>
        <v>0</v>
      </c>
      <c r="BQ740" s="33" t="str">
        <f t="shared" si="20"/>
        <v/>
      </c>
    </row>
    <row r="741">
      <c r="B741" s="19"/>
      <c r="C741" s="29"/>
      <c r="D741" s="29"/>
      <c r="E741" s="7" t="str">
        <f>IF(ISBLANK(D741), "", VLOOKUP(D741,'Crafting Tables'!$A$2:$B1015, 2, false))</f>
        <v/>
      </c>
      <c r="F741" s="7" t="str">
        <f>IFERROR(IF(E741 = "None", 1, VLOOKUP(C741,General!$A$5:$L$35, SWITCH(E741, "Basic", 8, "Advanced", 10, "Modern", 12), false)),"")</f>
        <v/>
      </c>
      <c r="G741" s="29"/>
      <c r="H741" s="7">
        <f>IFERROR(VLOOKUP(C741, General!$A$5:$L$35, 6, false) * G741 / 1000, 0)</f>
        <v>0</v>
      </c>
      <c r="I741" s="29"/>
      <c r="J741" s="22" t="str">
        <f>IFERROR(I741*VLOOKUP(D741,'Crafting Tables'!$1:$1000, 4, false)*F741,"")</f>
        <v/>
      </c>
      <c r="K741" s="29" t="b">
        <v>0</v>
      </c>
      <c r="L741" s="37"/>
      <c r="M741" s="29"/>
      <c r="N741" s="21" t="str">
        <f t="shared" si="2"/>
        <v/>
      </c>
      <c r="P741" s="37"/>
      <c r="Q741" s="29"/>
      <c r="R741" s="29" t="b">
        <v>0</v>
      </c>
      <c r="S741" s="22" t="str">
        <f t="shared" si="3"/>
        <v/>
      </c>
      <c r="T741" s="7">
        <f>IF(ISBLANK(P741), 0, VLOOKUP(P741, 'Price Sheet'!$A$2:$B1015, 2, false))</f>
        <v>0</v>
      </c>
      <c r="U741" s="33" t="str">
        <f t="shared" si="4"/>
        <v/>
      </c>
      <c r="V741" s="37"/>
      <c r="W741" s="29"/>
      <c r="X741" s="29" t="b">
        <v>0</v>
      </c>
      <c r="Y741" s="22" t="str">
        <f t="shared" si="5"/>
        <v/>
      </c>
      <c r="Z741" s="7">
        <f>IF(ISBLANK(V741), 0, VLOOKUP(V741, 'Price Sheet'!$A$2:$B1015, 2, false))</f>
        <v>0</v>
      </c>
      <c r="AA741" s="33" t="str">
        <f t="shared" si="6"/>
        <v/>
      </c>
      <c r="AB741" s="37"/>
      <c r="AC741" s="29"/>
      <c r="AD741" s="29" t="b">
        <v>0</v>
      </c>
      <c r="AE741" s="22" t="str">
        <f t="shared" si="7"/>
        <v/>
      </c>
      <c r="AF741" s="7">
        <f>IF(ISBLANK(AB741), 0, VLOOKUP(AB741, 'Price Sheet'!$A$2:$B1015, 2, false))</f>
        <v>0</v>
      </c>
      <c r="AG741" s="33" t="str">
        <f t="shared" si="8"/>
        <v/>
      </c>
      <c r="AH741" s="37"/>
      <c r="AI741" s="29"/>
      <c r="AJ741" s="29" t="b">
        <v>0</v>
      </c>
      <c r="AK741" s="22" t="str">
        <f t="shared" si="9"/>
        <v/>
      </c>
      <c r="AL741" s="7">
        <f>IF(ISBLANK(AH741), 0, VLOOKUP(AH741, 'Price Sheet'!$A$2:$B1015, 2, false))</f>
        <v>0</v>
      </c>
      <c r="AM741" s="33" t="str">
        <f t="shared" si="10"/>
        <v/>
      </c>
      <c r="AN741" s="37"/>
      <c r="AO741" s="29"/>
      <c r="AP741" s="29" t="b">
        <v>0</v>
      </c>
      <c r="AQ741" s="22" t="str">
        <f t="shared" si="11"/>
        <v/>
      </c>
      <c r="AR741" s="7">
        <f>IF(ISBLANK(AN741), 0, VLOOKUP(AN741, 'Price Sheet'!$A$2:$B1015, 2, false))</f>
        <v>0</v>
      </c>
      <c r="AS741" s="33" t="str">
        <f t="shared" si="12"/>
        <v/>
      </c>
      <c r="AT741" s="37"/>
      <c r="AU741" s="29"/>
      <c r="AV741" s="29" t="b">
        <v>0</v>
      </c>
      <c r="AW741" s="22" t="str">
        <f t="shared" si="13"/>
        <v/>
      </c>
      <c r="AX741" s="7">
        <f>IF(ISBLANK(AT741), 0, VLOOKUP(AT741, 'Price Sheet'!$A$2:$B1015, 2, false))</f>
        <v>0</v>
      </c>
      <c r="AY741" s="33" t="str">
        <f t="shared" si="14"/>
        <v/>
      </c>
      <c r="AZ741" s="37"/>
      <c r="BA741" s="29"/>
      <c r="BB741" s="29" t="b">
        <v>0</v>
      </c>
      <c r="BC741" s="22" t="str">
        <f t="shared" si="15"/>
        <v/>
      </c>
      <c r="BD741" s="7">
        <f>IF(ISBLANK(AZ741), 0, VLOOKUP(AZ741, 'Price Sheet'!$A$2:$B1015, 2, false))</f>
        <v>0</v>
      </c>
      <c r="BE741" s="33" t="str">
        <f t="shared" si="16"/>
        <v/>
      </c>
      <c r="BF741" s="37"/>
      <c r="BG741" s="29"/>
      <c r="BH741" s="29" t="b">
        <v>0</v>
      </c>
      <c r="BI741" s="22" t="str">
        <f t="shared" si="17"/>
        <v/>
      </c>
      <c r="BJ741" s="7">
        <f>IF(ISBLANK(BF741), 0, VLOOKUP(BF741, 'Price Sheet'!$A$2:$B1015, 2, false))</f>
        <v>0</v>
      </c>
      <c r="BK741" s="33" t="str">
        <f t="shared" si="18"/>
        <v/>
      </c>
      <c r="BL741" s="37"/>
      <c r="BM741" s="29"/>
      <c r="BN741" s="29" t="b">
        <v>0</v>
      </c>
      <c r="BO741" s="22" t="str">
        <f t="shared" si="19"/>
        <v/>
      </c>
      <c r="BP741" s="7">
        <f>IF(ISBLANK(BL741), 0, VLOOKUP(BL741, 'Price Sheet'!$A$2:$B1015, 2, false))</f>
        <v>0</v>
      </c>
      <c r="BQ741" s="33" t="str">
        <f t="shared" si="20"/>
        <v/>
      </c>
    </row>
    <row r="742">
      <c r="B742" s="19"/>
      <c r="C742" s="29"/>
      <c r="D742" s="29"/>
      <c r="E742" s="7" t="str">
        <f>IF(ISBLANK(D742), "", VLOOKUP(D742,'Crafting Tables'!$A$2:$B1015, 2, false))</f>
        <v/>
      </c>
      <c r="F742" s="7" t="str">
        <f>IFERROR(IF(E742 = "None", 1, VLOOKUP(C742,General!$A$5:$L$35, SWITCH(E742, "Basic", 8, "Advanced", 10, "Modern", 12), false)),"")</f>
        <v/>
      </c>
      <c r="G742" s="29"/>
      <c r="H742" s="7">
        <f>IFERROR(VLOOKUP(C742, General!$A$5:$L$35, 6, false) * G742 / 1000, 0)</f>
        <v>0</v>
      </c>
      <c r="I742" s="29"/>
      <c r="J742" s="22" t="str">
        <f>IFERROR(I742*VLOOKUP(D742,'Crafting Tables'!$1:$1000, 4, false)*F742,"")</f>
        <v/>
      </c>
      <c r="K742" s="29" t="b">
        <v>0</v>
      </c>
      <c r="L742" s="37"/>
      <c r="M742" s="29"/>
      <c r="N742" s="21" t="str">
        <f t="shared" si="2"/>
        <v/>
      </c>
      <c r="P742" s="37"/>
      <c r="Q742" s="29"/>
      <c r="R742" s="29" t="b">
        <v>0</v>
      </c>
      <c r="S742" s="22" t="str">
        <f t="shared" si="3"/>
        <v/>
      </c>
      <c r="T742" s="7">
        <f>IF(ISBLANK(P742), 0, VLOOKUP(P742, 'Price Sheet'!$A$2:$B1015, 2, false))</f>
        <v>0</v>
      </c>
      <c r="U742" s="33" t="str">
        <f t="shared" si="4"/>
        <v/>
      </c>
      <c r="V742" s="37"/>
      <c r="W742" s="29"/>
      <c r="X742" s="29" t="b">
        <v>0</v>
      </c>
      <c r="Y742" s="22" t="str">
        <f t="shared" si="5"/>
        <v/>
      </c>
      <c r="Z742" s="7">
        <f>IF(ISBLANK(V742), 0, VLOOKUP(V742, 'Price Sheet'!$A$2:$B1015, 2, false))</f>
        <v>0</v>
      </c>
      <c r="AA742" s="33" t="str">
        <f t="shared" si="6"/>
        <v/>
      </c>
      <c r="AB742" s="37"/>
      <c r="AC742" s="29"/>
      <c r="AD742" s="29" t="b">
        <v>0</v>
      </c>
      <c r="AE742" s="22" t="str">
        <f t="shared" si="7"/>
        <v/>
      </c>
      <c r="AF742" s="7">
        <f>IF(ISBLANK(AB742), 0, VLOOKUP(AB742, 'Price Sheet'!$A$2:$B1015, 2, false))</f>
        <v>0</v>
      </c>
      <c r="AG742" s="33" t="str">
        <f t="shared" si="8"/>
        <v/>
      </c>
      <c r="AH742" s="37"/>
      <c r="AI742" s="29"/>
      <c r="AJ742" s="29" t="b">
        <v>0</v>
      </c>
      <c r="AK742" s="22" t="str">
        <f t="shared" si="9"/>
        <v/>
      </c>
      <c r="AL742" s="7">
        <f>IF(ISBLANK(AH742), 0, VLOOKUP(AH742, 'Price Sheet'!$A$2:$B1015, 2, false))</f>
        <v>0</v>
      </c>
      <c r="AM742" s="33" t="str">
        <f t="shared" si="10"/>
        <v/>
      </c>
      <c r="AN742" s="37"/>
      <c r="AO742" s="29"/>
      <c r="AP742" s="29" t="b">
        <v>0</v>
      </c>
      <c r="AQ742" s="22" t="str">
        <f t="shared" si="11"/>
        <v/>
      </c>
      <c r="AR742" s="7">
        <f>IF(ISBLANK(AN742), 0, VLOOKUP(AN742, 'Price Sheet'!$A$2:$B1015, 2, false))</f>
        <v>0</v>
      </c>
      <c r="AS742" s="33" t="str">
        <f t="shared" si="12"/>
        <v/>
      </c>
      <c r="AT742" s="37"/>
      <c r="AU742" s="29"/>
      <c r="AV742" s="29" t="b">
        <v>0</v>
      </c>
      <c r="AW742" s="22" t="str">
        <f t="shared" si="13"/>
        <v/>
      </c>
      <c r="AX742" s="7">
        <f>IF(ISBLANK(AT742), 0, VLOOKUP(AT742, 'Price Sheet'!$A$2:$B1015, 2, false))</f>
        <v>0</v>
      </c>
      <c r="AY742" s="33" t="str">
        <f t="shared" si="14"/>
        <v/>
      </c>
      <c r="AZ742" s="37"/>
      <c r="BA742" s="29"/>
      <c r="BB742" s="29" t="b">
        <v>0</v>
      </c>
      <c r="BC742" s="22" t="str">
        <f t="shared" si="15"/>
        <v/>
      </c>
      <c r="BD742" s="7">
        <f>IF(ISBLANK(AZ742), 0, VLOOKUP(AZ742, 'Price Sheet'!$A$2:$B1015, 2, false))</f>
        <v>0</v>
      </c>
      <c r="BE742" s="33" t="str">
        <f t="shared" si="16"/>
        <v/>
      </c>
      <c r="BF742" s="37"/>
      <c r="BG742" s="29"/>
      <c r="BH742" s="29" t="b">
        <v>0</v>
      </c>
      <c r="BI742" s="22" t="str">
        <f t="shared" si="17"/>
        <v/>
      </c>
      <c r="BJ742" s="7">
        <f>IF(ISBLANK(BF742), 0, VLOOKUP(BF742, 'Price Sheet'!$A$2:$B1015, 2, false))</f>
        <v>0</v>
      </c>
      <c r="BK742" s="33" t="str">
        <f t="shared" si="18"/>
        <v/>
      </c>
      <c r="BL742" s="37"/>
      <c r="BM742" s="29"/>
      <c r="BN742" s="29" t="b">
        <v>0</v>
      </c>
      <c r="BO742" s="22" t="str">
        <f t="shared" si="19"/>
        <v/>
      </c>
      <c r="BP742" s="7">
        <f>IF(ISBLANK(BL742), 0, VLOOKUP(BL742, 'Price Sheet'!$A$2:$B1015, 2, false))</f>
        <v>0</v>
      </c>
      <c r="BQ742" s="33" t="str">
        <f t="shared" si="20"/>
        <v/>
      </c>
    </row>
    <row r="743">
      <c r="B743" s="19"/>
      <c r="C743" s="29"/>
      <c r="D743" s="29"/>
      <c r="E743" s="7" t="str">
        <f>IF(ISBLANK(D743), "", VLOOKUP(D743,'Crafting Tables'!$A$2:$B1015, 2, false))</f>
        <v/>
      </c>
      <c r="F743" s="7" t="str">
        <f>IFERROR(IF(E743 = "None", 1, VLOOKUP(C743,General!$A$5:$L$35, SWITCH(E743, "Basic", 8, "Advanced", 10, "Modern", 12), false)),"")</f>
        <v/>
      </c>
      <c r="G743" s="29"/>
      <c r="H743" s="7">
        <f>IFERROR(VLOOKUP(C743, General!$A$5:$L$35, 6, false) * G743 / 1000, 0)</f>
        <v>0</v>
      </c>
      <c r="I743" s="29"/>
      <c r="J743" s="22" t="str">
        <f>IFERROR(I743*VLOOKUP(D743,'Crafting Tables'!$1:$1000, 4, false)*F743,"")</f>
        <v/>
      </c>
      <c r="K743" s="29" t="b">
        <v>0</v>
      </c>
      <c r="L743" s="37"/>
      <c r="M743" s="29"/>
      <c r="N743" s="21" t="str">
        <f t="shared" si="2"/>
        <v/>
      </c>
      <c r="P743" s="37"/>
      <c r="Q743" s="29"/>
      <c r="R743" s="29" t="b">
        <v>0</v>
      </c>
      <c r="S743" s="22" t="str">
        <f t="shared" si="3"/>
        <v/>
      </c>
      <c r="T743" s="7">
        <f>IF(ISBLANK(P743), 0, VLOOKUP(P743, 'Price Sheet'!$A$2:$B1015, 2, false))</f>
        <v>0</v>
      </c>
      <c r="U743" s="33" t="str">
        <f t="shared" si="4"/>
        <v/>
      </c>
      <c r="V743" s="37"/>
      <c r="W743" s="29"/>
      <c r="X743" s="29" t="b">
        <v>0</v>
      </c>
      <c r="Y743" s="22" t="str">
        <f t="shared" si="5"/>
        <v/>
      </c>
      <c r="Z743" s="7">
        <f>IF(ISBLANK(V743), 0, VLOOKUP(V743, 'Price Sheet'!$A$2:$B1015, 2, false))</f>
        <v>0</v>
      </c>
      <c r="AA743" s="33" t="str">
        <f t="shared" si="6"/>
        <v/>
      </c>
      <c r="AB743" s="37"/>
      <c r="AC743" s="29"/>
      <c r="AD743" s="29" t="b">
        <v>0</v>
      </c>
      <c r="AE743" s="22" t="str">
        <f t="shared" si="7"/>
        <v/>
      </c>
      <c r="AF743" s="7">
        <f>IF(ISBLANK(AB743), 0, VLOOKUP(AB743, 'Price Sheet'!$A$2:$B1015, 2, false))</f>
        <v>0</v>
      </c>
      <c r="AG743" s="33" t="str">
        <f t="shared" si="8"/>
        <v/>
      </c>
      <c r="AH743" s="37"/>
      <c r="AI743" s="29"/>
      <c r="AJ743" s="29" t="b">
        <v>0</v>
      </c>
      <c r="AK743" s="22" t="str">
        <f t="shared" si="9"/>
        <v/>
      </c>
      <c r="AL743" s="7">
        <f>IF(ISBLANK(AH743), 0, VLOOKUP(AH743, 'Price Sheet'!$A$2:$B1015, 2, false))</f>
        <v>0</v>
      </c>
      <c r="AM743" s="33" t="str">
        <f t="shared" si="10"/>
        <v/>
      </c>
      <c r="AN743" s="37"/>
      <c r="AO743" s="29"/>
      <c r="AP743" s="29" t="b">
        <v>0</v>
      </c>
      <c r="AQ743" s="22" t="str">
        <f t="shared" si="11"/>
        <v/>
      </c>
      <c r="AR743" s="7">
        <f>IF(ISBLANK(AN743), 0, VLOOKUP(AN743, 'Price Sheet'!$A$2:$B1015, 2, false))</f>
        <v>0</v>
      </c>
      <c r="AS743" s="33" t="str">
        <f t="shared" si="12"/>
        <v/>
      </c>
      <c r="AT743" s="37"/>
      <c r="AU743" s="29"/>
      <c r="AV743" s="29" t="b">
        <v>0</v>
      </c>
      <c r="AW743" s="22" t="str">
        <f t="shared" si="13"/>
        <v/>
      </c>
      <c r="AX743" s="7">
        <f>IF(ISBLANK(AT743), 0, VLOOKUP(AT743, 'Price Sheet'!$A$2:$B1015, 2, false))</f>
        <v>0</v>
      </c>
      <c r="AY743" s="33" t="str">
        <f t="shared" si="14"/>
        <v/>
      </c>
      <c r="AZ743" s="37"/>
      <c r="BA743" s="29"/>
      <c r="BB743" s="29" t="b">
        <v>0</v>
      </c>
      <c r="BC743" s="22" t="str">
        <f t="shared" si="15"/>
        <v/>
      </c>
      <c r="BD743" s="7">
        <f>IF(ISBLANK(AZ743), 0, VLOOKUP(AZ743, 'Price Sheet'!$A$2:$B1015, 2, false))</f>
        <v>0</v>
      </c>
      <c r="BE743" s="33" t="str">
        <f t="shared" si="16"/>
        <v/>
      </c>
      <c r="BF743" s="37"/>
      <c r="BG743" s="29"/>
      <c r="BH743" s="29" t="b">
        <v>0</v>
      </c>
      <c r="BI743" s="22" t="str">
        <f t="shared" si="17"/>
        <v/>
      </c>
      <c r="BJ743" s="7">
        <f>IF(ISBLANK(BF743), 0, VLOOKUP(BF743, 'Price Sheet'!$A$2:$B1015, 2, false))</f>
        <v>0</v>
      </c>
      <c r="BK743" s="33" t="str">
        <f t="shared" si="18"/>
        <v/>
      </c>
      <c r="BL743" s="37"/>
      <c r="BM743" s="29"/>
      <c r="BN743" s="29" t="b">
        <v>0</v>
      </c>
      <c r="BO743" s="22" t="str">
        <f t="shared" si="19"/>
        <v/>
      </c>
      <c r="BP743" s="7">
        <f>IF(ISBLANK(BL743), 0, VLOOKUP(BL743, 'Price Sheet'!$A$2:$B1015, 2, false))</f>
        <v>0</v>
      </c>
      <c r="BQ743" s="33" t="str">
        <f t="shared" si="20"/>
        <v/>
      </c>
    </row>
    <row r="744">
      <c r="B744" s="19"/>
      <c r="C744" s="29"/>
      <c r="D744" s="29"/>
      <c r="E744" s="7" t="str">
        <f>IF(ISBLANK(D744), "", VLOOKUP(D744,'Crafting Tables'!$A$2:$B1015, 2, false))</f>
        <v/>
      </c>
      <c r="F744" s="7" t="str">
        <f>IFERROR(IF(E744 = "None", 1, VLOOKUP(C744,General!$A$5:$L$35, SWITCH(E744, "Basic", 8, "Advanced", 10, "Modern", 12), false)),"")</f>
        <v/>
      </c>
      <c r="G744" s="29"/>
      <c r="H744" s="7">
        <f>IFERROR(VLOOKUP(C744, General!$A$5:$L$35, 6, false) * G744 / 1000, 0)</f>
        <v>0</v>
      </c>
      <c r="I744" s="29"/>
      <c r="J744" s="22" t="str">
        <f>IFERROR(I744*VLOOKUP(D744,'Crafting Tables'!$1:$1000, 4, false)*F744,"")</f>
        <v/>
      </c>
      <c r="K744" s="29" t="b">
        <v>0</v>
      </c>
      <c r="L744" s="37"/>
      <c r="M744" s="29"/>
      <c r="N744" s="21" t="str">
        <f t="shared" si="2"/>
        <v/>
      </c>
      <c r="P744" s="37"/>
      <c r="Q744" s="29"/>
      <c r="R744" s="29" t="b">
        <v>0</v>
      </c>
      <c r="S744" s="22" t="str">
        <f t="shared" si="3"/>
        <v/>
      </c>
      <c r="T744" s="7">
        <f>IF(ISBLANK(P744), 0, VLOOKUP(P744, 'Price Sheet'!$A$2:$B1015, 2, false))</f>
        <v>0</v>
      </c>
      <c r="U744" s="33" t="str">
        <f t="shared" si="4"/>
        <v/>
      </c>
      <c r="V744" s="37"/>
      <c r="W744" s="29"/>
      <c r="X744" s="29" t="b">
        <v>0</v>
      </c>
      <c r="Y744" s="22" t="str">
        <f t="shared" si="5"/>
        <v/>
      </c>
      <c r="Z744" s="7">
        <f>IF(ISBLANK(V744), 0, VLOOKUP(V744, 'Price Sheet'!$A$2:$B1015, 2, false))</f>
        <v>0</v>
      </c>
      <c r="AA744" s="33" t="str">
        <f t="shared" si="6"/>
        <v/>
      </c>
      <c r="AB744" s="37"/>
      <c r="AC744" s="29"/>
      <c r="AD744" s="29" t="b">
        <v>0</v>
      </c>
      <c r="AE744" s="22" t="str">
        <f t="shared" si="7"/>
        <v/>
      </c>
      <c r="AF744" s="7">
        <f>IF(ISBLANK(AB744), 0, VLOOKUP(AB744, 'Price Sheet'!$A$2:$B1015, 2, false))</f>
        <v>0</v>
      </c>
      <c r="AG744" s="33" t="str">
        <f t="shared" si="8"/>
        <v/>
      </c>
      <c r="AH744" s="37"/>
      <c r="AI744" s="29"/>
      <c r="AJ744" s="29" t="b">
        <v>0</v>
      </c>
      <c r="AK744" s="22" t="str">
        <f t="shared" si="9"/>
        <v/>
      </c>
      <c r="AL744" s="7">
        <f>IF(ISBLANK(AH744), 0, VLOOKUP(AH744, 'Price Sheet'!$A$2:$B1015, 2, false))</f>
        <v>0</v>
      </c>
      <c r="AM744" s="33" t="str">
        <f t="shared" si="10"/>
        <v/>
      </c>
      <c r="AN744" s="37"/>
      <c r="AO744" s="29"/>
      <c r="AP744" s="29" t="b">
        <v>0</v>
      </c>
      <c r="AQ744" s="22" t="str">
        <f t="shared" si="11"/>
        <v/>
      </c>
      <c r="AR744" s="7">
        <f>IF(ISBLANK(AN744), 0, VLOOKUP(AN744, 'Price Sheet'!$A$2:$B1015, 2, false))</f>
        <v>0</v>
      </c>
      <c r="AS744" s="33" t="str">
        <f t="shared" si="12"/>
        <v/>
      </c>
      <c r="AT744" s="37"/>
      <c r="AU744" s="29"/>
      <c r="AV744" s="29" t="b">
        <v>0</v>
      </c>
      <c r="AW744" s="22" t="str">
        <f t="shared" si="13"/>
        <v/>
      </c>
      <c r="AX744" s="7">
        <f>IF(ISBLANK(AT744), 0, VLOOKUP(AT744, 'Price Sheet'!$A$2:$B1015, 2, false))</f>
        <v>0</v>
      </c>
      <c r="AY744" s="33" t="str">
        <f t="shared" si="14"/>
        <v/>
      </c>
      <c r="AZ744" s="37"/>
      <c r="BA744" s="29"/>
      <c r="BB744" s="29" t="b">
        <v>0</v>
      </c>
      <c r="BC744" s="22" t="str">
        <f t="shared" si="15"/>
        <v/>
      </c>
      <c r="BD744" s="7">
        <f>IF(ISBLANK(AZ744), 0, VLOOKUP(AZ744, 'Price Sheet'!$A$2:$B1015, 2, false))</f>
        <v>0</v>
      </c>
      <c r="BE744" s="33" t="str">
        <f t="shared" si="16"/>
        <v/>
      </c>
      <c r="BF744" s="37"/>
      <c r="BG744" s="29"/>
      <c r="BH744" s="29" t="b">
        <v>0</v>
      </c>
      <c r="BI744" s="22" t="str">
        <f t="shared" si="17"/>
        <v/>
      </c>
      <c r="BJ744" s="7">
        <f>IF(ISBLANK(BF744), 0, VLOOKUP(BF744, 'Price Sheet'!$A$2:$B1015, 2, false))</f>
        <v>0</v>
      </c>
      <c r="BK744" s="33" t="str">
        <f t="shared" si="18"/>
        <v/>
      </c>
      <c r="BL744" s="37"/>
      <c r="BM744" s="29"/>
      <c r="BN744" s="29" t="b">
        <v>0</v>
      </c>
      <c r="BO744" s="22" t="str">
        <f t="shared" si="19"/>
        <v/>
      </c>
      <c r="BP744" s="7">
        <f>IF(ISBLANK(BL744), 0, VLOOKUP(BL744, 'Price Sheet'!$A$2:$B1015, 2, false))</f>
        <v>0</v>
      </c>
      <c r="BQ744" s="33" t="str">
        <f t="shared" si="20"/>
        <v/>
      </c>
    </row>
    <row r="745">
      <c r="B745" s="19"/>
      <c r="C745" s="29"/>
      <c r="D745" s="29"/>
      <c r="E745" s="7" t="str">
        <f>IF(ISBLANK(D745), "", VLOOKUP(D745,'Crafting Tables'!$A$2:$B1015, 2, false))</f>
        <v/>
      </c>
      <c r="F745" s="7" t="str">
        <f>IFERROR(IF(E745 = "None", 1, VLOOKUP(C745,General!$A$5:$L$35, SWITCH(E745, "Basic", 8, "Advanced", 10, "Modern", 12), false)),"")</f>
        <v/>
      </c>
      <c r="G745" s="29"/>
      <c r="H745" s="7">
        <f>IFERROR(VLOOKUP(C745, General!$A$5:$L$35, 6, false) * G745 / 1000, 0)</f>
        <v>0</v>
      </c>
      <c r="I745" s="29"/>
      <c r="J745" s="22" t="str">
        <f>IFERROR(I745*VLOOKUP(D745,'Crafting Tables'!$1:$1000, 4, false)*F745,"")</f>
        <v/>
      </c>
      <c r="K745" s="29" t="b">
        <v>0</v>
      </c>
      <c r="L745" s="37"/>
      <c r="M745" s="29"/>
      <c r="N745" s="21" t="str">
        <f t="shared" si="2"/>
        <v/>
      </c>
      <c r="P745" s="37"/>
      <c r="Q745" s="29"/>
      <c r="R745" s="29" t="b">
        <v>0</v>
      </c>
      <c r="S745" s="22" t="str">
        <f t="shared" si="3"/>
        <v/>
      </c>
      <c r="T745" s="7">
        <f>IF(ISBLANK(P745), 0, VLOOKUP(P745, 'Price Sheet'!$A$2:$B1015, 2, false))</f>
        <v>0</v>
      </c>
      <c r="U745" s="33" t="str">
        <f t="shared" si="4"/>
        <v/>
      </c>
      <c r="V745" s="37"/>
      <c r="W745" s="29"/>
      <c r="X745" s="29" t="b">
        <v>0</v>
      </c>
      <c r="Y745" s="22" t="str">
        <f t="shared" si="5"/>
        <v/>
      </c>
      <c r="Z745" s="7">
        <f>IF(ISBLANK(V745), 0, VLOOKUP(V745, 'Price Sheet'!$A$2:$B1015, 2, false))</f>
        <v>0</v>
      </c>
      <c r="AA745" s="33" t="str">
        <f t="shared" si="6"/>
        <v/>
      </c>
      <c r="AB745" s="37"/>
      <c r="AC745" s="29"/>
      <c r="AD745" s="29" t="b">
        <v>0</v>
      </c>
      <c r="AE745" s="22" t="str">
        <f t="shared" si="7"/>
        <v/>
      </c>
      <c r="AF745" s="7">
        <f>IF(ISBLANK(AB745), 0, VLOOKUP(AB745, 'Price Sheet'!$A$2:$B1015, 2, false))</f>
        <v>0</v>
      </c>
      <c r="AG745" s="33" t="str">
        <f t="shared" si="8"/>
        <v/>
      </c>
      <c r="AH745" s="37"/>
      <c r="AI745" s="29"/>
      <c r="AJ745" s="29" t="b">
        <v>0</v>
      </c>
      <c r="AK745" s="22" t="str">
        <f t="shared" si="9"/>
        <v/>
      </c>
      <c r="AL745" s="7">
        <f>IF(ISBLANK(AH745), 0, VLOOKUP(AH745, 'Price Sheet'!$A$2:$B1015, 2, false))</f>
        <v>0</v>
      </c>
      <c r="AM745" s="33" t="str">
        <f t="shared" si="10"/>
        <v/>
      </c>
      <c r="AN745" s="37"/>
      <c r="AO745" s="29"/>
      <c r="AP745" s="29" t="b">
        <v>0</v>
      </c>
      <c r="AQ745" s="22" t="str">
        <f t="shared" si="11"/>
        <v/>
      </c>
      <c r="AR745" s="7">
        <f>IF(ISBLANK(AN745), 0, VLOOKUP(AN745, 'Price Sheet'!$A$2:$B1015, 2, false))</f>
        <v>0</v>
      </c>
      <c r="AS745" s="33" t="str">
        <f t="shared" si="12"/>
        <v/>
      </c>
      <c r="AT745" s="37"/>
      <c r="AU745" s="29"/>
      <c r="AV745" s="29" t="b">
        <v>0</v>
      </c>
      <c r="AW745" s="22" t="str">
        <f t="shared" si="13"/>
        <v/>
      </c>
      <c r="AX745" s="7">
        <f>IF(ISBLANK(AT745), 0, VLOOKUP(AT745, 'Price Sheet'!$A$2:$B1015, 2, false))</f>
        <v>0</v>
      </c>
      <c r="AY745" s="33" t="str">
        <f t="shared" si="14"/>
        <v/>
      </c>
      <c r="AZ745" s="37"/>
      <c r="BA745" s="29"/>
      <c r="BB745" s="29" t="b">
        <v>0</v>
      </c>
      <c r="BC745" s="22" t="str">
        <f t="shared" si="15"/>
        <v/>
      </c>
      <c r="BD745" s="7">
        <f>IF(ISBLANK(AZ745), 0, VLOOKUP(AZ745, 'Price Sheet'!$A$2:$B1015, 2, false))</f>
        <v>0</v>
      </c>
      <c r="BE745" s="33" t="str">
        <f t="shared" si="16"/>
        <v/>
      </c>
      <c r="BF745" s="37"/>
      <c r="BG745" s="29"/>
      <c r="BH745" s="29" t="b">
        <v>0</v>
      </c>
      <c r="BI745" s="22" t="str">
        <f t="shared" si="17"/>
        <v/>
      </c>
      <c r="BJ745" s="7">
        <f>IF(ISBLANK(BF745), 0, VLOOKUP(BF745, 'Price Sheet'!$A$2:$B1015, 2, false))</f>
        <v>0</v>
      </c>
      <c r="BK745" s="33" t="str">
        <f t="shared" si="18"/>
        <v/>
      </c>
      <c r="BL745" s="37"/>
      <c r="BM745" s="29"/>
      <c r="BN745" s="29" t="b">
        <v>0</v>
      </c>
      <c r="BO745" s="22" t="str">
        <f t="shared" si="19"/>
        <v/>
      </c>
      <c r="BP745" s="7">
        <f>IF(ISBLANK(BL745), 0, VLOOKUP(BL745, 'Price Sheet'!$A$2:$B1015, 2, false))</f>
        <v>0</v>
      </c>
      <c r="BQ745" s="33" t="str">
        <f t="shared" si="20"/>
        <v/>
      </c>
    </row>
    <row r="746">
      <c r="B746" s="19"/>
      <c r="C746" s="29"/>
      <c r="D746" s="29"/>
      <c r="E746" s="7" t="str">
        <f>IF(ISBLANK(D746), "", VLOOKUP(D746,'Crafting Tables'!$A$2:$B1015, 2, false))</f>
        <v/>
      </c>
      <c r="F746" s="7" t="str">
        <f>IFERROR(IF(E746 = "None", 1, VLOOKUP(C746,General!$A$5:$L$35, SWITCH(E746, "Basic", 8, "Advanced", 10, "Modern", 12), false)),"")</f>
        <v/>
      </c>
      <c r="G746" s="29"/>
      <c r="H746" s="7">
        <f>IFERROR(VLOOKUP(C746, General!$A$5:$L$35, 6, false) * G746 / 1000, 0)</f>
        <v>0</v>
      </c>
      <c r="I746" s="29"/>
      <c r="J746" s="22" t="str">
        <f>IFERROR(I746*VLOOKUP(D746,'Crafting Tables'!$1:$1000, 4, false)*F746,"")</f>
        <v/>
      </c>
      <c r="K746" s="29" t="b">
        <v>0</v>
      </c>
      <c r="L746" s="37"/>
      <c r="M746" s="29"/>
      <c r="N746" s="21" t="str">
        <f t="shared" si="2"/>
        <v/>
      </c>
      <c r="P746" s="37"/>
      <c r="Q746" s="29"/>
      <c r="R746" s="29" t="b">
        <v>0</v>
      </c>
      <c r="S746" s="22" t="str">
        <f t="shared" si="3"/>
        <v/>
      </c>
      <c r="T746" s="7">
        <f>IF(ISBLANK(P746), 0, VLOOKUP(P746, 'Price Sheet'!$A$2:$B1015, 2, false))</f>
        <v>0</v>
      </c>
      <c r="U746" s="33" t="str">
        <f t="shared" si="4"/>
        <v/>
      </c>
      <c r="V746" s="37"/>
      <c r="W746" s="29"/>
      <c r="X746" s="29" t="b">
        <v>0</v>
      </c>
      <c r="Y746" s="22" t="str">
        <f t="shared" si="5"/>
        <v/>
      </c>
      <c r="Z746" s="7">
        <f>IF(ISBLANK(V746), 0, VLOOKUP(V746, 'Price Sheet'!$A$2:$B1015, 2, false))</f>
        <v>0</v>
      </c>
      <c r="AA746" s="33" t="str">
        <f t="shared" si="6"/>
        <v/>
      </c>
      <c r="AB746" s="37"/>
      <c r="AC746" s="29"/>
      <c r="AD746" s="29" t="b">
        <v>0</v>
      </c>
      <c r="AE746" s="22" t="str">
        <f t="shared" si="7"/>
        <v/>
      </c>
      <c r="AF746" s="7">
        <f>IF(ISBLANK(AB746), 0, VLOOKUP(AB746, 'Price Sheet'!$A$2:$B1015, 2, false))</f>
        <v>0</v>
      </c>
      <c r="AG746" s="33" t="str">
        <f t="shared" si="8"/>
        <v/>
      </c>
      <c r="AH746" s="37"/>
      <c r="AI746" s="29"/>
      <c r="AJ746" s="29" t="b">
        <v>0</v>
      </c>
      <c r="AK746" s="22" t="str">
        <f t="shared" si="9"/>
        <v/>
      </c>
      <c r="AL746" s="7">
        <f>IF(ISBLANK(AH746), 0, VLOOKUP(AH746, 'Price Sheet'!$A$2:$B1015, 2, false))</f>
        <v>0</v>
      </c>
      <c r="AM746" s="33" t="str">
        <f t="shared" si="10"/>
        <v/>
      </c>
      <c r="AN746" s="37"/>
      <c r="AO746" s="29"/>
      <c r="AP746" s="29" t="b">
        <v>0</v>
      </c>
      <c r="AQ746" s="22" t="str">
        <f t="shared" si="11"/>
        <v/>
      </c>
      <c r="AR746" s="7">
        <f>IF(ISBLANK(AN746), 0, VLOOKUP(AN746, 'Price Sheet'!$A$2:$B1015, 2, false))</f>
        <v>0</v>
      </c>
      <c r="AS746" s="33" t="str">
        <f t="shared" si="12"/>
        <v/>
      </c>
      <c r="AT746" s="37"/>
      <c r="AU746" s="29"/>
      <c r="AV746" s="29" t="b">
        <v>0</v>
      </c>
      <c r="AW746" s="22" t="str">
        <f t="shared" si="13"/>
        <v/>
      </c>
      <c r="AX746" s="7">
        <f>IF(ISBLANK(AT746), 0, VLOOKUP(AT746, 'Price Sheet'!$A$2:$B1015, 2, false))</f>
        <v>0</v>
      </c>
      <c r="AY746" s="33" t="str">
        <f t="shared" si="14"/>
        <v/>
      </c>
      <c r="AZ746" s="37"/>
      <c r="BA746" s="29"/>
      <c r="BB746" s="29" t="b">
        <v>0</v>
      </c>
      <c r="BC746" s="22" t="str">
        <f t="shared" si="15"/>
        <v/>
      </c>
      <c r="BD746" s="7">
        <f>IF(ISBLANK(AZ746), 0, VLOOKUP(AZ746, 'Price Sheet'!$A$2:$B1015, 2, false))</f>
        <v>0</v>
      </c>
      <c r="BE746" s="33" t="str">
        <f t="shared" si="16"/>
        <v/>
      </c>
      <c r="BF746" s="37"/>
      <c r="BG746" s="29"/>
      <c r="BH746" s="29" t="b">
        <v>0</v>
      </c>
      <c r="BI746" s="22" t="str">
        <f t="shared" si="17"/>
        <v/>
      </c>
      <c r="BJ746" s="7">
        <f>IF(ISBLANK(BF746), 0, VLOOKUP(BF746, 'Price Sheet'!$A$2:$B1015, 2, false))</f>
        <v>0</v>
      </c>
      <c r="BK746" s="33" t="str">
        <f t="shared" si="18"/>
        <v/>
      </c>
      <c r="BL746" s="37"/>
      <c r="BM746" s="29"/>
      <c r="BN746" s="29" t="b">
        <v>0</v>
      </c>
      <c r="BO746" s="22" t="str">
        <f t="shared" si="19"/>
        <v/>
      </c>
      <c r="BP746" s="7">
        <f>IF(ISBLANK(BL746), 0, VLOOKUP(BL746, 'Price Sheet'!$A$2:$B1015, 2, false))</f>
        <v>0</v>
      </c>
      <c r="BQ746" s="33" t="str">
        <f t="shared" si="20"/>
        <v/>
      </c>
    </row>
    <row r="747">
      <c r="B747" s="19"/>
      <c r="C747" s="29"/>
      <c r="D747" s="29"/>
      <c r="E747" s="7" t="str">
        <f>IF(ISBLANK(D747), "", VLOOKUP(D747,'Crafting Tables'!$A$2:$B1015, 2, false))</f>
        <v/>
      </c>
      <c r="F747" s="7" t="str">
        <f>IFERROR(IF(E747 = "None", 1, VLOOKUP(C747,General!$A$5:$L$35, SWITCH(E747, "Basic", 8, "Advanced", 10, "Modern", 12), false)),"")</f>
        <v/>
      </c>
      <c r="G747" s="29"/>
      <c r="H747" s="7">
        <f>IFERROR(VLOOKUP(C747, General!$A$5:$L$35, 6, false) * G747 / 1000, 0)</f>
        <v>0</v>
      </c>
      <c r="I747" s="29"/>
      <c r="J747" s="22" t="str">
        <f>IFERROR(I747*VLOOKUP(D747,'Crafting Tables'!$1:$1000, 4, false)*F747,"")</f>
        <v/>
      </c>
      <c r="K747" s="29" t="b">
        <v>0</v>
      </c>
      <c r="L747" s="37"/>
      <c r="M747" s="29"/>
      <c r="N747" s="21" t="str">
        <f t="shared" si="2"/>
        <v/>
      </c>
      <c r="P747" s="37"/>
      <c r="Q747" s="29"/>
      <c r="R747" s="29" t="b">
        <v>0</v>
      </c>
      <c r="S747" s="22" t="str">
        <f t="shared" si="3"/>
        <v/>
      </c>
      <c r="T747" s="7">
        <f>IF(ISBLANK(P747), 0, VLOOKUP(P747, 'Price Sheet'!$A$2:$B1015, 2, false))</f>
        <v>0</v>
      </c>
      <c r="U747" s="33" t="str">
        <f t="shared" si="4"/>
        <v/>
      </c>
      <c r="V747" s="37"/>
      <c r="W747" s="29"/>
      <c r="X747" s="29" t="b">
        <v>0</v>
      </c>
      <c r="Y747" s="22" t="str">
        <f t="shared" si="5"/>
        <v/>
      </c>
      <c r="Z747" s="7">
        <f>IF(ISBLANK(V747), 0, VLOOKUP(V747, 'Price Sheet'!$A$2:$B1015, 2, false))</f>
        <v>0</v>
      </c>
      <c r="AA747" s="33" t="str">
        <f t="shared" si="6"/>
        <v/>
      </c>
      <c r="AB747" s="37"/>
      <c r="AC747" s="29"/>
      <c r="AD747" s="29" t="b">
        <v>0</v>
      </c>
      <c r="AE747" s="22" t="str">
        <f t="shared" si="7"/>
        <v/>
      </c>
      <c r="AF747" s="7">
        <f>IF(ISBLANK(AB747), 0, VLOOKUP(AB747, 'Price Sheet'!$A$2:$B1015, 2, false))</f>
        <v>0</v>
      </c>
      <c r="AG747" s="33" t="str">
        <f t="shared" si="8"/>
        <v/>
      </c>
      <c r="AH747" s="37"/>
      <c r="AI747" s="29"/>
      <c r="AJ747" s="29" t="b">
        <v>0</v>
      </c>
      <c r="AK747" s="22" t="str">
        <f t="shared" si="9"/>
        <v/>
      </c>
      <c r="AL747" s="7">
        <f>IF(ISBLANK(AH747), 0, VLOOKUP(AH747, 'Price Sheet'!$A$2:$B1015, 2, false))</f>
        <v>0</v>
      </c>
      <c r="AM747" s="33" t="str">
        <f t="shared" si="10"/>
        <v/>
      </c>
      <c r="AN747" s="37"/>
      <c r="AO747" s="29"/>
      <c r="AP747" s="29" t="b">
        <v>0</v>
      </c>
      <c r="AQ747" s="22" t="str">
        <f t="shared" si="11"/>
        <v/>
      </c>
      <c r="AR747" s="7">
        <f>IF(ISBLANK(AN747), 0, VLOOKUP(AN747, 'Price Sheet'!$A$2:$B1015, 2, false))</f>
        <v>0</v>
      </c>
      <c r="AS747" s="33" t="str">
        <f t="shared" si="12"/>
        <v/>
      </c>
      <c r="AT747" s="37"/>
      <c r="AU747" s="29"/>
      <c r="AV747" s="29" t="b">
        <v>0</v>
      </c>
      <c r="AW747" s="22" t="str">
        <f t="shared" si="13"/>
        <v/>
      </c>
      <c r="AX747" s="7">
        <f>IF(ISBLANK(AT747), 0, VLOOKUP(AT747, 'Price Sheet'!$A$2:$B1015, 2, false))</f>
        <v>0</v>
      </c>
      <c r="AY747" s="33" t="str">
        <f t="shared" si="14"/>
        <v/>
      </c>
      <c r="AZ747" s="37"/>
      <c r="BA747" s="29"/>
      <c r="BB747" s="29" t="b">
        <v>0</v>
      </c>
      <c r="BC747" s="22" t="str">
        <f t="shared" si="15"/>
        <v/>
      </c>
      <c r="BD747" s="7">
        <f>IF(ISBLANK(AZ747), 0, VLOOKUP(AZ747, 'Price Sheet'!$A$2:$B1015, 2, false))</f>
        <v>0</v>
      </c>
      <c r="BE747" s="33" t="str">
        <f t="shared" si="16"/>
        <v/>
      </c>
      <c r="BF747" s="37"/>
      <c r="BG747" s="29"/>
      <c r="BH747" s="29" t="b">
        <v>0</v>
      </c>
      <c r="BI747" s="22" t="str">
        <f t="shared" si="17"/>
        <v/>
      </c>
      <c r="BJ747" s="7">
        <f>IF(ISBLANK(BF747), 0, VLOOKUP(BF747, 'Price Sheet'!$A$2:$B1015, 2, false))</f>
        <v>0</v>
      </c>
      <c r="BK747" s="33" t="str">
        <f t="shared" si="18"/>
        <v/>
      </c>
      <c r="BL747" s="37"/>
      <c r="BM747" s="29"/>
      <c r="BN747" s="29" t="b">
        <v>0</v>
      </c>
      <c r="BO747" s="22" t="str">
        <f t="shared" si="19"/>
        <v/>
      </c>
      <c r="BP747" s="7">
        <f>IF(ISBLANK(BL747), 0, VLOOKUP(BL747, 'Price Sheet'!$A$2:$B1015, 2, false))</f>
        <v>0</v>
      </c>
      <c r="BQ747" s="33" t="str">
        <f t="shared" si="20"/>
        <v/>
      </c>
    </row>
    <row r="748">
      <c r="B748" s="19"/>
      <c r="C748" s="29"/>
      <c r="D748" s="29"/>
      <c r="E748" s="7" t="str">
        <f>IF(ISBLANK(D748), "", VLOOKUP(D748,'Crafting Tables'!$A$2:$B1015, 2, false))</f>
        <v/>
      </c>
      <c r="F748" s="7" t="str">
        <f>IFERROR(IF(E748 = "None", 1, VLOOKUP(C748,General!$A$5:$L$35, SWITCH(E748, "Basic", 8, "Advanced", 10, "Modern", 12), false)),"")</f>
        <v/>
      </c>
      <c r="G748" s="29"/>
      <c r="H748" s="7">
        <f>IFERROR(VLOOKUP(C748, General!$A$5:$L$35, 6, false) * G748 / 1000, 0)</f>
        <v>0</v>
      </c>
      <c r="I748" s="29"/>
      <c r="J748" s="22" t="str">
        <f>IFERROR(I748*VLOOKUP(D748,'Crafting Tables'!$1:$1000, 4, false)*F748,"")</f>
        <v/>
      </c>
      <c r="K748" s="29" t="b">
        <v>0</v>
      </c>
      <c r="L748" s="37"/>
      <c r="M748" s="29"/>
      <c r="N748" s="21" t="str">
        <f t="shared" si="2"/>
        <v/>
      </c>
      <c r="P748" s="37"/>
      <c r="Q748" s="29"/>
      <c r="R748" s="29" t="b">
        <v>0</v>
      </c>
      <c r="S748" s="22" t="str">
        <f t="shared" si="3"/>
        <v/>
      </c>
      <c r="T748" s="7">
        <f>IF(ISBLANK(P748), 0, VLOOKUP(P748, 'Price Sheet'!$A$2:$B1015, 2, false))</f>
        <v>0</v>
      </c>
      <c r="U748" s="33" t="str">
        <f t="shared" si="4"/>
        <v/>
      </c>
      <c r="V748" s="37"/>
      <c r="W748" s="29"/>
      <c r="X748" s="29" t="b">
        <v>0</v>
      </c>
      <c r="Y748" s="22" t="str">
        <f t="shared" si="5"/>
        <v/>
      </c>
      <c r="Z748" s="7">
        <f>IF(ISBLANK(V748), 0, VLOOKUP(V748, 'Price Sheet'!$A$2:$B1015, 2, false))</f>
        <v>0</v>
      </c>
      <c r="AA748" s="33" t="str">
        <f t="shared" si="6"/>
        <v/>
      </c>
      <c r="AB748" s="37"/>
      <c r="AC748" s="29"/>
      <c r="AD748" s="29" t="b">
        <v>0</v>
      </c>
      <c r="AE748" s="22" t="str">
        <f t="shared" si="7"/>
        <v/>
      </c>
      <c r="AF748" s="7">
        <f>IF(ISBLANK(AB748), 0, VLOOKUP(AB748, 'Price Sheet'!$A$2:$B1015, 2, false))</f>
        <v>0</v>
      </c>
      <c r="AG748" s="33" t="str">
        <f t="shared" si="8"/>
        <v/>
      </c>
      <c r="AH748" s="37"/>
      <c r="AI748" s="29"/>
      <c r="AJ748" s="29" t="b">
        <v>0</v>
      </c>
      <c r="AK748" s="22" t="str">
        <f t="shared" si="9"/>
        <v/>
      </c>
      <c r="AL748" s="7">
        <f>IF(ISBLANK(AH748), 0, VLOOKUP(AH748, 'Price Sheet'!$A$2:$B1015, 2, false))</f>
        <v>0</v>
      </c>
      <c r="AM748" s="33" t="str">
        <f t="shared" si="10"/>
        <v/>
      </c>
      <c r="AN748" s="37"/>
      <c r="AO748" s="29"/>
      <c r="AP748" s="29" t="b">
        <v>0</v>
      </c>
      <c r="AQ748" s="22" t="str">
        <f t="shared" si="11"/>
        <v/>
      </c>
      <c r="AR748" s="7">
        <f>IF(ISBLANK(AN748), 0, VLOOKUP(AN748, 'Price Sheet'!$A$2:$B1015, 2, false))</f>
        <v>0</v>
      </c>
      <c r="AS748" s="33" t="str">
        <f t="shared" si="12"/>
        <v/>
      </c>
      <c r="AT748" s="37"/>
      <c r="AU748" s="29"/>
      <c r="AV748" s="29" t="b">
        <v>0</v>
      </c>
      <c r="AW748" s="22" t="str">
        <f t="shared" si="13"/>
        <v/>
      </c>
      <c r="AX748" s="7">
        <f>IF(ISBLANK(AT748), 0, VLOOKUP(AT748, 'Price Sheet'!$A$2:$B1015, 2, false))</f>
        <v>0</v>
      </c>
      <c r="AY748" s="33" t="str">
        <f t="shared" si="14"/>
        <v/>
      </c>
      <c r="AZ748" s="37"/>
      <c r="BA748" s="29"/>
      <c r="BB748" s="29" t="b">
        <v>0</v>
      </c>
      <c r="BC748" s="22" t="str">
        <f t="shared" si="15"/>
        <v/>
      </c>
      <c r="BD748" s="7">
        <f>IF(ISBLANK(AZ748), 0, VLOOKUP(AZ748, 'Price Sheet'!$A$2:$B1015, 2, false))</f>
        <v>0</v>
      </c>
      <c r="BE748" s="33" t="str">
        <f t="shared" si="16"/>
        <v/>
      </c>
      <c r="BF748" s="37"/>
      <c r="BG748" s="29"/>
      <c r="BH748" s="29" t="b">
        <v>0</v>
      </c>
      <c r="BI748" s="22" t="str">
        <f t="shared" si="17"/>
        <v/>
      </c>
      <c r="BJ748" s="7">
        <f>IF(ISBLANK(BF748), 0, VLOOKUP(BF748, 'Price Sheet'!$A$2:$B1015, 2, false))</f>
        <v>0</v>
      </c>
      <c r="BK748" s="33" t="str">
        <f t="shared" si="18"/>
        <v/>
      </c>
      <c r="BL748" s="37"/>
      <c r="BM748" s="29"/>
      <c r="BN748" s="29" t="b">
        <v>0</v>
      </c>
      <c r="BO748" s="22" t="str">
        <f t="shared" si="19"/>
        <v/>
      </c>
      <c r="BP748" s="7">
        <f>IF(ISBLANK(BL748), 0, VLOOKUP(BL748, 'Price Sheet'!$A$2:$B1015, 2, false))</f>
        <v>0</v>
      </c>
      <c r="BQ748" s="33" t="str">
        <f t="shared" si="20"/>
        <v/>
      </c>
    </row>
    <row r="749">
      <c r="B749" s="19"/>
      <c r="C749" s="29"/>
      <c r="D749" s="29"/>
      <c r="E749" s="7" t="str">
        <f>IF(ISBLANK(D749), "", VLOOKUP(D749,'Crafting Tables'!$A$2:$B1015, 2, false))</f>
        <v/>
      </c>
      <c r="F749" s="7" t="str">
        <f>IFERROR(IF(E749 = "None", 1, VLOOKUP(C749,General!$A$5:$L$35, SWITCH(E749, "Basic", 8, "Advanced", 10, "Modern", 12), false)),"")</f>
        <v/>
      </c>
      <c r="G749" s="29"/>
      <c r="H749" s="7">
        <f>IFERROR(VLOOKUP(C749, General!$A$5:$L$35, 6, false) * G749 / 1000, 0)</f>
        <v>0</v>
      </c>
      <c r="I749" s="29"/>
      <c r="J749" s="22" t="str">
        <f>IFERROR(I749*VLOOKUP(D749,'Crafting Tables'!$1:$1000, 4, false)*F749,"")</f>
        <v/>
      </c>
      <c r="K749" s="29" t="b">
        <v>0</v>
      </c>
      <c r="L749" s="37"/>
      <c r="M749" s="29"/>
      <c r="N749" s="21" t="str">
        <f t="shared" si="2"/>
        <v/>
      </c>
      <c r="P749" s="37"/>
      <c r="Q749" s="29"/>
      <c r="R749" s="29" t="b">
        <v>0</v>
      </c>
      <c r="S749" s="22" t="str">
        <f t="shared" si="3"/>
        <v/>
      </c>
      <c r="T749" s="7">
        <f>IF(ISBLANK(P749), 0, VLOOKUP(P749, 'Price Sheet'!$A$2:$B1015, 2, false))</f>
        <v>0</v>
      </c>
      <c r="U749" s="33" t="str">
        <f t="shared" si="4"/>
        <v/>
      </c>
      <c r="V749" s="37"/>
      <c r="W749" s="29"/>
      <c r="X749" s="29" t="b">
        <v>0</v>
      </c>
      <c r="Y749" s="22" t="str">
        <f t="shared" si="5"/>
        <v/>
      </c>
      <c r="Z749" s="7">
        <f>IF(ISBLANK(V749), 0, VLOOKUP(V749, 'Price Sheet'!$A$2:$B1015, 2, false))</f>
        <v>0</v>
      </c>
      <c r="AA749" s="33" t="str">
        <f t="shared" si="6"/>
        <v/>
      </c>
      <c r="AB749" s="37"/>
      <c r="AC749" s="29"/>
      <c r="AD749" s="29" t="b">
        <v>0</v>
      </c>
      <c r="AE749" s="22" t="str">
        <f t="shared" si="7"/>
        <v/>
      </c>
      <c r="AF749" s="7">
        <f>IF(ISBLANK(AB749), 0, VLOOKUP(AB749, 'Price Sheet'!$A$2:$B1015, 2, false))</f>
        <v>0</v>
      </c>
      <c r="AG749" s="33" t="str">
        <f t="shared" si="8"/>
        <v/>
      </c>
      <c r="AH749" s="37"/>
      <c r="AI749" s="29"/>
      <c r="AJ749" s="29" t="b">
        <v>0</v>
      </c>
      <c r="AK749" s="22" t="str">
        <f t="shared" si="9"/>
        <v/>
      </c>
      <c r="AL749" s="7">
        <f>IF(ISBLANK(AH749), 0, VLOOKUP(AH749, 'Price Sheet'!$A$2:$B1015, 2, false))</f>
        <v>0</v>
      </c>
      <c r="AM749" s="33" t="str">
        <f t="shared" si="10"/>
        <v/>
      </c>
      <c r="AN749" s="37"/>
      <c r="AO749" s="29"/>
      <c r="AP749" s="29" t="b">
        <v>0</v>
      </c>
      <c r="AQ749" s="22" t="str">
        <f t="shared" si="11"/>
        <v/>
      </c>
      <c r="AR749" s="7">
        <f>IF(ISBLANK(AN749), 0, VLOOKUP(AN749, 'Price Sheet'!$A$2:$B1015, 2, false))</f>
        <v>0</v>
      </c>
      <c r="AS749" s="33" t="str">
        <f t="shared" si="12"/>
        <v/>
      </c>
      <c r="AT749" s="37"/>
      <c r="AU749" s="29"/>
      <c r="AV749" s="29" t="b">
        <v>0</v>
      </c>
      <c r="AW749" s="22" t="str">
        <f t="shared" si="13"/>
        <v/>
      </c>
      <c r="AX749" s="7">
        <f>IF(ISBLANK(AT749), 0, VLOOKUP(AT749, 'Price Sheet'!$A$2:$B1015, 2, false))</f>
        <v>0</v>
      </c>
      <c r="AY749" s="33" t="str">
        <f t="shared" si="14"/>
        <v/>
      </c>
      <c r="AZ749" s="37"/>
      <c r="BA749" s="29"/>
      <c r="BB749" s="29" t="b">
        <v>0</v>
      </c>
      <c r="BC749" s="22" t="str">
        <f t="shared" si="15"/>
        <v/>
      </c>
      <c r="BD749" s="7">
        <f>IF(ISBLANK(AZ749), 0, VLOOKUP(AZ749, 'Price Sheet'!$A$2:$B1015, 2, false))</f>
        <v>0</v>
      </c>
      <c r="BE749" s="33" t="str">
        <f t="shared" si="16"/>
        <v/>
      </c>
      <c r="BF749" s="37"/>
      <c r="BG749" s="29"/>
      <c r="BH749" s="29" t="b">
        <v>0</v>
      </c>
      <c r="BI749" s="22" t="str">
        <f t="shared" si="17"/>
        <v/>
      </c>
      <c r="BJ749" s="7">
        <f>IF(ISBLANK(BF749), 0, VLOOKUP(BF749, 'Price Sheet'!$A$2:$B1015, 2, false))</f>
        <v>0</v>
      </c>
      <c r="BK749" s="33" t="str">
        <f t="shared" si="18"/>
        <v/>
      </c>
      <c r="BL749" s="37"/>
      <c r="BM749" s="29"/>
      <c r="BN749" s="29" t="b">
        <v>0</v>
      </c>
      <c r="BO749" s="22" t="str">
        <f t="shared" si="19"/>
        <v/>
      </c>
      <c r="BP749" s="7">
        <f>IF(ISBLANK(BL749), 0, VLOOKUP(BL749, 'Price Sheet'!$A$2:$B1015, 2, false))</f>
        <v>0</v>
      </c>
      <c r="BQ749" s="33" t="str">
        <f t="shared" si="20"/>
        <v/>
      </c>
    </row>
    <row r="750">
      <c r="B750" s="19"/>
      <c r="C750" s="29"/>
      <c r="D750" s="29"/>
      <c r="E750" s="7" t="str">
        <f>IF(ISBLANK(D750), "", VLOOKUP(D750,'Crafting Tables'!$A$2:$B1015, 2, false))</f>
        <v/>
      </c>
      <c r="F750" s="7" t="str">
        <f>IFERROR(IF(E750 = "None", 1, VLOOKUP(C750,General!$A$5:$L$35, SWITCH(E750, "Basic", 8, "Advanced", 10, "Modern", 12), false)),"")</f>
        <v/>
      </c>
      <c r="G750" s="29"/>
      <c r="H750" s="7">
        <f>IFERROR(VLOOKUP(C750, General!$A$5:$L$35, 6, false) * G750 / 1000, 0)</f>
        <v>0</v>
      </c>
      <c r="I750" s="29"/>
      <c r="J750" s="22" t="str">
        <f>IFERROR(I750*VLOOKUP(D750,'Crafting Tables'!$1:$1000, 4, false)*F750,"")</f>
        <v/>
      </c>
      <c r="K750" s="29" t="b">
        <v>0</v>
      </c>
      <c r="L750" s="37"/>
      <c r="M750" s="29"/>
      <c r="N750" s="21" t="str">
        <f t="shared" si="2"/>
        <v/>
      </c>
      <c r="P750" s="37"/>
      <c r="Q750" s="29"/>
      <c r="R750" s="29" t="b">
        <v>0</v>
      </c>
      <c r="S750" s="22" t="str">
        <f t="shared" si="3"/>
        <v/>
      </c>
      <c r="T750" s="7">
        <f>IF(ISBLANK(P750), 0, VLOOKUP(P750, 'Price Sheet'!$A$2:$B1015, 2, false))</f>
        <v>0</v>
      </c>
      <c r="U750" s="33" t="str">
        <f t="shared" si="4"/>
        <v/>
      </c>
      <c r="V750" s="37"/>
      <c r="W750" s="29"/>
      <c r="X750" s="29" t="b">
        <v>0</v>
      </c>
      <c r="Y750" s="22" t="str">
        <f t="shared" si="5"/>
        <v/>
      </c>
      <c r="Z750" s="7">
        <f>IF(ISBLANK(V750), 0, VLOOKUP(V750, 'Price Sheet'!$A$2:$B1015, 2, false))</f>
        <v>0</v>
      </c>
      <c r="AA750" s="33" t="str">
        <f t="shared" si="6"/>
        <v/>
      </c>
      <c r="AB750" s="37"/>
      <c r="AC750" s="29"/>
      <c r="AD750" s="29" t="b">
        <v>0</v>
      </c>
      <c r="AE750" s="22" t="str">
        <f t="shared" si="7"/>
        <v/>
      </c>
      <c r="AF750" s="7">
        <f>IF(ISBLANK(AB750), 0, VLOOKUP(AB750, 'Price Sheet'!$A$2:$B1015, 2, false))</f>
        <v>0</v>
      </c>
      <c r="AG750" s="33" t="str">
        <f t="shared" si="8"/>
        <v/>
      </c>
      <c r="AH750" s="37"/>
      <c r="AI750" s="29"/>
      <c r="AJ750" s="29" t="b">
        <v>0</v>
      </c>
      <c r="AK750" s="22" t="str">
        <f t="shared" si="9"/>
        <v/>
      </c>
      <c r="AL750" s="7">
        <f>IF(ISBLANK(AH750), 0, VLOOKUP(AH750, 'Price Sheet'!$A$2:$B1015, 2, false))</f>
        <v>0</v>
      </c>
      <c r="AM750" s="33" t="str">
        <f t="shared" si="10"/>
        <v/>
      </c>
      <c r="AN750" s="37"/>
      <c r="AO750" s="29"/>
      <c r="AP750" s="29" t="b">
        <v>0</v>
      </c>
      <c r="AQ750" s="22" t="str">
        <f t="shared" si="11"/>
        <v/>
      </c>
      <c r="AR750" s="7">
        <f>IF(ISBLANK(AN750), 0, VLOOKUP(AN750, 'Price Sheet'!$A$2:$B1015, 2, false))</f>
        <v>0</v>
      </c>
      <c r="AS750" s="33" t="str">
        <f t="shared" si="12"/>
        <v/>
      </c>
      <c r="AT750" s="37"/>
      <c r="AU750" s="29"/>
      <c r="AV750" s="29" t="b">
        <v>0</v>
      </c>
      <c r="AW750" s="22" t="str">
        <f t="shared" si="13"/>
        <v/>
      </c>
      <c r="AX750" s="7">
        <f>IF(ISBLANK(AT750), 0, VLOOKUP(AT750, 'Price Sheet'!$A$2:$B1015, 2, false))</f>
        <v>0</v>
      </c>
      <c r="AY750" s="33" t="str">
        <f t="shared" si="14"/>
        <v/>
      </c>
      <c r="AZ750" s="37"/>
      <c r="BA750" s="29"/>
      <c r="BB750" s="29" t="b">
        <v>0</v>
      </c>
      <c r="BC750" s="22" t="str">
        <f t="shared" si="15"/>
        <v/>
      </c>
      <c r="BD750" s="7">
        <f>IF(ISBLANK(AZ750), 0, VLOOKUP(AZ750, 'Price Sheet'!$A$2:$B1015, 2, false))</f>
        <v>0</v>
      </c>
      <c r="BE750" s="33" t="str">
        <f t="shared" si="16"/>
        <v/>
      </c>
      <c r="BF750" s="37"/>
      <c r="BG750" s="29"/>
      <c r="BH750" s="29" t="b">
        <v>0</v>
      </c>
      <c r="BI750" s="22" t="str">
        <f t="shared" si="17"/>
        <v/>
      </c>
      <c r="BJ750" s="7">
        <f>IF(ISBLANK(BF750), 0, VLOOKUP(BF750, 'Price Sheet'!$A$2:$B1015, 2, false))</f>
        <v>0</v>
      </c>
      <c r="BK750" s="33" t="str">
        <f t="shared" si="18"/>
        <v/>
      </c>
      <c r="BL750" s="37"/>
      <c r="BM750" s="29"/>
      <c r="BN750" s="29" t="b">
        <v>0</v>
      </c>
      <c r="BO750" s="22" t="str">
        <f t="shared" si="19"/>
        <v/>
      </c>
      <c r="BP750" s="7">
        <f>IF(ISBLANK(BL750), 0, VLOOKUP(BL750, 'Price Sheet'!$A$2:$B1015, 2, false))</f>
        <v>0</v>
      </c>
      <c r="BQ750" s="33" t="str">
        <f t="shared" si="20"/>
        <v/>
      </c>
    </row>
    <row r="751">
      <c r="B751" s="19"/>
      <c r="C751" s="29"/>
      <c r="D751" s="29"/>
      <c r="E751" s="7" t="str">
        <f>IF(ISBLANK(D751), "", VLOOKUP(D751,'Crafting Tables'!$A$2:$B1015, 2, false))</f>
        <v/>
      </c>
      <c r="F751" s="7" t="str">
        <f>IFERROR(IF(E751 = "None", 1, VLOOKUP(C751,General!$A$5:$L$35, SWITCH(E751, "Basic", 8, "Advanced", 10, "Modern", 12), false)),"")</f>
        <v/>
      </c>
      <c r="G751" s="29"/>
      <c r="H751" s="7">
        <f>IFERROR(VLOOKUP(C751, General!$A$5:$L$35, 6, false) * G751 / 1000, 0)</f>
        <v>0</v>
      </c>
      <c r="I751" s="29"/>
      <c r="J751" s="22" t="str">
        <f>IFERROR(I751*VLOOKUP(D751,'Crafting Tables'!$1:$1000, 4, false)*F751,"")</f>
        <v/>
      </c>
      <c r="K751" s="29" t="b">
        <v>0</v>
      </c>
      <c r="L751" s="37"/>
      <c r="M751" s="29"/>
      <c r="N751" s="21" t="str">
        <f t="shared" si="2"/>
        <v/>
      </c>
      <c r="P751" s="37"/>
      <c r="Q751" s="29"/>
      <c r="R751" s="29" t="b">
        <v>0</v>
      </c>
      <c r="S751" s="22" t="str">
        <f t="shared" si="3"/>
        <v/>
      </c>
      <c r="T751" s="7">
        <f>IF(ISBLANK(P751), 0, VLOOKUP(P751, 'Price Sheet'!$A$2:$B1015, 2, false))</f>
        <v>0</v>
      </c>
      <c r="U751" s="33" t="str">
        <f t="shared" si="4"/>
        <v/>
      </c>
      <c r="V751" s="37"/>
      <c r="W751" s="29"/>
      <c r="X751" s="29" t="b">
        <v>0</v>
      </c>
      <c r="Y751" s="22" t="str">
        <f t="shared" si="5"/>
        <v/>
      </c>
      <c r="Z751" s="7">
        <f>IF(ISBLANK(V751), 0, VLOOKUP(V751, 'Price Sheet'!$A$2:$B1015, 2, false))</f>
        <v>0</v>
      </c>
      <c r="AA751" s="33" t="str">
        <f t="shared" si="6"/>
        <v/>
      </c>
      <c r="AB751" s="37"/>
      <c r="AC751" s="29"/>
      <c r="AD751" s="29" t="b">
        <v>0</v>
      </c>
      <c r="AE751" s="22" t="str">
        <f t="shared" si="7"/>
        <v/>
      </c>
      <c r="AF751" s="7">
        <f>IF(ISBLANK(AB751), 0, VLOOKUP(AB751, 'Price Sheet'!$A$2:$B1015, 2, false))</f>
        <v>0</v>
      </c>
      <c r="AG751" s="33" t="str">
        <f t="shared" si="8"/>
        <v/>
      </c>
      <c r="AH751" s="37"/>
      <c r="AI751" s="29"/>
      <c r="AJ751" s="29" t="b">
        <v>0</v>
      </c>
      <c r="AK751" s="22" t="str">
        <f t="shared" si="9"/>
        <v/>
      </c>
      <c r="AL751" s="7">
        <f>IF(ISBLANK(AH751), 0, VLOOKUP(AH751, 'Price Sheet'!$A$2:$B1015, 2, false))</f>
        <v>0</v>
      </c>
      <c r="AM751" s="33" t="str">
        <f t="shared" si="10"/>
        <v/>
      </c>
      <c r="AN751" s="37"/>
      <c r="AO751" s="29"/>
      <c r="AP751" s="29" t="b">
        <v>0</v>
      </c>
      <c r="AQ751" s="22" t="str">
        <f t="shared" si="11"/>
        <v/>
      </c>
      <c r="AR751" s="7">
        <f>IF(ISBLANK(AN751), 0, VLOOKUP(AN751, 'Price Sheet'!$A$2:$B1015, 2, false))</f>
        <v>0</v>
      </c>
      <c r="AS751" s="33" t="str">
        <f t="shared" si="12"/>
        <v/>
      </c>
      <c r="AT751" s="37"/>
      <c r="AU751" s="29"/>
      <c r="AV751" s="29" t="b">
        <v>0</v>
      </c>
      <c r="AW751" s="22" t="str">
        <f t="shared" si="13"/>
        <v/>
      </c>
      <c r="AX751" s="7">
        <f>IF(ISBLANK(AT751), 0, VLOOKUP(AT751, 'Price Sheet'!$A$2:$B1015, 2, false))</f>
        <v>0</v>
      </c>
      <c r="AY751" s="33" t="str">
        <f t="shared" si="14"/>
        <v/>
      </c>
      <c r="AZ751" s="37"/>
      <c r="BA751" s="29"/>
      <c r="BB751" s="29" t="b">
        <v>0</v>
      </c>
      <c r="BC751" s="22" t="str">
        <f t="shared" si="15"/>
        <v/>
      </c>
      <c r="BD751" s="7">
        <f>IF(ISBLANK(AZ751), 0, VLOOKUP(AZ751, 'Price Sheet'!$A$2:$B1015, 2, false))</f>
        <v>0</v>
      </c>
      <c r="BE751" s="33" t="str">
        <f t="shared" si="16"/>
        <v/>
      </c>
      <c r="BF751" s="37"/>
      <c r="BG751" s="29"/>
      <c r="BH751" s="29" t="b">
        <v>0</v>
      </c>
      <c r="BI751" s="22" t="str">
        <f t="shared" si="17"/>
        <v/>
      </c>
      <c r="BJ751" s="7">
        <f>IF(ISBLANK(BF751), 0, VLOOKUP(BF751, 'Price Sheet'!$A$2:$B1015, 2, false))</f>
        <v>0</v>
      </c>
      <c r="BK751" s="33" t="str">
        <f t="shared" si="18"/>
        <v/>
      </c>
      <c r="BL751" s="37"/>
      <c r="BM751" s="29"/>
      <c r="BN751" s="29" t="b">
        <v>0</v>
      </c>
      <c r="BO751" s="22" t="str">
        <f t="shared" si="19"/>
        <v/>
      </c>
      <c r="BP751" s="7">
        <f>IF(ISBLANK(BL751), 0, VLOOKUP(BL751, 'Price Sheet'!$A$2:$B1015, 2, false))</f>
        <v>0</v>
      </c>
      <c r="BQ751" s="33" t="str">
        <f t="shared" si="20"/>
        <v/>
      </c>
    </row>
    <row r="752">
      <c r="B752" s="19"/>
      <c r="C752" s="29"/>
      <c r="D752" s="29"/>
      <c r="E752" s="7" t="str">
        <f>IF(ISBLANK(D752), "", VLOOKUP(D752,'Crafting Tables'!$A$2:$B1015, 2, false))</f>
        <v/>
      </c>
      <c r="F752" s="7" t="str">
        <f>IFERROR(IF(E752 = "None", 1, VLOOKUP(C752,General!$A$5:$L$35, SWITCH(E752, "Basic", 8, "Advanced", 10, "Modern", 12), false)),"")</f>
        <v/>
      </c>
      <c r="G752" s="29"/>
      <c r="H752" s="7">
        <f>IFERROR(VLOOKUP(C752, General!$A$5:$L$35, 6, false) * G752 / 1000, 0)</f>
        <v>0</v>
      </c>
      <c r="I752" s="29"/>
      <c r="J752" s="22" t="str">
        <f>IFERROR(I752*VLOOKUP(D752,'Crafting Tables'!$1:$1000, 4, false)*F752,"")</f>
        <v/>
      </c>
      <c r="K752" s="29" t="b">
        <v>0</v>
      </c>
      <c r="L752" s="37"/>
      <c r="M752" s="29"/>
      <c r="N752" s="21" t="str">
        <f t="shared" si="2"/>
        <v/>
      </c>
      <c r="P752" s="37"/>
      <c r="Q752" s="29"/>
      <c r="R752" s="29" t="b">
        <v>0</v>
      </c>
      <c r="S752" s="22" t="str">
        <f t="shared" si="3"/>
        <v/>
      </c>
      <c r="T752" s="7">
        <f>IF(ISBLANK(P752), 0, VLOOKUP(P752, 'Price Sheet'!$A$2:$B1015, 2, false))</f>
        <v>0</v>
      </c>
      <c r="U752" s="33" t="str">
        <f t="shared" si="4"/>
        <v/>
      </c>
      <c r="V752" s="37"/>
      <c r="W752" s="29"/>
      <c r="X752" s="29" t="b">
        <v>0</v>
      </c>
      <c r="Y752" s="22" t="str">
        <f t="shared" si="5"/>
        <v/>
      </c>
      <c r="Z752" s="7">
        <f>IF(ISBLANK(V752), 0, VLOOKUP(V752, 'Price Sheet'!$A$2:$B1015, 2, false))</f>
        <v>0</v>
      </c>
      <c r="AA752" s="33" t="str">
        <f t="shared" si="6"/>
        <v/>
      </c>
      <c r="AB752" s="37"/>
      <c r="AC752" s="29"/>
      <c r="AD752" s="29" t="b">
        <v>0</v>
      </c>
      <c r="AE752" s="22" t="str">
        <f t="shared" si="7"/>
        <v/>
      </c>
      <c r="AF752" s="7">
        <f>IF(ISBLANK(AB752), 0, VLOOKUP(AB752, 'Price Sheet'!$A$2:$B1015, 2, false))</f>
        <v>0</v>
      </c>
      <c r="AG752" s="33" t="str">
        <f t="shared" si="8"/>
        <v/>
      </c>
      <c r="AH752" s="37"/>
      <c r="AI752" s="29"/>
      <c r="AJ752" s="29" t="b">
        <v>0</v>
      </c>
      <c r="AK752" s="22" t="str">
        <f t="shared" si="9"/>
        <v/>
      </c>
      <c r="AL752" s="7">
        <f>IF(ISBLANK(AH752), 0, VLOOKUP(AH752, 'Price Sheet'!$A$2:$B1015, 2, false))</f>
        <v>0</v>
      </c>
      <c r="AM752" s="33" t="str">
        <f t="shared" si="10"/>
        <v/>
      </c>
      <c r="AN752" s="37"/>
      <c r="AO752" s="29"/>
      <c r="AP752" s="29" t="b">
        <v>0</v>
      </c>
      <c r="AQ752" s="22" t="str">
        <f t="shared" si="11"/>
        <v/>
      </c>
      <c r="AR752" s="7">
        <f>IF(ISBLANK(AN752), 0, VLOOKUP(AN752, 'Price Sheet'!$A$2:$B1015, 2, false))</f>
        <v>0</v>
      </c>
      <c r="AS752" s="33" t="str">
        <f t="shared" si="12"/>
        <v/>
      </c>
      <c r="AT752" s="37"/>
      <c r="AU752" s="29"/>
      <c r="AV752" s="29" t="b">
        <v>0</v>
      </c>
      <c r="AW752" s="22" t="str">
        <f t="shared" si="13"/>
        <v/>
      </c>
      <c r="AX752" s="7">
        <f>IF(ISBLANK(AT752), 0, VLOOKUP(AT752, 'Price Sheet'!$A$2:$B1015, 2, false))</f>
        <v>0</v>
      </c>
      <c r="AY752" s="33" t="str">
        <f t="shared" si="14"/>
        <v/>
      </c>
      <c r="AZ752" s="37"/>
      <c r="BA752" s="29"/>
      <c r="BB752" s="29" t="b">
        <v>0</v>
      </c>
      <c r="BC752" s="22" t="str">
        <f t="shared" si="15"/>
        <v/>
      </c>
      <c r="BD752" s="7">
        <f>IF(ISBLANK(AZ752), 0, VLOOKUP(AZ752, 'Price Sheet'!$A$2:$B1015, 2, false))</f>
        <v>0</v>
      </c>
      <c r="BE752" s="33" t="str">
        <f t="shared" si="16"/>
        <v/>
      </c>
      <c r="BF752" s="37"/>
      <c r="BG752" s="29"/>
      <c r="BH752" s="29" t="b">
        <v>0</v>
      </c>
      <c r="BI752" s="22" t="str">
        <f t="shared" si="17"/>
        <v/>
      </c>
      <c r="BJ752" s="7">
        <f>IF(ISBLANK(BF752), 0, VLOOKUP(BF752, 'Price Sheet'!$A$2:$B1015, 2, false))</f>
        <v>0</v>
      </c>
      <c r="BK752" s="33" t="str">
        <f t="shared" si="18"/>
        <v/>
      </c>
      <c r="BL752" s="37"/>
      <c r="BM752" s="29"/>
      <c r="BN752" s="29" t="b">
        <v>0</v>
      </c>
      <c r="BO752" s="22" t="str">
        <f t="shared" si="19"/>
        <v/>
      </c>
      <c r="BP752" s="7">
        <f>IF(ISBLANK(BL752), 0, VLOOKUP(BL752, 'Price Sheet'!$A$2:$B1015, 2, false))</f>
        <v>0</v>
      </c>
      <c r="BQ752" s="33" t="str">
        <f t="shared" si="20"/>
        <v/>
      </c>
    </row>
    <row r="753">
      <c r="B753" s="19"/>
      <c r="C753" s="29"/>
      <c r="D753" s="29"/>
      <c r="E753" s="7" t="str">
        <f>IF(ISBLANK(D753), "", VLOOKUP(D753,'Crafting Tables'!$A$2:$B1015, 2, false))</f>
        <v/>
      </c>
      <c r="F753" s="7" t="str">
        <f>IFERROR(IF(E753 = "None", 1, VLOOKUP(C753,General!$A$5:$L$35, SWITCH(E753, "Basic", 8, "Advanced", 10, "Modern", 12), false)),"")</f>
        <v/>
      </c>
      <c r="G753" s="29"/>
      <c r="H753" s="7">
        <f>IFERROR(VLOOKUP(C753, General!$A$5:$L$35, 6, false) * G753 / 1000, 0)</f>
        <v>0</v>
      </c>
      <c r="I753" s="29"/>
      <c r="J753" s="22" t="str">
        <f>IFERROR(I753*VLOOKUP(D753,'Crafting Tables'!$1:$1000, 4, false)*F753,"")</f>
        <v/>
      </c>
      <c r="K753" s="29" t="b">
        <v>0</v>
      </c>
      <c r="L753" s="37"/>
      <c r="M753" s="29"/>
      <c r="N753" s="21" t="str">
        <f t="shared" si="2"/>
        <v/>
      </c>
      <c r="P753" s="37"/>
      <c r="Q753" s="29"/>
      <c r="R753" s="29" t="b">
        <v>0</v>
      </c>
      <c r="S753" s="22" t="str">
        <f t="shared" si="3"/>
        <v/>
      </c>
      <c r="T753" s="7">
        <f>IF(ISBLANK(P753), 0, VLOOKUP(P753, 'Price Sheet'!$A$2:$B1015, 2, false))</f>
        <v>0</v>
      </c>
      <c r="U753" s="33" t="str">
        <f t="shared" si="4"/>
        <v/>
      </c>
      <c r="V753" s="37"/>
      <c r="W753" s="29"/>
      <c r="X753" s="29" t="b">
        <v>0</v>
      </c>
      <c r="Y753" s="22" t="str">
        <f t="shared" si="5"/>
        <v/>
      </c>
      <c r="Z753" s="7">
        <f>IF(ISBLANK(V753), 0, VLOOKUP(V753, 'Price Sheet'!$A$2:$B1015, 2, false))</f>
        <v>0</v>
      </c>
      <c r="AA753" s="33" t="str">
        <f t="shared" si="6"/>
        <v/>
      </c>
      <c r="AB753" s="37"/>
      <c r="AC753" s="29"/>
      <c r="AD753" s="29" t="b">
        <v>0</v>
      </c>
      <c r="AE753" s="22" t="str">
        <f t="shared" si="7"/>
        <v/>
      </c>
      <c r="AF753" s="7">
        <f>IF(ISBLANK(AB753), 0, VLOOKUP(AB753, 'Price Sheet'!$A$2:$B1015, 2, false))</f>
        <v>0</v>
      </c>
      <c r="AG753" s="33" t="str">
        <f t="shared" si="8"/>
        <v/>
      </c>
      <c r="AH753" s="37"/>
      <c r="AI753" s="29"/>
      <c r="AJ753" s="29" t="b">
        <v>0</v>
      </c>
      <c r="AK753" s="22" t="str">
        <f t="shared" si="9"/>
        <v/>
      </c>
      <c r="AL753" s="7">
        <f>IF(ISBLANK(AH753), 0, VLOOKUP(AH753, 'Price Sheet'!$A$2:$B1015, 2, false))</f>
        <v>0</v>
      </c>
      <c r="AM753" s="33" t="str">
        <f t="shared" si="10"/>
        <v/>
      </c>
      <c r="AN753" s="37"/>
      <c r="AO753" s="29"/>
      <c r="AP753" s="29" t="b">
        <v>0</v>
      </c>
      <c r="AQ753" s="22" t="str">
        <f t="shared" si="11"/>
        <v/>
      </c>
      <c r="AR753" s="7">
        <f>IF(ISBLANK(AN753), 0, VLOOKUP(AN753, 'Price Sheet'!$A$2:$B1015, 2, false))</f>
        <v>0</v>
      </c>
      <c r="AS753" s="33" t="str">
        <f t="shared" si="12"/>
        <v/>
      </c>
      <c r="AT753" s="37"/>
      <c r="AU753" s="29"/>
      <c r="AV753" s="29" t="b">
        <v>0</v>
      </c>
      <c r="AW753" s="22" t="str">
        <f t="shared" si="13"/>
        <v/>
      </c>
      <c r="AX753" s="7">
        <f>IF(ISBLANK(AT753), 0, VLOOKUP(AT753, 'Price Sheet'!$A$2:$B1015, 2, false))</f>
        <v>0</v>
      </c>
      <c r="AY753" s="33" t="str">
        <f t="shared" si="14"/>
        <v/>
      </c>
      <c r="AZ753" s="37"/>
      <c r="BA753" s="29"/>
      <c r="BB753" s="29" t="b">
        <v>0</v>
      </c>
      <c r="BC753" s="22" t="str">
        <f t="shared" si="15"/>
        <v/>
      </c>
      <c r="BD753" s="7">
        <f>IF(ISBLANK(AZ753), 0, VLOOKUP(AZ753, 'Price Sheet'!$A$2:$B1015, 2, false))</f>
        <v>0</v>
      </c>
      <c r="BE753" s="33" t="str">
        <f t="shared" si="16"/>
        <v/>
      </c>
      <c r="BF753" s="37"/>
      <c r="BG753" s="29"/>
      <c r="BH753" s="29" t="b">
        <v>0</v>
      </c>
      <c r="BI753" s="22" t="str">
        <f t="shared" si="17"/>
        <v/>
      </c>
      <c r="BJ753" s="7">
        <f>IF(ISBLANK(BF753), 0, VLOOKUP(BF753, 'Price Sheet'!$A$2:$B1015, 2, false))</f>
        <v>0</v>
      </c>
      <c r="BK753" s="33" t="str">
        <f t="shared" si="18"/>
        <v/>
      </c>
      <c r="BL753" s="37"/>
      <c r="BM753" s="29"/>
      <c r="BN753" s="29" t="b">
        <v>0</v>
      </c>
      <c r="BO753" s="22" t="str">
        <f t="shared" si="19"/>
        <v/>
      </c>
      <c r="BP753" s="7">
        <f>IF(ISBLANK(BL753), 0, VLOOKUP(BL753, 'Price Sheet'!$A$2:$B1015, 2, false))</f>
        <v>0</v>
      </c>
      <c r="BQ753" s="33" t="str">
        <f t="shared" si="20"/>
        <v/>
      </c>
    </row>
    <row r="754">
      <c r="B754" s="19"/>
      <c r="C754" s="29"/>
      <c r="D754" s="29"/>
      <c r="E754" s="7" t="str">
        <f>IF(ISBLANK(D754), "", VLOOKUP(D754,'Crafting Tables'!$A$2:$B1015, 2, false))</f>
        <v/>
      </c>
      <c r="F754" s="7" t="str">
        <f>IFERROR(IF(E754 = "None", 1, VLOOKUP(C754,General!$A$5:$L$35, SWITCH(E754, "Basic", 8, "Advanced", 10, "Modern", 12), false)),"")</f>
        <v/>
      </c>
      <c r="G754" s="29"/>
      <c r="H754" s="7">
        <f>IFERROR(VLOOKUP(C754, General!$A$5:$L$35, 6, false) * G754 / 1000, 0)</f>
        <v>0</v>
      </c>
      <c r="I754" s="29"/>
      <c r="J754" s="22" t="str">
        <f>IFERROR(I754*VLOOKUP(D754,'Crafting Tables'!$1:$1000, 4, false)*F754,"")</f>
        <v/>
      </c>
      <c r="K754" s="29" t="b">
        <v>0</v>
      </c>
      <c r="L754" s="37"/>
      <c r="M754" s="29"/>
      <c r="N754" s="21" t="str">
        <f t="shared" si="2"/>
        <v/>
      </c>
      <c r="P754" s="37"/>
      <c r="Q754" s="29"/>
      <c r="R754" s="29" t="b">
        <v>0</v>
      </c>
      <c r="S754" s="22" t="str">
        <f t="shared" si="3"/>
        <v/>
      </c>
      <c r="T754" s="7">
        <f>IF(ISBLANK(P754), 0, VLOOKUP(P754, 'Price Sheet'!$A$2:$B1015, 2, false))</f>
        <v>0</v>
      </c>
      <c r="U754" s="33" t="str">
        <f t="shared" si="4"/>
        <v/>
      </c>
      <c r="V754" s="37"/>
      <c r="W754" s="29"/>
      <c r="X754" s="29" t="b">
        <v>0</v>
      </c>
      <c r="Y754" s="22" t="str">
        <f t="shared" si="5"/>
        <v/>
      </c>
      <c r="Z754" s="7">
        <f>IF(ISBLANK(V754), 0, VLOOKUP(V754, 'Price Sheet'!$A$2:$B1015, 2, false))</f>
        <v>0</v>
      </c>
      <c r="AA754" s="33" t="str">
        <f t="shared" si="6"/>
        <v/>
      </c>
      <c r="AB754" s="37"/>
      <c r="AC754" s="29"/>
      <c r="AD754" s="29" t="b">
        <v>0</v>
      </c>
      <c r="AE754" s="22" t="str">
        <f t="shared" si="7"/>
        <v/>
      </c>
      <c r="AF754" s="7">
        <f>IF(ISBLANK(AB754), 0, VLOOKUP(AB754, 'Price Sheet'!$A$2:$B1015, 2, false))</f>
        <v>0</v>
      </c>
      <c r="AG754" s="33" t="str">
        <f t="shared" si="8"/>
        <v/>
      </c>
      <c r="AH754" s="37"/>
      <c r="AI754" s="29"/>
      <c r="AJ754" s="29" t="b">
        <v>0</v>
      </c>
      <c r="AK754" s="22" t="str">
        <f t="shared" si="9"/>
        <v/>
      </c>
      <c r="AL754" s="7">
        <f>IF(ISBLANK(AH754), 0, VLOOKUP(AH754, 'Price Sheet'!$A$2:$B1015, 2, false))</f>
        <v>0</v>
      </c>
      <c r="AM754" s="33" t="str">
        <f t="shared" si="10"/>
        <v/>
      </c>
      <c r="AN754" s="37"/>
      <c r="AO754" s="29"/>
      <c r="AP754" s="29" t="b">
        <v>0</v>
      </c>
      <c r="AQ754" s="22" t="str">
        <f t="shared" si="11"/>
        <v/>
      </c>
      <c r="AR754" s="7">
        <f>IF(ISBLANK(AN754), 0, VLOOKUP(AN754, 'Price Sheet'!$A$2:$B1015, 2, false))</f>
        <v>0</v>
      </c>
      <c r="AS754" s="33" t="str">
        <f t="shared" si="12"/>
        <v/>
      </c>
      <c r="AT754" s="37"/>
      <c r="AU754" s="29"/>
      <c r="AV754" s="29" t="b">
        <v>0</v>
      </c>
      <c r="AW754" s="22" t="str">
        <f t="shared" si="13"/>
        <v/>
      </c>
      <c r="AX754" s="7">
        <f>IF(ISBLANK(AT754), 0, VLOOKUP(AT754, 'Price Sheet'!$A$2:$B1015, 2, false))</f>
        <v>0</v>
      </c>
      <c r="AY754" s="33" t="str">
        <f t="shared" si="14"/>
        <v/>
      </c>
      <c r="AZ754" s="37"/>
      <c r="BA754" s="29"/>
      <c r="BB754" s="29" t="b">
        <v>0</v>
      </c>
      <c r="BC754" s="22" t="str">
        <f t="shared" si="15"/>
        <v/>
      </c>
      <c r="BD754" s="7">
        <f>IF(ISBLANK(AZ754), 0, VLOOKUP(AZ754, 'Price Sheet'!$A$2:$B1015, 2, false))</f>
        <v>0</v>
      </c>
      <c r="BE754" s="33" t="str">
        <f t="shared" si="16"/>
        <v/>
      </c>
      <c r="BF754" s="37"/>
      <c r="BG754" s="29"/>
      <c r="BH754" s="29" t="b">
        <v>0</v>
      </c>
      <c r="BI754" s="22" t="str">
        <f t="shared" si="17"/>
        <v/>
      </c>
      <c r="BJ754" s="7">
        <f>IF(ISBLANK(BF754), 0, VLOOKUP(BF754, 'Price Sheet'!$A$2:$B1015, 2, false))</f>
        <v>0</v>
      </c>
      <c r="BK754" s="33" t="str">
        <f t="shared" si="18"/>
        <v/>
      </c>
      <c r="BL754" s="37"/>
      <c r="BM754" s="29"/>
      <c r="BN754" s="29" t="b">
        <v>0</v>
      </c>
      <c r="BO754" s="22" t="str">
        <f t="shared" si="19"/>
        <v/>
      </c>
      <c r="BP754" s="7">
        <f>IF(ISBLANK(BL754), 0, VLOOKUP(BL754, 'Price Sheet'!$A$2:$B1015, 2, false))</f>
        <v>0</v>
      </c>
      <c r="BQ754" s="33" t="str">
        <f t="shared" si="20"/>
        <v/>
      </c>
    </row>
    <row r="755">
      <c r="B755" s="19"/>
      <c r="C755" s="29"/>
      <c r="D755" s="29"/>
      <c r="E755" s="7" t="str">
        <f>IF(ISBLANK(D755), "", VLOOKUP(D755,'Crafting Tables'!$A$2:$B1015, 2, false))</f>
        <v/>
      </c>
      <c r="F755" s="7" t="str">
        <f>IFERROR(IF(E755 = "None", 1, VLOOKUP(C755,General!$A$5:$L$35, SWITCH(E755, "Basic", 8, "Advanced", 10, "Modern", 12), false)),"")</f>
        <v/>
      </c>
      <c r="G755" s="29"/>
      <c r="H755" s="7">
        <f>IFERROR(VLOOKUP(C755, General!$A$5:$L$35, 6, false) * G755 / 1000, 0)</f>
        <v>0</v>
      </c>
      <c r="I755" s="29"/>
      <c r="J755" s="22" t="str">
        <f>IFERROR(I755*VLOOKUP(D755,'Crafting Tables'!$1:$1000, 4, false)*F755,"")</f>
        <v/>
      </c>
      <c r="K755" s="29" t="b">
        <v>0</v>
      </c>
      <c r="L755" s="37"/>
      <c r="M755" s="29"/>
      <c r="N755" s="21" t="str">
        <f t="shared" si="2"/>
        <v/>
      </c>
      <c r="P755" s="37"/>
      <c r="Q755" s="29"/>
      <c r="R755" s="29" t="b">
        <v>0</v>
      </c>
      <c r="S755" s="22" t="str">
        <f t="shared" si="3"/>
        <v/>
      </c>
      <c r="T755" s="7">
        <f>IF(ISBLANK(P755), 0, VLOOKUP(P755, 'Price Sheet'!$A$2:$B1015, 2, false))</f>
        <v>0</v>
      </c>
      <c r="U755" s="33" t="str">
        <f t="shared" si="4"/>
        <v/>
      </c>
      <c r="V755" s="37"/>
      <c r="W755" s="29"/>
      <c r="X755" s="29" t="b">
        <v>0</v>
      </c>
      <c r="Y755" s="22" t="str">
        <f t="shared" si="5"/>
        <v/>
      </c>
      <c r="Z755" s="7">
        <f>IF(ISBLANK(V755), 0, VLOOKUP(V755, 'Price Sheet'!$A$2:$B1015, 2, false))</f>
        <v>0</v>
      </c>
      <c r="AA755" s="33" t="str">
        <f t="shared" si="6"/>
        <v/>
      </c>
      <c r="AB755" s="37"/>
      <c r="AC755" s="29"/>
      <c r="AD755" s="29" t="b">
        <v>0</v>
      </c>
      <c r="AE755" s="22" t="str">
        <f t="shared" si="7"/>
        <v/>
      </c>
      <c r="AF755" s="7">
        <f>IF(ISBLANK(AB755), 0, VLOOKUP(AB755, 'Price Sheet'!$A$2:$B1015, 2, false))</f>
        <v>0</v>
      </c>
      <c r="AG755" s="33" t="str">
        <f t="shared" si="8"/>
        <v/>
      </c>
      <c r="AH755" s="37"/>
      <c r="AI755" s="29"/>
      <c r="AJ755" s="29" t="b">
        <v>0</v>
      </c>
      <c r="AK755" s="22" t="str">
        <f t="shared" si="9"/>
        <v/>
      </c>
      <c r="AL755" s="7">
        <f>IF(ISBLANK(AH755), 0, VLOOKUP(AH755, 'Price Sheet'!$A$2:$B1015, 2, false))</f>
        <v>0</v>
      </c>
      <c r="AM755" s="33" t="str">
        <f t="shared" si="10"/>
        <v/>
      </c>
      <c r="AN755" s="37"/>
      <c r="AO755" s="29"/>
      <c r="AP755" s="29" t="b">
        <v>0</v>
      </c>
      <c r="AQ755" s="22" t="str">
        <f t="shared" si="11"/>
        <v/>
      </c>
      <c r="AR755" s="7">
        <f>IF(ISBLANK(AN755), 0, VLOOKUP(AN755, 'Price Sheet'!$A$2:$B1015, 2, false))</f>
        <v>0</v>
      </c>
      <c r="AS755" s="33" t="str">
        <f t="shared" si="12"/>
        <v/>
      </c>
      <c r="AT755" s="37"/>
      <c r="AU755" s="29"/>
      <c r="AV755" s="29" t="b">
        <v>0</v>
      </c>
      <c r="AW755" s="22" t="str">
        <f t="shared" si="13"/>
        <v/>
      </c>
      <c r="AX755" s="7">
        <f>IF(ISBLANK(AT755), 0, VLOOKUP(AT755, 'Price Sheet'!$A$2:$B1015, 2, false))</f>
        <v>0</v>
      </c>
      <c r="AY755" s="33" t="str">
        <f t="shared" si="14"/>
        <v/>
      </c>
      <c r="AZ755" s="37"/>
      <c r="BA755" s="29"/>
      <c r="BB755" s="29" t="b">
        <v>0</v>
      </c>
      <c r="BC755" s="22" t="str">
        <f t="shared" si="15"/>
        <v/>
      </c>
      <c r="BD755" s="7">
        <f>IF(ISBLANK(AZ755), 0, VLOOKUP(AZ755, 'Price Sheet'!$A$2:$B1015, 2, false))</f>
        <v>0</v>
      </c>
      <c r="BE755" s="33" t="str">
        <f t="shared" si="16"/>
        <v/>
      </c>
      <c r="BF755" s="37"/>
      <c r="BG755" s="29"/>
      <c r="BH755" s="29" t="b">
        <v>0</v>
      </c>
      <c r="BI755" s="22" t="str">
        <f t="shared" si="17"/>
        <v/>
      </c>
      <c r="BJ755" s="7">
        <f>IF(ISBLANK(BF755), 0, VLOOKUP(BF755, 'Price Sheet'!$A$2:$B1015, 2, false))</f>
        <v>0</v>
      </c>
      <c r="BK755" s="33" t="str">
        <f t="shared" si="18"/>
        <v/>
      </c>
      <c r="BL755" s="37"/>
      <c r="BM755" s="29"/>
      <c r="BN755" s="29" t="b">
        <v>0</v>
      </c>
      <c r="BO755" s="22" t="str">
        <f t="shared" si="19"/>
        <v/>
      </c>
      <c r="BP755" s="7">
        <f>IF(ISBLANK(BL755), 0, VLOOKUP(BL755, 'Price Sheet'!$A$2:$B1015, 2, false))</f>
        <v>0</v>
      </c>
      <c r="BQ755" s="33" t="str">
        <f t="shared" si="20"/>
        <v/>
      </c>
    </row>
    <row r="756">
      <c r="B756" s="19"/>
      <c r="C756" s="29"/>
      <c r="D756" s="29"/>
      <c r="E756" s="7" t="str">
        <f>IF(ISBLANK(D756), "", VLOOKUP(D756,'Crafting Tables'!$A$2:$B1015, 2, false))</f>
        <v/>
      </c>
      <c r="F756" s="7" t="str">
        <f>IFERROR(IF(E756 = "None", 1, VLOOKUP(C756,General!$A$5:$L$35, SWITCH(E756, "Basic", 8, "Advanced", 10, "Modern", 12), false)),"")</f>
        <v/>
      </c>
      <c r="G756" s="29"/>
      <c r="H756" s="7">
        <f>IFERROR(VLOOKUP(C756, General!$A$5:$L$35, 6, false) * G756 / 1000, 0)</f>
        <v>0</v>
      </c>
      <c r="I756" s="29"/>
      <c r="J756" s="22" t="str">
        <f>IFERROR(I756*VLOOKUP(D756,'Crafting Tables'!$1:$1000, 4, false)*F756,"")</f>
        <v/>
      </c>
      <c r="K756" s="29" t="b">
        <v>0</v>
      </c>
      <c r="L756" s="37"/>
      <c r="M756" s="29"/>
      <c r="N756" s="21" t="str">
        <f t="shared" si="2"/>
        <v/>
      </c>
      <c r="P756" s="37"/>
      <c r="Q756" s="29"/>
      <c r="R756" s="29" t="b">
        <v>0</v>
      </c>
      <c r="S756" s="22" t="str">
        <f t="shared" si="3"/>
        <v/>
      </c>
      <c r="T756" s="7">
        <f>IF(ISBLANK(P756), 0, VLOOKUP(P756, 'Price Sheet'!$A$2:$B1015, 2, false))</f>
        <v>0</v>
      </c>
      <c r="U756" s="33" t="str">
        <f t="shared" si="4"/>
        <v/>
      </c>
      <c r="V756" s="37"/>
      <c r="W756" s="29"/>
      <c r="X756" s="29" t="b">
        <v>0</v>
      </c>
      <c r="Y756" s="22" t="str">
        <f t="shared" si="5"/>
        <v/>
      </c>
      <c r="Z756" s="7">
        <f>IF(ISBLANK(V756), 0, VLOOKUP(V756, 'Price Sheet'!$A$2:$B1015, 2, false))</f>
        <v>0</v>
      </c>
      <c r="AA756" s="33" t="str">
        <f t="shared" si="6"/>
        <v/>
      </c>
      <c r="AB756" s="37"/>
      <c r="AC756" s="29"/>
      <c r="AD756" s="29" t="b">
        <v>0</v>
      </c>
      <c r="AE756" s="22" t="str">
        <f t="shared" si="7"/>
        <v/>
      </c>
      <c r="AF756" s="7">
        <f>IF(ISBLANK(AB756), 0, VLOOKUP(AB756, 'Price Sheet'!$A$2:$B1015, 2, false))</f>
        <v>0</v>
      </c>
      <c r="AG756" s="33" t="str">
        <f t="shared" si="8"/>
        <v/>
      </c>
      <c r="AH756" s="37"/>
      <c r="AI756" s="29"/>
      <c r="AJ756" s="29" t="b">
        <v>0</v>
      </c>
      <c r="AK756" s="22" t="str">
        <f t="shared" si="9"/>
        <v/>
      </c>
      <c r="AL756" s="7">
        <f>IF(ISBLANK(AH756), 0, VLOOKUP(AH756, 'Price Sheet'!$A$2:$B1015, 2, false))</f>
        <v>0</v>
      </c>
      <c r="AM756" s="33" t="str">
        <f t="shared" si="10"/>
        <v/>
      </c>
      <c r="AN756" s="37"/>
      <c r="AO756" s="29"/>
      <c r="AP756" s="29" t="b">
        <v>0</v>
      </c>
      <c r="AQ756" s="22" t="str">
        <f t="shared" si="11"/>
        <v/>
      </c>
      <c r="AR756" s="7">
        <f>IF(ISBLANK(AN756), 0, VLOOKUP(AN756, 'Price Sheet'!$A$2:$B1015, 2, false))</f>
        <v>0</v>
      </c>
      <c r="AS756" s="33" t="str">
        <f t="shared" si="12"/>
        <v/>
      </c>
      <c r="AT756" s="37"/>
      <c r="AU756" s="29"/>
      <c r="AV756" s="29" t="b">
        <v>0</v>
      </c>
      <c r="AW756" s="22" t="str">
        <f t="shared" si="13"/>
        <v/>
      </c>
      <c r="AX756" s="7">
        <f>IF(ISBLANK(AT756), 0, VLOOKUP(AT756, 'Price Sheet'!$A$2:$B1015, 2, false))</f>
        <v>0</v>
      </c>
      <c r="AY756" s="33" t="str">
        <f t="shared" si="14"/>
        <v/>
      </c>
      <c r="AZ756" s="37"/>
      <c r="BA756" s="29"/>
      <c r="BB756" s="29" t="b">
        <v>0</v>
      </c>
      <c r="BC756" s="22" t="str">
        <f t="shared" si="15"/>
        <v/>
      </c>
      <c r="BD756" s="7">
        <f>IF(ISBLANK(AZ756), 0, VLOOKUP(AZ756, 'Price Sheet'!$A$2:$B1015, 2, false))</f>
        <v>0</v>
      </c>
      <c r="BE756" s="33" t="str">
        <f t="shared" si="16"/>
        <v/>
      </c>
      <c r="BF756" s="37"/>
      <c r="BG756" s="29"/>
      <c r="BH756" s="29" t="b">
        <v>0</v>
      </c>
      <c r="BI756" s="22" t="str">
        <f t="shared" si="17"/>
        <v/>
      </c>
      <c r="BJ756" s="7">
        <f>IF(ISBLANK(BF756), 0, VLOOKUP(BF756, 'Price Sheet'!$A$2:$B1015, 2, false))</f>
        <v>0</v>
      </c>
      <c r="BK756" s="33" t="str">
        <f t="shared" si="18"/>
        <v/>
      </c>
      <c r="BL756" s="37"/>
      <c r="BM756" s="29"/>
      <c r="BN756" s="29" t="b">
        <v>0</v>
      </c>
      <c r="BO756" s="22" t="str">
        <f t="shared" si="19"/>
        <v/>
      </c>
      <c r="BP756" s="7">
        <f>IF(ISBLANK(BL756), 0, VLOOKUP(BL756, 'Price Sheet'!$A$2:$B1015, 2, false))</f>
        <v>0</v>
      </c>
      <c r="BQ756" s="33" t="str">
        <f t="shared" si="20"/>
        <v/>
      </c>
    </row>
    <row r="757">
      <c r="B757" s="19"/>
      <c r="C757" s="29"/>
      <c r="D757" s="29"/>
      <c r="E757" s="7" t="str">
        <f>IF(ISBLANK(D757), "", VLOOKUP(D757,'Crafting Tables'!$A$2:$B1015, 2, false))</f>
        <v/>
      </c>
      <c r="F757" s="7" t="str">
        <f>IFERROR(IF(E757 = "None", 1, VLOOKUP(C757,General!$A$5:$L$35, SWITCH(E757, "Basic", 8, "Advanced", 10, "Modern", 12), false)),"")</f>
        <v/>
      </c>
      <c r="G757" s="29"/>
      <c r="H757" s="7">
        <f>IFERROR(VLOOKUP(C757, General!$A$5:$L$35, 6, false) * G757 / 1000, 0)</f>
        <v>0</v>
      </c>
      <c r="I757" s="29"/>
      <c r="J757" s="22" t="str">
        <f>IFERROR(I757*VLOOKUP(D757,'Crafting Tables'!$1:$1000, 4, false)*F757,"")</f>
        <v/>
      </c>
      <c r="K757" s="29" t="b">
        <v>0</v>
      </c>
      <c r="L757" s="37"/>
      <c r="M757" s="29"/>
      <c r="N757" s="21" t="str">
        <f t="shared" si="2"/>
        <v/>
      </c>
      <c r="P757" s="37"/>
      <c r="Q757" s="29"/>
      <c r="R757" s="29" t="b">
        <v>0</v>
      </c>
      <c r="S757" s="22" t="str">
        <f t="shared" si="3"/>
        <v/>
      </c>
      <c r="T757" s="7">
        <f>IF(ISBLANK(P757), 0, VLOOKUP(P757, 'Price Sheet'!$A$2:$B1015, 2, false))</f>
        <v>0</v>
      </c>
      <c r="U757" s="33" t="str">
        <f t="shared" si="4"/>
        <v/>
      </c>
      <c r="V757" s="37"/>
      <c r="W757" s="29"/>
      <c r="X757" s="29" t="b">
        <v>0</v>
      </c>
      <c r="Y757" s="22" t="str">
        <f t="shared" si="5"/>
        <v/>
      </c>
      <c r="Z757" s="7">
        <f>IF(ISBLANK(V757), 0, VLOOKUP(V757, 'Price Sheet'!$A$2:$B1015, 2, false))</f>
        <v>0</v>
      </c>
      <c r="AA757" s="33" t="str">
        <f t="shared" si="6"/>
        <v/>
      </c>
      <c r="AB757" s="37"/>
      <c r="AC757" s="29"/>
      <c r="AD757" s="29" t="b">
        <v>0</v>
      </c>
      <c r="AE757" s="22" t="str">
        <f t="shared" si="7"/>
        <v/>
      </c>
      <c r="AF757" s="7">
        <f>IF(ISBLANK(AB757), 0, VLOOKUP(AB757, 'Price Sheet'!$A$2:$B1015, 2, false))</f>
        <v>0</v>
      </c>
      <c r="AG757" s="33" t="str">
        <f t="shared" si="8"/>
        <v/>
      </c>
      <c r="AH757" s="37"/>
      <c r="AI757" s="29"/>
      <c r="AJ757" s="29" t="b">
        <v>0</v>
      </c>
      <c r="AK757" s="22" t="str">
        <f t="shared" si="9"/>
        <v/>
      </c>
      <c r="AL757" s="7">
        <f>IF(ISBLANK(AH757), 0, VLOOKUP(AH757, 'Price Sheet'!$A$2:$B1015, 2, false))</f>
        <v>0</v>
      </c>
      <c r="AM757" s="33" t="str">
        <f t="shared" si="10"/>
        <v/>
      </c>
      <c r="AN757" s="37"/>
      <c r="AO757" s="29"/>
      <c r="AP757" s="29" t="b">
        <v>0</v>
      </c>
      <c r="AQ757" s="22" t="str">
        <f t="shared" si="11"/>
        <v/>
      </c>
      <c r="AR757" s="7">
        <f>IF(ISBLANK(AN757), 0, VLOOKUP(AN757, 'Price Sheet'!$A$2:$B1015, 2, false))</f>
        <v>0</v>
      </c>
      <c r="AS757" s="33" t="str">
        <f t="shared" si="12"/>
        <v/>
      </c>
      <c r="AT757" s="37"/>
      <c r="AU757" s="29"/>
      <c r="AV757" s="29" t="b">
        <v>0</v>
      </c>
      <c r="AW757" s="22" t="str">
        <f t="shared" si="13"/>
        <v/>
      </c>
      <c r="AX757" s="7">
        <f>IF(ISBLANK(AT757), 0, VLOOKUP(AT757, 'Price Sheet'!$A$2:$B1015, 2, false))</f>
        <v>0</v>
      </c>
      <c r="AY757" s="33" t="str">
        <f t="shared" si="14"/>
        <v/>
      </c>
      <c r="AZ757" s="37"/>
      <c r="BA757" s="29"/>
      <c r="BB757" s="29" t="b">
        <v>0</v>
      </c>
      <c r="BC757" s="22" t="str">
        <f t="shared" si="15"/>
        <v/>
      </c>
      <c r="BD757" s="7">
        <f>IF(ISBLANK(AZ757), 0, VLOOKUP(AZ757, 'Price Sheet'!$A$2:$B1015, 2, false))</f>
        <v>0</v>
      </c>
      <c r="BE757" s="33" t="str">
        <f t="shared" si="16"/>
        <v/>
      </c>
      <c r="BF757" s="37"/>
      <c r="BG757" s="29"/>
      <c r="BH757" s="29" t="b">
        <v>0</v>
      </c>
      <c r="BI757" s="22" t="str">
        <f t="shared" si="17"/>
        <v/>
      </c>
      <c r="BJ757" s="7">
        <f>IF(ISBLANK(BF757), 0, VLOOKUP(BF757, 'Price Sheet'!$A$2:$B1015, 2, false))</f>
        <v>0</v>
      </c>
      <c r="BK757" s="33" t="str">
        <f t="shared" si="18"/>
        <v/>
      </c>
      <c r="BL757" s="37"/>
      <c r="BM757" s="29"/>
      <c r="BN757" s="29" t="b">
        <v>0</v>
      </c>
      <c r="BO757" s="22" t="str">
        <f t="shared" si="19"/>
        <v/>
      </c>
      <c r="BP757" s="7">
        <f>IF(ISBLANK(BL757), 0, VLOOKUP(BL757, 'Price Sheet'!$A$2:$B1015, 2, false))</f>
        <v>0</v>
      </c>
      <c r="BQ757" s="33" t="str">
        <f t="shared" si="20"/>
        <v/>
      </c>
    </row>
    <row r="758">
      <c r="B758" s="19"/>
      <c r="C758" s="29"/>
      <c r="D758" s="29"/>
      <c r="E758" s="7" t="str">
        <f>IF(ISBLANK(D758), "", VLOOKUP(D758,'Crafting Tables'!$A$2:$B1015, 2, false))</f>
        <v/>
      </c>
      <c r="F758" s="7" t="str">
        <f>IFERROR(IF(E758 = "None", 1, VLOOKUP(C758,General!$A$5:$L$35, SWITCH(E758, "Basic", 8, "Advanced", 10, "Modern", 12), false)),"")</f>
        <v/>
      </c>
      <c r="G758" s="29"/>
      <c r="H758" s="7">
        <f>IFERROR(VLOOKUP(C758, General!$A$5:$L$35, 6, false) * G758 / 1000, 0)</f>
        <v>0</v>
      </c>
      <c r="I758" s="29"/>
      <c r="J758" s="22" t="str">
        <f>IFERROR(I758*VLOOKUP(D758,'Crafting Tables'!$1:$1000, 4, false)*F758,"")</f>
        <v/>
      </c>
      <c r="K758" s="29" t="b">
        <v>0</v>
      </c>
      <c r="L758" s="37"/>
      <c r="M758" s="29"/>
      <c r="N758" s="21" t="str">
        <f t="shared" si="2"/>
        <v/>
      </c>
      <c r="P758" s="37"/>
      <c r="Q758" s="29"/>
      <c r="R758" s="29" t="b">
        <v>0</v>
      </c>
      <c r="S758" s="22" t="str">
        <f t="shared" si="3"/>
        <v/>
      </c>
      <c r="T758" s="7">
        <f>IF(ISBLANK(P758), 0, VLOOKUP(P758, 'Price Sheet'!$A$2:$B1015, 2, false))</f>
        <v>0</v>
      </c>
      <c r="U758" s="33" t="str">
        <f t="shared" si="4"/>
        <v/>
      </c>
      <c r="V758" s="37"/>
      <c r="W758" s="29"/>
      <c r="X758" s="29" t="b">
        <v>0</v>
      </c>
      <c r="Y758" s="22" t="str">
        <f t="shared" si="5"/>
        <v/>
      </c>
      <c r="Z758" s="7">
        <f>IF(ISBLANK(V758), 0, VLOOKUP(V758, 'Price Sheet'!$A$2:$B1015, 2, false))</f>
        <v>0</v>
      </c>
      <c r="AA758" s="33" t="str">
        <f t="shared" si="6"/>
        <v/>
      </c>
      <c r="AB758" s="37"/>
      <c r="AC758" s="29"/>
      <c r="AD758" s="29" t="b">
        <v>0</v>
      </c>
      <c r="AE758" s="22" t="str">
        <f t="shared" si="7"/>
        <v/>
      </c>
      <c r="AF758" s="7">
        <f>IF(ISBLANK(AB758), 0, VLOOKUP(AB758, 'Price Sheet'!$A$2:$B1015, 2, false))</f>
        <v>0</v>
      </c>
      <c r="AG758" s="33" t="str">
        <f t="shared" si="8"/>
        <v/>
      </c>
      <c r="AH758" s="37"/>
      <c r="AI758" s="29"/>
      <c r="AJ758" s="29" t="b">
        <v>0</v>
      </c>
      <c r="AK758" s="22" t="str">
        <f t="shared" si="9"/>
        <v/>
      </c>
      <c r="AL758" s="7">
        <f>IF(ISBLANK(AH758), 0, VLOOKUP(AH758, 'Price Sheet'!$A$2:$B1015, 2, false))</f>
        <v>0</v>
      </c>
      <c r="AM758" s="33" t="str">
        <f t="shared" si="10"/>
        <v/>
      </c>
      <c r="AN758" s="37"/>
      <c r="AO758" s="29"/>
      <c r="AP758" s="29" t="b">
        <v>0</v>
      </c>
      <c r="AQ758" s="22" t="str">
        <f t="shared" si="11"/>
        <v/>
      </c>
      <c r="AR758" s="7">
        <f>IF(ISBLANK(AN758), 0, VLOOKUP(AN758, 'Price Sheet'!$A$2:$B1015, 2, false))</f>
        <v>0</v>
      </c>
      <c r="AS758" s="33" t="str">
        <f t="shared" si="12"/>
        <v/>
      </c>
      <c r="AT758" s="37"/>
      <c r="AU758" s="29"/>
      <c r="AV758" s="29" t="b">
        <v>0</v>
      </c>
      <c r="AW758" s="22" t="str">
        <f t="shared" si="13"/>
        <v/>
      </c>
      <c r="AX758" s="7">
        <f>IF(ISBLANK(AT758), 0, VLOOKUP(AT758, 'Price Sheet'!$A$2:$B1015, 2, false))</f>
        <v>0</v>
      </c>
      <c r="AY758" s="33" t="str">
        <f t="shared" si="14"/>
        <v/>
      </c>
      <c r="AZ758" s="37"/>
      <c r="BA758" s="29"/>
      <c r="BB758" s="29" t="b">
        <v>0</v>
      </c>
      <c r="BC758" s="22" t="str">
        <f t="shared" si="15"/>
        <v/>
      </c>
      <c r="BD758" s="7">
        <f>IF(ISBLANK(AZ758), 0, VLOOKUP(AZ758, 'Price Sheet'!$A$2:$B1015, 2, false))</f>
        <v>0</v>
      </c>
      <c r="BE758" s="33" t="str">
        <f t="shared" si="16"/>
        <v/>
      </c>
      <c r="BF758" s="37"/>
      <c r="BG758" s="29"/>
      <c r="BH758" s="29" t="b">
        <v>0</v>
      </c>
      <c r="BI758" s="22" t="str">
        <f t="shared" si="17"/>
        <v/>
      </c>
      <c r="BJ758" s="7">
        <f>IF(ISBLANK(BF758), 0, VLOOKUP(BF758, 'Price Sheet'!$A$2:$B1015, 2, false))</f>
        <v>0</v>
      </c>
      <c r="BK758" s="33" t="str">
        <f t="shared" si="18"/>
        <v/>
      </c>
      <c r="BL758" s="37"/>
      <c r="BM758" s="29"/>
      <c r="BN758" s="29" t="b">
        <v>0</v>
      </c>
      <c r="BO758" s="22" t="str">
        <f t="shared" si="19"/>
        <v/>
      </c>
      <c r="BP758" s="7">
        <f>IF(ISBLANK(BL758), 0, VLOOKUP(BL758, 'Price Sheet'!$A$2:$B1015, 2, false))</f>
        <v>0</v>
      </c>
      <c r="BQ758" s="33" t="str">
        <f t="shared" si="20"/>
        <v/>
      </c>
    </row>
    <row r="759">
      <c r="B759" s="19"/>
      <c r="C759" s="29"/>
      <c r="D759" s="29"/>
      <c r="E759" s="7" t="str">
        <f>IF(ISBLANK(D759), "", VLOOKUP(D759,'Crafting Tables'!$A$2:$B1015, 2, false))</f>
        <v/>
      </c>
      <c r="F759" s="7" t="str">
        <f>IFERROR(IF(E759 = "None", 1, VLOOKUP(C759,General!$A$5:$L$35, SWITCH(E759, "Basic", 8, "Advanced", 10, "Modern", 12), false)),"")</f>
        <v/>
      </c>
      <c r="G759" s="29"/>
      <c r="H759" s="7">
        <f>IFERROR(VLOOKUP(C759, General!$A$5:$L$35, 6, false) * G759 / 1000, 0)</f>
        <v>0</v>
      </c>
      <c r="I759" s="29"/>
      <c r="J759" s="22" t="str">
        <f>IFERROR(I759*VLOOKUP(D759,'Crafting Tables'!$1:$1000, 4, false)*F759,"")</f>
        <v/>
      </c>
      <c r="K759" s="29" t="b">
        <v>0</v>
      </c>
      <c r="L759" s="37"/>
      <c r="M759" s="29"/>
      <c r="N759" s="21" t="str">
        <f t="shared" si="2"/>
        <v/>
      </c>
      <c r="P759" s="37"/>
      <c r="Q759" s="29"/>
      <c r="R759" s="29" t="b">
        <v>0</v>
      </c>
      <c r="S759" s="22" t="str">
        <f t="shared" si="3"/>
        <v/>
      </c>
      <c r="T759" s="7">
        <f>IF(ISBLANK(P759), 0, VLOOKUP(P759, 'Price Sheet'!$A$2:$B1015, 2, false))</f>
        <v>0</v>
      </c>
      <c r="U759" s="33" t="str">
        <f t="shared" si="4"/>
        <v/>
      </c>
      <c r="V759" s="37"/>
      <c r="W759" s="29"/>
      <c r="X759" s="29" t="b">
        <v>0</v>
      </c>
      <c r="Y759" s="22" t="str">
        <f t="shared" si="5"/>
        <v/>
      </c>
      <c r="Z759" s="7">
        <f>IF(ISBLANK(V759), 0, VLOOKUP(V759, 'Price Sheet'!$A$2:$B1015, 2, false))</f>
        <v>0</v>
      </c>
      <c r="AA759" s="33" t="str">
        <f t="shared" si="6"/>
        <v/>
      </c>
      <c r="AB759" s="37"/>
      <c r="AC759" s="29"/>
      <c r="AD759" s="29" t="b">
        <v>0</v>
      </c>
      <c r="AE759" s="22" t="str">
        <f t="shared" si="7"/>
        <v/>
      </c>
      <c r="AF759" s="7">
        <f>IF(ISBLANK(AB759), 0, VLOOKUP(AB759, 'Price Sheet'!$A$2:$B1015, 2, false))</f>
        <v>0</v>
      </c>
      <c r="AG759" s="33" t="str">
        <f t="shared" si="8"/>
        <v/>
      </c>
      <c r="AH759" s="37"/>
      <c r="AI759" s="29"/>
      <c r="AJ759" s="29" t="b">
        <v>0</v>
      </c>
      <c r="AK759" s="22" t="str">
        <f t="shared" si="9"/>
        <v/>
      </c>
      <c r="AL759" s="7">
        <f>IF(ISBLANK(AH759), 0, VLOOKUP(AH759, 'Price Sheet'!$A$2:$B1015, 2, false))</f>
        <v>0</v>
      </c>
      <c r="AM759" s="33" t="str">
        <f t="shared" si="10"/>
        <v/>
      </c>
      <c r="AN759" s="37"/>
      <c r="AO759" s="29"/>
      <c r="AP759" s="29" t="b">
        <v>0</v>
      </c>
      <c r="AQ759" s="22" t="str">
        <f t="shared" si="11"/>
        <v/>
      </c>
      <c r="AR759" s="7">
        <f>IF(ISBLANK(AN759), 0, VLOOKUP(AN759, 'Price Sheet'!$A$2:$B1015, 2, false))</f>
        <v>0</v>
      </c>
      <c r="AS759" s="33" t="str">
        <f t="shared" si="12"/>
        <v/>
      </c>
      <c r="AT759" s="37"/>
      <c r="AU759" s="29"/>
      <c r="AV759" s="29" t="b">
        <v>0</v>
      </c>
      <c r="AW759" s="22" t="str">
        <f t="shared" si="13"/>
        <v/>
      </c>
      <c r="AX759" s="7">
        <f>IF(ISBLANK(AT759), 0, VLOOKUP(AT759, 'Price Sheet'!$A$2:$B1015, 2, false))</f>
        <v>0</v>
      </c>
      <c r="AY759" s="33" t="str">
        <f t="shared" si="14"/>
        <v/>
      </c>
      <c r="AZ759" s="37"/>
      <c r="BA759" s="29"/>
      <c r="BB759" s="29" t="b">
        <v>0</v>
      </c>
      <c r="BC759" s="22" t="str">
        <f t="shared" si="15"/>
        <v/>
      </c>
      <c r="BD759" s="7">
        <f>IF(ISBLANK(AZ759), 0, VLOOKUP(AZ759, 'Price Sheet'!$A$2:$B1015, 2, false))</f>
        <v>0</v>
      </c>
      <c r="BE759" s="33" t="str">
        <f t="shared" si="16"/>
        <v/>
      </c>
      <c r="BF759" s="37"/>
      <c r="BG759" s="29"/>
      <c r="BH759" s="29" t="b">
        <v>0</v>
      </c>
      <c r="BI759" s="22" t="str">
        <f t="shared" si="17"/>
        <v/>
      </c>
      <c r="BJ759" s="7">
        <f>IF(ISBLANK(BF759), 0, VLOOKUP(BF759, 'Price Sheet'!$A$2:$B1015, 2, false))</f>
        <v>0</v>
      </c>
      <c r="BK759" s="33" t="str">
        <f t="shared" si="18"/>
        <v/>
      </c>
      <c r="BL759" s="37"/>
      <c r="BM759" s="29"/>
      <c r="BN759" s="29" t="b">
        <v>0</v>
      </c>
      <c r="BO759" s="22" t="str">
        <f t="shared" si="19"/>
        <v/>
      </c>
      <c r="BP759" s="7">
        <f>IF(ISBLANK(BL759), 0, VLOOKUP(BL759, 'Price Sheet'!$A$2:$B1015, 2, false))</f>
        <v>0</v>
      </c>
      <c r="BQ759" s="33" t="str">
        <f t="shared" si="20"/>
        <v/>
      </c>
    </row>
    <row r="760">
      <c r="B760" s="19"/>
      <c r="C760" s="29"/>
      <c r="D760" s="29"/>
      <c r="E760" s="7" t="str">
        <f>IF(ISBLANK(D760), "", VLOOKUP(D760,'Crafting Tables'!$A$2:$B1015, 2, false))</f>
        <v/>
      </c>
      <c r="F760" s="7" t="str">
        <f>IFERROR(IF(E760 = "None", 1, VLOOKUP(C760,General!$A$5:$L$35, SWITCH(E760, "Basic", 8, "Advanced", 10, "Modern", 12), false)),"")</f>
        <v/>
      </c>
      <c r="G760" s="29"/>
      <c r="H760" s="7">
        <f>IFERROR(VLOOKUP(C760, General!$A$5:$L$35, 6, false) * G760 / 1000, 0)</f>
        <v>0</v>
      </c>
      <c r="I760" s="29"/>
      <c r="J760" s="22" t="str">
        <f>IFERROR(I760*VLOOKUP(D760,'Crafting Tables'!$1:$1000, 4, false)*F760,"")</f>
        <v/>
      </c>
      <c r="K760" s="29" t="b">
        <v>0</v>
      </c>
      <c r="L760" s="37"/>
      <c r="M760" s="29"/>
      <c r="N760" s="21" t="str">
        <f t="shared" si="2"/>
        <v/>
      </c>
      <c r="P760" s="37"/>
      <c r="Q760" s="29"/>
      <c r="R760" s="29" t="b">
        <v>0</v>
      </c>
      <c r="S760" s="22" t="str">
        <f t="shared" si="3"/>
        <v/>
      </c>
      <c r="T760" s="7">
        <f>IF(ISBLANK(P760), 0, VLOOKUP(P760, 'Price Sheet'!$A$2:$B1015, 2, false))</f>
        <v>0</v>
      </c>
      <c r="U760" s="33" t="str">
        <f t="shared" si="4"/>
        <v/>
      </c>
      <c r="V760" s="37"/>
      <c r="W760" s="29"/>
      <c r="X760" s="29" t="b">
        <v>0</v>
      </c>
      <c r="Y760" s="22" t="str">
        <f t="shared" si="5"/>
        <v/>
      </c>
      <c r="Z760" s="7">
        <f>IF(ISBLANK(V760), 0, VLOOKUP(V760, 'Price Sheet'!$A$2:$B1015, 2, false))</f>
        <v>0</v>
      </c>
      <c r="AA760" s="33" t="str">
        <f t="shared" si="6"/>
        <v/>
      </c>
      <c r="AB760" s="37"/>
      <c r="AC760" s="29"/>
      <c r="AD760" s="29" t="b">
        <v>0</v>
      </c>
      <c r="AE760" s="22" t="str">
        <f t="shared" si="7"/>
        <v/>
      </c>
      <c r="AF760" s="7">
        <f>IF(ISBLANK(AB760), 0, VLOOKUP(AB760, 'Price Sheet'!$A$2:$B1015, 2, false))</f>
        <v>0</v>
      </c>
      <c r="AG760" s="33" t="str">
        <f t="shared" si="8"/>
        <v/>
      </c>
      <c r="AH760" s="37"/>
      <c r="AI760" s="29"/>
      <c r="AJ760" s="29" t="b">
        <v>0</v>
      </c>
      <c r="AK760" s="22" t="str">
        <f t="shared" si="9"/>
        <v/>
      </c>
      <c r="AL760" s="7">
        <f>IF(ISBLANK(AH760), 0, VLOOKUP(AH760, 'Price Sheet'!$A$2:$B1015, 2, false))</f>
        <v>0</v>
      </c>
      <c r="AM760" s="33" t="str">
        <f t="shared" si="10"/>
        <v/>
      </c>
      <c r="AN760" s="37"/>
      <c r="AO760" s="29"/>
      <c r="AP760" s="29" t="b">
        <v>0</v>
      </c>
      <c r="AQ760" s="22" t="str">
        <f t="shared" si="11"/>
        <v/>
      </c>
      <c r="AR760" s="7">
        <f>IF(ISBLANK(AN760), 0, VLOOKUP(AN760, 'Price Sheet'!$A$2:$B1015, 2, false))</f>
        <v>0</v>
      </c>
      <c r="AS760" s="33" t="str">
        <f t="shared" si="12"/>
        <v/>
      </c>
      <c r="AT760" s="37"/>
      <c r="AU760" s="29"/>
      <c r="AV760" s="29" t="b">
        <v>0</v>
      </c>
      <c r="AW760" s="22" t="str">
        <f t="shared" si="13"/>
        <v/>
      </c>
      <c r="AX760" s="7">
        <f>IF(ISBLANK(AT760), 0, VLOOKUP(AT760, 'Price Sheet'!$A$2:$B1015, 2, false))</f>
        <v>0</v>
      </c>
      <c r="AY760" s="33" t="str">
        <f t="shared" si="14"/>
        <v/>
      </c>
      <c r="AZ760" s="37"/>
      <c r="BA760" s="29"/>
      <c r="BB760" s="29" t="b">
        <v>0</v>
      </c>
      <c r="BC760" s="22" t="str">
        <f t="shared" si="15"/>
        <v/>
      </c>
      <c r="BD760" s="7">
        <f>IF(ISBLANK(AZ760), 0, VLOOKUP(AZ760, 'Price Sheet'!$A$2:$B1015, 2, false))</f>
        <v>0</v>
      </c>
      <c r="BE760" s="33" t="str">
        <f t="shared" si="16"/>
        <v/>
      </c>
      <c r="BF760" s="37"/>
      <c r="BG760" s="29"/>
      <c r="BH760" s="29" t="b">
        <v>0</v>
      </c>
      <c r="BI760" s="22" t="str">
        <f t="shared" si="17"/>
        <v/>
      </c>
      <c r="BJ760" s="7">
        <f>IF(ISBLANK(BF760), 0, VLOOKUP(BF760, 'Price Sheet'!$A$2:$B1015, 2, false))</f>
        <v>0</v>
      </c>
      <c r="BK760" s="33" t="str">
        <f t="shared" si="18"/>
        <v/>
      </c>
      <c r="BL760" s="37"/>
      <c r="BM760" s="29"/>
      <c r="BN760" s="29" t="b">
        <v>0</v>
      </c>
      <c r="BO760" s="22" t="str">
        <f t="shared" si="19"/>
        <v/>
      </c>
      <c r="BP760" s="7">
        <f>IF(ISBLANK(BL760), 0, VLOOKUP(BL760, 'Price Sheet'!$A$2:$B1015, 2, false))</f>
        <v>0</v>
      </c>
      <c r="BQ760" s="33" t="str">
        <f t="shared" si="20"/>
        <v/>
      </c>
    </row>
    <row r="761">
      <c r="B761" s="19"/>
      <c r="C761" s="29"/>
      <c r="D761" s="29"/>
      <c r="E761" s="7" t="str">
        <f>IF(ISBLANK(D761), "", VLOOKUP(D761,'Crafting Tables'!$A$2:$B1015, 2, false))</f>
        <v/>
      </c>
      <c r="F761" s="7" t="str">
        <f>IFERROR(IF(E761 = "None", 1, VLOOKUP(C761,General!$A$5:$L$35, SWITCH(E761, "Basic", 8, "Advanced", 10, "Modern", 12), false)),"")</f>
        <v/>
      </c>
      <c r="G761" s="29"/>
      <c r="H761" s="7">
        <f>IFERROR(VLOOKUP(C761, General!$A$5:$L$35, 6, false) * G761 / 1000, 0)</f>
        <v>0</v>
      </c>
      <c r="I761" s="29"/>
      <c r="J761" s="22" t="str">
        <f>IFERROR(I761*VLOOKUP(D761,'Crafting Tables'!$1:$1000, 4, false)*F761,"")</f>
        <v/>
      </c>
      <c r="K761" s="29" t="b">
        <v>0</v>
      </c>
      <c r="L761" s="37"/>
      <c r="M761" s="29"/>
      <c r="N761" s="21" t="str">
        <f t="shared" si="2"/>
        <v/>
      </c>
      <c r="P761" s="37"/>
      <c r="Q761" s="29"/>
      <c r="R761" s="29" t="b">
        <v>0</v>
      </c>
      <c r="S761" s="22" t="str">
        <f t="shared" si="3"/>
        <v/>
      </c>
      <c r="T761" s="7">
        <f>IF(ISBLANK(P761), 0, VLOOKUP(P761, 'Price Sheet'!$A$2:$B1015, 2, false))</f>
        <v>0</v>
      </c>
      <c r="U761" s="33" t="str">
        <f t="shared" si="4"/>
        <v/>
      </c>
      <c r="V761" s="37"/>
      <c r="W761" s="29"/>
      <c r="X761" s="29" t="b">
        <v>0</v>
      </c>
      <c r="Y761" s="22" t="str">
        <f t="shared" si="5"/>
        <v/>
      </c>
      <c r="Z761" s="7">
        <f>IF(ISBLANK(V761), 0, VLOOKUP(V761, 'Price Sheet'!$A$2:$B1015, 2, false))</f>
        <v>0</v>
      </c>
      <c r="AA761" s="33" t="str">
        <f t="shared" si="6"/>
        <v/>
      </c>
      <c r="AB761" s="37"/>
      <c r="AC761" s="29"/>
      <c r="AD761" s="29" t="b">
        <v>0</v>
      </c>
      <c r="AE761" s="22" t="str">
        <f t="shared" si="7"/>
        <v/>
      </c>
      <c r="AF761" s="7">
        <f>IF(ISBLANK(AB761), 0, VLOOKUP(AB761, 'Price Sheet'!$A$2:$B1015, 2, false))</f>
        <v>0</v>
      </c>
      <c r="AG761" s="33" t="str">
        <f t="shared" si="8"/>
        <v/>
      </c>
      <c r="AH761" s="37"/>
      <c r="AI761" s="29"/>
      <c r="AJ761" s="29" t="b">
        <v>0</v>
      </c>
      <c r="AK761" s="22" t="str">
        <f t="shared" si="9"/>
        <v/>
      </c>
      <c r="AL761" s="7">
        <f>IF(ISBLANK(AH761), 0, VLOOKUP(AH761, 'Price Sheet'!$A$2:$B1015, 2, false))</f>
        <v>0</v>
      </c>
      <c r="AM761" s="33" t="str">
        <f t="shared" si="10"/>
        <v/>
      </c>
      <c r="AN761" s="37"/>
      <c r="AO761" s="29"/>
      <c r="AP761" s="29" t="b">
        <v>0</v>
      </c>
      <c r="AQ761" s="22" t="str">
        <f t="shared" si="11"/>
        <v/>
      </c>
      <c r="AR761" s="7">
        <f>IF(ISBLANK(AN761), 0, VLOOKUP(AN761, 'Price Sheet'!$A$2:$B1015, 2, false))</f>
        <v>0</v>
      </c>
      <c r="AS761" s="33" t="str">
        <f t="shared" si="12"/>
        <v/>
      </c>
      <c r="AT761" s="37"/>
      <c r="AU761" s="29"/>
      <c r="AV761" s="29" t="b">
        <v>0</v>
      </c>
      <c r="AW761" s="22" t="str">
        <f t="shared" si="13"/>
        <v/>
      </c>
      <c r="AX761" s="7">
        <f>IF(ISBLANK(AT761), 0, VLOOKUP(AT761, 'Price Sheet'!$A$2:$B1015, 2, false))</f>
        <v>0</v>
      </c>
      <c r="AY761" s="33" t="str">
        <f t="shared" si="14"/>
        <v/>
      </c>
      <c r="AZ761" s="37"/>
      <c r="BA761" s="29"/>
      <c r="BB761" s="29" t="b">
        <v>0</v>
      </c>
      <c r="BC761" s="22" t="str">
        <f t="shared" si="15"/>
        <v/>
      </c>
      <c r="BD761" s="7">
        <f>IF(ISBLANK(AZ761), 0, VLOOKUP(AZ761, 'Price Sheet'!$A$2:$B1015, 2, false))</f>
        <v>0</v>
      </c>
      <c r="BE761" s="33" t="str">
        <f t="shared" si="16"/>
        <v/>
      </c>
      <c r="BF761" s="37"/>
      <c r="BG761" s="29"/>
      <c r="BH761" s="29" t="b">
        <v>0</v>
      </c>
      <c r="BI761" s="22" t="str">
        <f t="shared" si="17"/>
        <v/>
      </c>
      <c r="BJ761" s="7">
        <f>IF(ISBLANK(BF761), 0, VLOOKUP(BF761, 'Price Sheet'!$A$2:$B1015, 2, false))</f>
        <v>0</v>
      </c>
      <c r="BK761" s="33" t="str">
        <f t="shared" si="18"/>
        <v/>
      </c>
      <c r="BL761" s="37"/>
      <c r="BM761" s="29"/>
      <c r="BN761" s="29" t="b">
        <v>0</v>
      </c>
      <c r="BO761" s="22" t="str">
        <f t="shared" si="19"/>
        <v/>
      </c>
      <c r="BP761" s="7">
        <f>IF(ISBLANK(BL761), 0, VLOOKUP(BL761, 'Price Sheet'!$A$2:$B1015, 2, false))</f>
        <v>0</v>
      </c>
      <c r="BQ761" s="33" t="str">
        <f t="shared" si="20"/>
        <v/>
      </c>
    </row>
    <row r="762">
      <c r="B762" s="19"/>
      <c r="C762" s="29"/>
      <c r="D762" s="29"/>
      <c r="E762" s="7" t="str">
        <f>IF(ISBLANK(D762), "", VLOOKUP(D762,'Crafting Tables'!$A$2:$B1015, 2, false))</f>
        <v/>
      </c>
      <c r="F762" s="7" t="str">
        <f>IFERROR(IF(E762 = "None", 1, VLOOKUP(C762,General!$A$5:$L$35, SWITCH(E762, "Basic", 8, "Advanced", 10, "Modern", 12), false)),"")</f>
        <v/>
      </c>
      <c r="G762" s="29"/>
      <c r="H762" s="7">
        <f>IFERROR(VLOOKUP(C762, General!$A$5:$L$35, 6, false) * G762 / 1000, 0)</f>
        <v>0</v>
      </c>
      <c r="I762" s="29"/>
      <c r="J762" s="22" t="str">
        <f>IFERROR(I762*VLOOKUP(D762,'Crafting Tables'!$1:$1000, 4, false)*F762,"")</f>
        <v/>
      </c>
      <c r="K762" s="29" t="b">
        <v>0</v>
      </c>
      <c r="L762" s="37"/>
      <c r="M762" s="29"/>
      <c r="N762" s="21" t="str">
        <f t="shared" si="2"/>
        <v/>
      </c>
      <c r="P762" s="37"/>
      <c r="Q762" s="29"/>
      <c r="R762" s="29" t="b">
        <v>0</v>
      </c>
      <c r="S762" s="22" t="str">
        <f t="shared" si="3"/>
        <v/>
      </c>
      <c r="T762" s="7">
        <f>IF(ISBLANK(P762), 0, VLOOKUP(P762, 'Price Sheet'!$A$2:$B1015, 2, false))</f>
        <v>0</v>
      </c>
      <c r="U762" s="33" t="str">
        <f t="shared" si="4"/>
        <v/>
      </c>
      <c r="V762" s="37"/>
      <c r="W762" s="29"/>
      <c r="X762" s="29" t="b">
        <v>0</v>
      </c>
      <c r="Y762" s="22" t="str">
        <f t="shared" si="5"/>
        <v/>
      </c>
      <c r="Z762" s="7">
        <f>IF(ISBLANK(V762), 0, VLOOKUP(V762, 'Price Sheet'!$A$2:$B1015, 2, false))</f>
        <v>0</v>
      </c>
      <c r="AA762" s="33" t="str">
        <f t="shared" si="6"/>
        <v/>
      </c>
      <c r="AB762" s="37"/>
      <c r="AC762" s="29"/>
      <c r="AD762" s="29" t="b">
        <v>0</v>
      </c>
      <c r="AE762" s="22" t="str">
        <f t="shared" si="7"/>
        <v/>
      </c>
      <c r="AF762" s="7">
        <f>IF(ISBLANK(AB762), 0, VLOOKUP(AB762, 'Price Sheet'!$A$2:$B1015, 2, false))</f>
        <v>0</v>
      </c>
      <c r="AG762" s="33" t="str">
        <f t="shared" si="8"/>
        <v/>
      </c>
      <c r="AH762" s="37"/>
      <c r="AI762" s="29"/>
      <c r="AJ762" s="29" t="b">
        <v>0</v>
      </c>
      <c r="AK762" s="22" t="str">
        <f t="shared" si="9"/>
        <v/>
      </c>
      <c r="AL762" s="7">
        <f>IF(ISBLANK(AH762), 0, VLOOKUP(AH762, 'Price Sheet'!$A$2:$B1015, 2, false))</f>
        <v>0</v>
      </c>
      <c r="AM762" s="33" t="str">
        <f t="shared" si="10"/>
        <v/>
      </c>
      <c r="AN762" s="37"/>
      <c r="AO762" s="29"/>
      <c r="AP762" s="29" t="b">
        <v>0</v>
      </c>
      <c r="AQ762" s="22" t="str">
        <f t="shared" si="11"/>
        <v/>
      </c>
      <c r="AR762" s="7">
        <f>IF(ISBLANK(AN762), 0, VLOOKUP(AN762, 'Price Sheet'!$A$2:$B1015, 2, false))</f>
        <v>0</v>
      </c>
      <c r="AS762" s="33" t="str">
        <f t="shared" si="12"/>
        <v/>
      </c>
      <c r="AT762" s="37"/>
      <c r="AU762" s="29"/>
      <c r="AV762" s="29" t="b">
        <v>0</v>
      </c>
      <c r="AW762" s="22" t="str">
        <f t="shared" si="13"/>
        <v/>
      </c>
      <c r="AX762" s="7">
        <f>IF(ISBLANK(AT762), 0, VLOOKUP(AT762, 'Price Sheet'!$A$2:$B1015, 2, false))</f>
        <v>0</v>
      </c>
      <c r="AY762" s="33" t="str">
        <f t="shared" si="14"/>
        <v/>
      </c>
      <c r="AZ762" s="37"/>
      <c r="BA762" s="29"/>
      <c r="BB762" s="29" t="b">
        <v>0</v>
      </c>
      <c r="BC762" s="22" t="str">
        <f t="shared" si="15"/>
        <v/>
      </c>
      <c r="BD762" s="7">
        <f>IF(ISBLANK(AZ762), 0, VLOOKUP(AZ762, 'Price Sheet'!$A$2:$B1015, 2, false))</f>
        <v>0</v>
      </c>
      <c r="BE762" s="33" t="str">
        <f t="shared" si="16"/>
        <v/>
      </c>
      <c r="BF762" s="37"/>
      <c r="BG762" s="29"/>
      <c r="BH762" s="29" t="b">
        <v>0</v>
      </c>
      <c r="BI762" s="22" t="str">
        <f t="shared" si="17"/>
        <v/>
      </c>
      <c r="BJ762" s="7">
        <f>IF(ISBLANK(BF762), 0, VLOOKUP(BF762, 'Price Sheet'!$A$2:$B1015, 2, false))</f>
        <v>0</v>
      </c>
      <c r="BK762" s="33" t="str">
        <f t="shared" si="18"/>
        <v/>
      </c>
      <c r="BL762" s="37"/>
      <c r="BM762" s="29"/>
      <c r="BN762" s="29" t="b">
        <v>0</v>
      </c>
      <c r="BO762" s="22" t="str">
        <f t="shared" si="19"/>
        <v/>
      </c>
      <c r="BP762" s="7">
        <f>IF(ISBLANK(BL762), 0, VLOOKUP(BL762, 'Price Sheet'!$A$2:$B1015, 2, false))</f>
        <v>0</v>
      </c>
      <c r="BQ762" s="33" t="str">
        <f t="shared" si="20"/>
        <v/>
      </c>
    </row>
    <row r="763">
      <c r="B763" s="19"/>
      <c r="C763" s="29"/>
      <c r="D763" s="29"/>
      <c r="E763" s="7" t="str">
        <f>IF(ISBLANK(D763), "", VLOOKUP(D763,'Crafting Tables'!$A$2:$B1015, 2, false))</f>
        <v/>
      </c>
      <c r="F763" s="7" t="str">
        <f>IFERROR(IF(E763 = "None", 1, VLOOKUP(C763,General!$A$5:$L$35, SWITCH(E763, "Basic", 8, "Advanced", 10, "Modern", 12), false)),"")</f>
        <v/>
      </c>
      <c r="G763" s="29"/>
      <c r="H763" s="7">
        <f>IFERROR(VLOOKUP(C763, General!$A$5:$L$35, 6, false) * G763 / 1000, 0)</f>
        <v>0</v>
      </c>
      <c r="I763" s="29"/>
      <c r="J763" s="22" t="str">
        <f>IFERROR(I763*VLOOKUP(D763,'Crafting Tables'!$1:$1000, 4, false)*F763,"")</f>
        <v/>
      </c>
      <c r="K763" s="29" t="b">
        <v>0</v>
      </c>
      <c r="L763" s="37"/>
      <c r="M763" s="29"/>
      <c r="N763" s="21" t="str">
        <f t="shared" si="2"/>
        <v/>
      </c>
      <c r="P763" s="37"/>
      <c r="Q763" s="29"/>
      <c r="R763" s="29" t="b">
        <v>0</v>
      </c>
      <c r="S763" s="22" t="str">
        <f t="shared" si="3"/>
        <v/>
      </c>
      <c r="T763" s="7">
        <f>IF(ISBLANK(P763), 0, VLOOKUP(P763, 'Price Sheet'!$A$2:$B1015, 2, false))</f>
        <v>0</v>
      </c>
      <c r="U763" s="33" t="str">
        <f t="shared" si="4"/>
        <v/>
      </c>
      <c r="V763" s="37"/>
      <c r="W763" s="29"/>
      <c r="X763" s="29" t="b">
        <v>0</v>
      </c>
      <c r="Y763" s="22" t="str">
        <f t="shared" si="5"/>
        <v/>
      </c>
      <c r="Z763" s="7">
        <f>IF(ISBLANK(V763), 0, VLOOKUP(V763, 'Price Sheet'!$A$2:$B1015, 2, false))</f>
        <v>0</v>
      </c>
      <c r="AA763" s="33" t="str">
        <f t="shared" si="6"/>
        <v/>
      </c>
      <c r="AB763" s="37"/>
      <c r="AC763" s="29"/>
      <c r="AD763" s="29" t="b">
        <v>0</v>
      </c>
      <c r="AE763" s="22" t="str">
        <f t="shared" si="7"/>
        <v/>
      </c>
      <c r="AF763" s="7">
        <f>IF(ISBLANK(AB763), 0, VLOOKUP(AB763, 'Price Sheet'!$A$2:$B1015, 2, false))</f>
        <v>0</v>
      </c>
      <c r="AG763" s="33" t="str">
        <f t="shared" si="8"/>
        <v/>
      </c>
      <c r="AH763" s="37"/>
      <c r="AI763" s="29"/>
      <c r="AJ763" s="29" t="b">
        <v>0</v>
      </c>
      <c r="AK763" s="22" t="str">
        <f t="shared" si="9"/>
        <v/>
      </c>
      <c r="AL763" s="7">
        <f>IF(ISBLANK(AH763), 0, VLOOKUP(AH763, 'Price Sheet'!$A$2:$B1015, 2, false))</f>
        <v>0</v>
      </c>
      <c r="AM763" s="33" t="str">
        <f t="shared" si="10"/>
        <v/>
      </c>
      <c r="AN763" s="37"/>
      <c r="AO763" s="29"/>
      <c r="AP763" s="29" t="b">
        <v>0</v>
      </c>
      <c r="AQ763" s="22" t="str">
        <f t="shared" si="11"/>
        <v/>
      </c>
      <c r="AR763" s="7">
        <f>IF(ISBLANK(AN763), 0, VLOOKUP(AN763, 'Price Sheet'!$A$2:$B1015, 2, false))</f>
        <v>0</v>
      </c>
      <c r="AS763" s="33" t="str">
        <f t="shared" si="12"/>
        <v/>
      </c>
      <c r="AT763" s="37"/>
      <c r="AU763" s="29"/>
      <c r="AV763" s="29" t="b">
        <v>0</v>
      </c>
      <c r="AW763" s="22" t="str">
        <f t="shared" si="13"/>
        <v/>
      </c>
      <c r="AX763" s="7">
        <f>IF(ISBLANK(AT763), 0, VLOOKUP(AT763, 'Price Sheet'!$A$2:$B1015, 2, false))</f>
        <v>0</v>
      </c>
      <c r="AY763" s="33" t="str">
        <f t="shared" si="14"/>
        <v/>
      </c>
      <c r="AZ763" s="37"/>
      <c r="BA763" s="29"/>
      <c r="BB763" s="29" t="b">
        <v>0</v>
      </c>
      <c r="BC763" s="22" t="str">
        <f t="shared" si="15"/>
        <v/>
      </c>
      <c r="BD763" s="7">
        <f>IF(ISBLANK(AZ763), 0, VLOOKUP(AZ763, 'Price Sheet'!$A$2:$B1015, 2, false))</f>
        <v>0</v>
      </c>
      <c r="BE763" s="33" t="str">
        <f t="shared" si="16"/>
        <v/>
      </c>
      <c r="BF763" s="37"/>
      <c r="BG763" s="29"/>
      <c r="BH763" s="29" t="b">
        <v>0</v>
      </c>
      <c r="BI763" s="22" t="str">
        <f t="shared" si="17"/>
        <v/>
      </c>
      <c r="BJ763" s="7">
        <f>IF(ISBLANK(BF763), 0, VLOOKUP(BF763, 'Price Sheet'!$A$2:$B1015, 2, false))</f>
        <v>0</v>
      </c>
      <c r="BK763" s="33" t="str">
        <f t="shared" si="18"/>
        <v/>
      </c>
      <c r="BL763" s="37"/>
      <c r="BM763" s="29"/>
      <c r="BN763" s="29" t="b">
        <v>0</v>
      </c>
      <c r="BO763" s="22" t="str">
        <f t="shared" si="19"/>
        <v/>
      </c>
      <c r="BP763" s="7">
        <f>IF(ISBLANK(BL763), 0, VLOOKUP(BL763, 'Price Sheet'!$A$2:$B1015, 2, false))</f>
        <v>0</v>
      </c>
      <c r="BQ763" s="33" t="str">
        <f t="shared" si="20"/>
        <v/>
      </c>
    </row>
    <row r="764">
      <c r="B764" s="19"/>
      <c r="C764" s="29"/>
      <c r="D764" s="29"/>
      <c r="E764" s="7" t="str">
        <f>IF(ISBLANK(D764), "", VLOOKUP(D764,'Crafting Tables'!$A$2:$B1015, 2, false))</f>
        <v/>
      </c>
      <c r="F764" s="7" t="str">
        <f>IFERROR(IF(E764 = "None", 1, VLOOKUP(C764,General!$A$5:$L$35, SWITCH(E764, "Basic", 8, "Advanced", 10, "Modern", 12), false)),"")</f>
        <v/>
      </c>
      <c r="G764" s="29"/>
      <c r="H764" s="7">
        <f>IFERROR(VLOOKUP(C764, General!$A$5:$L$35, 6, false) * G764 / 1000, 0)</f>
        <v>0</v>
      </c>
      <c r="I764" s="29"/>
      <c r="J764" s="22" t="str">
        <f>IFERROR(I764*VLOOKUP(D764,'Crafting Tables'!$1:$1000, 4, false)*F764,"")</f>
        <v/>
      </c>
      <c r="K764" s="29" t="b">
        <v>0</v>
      </c>
      <c r="L764" s="37"/>
      <c r="M764" s="29"/>
      <c r="N764" s="21" t="str">
        <f t="shared" si="2"/>
        <v/>
      </c>
      <c r="P764" s="37"/>
      <c r="Q764" s="29"/>
      <c r="R764" s="29" t="b">
        <v>0</v>
      </c>
      <c r="S764" s="22" t="str">
        <f t="shared" si="3"/>
        <v/>
      </c>
      <c r="T764" s="7">
        <f>IF(ISBLANK(P764), 0, VLOOKUP(P764, 'Price Sheet'!$A$2:$B1015, 2, false))</f>
        <v>0</v>
      </c>
      <c r="U764" s="33" t="str">
        <f t="shared" si="4"/>
        <v/>
      </c>
      <c r="V764" s="37"/>
      <c r="W764" s="29"/>
      <c r="X764" s="29" t="b">
        <v>0</v>
      </c>
      <c r="Y764" s="22" t="str">
        <f t="shared" si="5"/>
        <v/>
      </c>
      <c r="Z764" s="7">
        <f>IF(ISBLANK(V764), 0, VLOOKUP(V764, 'Price Sheet'!$A$2:$B1015, 2, false))</f>
        <v>0</v>
      </c>
      <c r="AA764" s="33" t="str">
        <f t="shared" si="6"/>
        <v/>
      </c>
      <c r="AB764" s="37"/>
      <c r="AC764" s="29"/>
      <c r="AD764" s="29" t="b">
        <v>0</v>
      </c>
      <c r="AE764" s="22" t="str">
        <f t="shared" si="7"/>
        <v/>
      </c>
      <c r="AF764" s="7">
        <f>IF(ISBLANK(AB764), 0, VLOOKUP(AB764, 'Price Sheet'!$A$2:$B1015, 2, false))</f>
        <v>0</v>
      </c>
      <c r="AG764" s="33" t="str">
        <f t="shared" si="8"/>
        <v/>
      </c>
      <c r="AH764" s="37"/>
      <c r="AI764" s="29"/>
      <c r="AJ764" s="29" t="b">
        <v>0</v>
      </c>
      <c r="AK764" s="22" t="str">
        <f t="shared" si="9"/>
        <v/>
      </c>
      <c r="AL764" s="7">
        <f>IF(ISBLANK(AH764), 0, VLOOKUP(AH764, 'Price Sheet'!$A$2:$B1015, 2, false))</f>
        <v>0</v>
      </c>
      <c r="AM764" s="33" t="str">
        <f t="shared" si="10"/>
        <v/>
      </c>
      <c r="AN764" s="37"/>
      <c r="AO764" s="29"/>
      <c r="AP764" s="29" t="b">
        <v>0</v>
      </c>
      <c r="AQ764" s="22" t="str">
        <f t="shared" si="11"/>
        <v/>
      </c>
      <c r="AR764" s="7">
        <f>IF(ISBLANK(AN764), 0, VLOOKUP(AN764, 'Price Sheet'!$A$2:$B1015, 2, false))</f>
        <v>0</v>
      </c>
      <c r="AS764" s="33" t="str">
        <f t="shared" si="12"/>
        <v/>
      </c>
      <c r="AT764" s="37"/>
      <c r="AU764" s="29"/>
      <c r="AV764" s="29" t="b">
        <v>0</v>
      </c>
      <c r="AW764" s="22" t="str">
        <f t="shared" si="13"/>
        <v/>
      </c>
      <c r="AX764" s="7">
        <f>IF(ISBLANK(AT764), 0, VLOOKUP(AT764, 'Price Sheet'!$A$2:$B1015, 2, false))</f>
        <v>0</v>
      </c>
      <c r="AY764" s="33" t="str">
        <f t="shared" si="14"/>
        <v/>
      </c>
      <c r="AZ764" s="37"/>
      <c r="BA764" s="29"/>
      <c r="BB764" s="29" t="b">
        <v>0</v>
      </c>
      <c r="BC764" s="22" t="str">
        <f t="shared" si="15"/>
        <v/>
      </c>
      <c r="BD764" s="7">
        <f>IF(ISBLANK(AZ764), 0, VLOOKUP(AZ764, 'Price Sheet'!$A$2:$B1015, 2, false))</f>
        <v>0</v>
      </c>
      <c r="BE764" s="33" t="str">
        <f t="shared" si="16"/>
        <v/>
      </c>
      <c r="BF764" s="37"/>
      <c r="BG764" s="29"/>
      <c r="BH764" s="29" t="b">
        <v>0</v>
      </c>
      <c r="BI764" s="22" t="str">
        <f t="shared" si="17"/>
        <v/>
      </c>
      <c r="BJ764" s="7">
        <f>IF(ISBLANK(BF764), 0, VLOOKUP(BF764, 'Price Sheet'!$A$2:$B1015, 2, false))</f>
        <v>0</v>
      </c>
      <c r="BK764" s="33" t="str">
        <f t="shared" si="18"/>
        <v/>
      </c>
      <c r="BL764" s="37"/>
      <c r="BM764" s="29"/>
      <c r="BN764" s="29" t="b">
        <v>0</v>
      </c>
      <c r="BO764" s="22" t="str">
        <f t="shared" si="19"/>
        <v/>
      </c>
      <c r="BP764" s="7">
        <f>IF(ISBLANK(BL764), 0, VLOOKUP(BL764, 'Price Sheet'!$A$2:$B1015, 2, false))</f>
        <v>0</v>
      </c>
      <c r="BQ764" s="33" t="str">
        <f t="shared" si="20"/>
        <v/>
      </c>
    </row>
    <row r="765">
      <c r="B765" s="19"/>
      <c r="C765" s="29"/>
      <c r="D765" s="29"/>
      <c r="E765" s="7" t="str">
        <f>IF(ISBLANK(D765), "", VLOOKUP(D765,'Crafting Tables'!$A$2:$B1015, 2, false))</f>
        <v/>
      </c>
      <c r="F765" s="7" t="str">
        <f>IFERROR(IF(E765 = "None", 1, VLOOKUP(C765,General!$A$5:$L$35, SWITCH(E765, "Basic", 8, "Advanced", 10, "Modern", 12), false)),"")</f>
        <v/>
      </c>
      <c r="G765" s="29"/>
      <c r="H765" s="7">
        <f>IFERROR(VLOOKUP(C765, General!$A$5:$L$35, 6, false) * G765 / 1000, 0)</f>
        <v>0</v>
      </c>
      <c r="I765" s="29"/>
      <c r="J765" s="22" t="str">
        <f>IFERROR(I765*VLOOKUP(D765,'Crafting Tables'!$1:$1000, 4, false)*F765,"")</f>
        <v/>
      </c>
      <c r="K765" s="29" t="b">
        <v>0</v>
      </c>
      <c r="L765" s="37"/>
      <c r="M765" s="29"/>
      <c r="N765" s="21" t="str">
        <f t="shared" si="2"/>
        <v/>
      </c>
      <c r="P765" s="37"/>
      <c r="Q765" s="29"/>
      <c r="R765" s="29" t="b">
        <v>0</v>
      </c>
      <c r="S765" s="22" t="str">
        <f t="shared" si="3"/>
        <v/>
      </c>
      <c r="T765" s="7">
        <f>IF(ISBLANK(P765), 0, VLOOKUP(P765, 'Price Sheet'!$A$2:$B1015, 2, false))</f>
        <v>0</v>
      </c>
      <c r="U765" s="33" t="str">
        <f t="shared" si="4"/>
        <v/>
      </c>
      <c r="V765" s="37"/>
      <c r="W765" s="29"/>
      <c r="X765" s="29" t="b">
        <v>0</v>
      </c>
      <c r="Y765" s="22" t="str">
        <f t="shared" si="5"/>
        <v/>
      </c>
      <c r="Z765" s="7">
        <f>IF(ISBLANK(V765), 0, VLOOKUP(V765, 'Price Sheet'!$A$2:$B1015, 2, false))</f>
        <v>0</v>
      </c>
      <c r="AA765" s="33" t="str">
        <f t="shared" si="6"/>
        <v/>
      </c>
      <c r="AB765" s="37"/>
      <c r="AC765" s="29"/>
      <c r="AD765" s="29" t="b">
        <v>0</v>
      </c>
      <c r="AE765" s="22" t="str">
        <f t="shared" si="7"/>
        <v/>
      </c>
      <c r="AF765" s="7">
        <f>IF(ISBLANK(AB765), 0, VLOOKUP(AB765, 'Price Sheet'!$A$2:$B1015, 2, false))</f>
        <v>0</v>
      </c>
      <c r="AG765" s="33" t="str">
        <f t="shared" si="8"/>
        <v/>
      </c>
      <c r="AH765" s="37"/>
      <c r="AI765" s="29"/>
      <c r="AJ765" s="29" t="b">
        <v>0</v>
      </c>
      <c r="AK765" s="22" t="str">
        <f t="shared" si="9"/>
        <v/>
      </c>
      <c r="AL765" s="7">
        <f>IF(ISBLANK(AH765), 0, VLOOKUP(AH765, 'Price Sheet'!$A$2:$B1015, 2, false))</f>
        <v>0</v>
      </c>
      <c r="AM765" s="33" t="str">
        <f t="shared" si="10"/>
        <v/>
      </c>
      <c r="AN765" s="37"/>
      <c r="AO765" s="29"/>
      <c r="AP765" s="29" t="b">
        <v>0</v>
      </c>
      <c r="AQ765" s="22" t="str">
        <f t="shared" si="11"/>
        <v/>
      </c>
      <c r="AR765" s="7">
        <f>IF(ISBLANK(AN765), 0, VLOOKUP(AN765, 'Price Sheet'!$A$2:$B1015, 2, false))</f>
        <v>0</v>
      </c>
      <c r="AS765" s="33" t="str">
        <f t="shared" si="12"/>
        <v/>
      </c>
      <c r="AT765" s="37"/>
      <c r="AU765" s="29"/>
      <c r="AV765" s="29" t="b">
        <v>0</v>
      </c>
      <c r="AW765" s="22" t="str">
        <f t="shared" si="13"/>
        <v/>
      </c>
      <c r="AX765" s="7">
        <f>IF(ISBLANK(AT765), 0, VLOOKUP(AT765, 'Price Sheet'!$A$2:$B1015, 2, false))</f>
        <v>0</v>
      </c>
      <c r="AY765" s="33" t="str">
        <f t="shared" si="14"/>
        <v/>
      </c>
      <c r="AZ765" s="37"/>
      <c r="BA765" s="29"/>
      <c r="BB765" s="29" t="b">
        <v>0</v>
      </c>
      <c r="BC765" s="22" t="str">
        <f t="shared" si="15"/>
        <v/>
      </c>
      <c r="BD765" s="7">
        <f>IF(ISBLANK(AZ765), 0, VLOOKUP(AZ765, 'Price Sheet'!$A$2:$B1015, 2, false))</f>
        <v>0</v>
      </c>
      <c r="BE765" s="33" t="str">
        <f t="shared" si="16"/>
        <v/>
      </c>
      <c r="BF765" s="37"/>
      <c r="BG765" s="29"/>
      <c r="BH765" s="29" t="b">
        <v>0</v>
      </c>
      <c r="BI765" s="22" t="str">
        <f t="shared" si="17"/>
        <v/>
      </c>
      <c r="BJ765" s="7">
        <f>IF(ISBLANK(BF765), 0, VLOOKUP(BF765, 'Price Sheet'!$A$2:$B1015, 2, false))</f>
        <v>0</v>
      </c>
      <c r="BK765" s="33" t="str">
        <f t="shared" si="18"/>
        <v/>
      </c>
      <c r="BL765" s="37"/>
      <c r="BM765" s="29"/>
      <c r="BN765" s="29" t="b">
        <v>0</v>
      </c>
      <c r="BO765" s="22" t="str">
        <f t="shared" si="19"/>
        <v/>
      </c>
      <c r="BP765" s="7">
        <f>IF(ISBLANK(BL765), 0, VLOOKUP(BL765, 'Price Sheet'!$A$2:$B1015, 2, false))</f>
        <v>0</v>
      </c>
      <c r="BQ765" s="33" t="str">
        <f t="shared" si="20"/>
        <v/>
      </c>
    </row>
    <row r="766">
      <c r="B766" s="19"/>
      <c r="C766" s="29"/>
      <c r="D766" s="29"/>
      <c r="E766" s="7" t="str">
        <f>IF(ISBLANK(D766), "", VLOOKUP(D766,'Crafting Tables'!$A$2:$B1015, 2, false))</f>
        <v/>
      </c>
      <c r="F766" s="7" t="str">
        <f>IFERROR(IF(E766 = "None", 1, VLOOKUP(C766,General!$A$5:$L$35, SWITCH(E766, "Basic", 8, "Advanced", 10, "Modern", 12), false)),"")</f>
        <v/>
      </c>
      <c r="G766" s="29"/>
      <c r="H766" s="7">
        <f>IFERROR(VLOOKUP(C766, General!$A$5:$L$35, 6, false) * G766 / 1000, 0)</f>
        <v>0</v>
      </c>
      <c r="I766" s="29"/>
      <c r="J766" s="22" t="str">
        <f>IFERROR(I766*VLOOKUP(D766,'Crafting Tables'!$1:$1000, 4, false)*F766,"")</f>
        <v/>
      </c>
      <c r="K766" s="29" t="b">
        <v>0</v>
      </c>
      <c r="L766" s="37"/>
      <c r="M766" s="29"/>
      <c r="N766" s="21" t="str">
        <f t="shared" si="2"/>
        <v/>
      </c>
      <c r="P766" s="37"/>
      <c r="Q766" s="29"/>
      <c r="R766" s="29" t="b">
        <v>0</v>
      </c>
      <c r="S766" s="22" t="str">
        <f t="shared" si="3"/>
        <v/>
      </c>
      <c r="T766" s="7">
        <f>IF(ISBLANK(P766), 0, VLOOKUP(P766, 'Price Sheet'!$A$2:$B1015, 2, false))</f>
        <v>0</v>
      </c>
      <c r="U766" s="33" t="str">
        <f t="shared" si="4"/>
        <v/>
      </c>
      <c r="V766" s="37"/>
      <c r="W766" s="29"/>
      <c r="X766" s="29" t="b">
        <v>0</v>
      </c>
      <c r="Y766" s="22" t="str">
        <f t="shared" si="5"/>
        <v/>
      </c>
      <c r="Z766" s="7">
        <f>IF(ISBLANK(V766), 0, VLOOKUP(V766, 'Price Sheet'!$A$2:$B1015, 2, false))</f>
        <v>0</v>
      </c>
      <c r="AA766" s="33" t="str">
        <f t="shared" si="6"/>
        <v/>
      </c>
      <c r="AB766" s="37"/>
      <c r="AC766" s="29"/>
      <c r="AD766" s="29" t="b">
        <v>0</v>
      </c>
      <c r="AE766" s="22" t="str">
        <f t="shared" si="7"/>
        <v/>
      </c>
      <c r="AF766" s="7">
        <f>IF(ISBLANK(AB766), 0, VLOOKUP(AB766, 'Price Sheet'!$A$2:$B1015, 2, false))</f>
        <v>0</v>
      </c>
      <c r="AG766" s="33" t="str">
        <f t="shared" si="8"/>
        <v/>
      </c>
      <c r="AH766" s="37"/>
      <c r="AI766" s="29"/>
      <c r="AJ766" s="29" t="b">
        <v>0</v>
      </c>
      <c r="AK766" s="22" t="str">
        <f t="shared" si="9"/>
        <v/>
      </c>
      <c r="AL766" s="7">
        <f>IF(ISBLANK(AH766), 0, VLOOKUP(AH766, 'Price Sheet'!$A$2:$B1015, 2, false))</f>
        <v>0</v>
      </c>
      <c r="AM766" s="33" t="str">
        <f t="shared" si="10"/>
        <v/>
      </c>
      <c r="AN766" s="37"/>
      <c r="AO766" s="29"/>
      <c r="AP766" s="29" t="b">
        <v>0</v>
      </c>
      <c r="AQ766" s="22" t="str">
        <f t="shared" si="11"/>
        <v/>
      </c>
      <c r="AR766" s="7">
        <f>IF(ISBLANK(AN766), 0, VLOOKUP(AN766, 'Price Sheet'!$A$2:$B1015, 2, false))</f>
        <v>0</v>
      </c>
      <c r="AS766" s="33" t="str">
        <f t="shared" si="12"/>
        <v/>
      </c>
      <c r="AT766" s="37"/>
      <c r="AU766" s="29"/>
      <c r="AV766" s="29" t="b">
        <v>0</v>
      </c>
      <c r="AW766" s="22" t="str">
        <f t="shared" si="13"/>
        <v/>
      </c>
      <c r="AX766" s="7">
        <f>IF(ISBLANK(AT766), 0, VLOOKUP(AT766, 'Price Sheet'!$A$2:$B1015, 2, false))</f>
        <v>0</v>
      </c>
      <c r="AY766" s="33" t="str">
        <f t="shared" si="14"/>
        <v/>
      </c>
      <c r="AZ766" s="37"/>
      <c r="BA766" s="29"/>
      <c r="BB766" s="29" t="b">
        <v>0</v>
      </c>
      <c r="BC766" s="22" t="str">
        <f t="shared" si="15"/>
        <v/>
      </c>
      <c r="BD766" s="7">
        <f>IF(ISBLANK(AZ766), 0, VLOOKUP(AZ766, 'Price Sheet'!$A$2:$B1015, 2, false))</f>
        <v>0</v>
      </c>
      <c r="BE766" s="33" t="str">
        <f t="shared" si="16"/>
        <v/>
      </c>
      <c r="BF766" s="37"/>
      <c r="BG766" s="29"/>
      <c r="BH766" s="29" t="b">
        <v>0</v>
      </c>
      <c r="BI766" s="22" t="str">
        <f t="shared" si="17"/>
        <v/>
      </c>
      <c r="BJ766" s="7">
        <f>IF(ISBLANK(BF766), 0, VLOOKUP(BF766, 'Price Sheet'!$A$2:$B1015, 2, false))</f>
        <v>0</v>
      </c>
      <c r="BK766" s="33" t="str">
        <f t="shared" si="18"/>
        <v/>
      </c>
      <c r="BL766" s="37"/>
      <c r="BM766" s="29"/>
      <c r="BN766" s="29" t="b">
        <v>0</v>
      </c>
      <c r="BO766" s="22" t="str">
        <f t="shared" si="19"/>
        <v/>
      </c>
      <c r="BP766" s="7">
        <f>IF(ISBLANK(BL766), 0, VLOOKUP(BL766, 'Price Sheet'!$A$2:$B1015, 2, false))</f>
        <v>0</v>
      </c>
      <c r="BQ766" s="33" t="str">
        <f t="shared" si="20"/>
        <v/>
      </c>
    </row>
    <row r="767">
      <c r="B767" s="19"/>
      <c r="C767" s="29"/>
      <c r="D767" s="29"/>
      <c r="E767" s="7" t="str">
        <f>IF(ISBLANK(D767), "", VLOOKUP(D767,'Crafting Tables'!$A$2:$B1015, 2, false))</f>
        <v/>
      </c>
      <c r="F767" s="7" t="str">
        <f>IFERROR(IF(E767 = "None", 1, VLOOKUP(C767,General!$A$5:$L$35, SWITCH(E767, "Basic", 8, "Advanced", 10, "Modern", 12), false)),"")</f>
        <v/>
      </c>
      <c r="G767" s="29"/>
      <c r="H767" s="7">
        <f>IFERROR(VLOOKUP(C767, General!$A$5:$L$35, 6, false) * G767 / 1000, 0)</f>
        <v>0</v>
      </c>
      <c r="I767" s="29"/>
      <c r="J767" s="22" t="str">
        <f>IFERROR(I767*VLOOKUP(D767,'Crafting Tables'!$1:$1000, 4, false)*F767,"")</f>
        <v/>
      </c>
      <c r="K767" s="29" t="b">
        <v>0</v>
      </c>
      <c r="L767" s="37"/>
      <c r="M767" s="29"/>
      <c r="N767" s="21" t="str">
        <f t="shared" si="2"/>
        <v/>
      </c>
      <c r="P767" s="37"/>
      <c r="Q767" s="29"/>
      <c r="R767" s="29" t="b">
        <v>0</v>
      </c>
      <c r="S767" s="22" t="str">
        <f t="shared" si="3"/>
        <v/>
      </c>
      <c r="T767" s="7">
        <f>IF(ISBLANK(P767), 0, VLOOKUP(P767, 'Price Sheet'!$A$2:$B1015, 2, false))</f>
        <v>0</v>
      </c>
      <c r="U767" s="33" t="str">
        <f t="shared" si="4"/>
        <v/>
      </c>
      <c r="V767" s="37"/>
      <c r="W767" s="29"/>
      <c r="X767" s="29" t="b">
        <v>0</v>
      </c>
      <c r="Y767" s="22" t="str">
        <f t="shared" si="5"/>
        <v/>
      </c>
      <c r="Z767" s="7">
        <f>IF(ISBLANK(V767), 0, VLOOKUP(V767, 'Price Sheet'!$A$2:$B1015, 2, false))</f>
        <v>0</v>
      </c>
      <c r="AA767" s="33" t="str">
        <f t="shared" si="6"/>
        <v/>
      </c>
      <c r="AB767" s="37"/>
      <c r="AC767" s="29"/>
      <c r="AD767" s="29" t="b">
        <v>0</v>
      </c>
      <c r="AE767" s="22" t="str">
        <f t="shared" si="7"/>
        <v/>
      </c>
      <c r="AF767" s="7">
        <f>IF(ISBLANK(AB767), 0, VLOOKUP(AB767, 'Price Sheet'!$A$2:$B1015, 2, false))</f>
        <v>0</v>
      </c>
      <c r="AG767" s="33" t="str">
        <f t="shared" si="8"/>
        <v/>
      </c>
      <c r="AH767" s="37"/>
      <c r="AI767" s="29"/>
      <c r="AJ767" s="29" t="b">
        <v>0</v>
      </c>
      <c r="AK767" s="22" t="str">
        <f t="shared" si="9"/>
        <v/>
      </c>
      <c r="AL767" s="7">
        <f>IF(ISBLANK(AH767), 0, VLOOKUP(AH767, 'Price Sheet'!$A$2:$B1015, 2, false))</f>
        <v>0</v>
      </c>
      <c r="AM767" s="33" t="str">
        <f t="shared" si="10"/>
        <v/>
      </c>
      <c r="AN767" s="37"/>
      <c r="AO767" s="29"/>
      <c r="AP767" s="29" t="b">
        <v>0</v>
      </c>
      <c r="AQ767" s="22" t="str">
        <f t="shared" si="11"/>
        <v/>
      </c>
      <c r="AR767" s="7">
        <f>IF(ISBLANK(AN767), 0, VLOOKUP(AN767, 'Price Sheet'!$A$2:$B1015, 2, false))</f>
        <v>0</v>
      </c>
      <c r="AS767" s="33" t="str">
        <f t="shared" si="12"/>
        <v/>
      </c>
      <c r="AT767" s="37"/>
      <c r="AU767" s="29"/>
      <c r="AV767" s="29" t="b">
        <v>0</v>
      </c>
      <c r="AW767" s="22" t="str">
        <f t="shared" si="13"/>
        <v/>
      </c>
      <c r="AX767" s="7">
        <f>IF(ISBLANK(AT767), 0, VLOOKUP(AT767, 'Price Sheet'!$A$2:$B1015, 2, false))</f>
        <v>0</v>
      </c>
      <c r="AY767" s="33" t="str">
        <f t="shared" si="14"/>
        <v/>
      </c>
      <c r="AZ767" s="37"/>
      <c r="BA767" s="29"/>
      <c r="BB767" s="29" t="b">
        <v>0</v>
      </c>
      <c r="BC767" s="22" t="str">
        <f t="shared" si="15"/>
        <v/>
      </c>
      <c r="BD767" s="7">
        <f>IF(ISBLANK(AZ767), 0, VLOOKUP(AZ767, 'Price Sheet'!$A$2:$B1015, 2, false))</f>
        <v>0</v>
      </c>
      <c r="BE767" s="33" t="str">
        <f t="shared" si="16"/>
        <v/>
      </c>
      <c r="BF767" s="37"/>
      <c r="BG767" s="29"/>
      <c r="BH767" s="29" t="b">
        <v>0</v>
      </c>
      <c r="BI767" s="22" t="str">
        <f t="shared" si="17"/>
        <v/>
      </c>
      <c r="BJ767" s="7">
        <f>IF(ISBLANK(BF767), 0, VLOOKUP(BF767, 'Price Sheet'!$A$2:$B1015, 2, false))</f>
        <v>0</v>
      </c>
      <c r="BK767" s="33" t="str">
        <f t="shared" si="18"/>
        <v/>
      </c>
      <c r="BL767" s="37"/>
      <c r="BM767" s="29"/>
      <c r="BN767" s="29" t="b">
        <v>0</v>
      </c>
      <c r="BO767" s="22" t="str">
        <f t="shared" si="19"/>
        <v/>
      </c>
      <c r="BP767" s="7">
        <f>IF(ISBLANK(BL767), 0, VLOOKUP(BL767, 'Price Sheet'!$A$2:$B1015, 2, false))</f>
        <v>0</v>
      </c>
      <c r="BQ767" s="33" t="str">
        <f t="shared" si="20"/>
        <v/>
      </c>
    </row>
    <row r="768">
      <c r="B768" s="19"/>
      <c r="C768" s="29"/>
      <c r="D768" s="29"/>
      <c r="E768" s="7" t="str">
        <f>IF(ISBLANK(D768), "", VLOOKUP(D768,'Crafting Tables'!$A$2:$B1015, 2, false))</f>
        <v/>
      </c>
      <c r="F768" s="7" t="str">
        <f>IFERROR(IF(E768 = "None", 1, VLOOKUP(C768,General!$A$5:$L$35, SWITCH(E768, "Basic", 8, "Advanced", 10, "Modern", 12), false)),"")</f>
        <v/>
      </c>
      <c r="G768" s="29"/>
      <c r="H768" s="7">
        <f>IFERROR(VLOOKUP(C768, General!$A$5:$L$35, 6, false) * G768 / 1000, 0)</f>
        <v>0</v>
      </c>
      <c r="I768" s="29"/>
      <c r="J768" s="22" t="str">
        <f>IFERROR(I768*VLOOKUP(D768,'Crafting Tables'!$1:$1000, 4, false)*F768,"")</f>
        <v/>
      </c>
      <c r="K768" s="29" t="b">
        <v>0</v>
      </c>
      <c r="L768" s="37"/>
      <c r="M768" s="29"/>
      <c r="N768" s="21" t="str">
        <f t="shared" si="2"/>
        <v/>
      </c>
      <c r="P768" s="37"/>
      <c r="Q768" s="29"/>
      <c r="R768" s="29" t="b">
        <v>0</v>
      </c>
      <c r="S768" s="22" t="str">
        <f t="shared" si="3"/>
        <v/>
      </c>
      <c r="T768" s="7">
        <f>IF(ISBLANK(P768), 0, VLOOKUP(P768, 'Price Sheet'!$A$2:$B1015, 2, false))</f>
        <v>0</v>
      </c>
      <c r="U768" s="33" t="str">
        <f t="shared" si="4"/>
        <v/>
      </c>
      <c r="V768" s="37"/>
      <c r="W768" s="29"/>
      <c r="X768" s="29" t="b">
        <v>0</v>
      </c>
      <c r="Y768" s="22" t="str">
        <f t="shared" si="5"/>
        <v/>
      </c>
      <c r="Z768" s="7">
        <f>IF(ISBLANK(V768), 0, VLOOKUP(V768, 'Price Sheet'!$A$2:$B1015, 2, false))</f>
        <v>0</v>
      </c>
      <c r="AA768" s="33" t="str">
        <f t="shared" si="6"/>
        <v/>
      </c>
      <c r="AB768" s="37"/>
      <c r="AC768" s="29"/>
      <c r="AD768" s="29" t="b">
        <v>0</v>
      </c>
      <c r="AE768" s="22" t="str">
        <f t="shared" si="7"/>
        <v/>
      </c>
      <c r="AF768" s="7">
        <f>IF(ISBLANK(AB768), 0, VLOOKUP(AB768, 'Price Sheet'!$A$2:$B1015, 2, false))</f>
        <v>0</v>
      </c>
      <c r="AG768" s="33" t="str">
        <f t="shared" si="8"/>
        <v/>
      </c>
      <c r="AH768" s="37"/>
      <c r="AI768" s="29"/>
      <c r="AJ768" s="29" t="b">
        <v>0</v>
      </c>
      <c r="AK768" s="22" t="str">
        <f t="shared" si="9"/>
        <v/>
      </c>
      <c r="AL768" s="7">
        <f>IF(ISBLANK(AH768), 0, VLOOKUP(AH768, 'Price Sheet'!$A$2:$B1015, 2, false))</f>
        <v>0</v>
      </c>
      <c r="AM768" s="33" t="str">
        <f t="shared" si="10"/>
        <v/>
      </c>
      <c r="AN768" s="37"/>
      <c r="AO768" s="29"/>
      <c r="AP768" s="29" t="b">
        <v>0</v>
      </c>
      <c r="AQ768" s="22" t="str">
        <f t="shared" si="11"/>
        <v/>
      </c>
      <c r="AR768" s="7">
        <f>IF(ISBLANK(AN768), 0, VLOOKUP(AN768, 'Price Sheet'!$A$2:$B1015, 2, false))</f>
        <v>0</v>
      </c>
      <c r="AS768" s="33" t="str">
        <f t="shared" si="12"/>
        <v/>
      </c>
      <c r="AT768" s="37"/>
      <c r="AU768" s="29"/>
      <c r="AV768" s="29" t="b">
        <v>0</v>
      </c>
      <c r="AW768" s="22" t="str">
        <f t="shared" si="13"/>
        <v/>
      </c>
      <c r="AX768" s="7">
        <f>IF(ISBLANK(AT768), 0, VLOOKUP(AT768, 'Price Sheet'!$A$2:$B1015, 2, false))</f>
        <v>0</v>
      </c>
      <c r="AY768" s="33" t="str">
        <f t="shared" si="14"/>
        <v/>
      </c>
      <c r="AZ768" s="37"/>
      <c r="BA768" s="29"/>
      <c r="BB768" s="29" t="b">
        <v>0</v>
      </c>
      <c r="BC768" s="22" t="str">
        <f t="shared" si="15"/>
        <v/>
      </c>
      <c r="BD768" s="7">
        <f>IF(ISBLANK(AZ768), 0, VLOOKUP(AZ768, 'Price Sheet'!$A$2:$B1015, 2, false))</f>
        <v>0</v>
      </c>
      <c r="BE768" s="33" t="str">
        <f t="shared" si="16"/>
        <v/>
      </c>
      <c r="BF768" s="37"/>
      <c r="BG768" s="29"/>
      <c r="BH768" s="29" t="b">
        <v>0</v>
      </c>
      <c r="BI768" s="22" t="str">
        <f t="shared" si="17"/>
        <v/>
      </c>
      <c r="BJ768" s="7">
        <f>IF(ISBLANK(BF768), 0, VLOOKUP(BF768, 'Price Sheet'!$A$2:$B1015, 2, false))</f>
        <v>0</v>
      </c>
      <c r="BK768" s="33" t="str">
        <f t="shared" si="18"/>
        <v/>
      </c>
      <c r="BL768" s="37"/>
      <c r="BM768" s="29"/>
      <c r="BN768" s="29" t="b">
        <v>0</v>
      </c>
      <c r="BO768" s="22" t="str">
        <f t="shared" si="19"/>
        <v/>
      </c>
      <c r="BP768" s="7">
        <f>IF(ISBLANK(BL768), 0, VLOOKUP(BL768, 'Price Sheet'!$A$2:$B1015, 2, false))</f>
        <v>0</v>
      </c>
      <c r="BQ768" s="33" t="str">
        <f t="shared" si="20"/>
        <v/>
      </c>
    </row>
    <row r="769">
      <c r="B769" s="19"/>
      <c r="C769" s="29"/>
      <c r="D769" s="29"/>
      <c r="E769" s="7" t="str">
        <f>IF(ISBLANK(D769), "", VLOOKUP(D769,'Crafting Tables'!$A$2:$B1015, 2, false))</f>
        <v/>
      </c>
      <c r="F769" s="7" t="str">
        <f>IFERROR(IF(E769 = "None", 1, VLOOKUP(C769,General!$A$5:$L$35, SWITCH(E769, "Basic", 8, "Advanced", 10, "Modern", 12), false)),"")</f>
        <v/>
      </c>
      <c r="G769" s="29"/>
      <c r="H769" s="7">
        <f>IFERROR(VLOOKUP(C769, General!$A$5:$L$35, 6, false) * G769 / 1000, 0)</f>
        <v>0</v>
      </c>
      <c r="I769" s="29"/>
      <c r="J769" s="22" t="str">
        <f>IFERROR(I769*VLOOKUP(D769,'Crafting Tables'!$1:$1000, 4, false)*F769,"")</f>
        <v/>
      </c>
      <c r="K769" s="29" t="b">
        <v>0</v>
      </c>
      <c r="L769" s="37"/>
      <c r="M769" s="29"/>
      <c r="N769" s="21" t="str">
        <f t="shared" si="2"/>
        <v/>
      </c>
      <c r="P769" s="37"/>
      <c r="Q769" s="29"/>
      <c r="R769" s="29" t="b">
        <v>0</v>
      </c>
      <c r="S769" s="22" t="str">
        <f t="shared" si="3"/>
        <v/>
      </c>
      <c r="T769" s="7">
        <f>IF(ISBLANK(P769), 0, VLOOKUP(P769, 'Price Sheet'!$A$2:$B1015, 2, false))</f>
        <v>0</v>
      </c>
      <c r="U769" s="33" t="str">
        <f t="shared" si="4"/>
        <v/>
      </c>
      <c r="V769" s="37"/>
      <c r="W769" s="29"/>
      <c r="X769" s="29" t="b">
        <v>0</v>
      </c>
      <c r="Y769" s="22" t="str">
        <f t="shared" si="5"/>
        <v/>
      </c>
      <c r="Z769" s="7">
        <f>IF(ISBLANK(V769), 0, VLOOKUP(V769, 'Price Sheet'!$A$2:$B1015, 2, false))</f>
        <v>0</v>
      </c>
      <c r="AA769" s="33" t="str">
        <f t="shared" si="6"/>
        <v/>
      </c>
      <c r="AB769" s="37"/>
      <c r="AC769" s="29"/>
      <c r="AD769" s="29" t="b">
        <v>0</v>
      </c>
      <c r="AE769" s="22" t="str">
        <f t="shared" si="7"/>
        <v/>
      </c>
      <c r="AF769" s="7">
        <f>IF(ISBLANK(AB769), 0, VLOOKUP(AB769, 'Price Sheet'!$A$2:$B1015, 2, false))</f>
        <v>0</v>
      </c>
      <c r="AG769" s="33" t="str">
        <f t="shared" si="8"/>
        <v/>
      </c>
      <c r="AH769" s="37"/>
      <c r="AI769" s="29"/>
      <c r="AJ769" s="29" t="b">
        <v>0</v>
      </c>
      <c r="AK769" s="22" t="str">
        <f t="shared" si="9"/>
        <v/>
      </c>
      <c r="AL769" s="7">
        <f>IF(ISBLANK(AH769), 0, VLOOKUP(AH769, 'Price Sheet'!$A$2:$B1015, 2, false))</f>
        <v>0</v>
      </c>
      <c r="AM769" s="33" t="str">
        <f t="shared" si="10"/>
        <v/>
      </c>
      <c r="AN769" s="37"/>
      <c r="AO769" s="29"/>
      <c r="AP769" s="29" t="b">
        <v>0</v>
      </c>
      <c r="AQ769" s="22" t="str">
        <f t="shared" si="11"/>
        <v/>
      </c>
      <c r="AR769" s="7">
        <f>IF(ISBLANK(AN769), 0, VLOOKUP(AN769, 'Price Sheet'!$A$2:$B1015, 2, false))</f>
        <v>0</v>
      </c>
      <c r="AS769" s="33" t="str">
        <f t="shared" si="12"/>
        <v/>
      </c>
      <c r="AT769" s="37"/>
      <c r="AU769" s="29"/>
      <c r="AV769" s="29" t="b">
        <v>0</v>
      </c>
      <c r="AW769" s="22" t="str">
        <f t="shared" si="13"/>
        <v/>
      </c>
      <c r="AX769" s="7">
        <f>IF(ISBLANK(AT769), 0, VLOOKUP(AT769, 'Price Sheet'!$A$2:$B1015, 2, false))</f>
        <v>0</v>
      </c>
      <c r="AY769" s="33" t="str">
        <f t="shared" si="14"/>
        <v/>
      </c>
      <c r="AZ769" s="37"/>
      <c r="BA769" s="29"/>
      <c r="BB769" s="29" t="b">
        <v>0</v>
      </c>
      <c r="BC769" s="22" t="str">
        <f t="shared" si="15"/>
        <v/>
      </c>
      <c r="BD769" s="7">
        <f>IF(ISBLANK(AZ769), 0, VLOOKUP(AZ769, 'Price Sheet'!$A$2:$B1015, 2, false))</f>
        <v>0</v>
      </c>
      <c r="BE769" s="33" t="str">
        <f t="shared" si="16"/>
        <v/>
      </c>
      <c r="BF769" s="37"/>
      <c r="BG769" s="29"/>
      <c r="BH769" s="29" t="b">
        <v>0</v>
      </c>
      <c r="BI769" s="22" t="str">
        <f t="shared" si="17"/>
        <v/>
      </c>
      <c r="BJ769" s="7">
        <f>IF(ISBLANK(BF769), 0, VLOOKUP(BF769, 'Price Sheet'!$A$2:$B1015, 2, false))</f>
        <v>0</v>
      </c>
      <c r="BK769" s="33" t="str">
        <f t="shared" si="18"/>
        <v/>
      </c>
      <c r="BL769" s="37"/>
      <c r="BM769" s="29"/>
      <c r="BN769" s="29" t="b">
        <v>0</v>
      </c>
      <c r="BO769" s="22" t="str">
        <f t="shared" si="19"/>
        <v/>
      </c>
      <c r="BP769" s="7">
        <f>IF(ISBLANK(BL769), 0, VLOOKUP(BL769, 'Price Sheet'!$A$2:$B1015, 2, false))</f>
        <v>0</v>
      </c>
      <c r="BQ769" s="33" t="str">
        <f t="shared" si="20"/>
        <v/>
      </c>
    </row>
    <row r="770">
      <c r="B770" s="19"/>
      <c r="C770" s="29"/>
      <c r="D770" s="29"/>
      <c r="E770" s="7" t="str">
        <f>IF(ISBLANK(D770), "", VLOOKUP(D770,'Crafting Tables'!$A$2:$B1015, 2, false))</f>
        <v/>
      </c>
      <c r="F770" s="7" t="str">
        <f>IFERROR(IF(E770 = "None", 1, VLOOKUP(C770,General!$A$5:$L$35, SWITCH(E770, "Basic", 8, "Advanced", 10, "Modern", 12), false)),"")</f>
        <v/>
      </c>
      <c r="G770" s="29"/>
      <c r="H770" s="7">
        <f>IFERROR(VLOOKUP(C770, General!$A$5:$L$35, 6, false) * G770 / 1000, 0)</f>
        <v>0</v>
      </c>
      <c r="I770" s="29"/>
      <c r="J770" s="22" t="str">
        <f>IFERROR(I770*VLOOKUP(D770,'Crafting Tables'!$1:$1000, 4, false)*F770,"")</f>
        <v/>
      </c>
      <c r="K770" s="29" t="b">
        <v>0</v>
      </c>
      <c r="L770" s="37"/>
      <c r="M770" s="29"/>
      <c r="N770" s="21" t="str">
        <f t="shared" si="2"/>
        <v/>
      </c>
      <c r="P770" s="37"/>
      <c r="Q770" s="29"/>
      <c r="R770" s="29" t="b">
        <v>0</v>
      </c>
      <c r="S770" s="22" t="str">
        <f t="shared" si="3"/>
        <v/>
      </c>
      <c r="T770" s="7">
        <f>IF(ISBLANK(P770), 0, VLOOKUP(P770, 'Price Sheet'!$A$2:$B1015, 2, false))</f>
        <v>0</v>
      </c>
      <c r="U770" s="33" t="str">
        <f t="shared" si="4"/>
        <v/>
      </c>
      <c r="V770" s="37"/>
      <c r="W770" s="29"/>
      <c r="X770" s="29" t="b">
        <v>0</v>
      </c>
      <c r="Y770" s="22" t="str">
        <f t="shared" si="5"/>
        <v/>
      </c>
      <c r="Z770" s="7">
        <f>IF(ISBLANK(V770), 0, VLOOKUP(V770, 'Price Sheet'!$A$2:$B1015, 2, false))</f>
        <v>0</v>
      </c>
      <c r="AA770" s="33" t="str">
        <f t="shared" si="6"/>
        <v/>
      </c>
      <c r="AB770" s="37"/>
      <c r="AC770" s="29"/>
      <c r="AD770" s="29" t="b">
        <v>0</v>
      </c>
      <c r="AE770" s="22" t="str">
        <f t="shared" si="7"/>
        <v/>
      </c>
      <c r="AF770" s="7">
        <f>IF(ISBLANK(AB770), 0, VLOOKUP(AB770, 'Price Sheet'!$A$2:$B1015, 2, false))</f>
        <v>0</v>
      </c>
      <c r="AG770" s="33" t="str">
        <f t="shared" si="8"/>
        <v/>
      </c>
      <c r="AH770" s="37"/>
      <c r="AI770" s="29"/>
      <c r="AJ770" s="29" t="b">
        <v>0</v>
      </c>
      <c r="AK770" s="22" t="str">
        <f t="shared" si="9"/>
        <v/>
      </c>
      <c r="AL770" s="7">
        <f>IF(ISBLANK(AH770), 0, VLOOKUP(AH770, 'Price Sheet'!$A$2:$B1015, 2, false))</f>
        <v>0</v>
      </c>
      <c r="AM770" s="33" t="str">
        <f t="shared" si="10"/>
        <v/>
      </c>
      <c r="AN770" s="37"/>
      <c r="AO770" s="29"/>
      <c r="AP770" s="29" t="b">
        <v>0</v>
      </c>
      <c r="AQ770" s="22" t="str">
        <f t="shared" si="11"/>
        <v/>
      </c>
      <c r="AR770" s="7">
        <f>IF(ISBLANK(AN770), 0, VLOOKUP(AN770, 'Price Sheet'!$A$2:$B1015, 2, false))</f>
        <v>0</v>
      </c>
      <c r="AS770" s="33" t="str">
        <f t="shared" si="12"/>
        <v/>
      </c>
      <c r="AT770" s="37"/>
      <c r="AU770" s="29"/>
      <c r="AV770" s="29" t="b">
        <v>0</v>
      </c>
      <c r="AW770" s="22" t="str">
        <f t="shared" si="13"/>
        <v/>
      </c>
      <c r="AX770" s="7">
        <f>IF(ISBLANK(AT770), 0, VLOOKUP(AT770, 'Price Sheet'!$A$2:$B1015, 2, false))</f>
        <v>0</v>
      </c>
      <c r="AY770" s="33" t="str">
        <f t="shared" si="14"/>
        <v/>
      </c>
      <c r="AZ770" s="37"/>
      <c r="BA770" s="29"/>
      <c r="BB770" s="29" t="b">
        <v>0</v>
      </c>
      <c r="BC770" s="22" t="str">
        <f t="shared" si="15"/>
        <v/>
      </c>
      <c r="BD770" s="7">
        <f>IF(ISBLANK(AZ770), 0, VLOOKUP(AZ770, 'Price Sheet'!$A$2:$B1015, 2, false))</f>
        <v>0</v>
      </c>
      <c r="BE770" s="33" t="str">
        <f t="shared" si="16"/>
        <v/>
      </c>
      <c r="BF770" s="37"/>
      <c r="BG770" s="29"/>
      <c r="BH770" s="29" t="b">
        <v>0</v>
      </c>
      <c r="BI770" s="22" t="str">
        <f t="shared" si="17"/>
        <v/>
      </c>
      <c r="BJ770" s="7">
        <f>IF(ISBLANK(BF770), 0, VLOOKUP(BF770, 'Price Sheet'!$A$2:$B1015, 2, false))</f>
        <v>0</v>
      </c>
      <c r="BK770" s="33" t="str">
        <f t="shared" si="18"/>
        <v/>
      </c>
      <c r="BL770" s="37"/>
      <c r="BM770" s="29"/>
      <c r="BN770" s="29" t="b">
        <v>0</v>
      </c>
      <c r="BO770" s="22" t="str">
        <f t="shared" si="19"/>
        <v/>
      </c>
      <c r="BP770" s="7">
        <f>IF(ISBLANK(BL770), 0, VLOOKUP(BL770, 'Price Sheet'!$A$2:$B1015, 2, false))</f>
        <v>0</v>
      </c>
      <c r="BQ770" s="33" t="str">
        <f t="shared" si="20"/>
        <v/>
      </c>
    </row>
    <row r="771">
      <c r="B771" s="19"/>
      <c r="C771" s="29"/>
      <c r="D771" s="29"/>
      <c r="E771" s="7" t="str">
        <f>IF(ISBLANK(D771), "", VLOOKUP(D771,'Crafting Tables'!$A$2:$B1015, 2, false))</f>
        <v/>
      </c>
      <c r="F771" s="7" t="str">
        <f>IFERROR(IF(E771 = "None", 1, VLOOKUP(C771,General!$A$5:$L$35, SWITCH(E771, "Basic", 8, "Advanced", 10, "Modern", 12), false)),"")</f>
        <v/>
      </c>
      <c r="G771" s="29"/>
      <c r="H771" s="7">
        <f>IFERROR(VLOOKUP(C771, General!$A$5:$L$35, 6, false) * G771 / 1000, 0)</f>
        <v>0</v>
      </c>
      <c r="I771" s="29"/>
      <c r="J771" s="22" t="str">
        <f>IFERROR(I771*VLOOKUP(D771,'Crafting Tables'!$1:$1000, 4, false)*F771,"")</f>
        <v/>
      </c>
      <c r="K771" s="29" t="b">
        <v>0</v>
      </c>
      <c r="L771" s="37"/>
      <c r="M771" s="29"/>
      <c r="N771" s="21" t="str">
        <f t="shared" si="2"/>
        <v/>
      </c>
      <c r="P771" s="37"/>
      <c r="Q771" s="29"/>
      <c r="R771" s="29" t="b">
        <v>0</v>
      </c>
      <c r="S771" s="22" t="str">
        <f t="shared" si="3"/>
        <v/>
      </c>
      <c r="T771" s="7">
        <f>IF(ISBLANK(P771), 0, VLOOKUP(P771, 'Price Sheet'!$A$2:$B1015, 2, false))</f>
        <v>0</v>
      </c>
      <c r="U771" s="33" t="str">
        <f t="shared" si="4"/>
        <v/>
      </c>
      <c r="V771" s="37"/>
      <c r="W771" s="29"/>
      <c r="X771" s="29" t="b">
        <v>0</v>
      </c>
      <c r="Y771" s="22" t="str">
        <f t="shared" si="5"/>
        <v/>
      </c>
      <c r="Z771" s="7">
        <f>IF(ISBLANK(V771), 0, VLOOKUP(V771, 'Price Sheet'!$A$2:$B1015, 2, false))</f>
        <v>0</v>
      </c>
      <c r="AA771" s="33" t="str">
        <f t="shared" si="6"/>
        <v/>
      </c>
      <c r="AB771" s="37"/>
      <c r="AC771" s="29"/>
      <c r="AD771" s="29" t="b">
        <v>0</v>
      </c>
      <c r="AE771" s="22" t="str">
        <f t="shared" si="7"/>
        <v/>
      </c>
      <c r="AF771" s="7">
        <f>IF(ISBLANK(AB771), 0, VLOOKUP(AB771, 'Price Sheet'!$A$2:$B1015, 2, false))</f>
        <v>0</v>
      </c>
      <c r="AG771" s="33" t="str">
        <f t="shared" si="8"/>
        <v/>
      </c>
      <c r="AH771" s="37"/>
      <c r="AI771" s="29"/>
      <c r="AJ771" s="29" t="b">
        <v>0</v>
      </c>
      <c r="AK771" s="22" t="str">
        <f t="shared" si="9"/>
        <v/>
      </c>
      <c r="AL771" s="7">
        <f>IF(ISBLANK(AH771), 0, VLOOKUP(AH771, 'Price Sheet'!$A$2:$B1015, 2, false))</f>
        <v>0</v>
      </c>
      <c r="AM771" s="33" t="str">
        <f t="shared" si="10"/>
        <v/>
      </c>
      <c r="AN771" s="37"/>
      <c r="AO771" s="29"/>
      <c r="AP771" s="29" t="b">
        <v>0</v>
      </c>
      <c r="AQ771" s="22" t="str">
        <f t="shared" si="11"/>
        <v/>
      </c>
      <c r="AR771" s="7">
        <f>IF(ISBLANK(AN771), 0, VLOOKUP(AN771, 'Price Sheet'!$A$2:$B1015, 2, false))</f>
        <v>0</v>
      </c>
      <c r="AS771" s="33" t="str">
        <f t="shared" si="12"/>
        <v/>
      </c>
      <c r="AT771" s="37"/>
      <c r="AU771" s="29"/>
      <c r="AV771" s="29" t="b">
        <v>0</v>
      </c>
      <c r="AW771" s="22" t="str">
        <f t="shared" si="13"/>
        <v/>
      </c>
      <c r="AX771" s="7">
        <f>IF(ISBLANK(AT771), 0, VLOOKUP(AT771, 'Price Sheet'!$A$2:$B1015, 2, false))</f>
        <v>0</v>
      </c>
      <c r="AY771" s="33" t="str">
        <f t="shared" si="14"/>
        <v/>
      </c>
      <c r="AZ771" s="37"/>
      <c r="BA771" s="29"/>
      <c r="BB771" s="29" t="b">
        <v>0</v>
      </c>
      <c r="BC771" s="22" t="str">
        <f t="shared" si="15"/>
        <v/>
      </c>
      <c r="BD771" s="7">
        <f>IF(ISBLANK(AZ771), 0, VLOOKUP(AZ771, 'Price Sheet'!$A$2:$B1015, 2, false))</f>
        <v>0</v>
      </c>
      <c r="BE771" s="33" t="str">
        <f t="shared" si="16"/>
        <v/>
      </c>
      <c r="BF771" s="37"/>
      <c r="BG771" s="29"/>
      <c r="BH771" s="29" t="b">
        <v>0</v>
      </c>
      <c r="BI771" s="22" t="str">
        <f t="shared" si="17"/>
        <v/>
      </c>
      <c r="BJ771" s="7">
        <f>IF(ISBLANK(BF771), 0, VLOOKUP(BF771, 'Price Sheet'!$A$2:$B1015, 2, false))</f>
        <v>0</v>
      </c>
      <c r="BK771" s="33" t="str">
        <f t="shared" si="18"/>
        <v/>
      </c>
      <c r="BL771" s="37"/>
      <c r="BM771" s="29"/>
      <c r="BN771" s="29" t="b">
        <v>0</v>
      </c>
      <c r="BO771" s="22" t="str">
        <f t="shared" si="19"/>
        <v/>
      </c>
      <c r="BP771" s="7">
        <f>IF(ISBLANK(BL771), 0, VLOOKUP(BL771, 'Price Sheet'!$A$2:$B1015, 2, false))</f>
        <v>0</v>
      </c>
      <c r="BQ771" s="33" t="str">
        <f t="shared" si="20"/>
        <v/>
      </c>
    </row>
    <row r="772">
      <c r="B772" s="19"/>
      <c r="C772" s="29"/>
      <c r="D772" s="29"/>
      <c r="E772" s="7" t="str">
        <f>IF(ISBLANK(D772), "", VLOOKUP(D772,'Crafting Tables'!$A$2:$B1015, 2, false))</f>
        <v/>
      </c>
      <c r="F772" s="7" t="str">
        <f>IFERROR(IF(E772 = "None", 1, VLOOKUP(C772,General!$A$5:$L$35, SWITCH(E772, "Basic", 8, "Advanced", 10, "Modern", 12), false)),"")</f>
        <v/>
      </c>
      <c r="G772" s="29"/>
      <c r="H772" s="7">
        <f>IFERROR(VLOOKUP(C772, General!$A$5:$L$35, 6, false) * G772 / 1000, 0)</f>
        <v>0</v>
      </c>
      <c r="I772" s="29"/>
      <c r="J772" s="22" t="str">
        <f>IFERROR(I772*VLOOKUP(D772,'Crafting Tables'!$1:$1000, 4, false)*F772,"")</f>
        <v/>
      </c>
      <c r="K772" s="29" t="b">
        <v>0</v>
      </c>
      <c r="L772" s="37"/>
      <c r="M772" s="29"/>
      <c r="N772" s="21" t="str">
        <f t="shared" si="2"/>
        <v/>
      </c>
      <c r="P772" s="37"/>
      <c r="Q772" s="29"/>
      <c r="R772" s="29" t="b">
        <v>0</v>
      </c>
      <c r="S772" s="22" t="str">
        <f t="shared" si="3"/>
        <v/>
      </c>
      <c r="T772" s="7">
        <f>IF(ISBLANK(P772), 0, VLOOKUP(P772, 'Price Sheet'!$A$2:$B1015, 2, false))</f>
        <v>0</v>
      </c>
      <c r="U772" s="33" t="str">
        <f t="shared" si="4"/>
        <v/>
      </c>
      <c r="V772" s="37"/>
      <c r="W772" s="29"/>
      <c r="X772" s="29" t="b">
        <v>0</v>
      </c>
      <c r="Y772" s="22" t="str">
        <f t="shared" si="5"/>
        <v/>
      </c>
      <c r="Z772" s="7">
        <f>IF(ISBLANK(V772), 0, VLOOKUP(V772, 'Price Sheet'!$A$2:$B1015, 2, false))</f>
        <v>0</v>
      </c>
      <c r="AA772" s="33" t="str">
        <f t="shared" si="6"/>
        <v/>
      </c>
      <c r="AB772" s="37"/>
      <c r="AC772" s="29"/>
      <c r="AD772" s="29" t="b">
        <v>0</v>
      </c>
      <c r="AE772" s="22" t="str">
        <f t="shared" si="7"/>
        <v/>
      </c>
      <c r="AF772" s="7">
        <f>IF(ISBLANK(AB772), 0, VLOOKUP(AB772, 'Price Sheet'!$A$2:$B1015, 2, false))</f>
        <v>0</v>
      </c>
      <c r="AG772" s="33" t="str">
        <f t="shared" si="8"/>
        <v/>
      </c>
      <c r="AH772" s="37"/>
      <c r="AI772" s="29"/>
      <c r="AJ772" s="29" t="b">
        <v>0</v>
      </c>
      <c r="AK772" s="22" t="str">
        <f t="shared" si="9"/>
        <v/>
      </c>
      <c r="AL772" s="7">
        <f>IF(ISBLANK(AH772), 0, VLOOKUP(AH772, 'Price Sheet'!$A$2:$B1015, 2, false))</f>
        <v>0</v>
      </c>
      <c r="AM772" s="33" t="str">
        <f t="shared" si="10"/>
        <v/>
      </c>
      <c r="AN772" s="37"/>
      <c r="AO772" s="29"/>
      <c r="AP772" s="29" t="b">
        <v>0</v>
      </c>
      <c r="AQ772" s="22" t="str">
        <f t="shared" si="11"/>
        <v/>
      </c>
      <c r="AR772" s="7">
        <f>IF(ISBLANK(AN772), 0, VLOOKUP(AN772, 'Price Sheet'!$A$2:$B1015, 2, false))</f>
        <v>0</v>
      </c>
      <c r="AS772" s="33" t="str">
        <f t="shared" si="12"/>
        <v/>
      </c>
      <c r="AT772" s="37"/>
      <c r="AU772" s="29"/>
      <c r="AV772" s="29" t="b">
        <v>0</v>
      </c>
      <c r="AW772" s="22" t="str">
        <f t="shared" si="13"/>
        <v/>
      </c>
      <c r="AX772" s="7">
        <f>IF(ISBLANK(AT772), 0, VLOOKUP(AT772, 'Price Sheet'!$A$2:$B1015, 2, false))</f>
        <v>0</v>
      </c>
      <c r="AY772" s="33" t="str">
        <f t="shared" si="14"/>
        <v/>
      </c>
      <c r="AZ772" s="37"/>
      <c r="BA772" s="29"/>
      <c r="BB772" s="29" t="b">
        <v>0</v>
      </c>
      <c r="BC772" s="22" t="str">
        <f t="shared" si="15"/>
        <v/>
      </c>
      <c r="BD772" s="7">
        <f>IF(ISBLANK(AZ772), 0, VLOOKUP(AZ772, 'Price Sheet'!$A$2:$B1015, 2, false))</f>
        <v>0</v>
      </c>
      <c r="BE772" s="33" t="str">
        <f t="shared" si="16"/>
        <v/>
      </c>
      <c r="BF772" s="37"/>
      <c r="BG772" s="29"/>
      <c r="BH772" s="29" t="b">
        <v>0</v>
      </c>
      <c r="BI772" s="22" t="str">
        <f t="shared" si="17"/>
        <v/>
      </c>
      <c r="BJ772" s="7">
        <f>IF(ISBLANK(BF772), 0, VLOOKUP(BF772, 'Price Sheet'!$A$2:$B1015, 2, false))</f>
        <v>0</v>
      </c>
      <c r="BK772" s="33" t="str">
        <f t="shared" si="18"/>
        <v/>
      </c>
      <c r="BL772" s="37"/>
      <c r="BM772" s="29"/>
      <c r="BN772" s="29" t="b">
        <v>0</v>
      </c>
      <c r="BO772" s="22" t="str">
        <f t="shared" si="19"/>
        <v/>
      </c>
      <c r="BP772" s="7">
        <f>IF(ISBLANK(BL772), 0, VLOOKUP(BL772, 'Price Sheet'!$A$2:$B1015, 2, false))</f>
        <v>0</v>
      </c>
      <c r="BQ772" s="33" t="str">
        <f t="shared" si="20"/>
        <v/>
      </c>
    </row>
    <row r="773">
      <c r="B773" s="19"/>
      <c r="C773" s="29"/>
      <c r="D773" s="29"/>
      <c r="E773" s="7" t="str">
        <f>IF(ISBLANK(D773), "", VLOOKUP(D773,'Crafting Tables'!$A$2:$B1015, 2, false))</f>
        <v/>
      </c>
      <c r="F773" s="7" t="str">
        <f>IFERROR(IF(E773 = "None", 1, VLOOKUP(C773,General!$A$5:$L$35, SWITCH(E773, "Basic", 8, "Advanced", 10, "Modern", 12), false)),"")</f>
        <v/>
      </c>
      <c r="G773" s="29"/>
      <c r="H773" s="7">
        <f>IFERROR(VLOOKUP(C773, General!$A$5:$L$35, 6, false) * G773 / 1000, 0)</f>
        <v>0</v>
      </c>
      <c r="I773" s="29"/>
      <c r="J773" s="22" t="str">
        <f>IFERROR(I773*VLOOKUP(D773,'Crafting Tables'!$1:$1000, 4, false)*F773,"")</f>
        <v/>
      </c>
      <c r="K773" s="29" t="b">
        <v>0</v>
      </c>
      <c r="L773" s="37"/>
      <c r="M773" s="29"/>
      <c r="N773" s="21" t="str">
        <f t="shared" si="2"/>
        <v/>
      </c>
      <c r="P773" s="37"/>
      <c r="Q773" s="29"/>
      <c r="R773" s="29" t="b">
        <v>0</v>
      </c>
      <c r="S773" s="22" t="str">
        <f t="shared" si="3"/>
        <v/>
      </c>
      <c r="T773" s="7">
        <f>IF(ISBLANK(P773), 0, VLOOKUP(P773, 'Price Sheet'!$A$2:$B1015, 2, false))</f>
        <v>0</v>
      </c>
      <c r="U773" s="33" t="str">
        <f t="shared" si="4"/>
        <v/>
      </c>
      <c r="V773" s="37"/>
      <c r="W773" s="29"/>
      <c r="X773" s="29" t="b">
        <v>0</v>
      </c>
      <c r="Y773" s="22" t="str">
        <f t="shared" si="5"/>
        <v/>
      </c>
      <c r="Z773" s="7">
        <f>IF(ISBLANK(V773), 0, VLOOKUP(V773, 'Price Sheet'!$A$2:$B1015, 2, false))</f>
        <v>0</v>
      </c>
      <c r="AA773" s="33" t="str">
        <f t="shared" si="6"/>
        <v/>
      </c>
      <c r="AB773" s="37"/>
      <c r="AC773" s="29"/>
      <c r="AD773" s="29" t="b">
        <v>0</v>
      </c>
      <c r="AE773" s="22" t="str">
        <f t="shared" si="7"/>
        <v/>
      </c>
      <c r="AF773" s="7">
        <f>IF(ISBLANK(AB773), 0, VLOOKUP(AB773, 'Price Sheet'!$A$2:$B1015, 2, false))</f>
        <v>0</v>
      </c>
      <c r="AG773" s="33" t="str">
        <f t="shared" si="8"/>
        <v/>
      </c>
      <c r="AH773" s="37"/>
      <c r="AI773" s="29"/>
      <c r="AJ773" s="29" t="b">
        <v>0</v>
      </c>
      <c r="AK773" s="22" t="str">
        <f t="shared" si="9"/>
        <v/>
      </c>
      <c r="AL773" s="7">
        <f>IF(ISBLANK(AH773), 0, VLOOKUP(AH773, 'Price Sheet'!$A$2:$B1015, 2, false))</f>
        <v>0</v>
      </c>
      <c r="AM773" s="33" t="str">
        <f t="shared" si="10"/>
        <v/>
      </c>
      <c r="AN773" s="37"/>
      <c r="AO773" s="29"/>
      <c r="AP773" s="29" t="b">
        <v>0</v>
      </c>
      <c r="AQ773" s="22" t="str">
        <f t="shared" si="11"/>
        <v/>
      </c>
      <c r="AR773" s="7">
        <f>IF(ISBLANK(AN773), 0, VLOOKUP(AN773, 'Price Sheet'!$A$2:$B1015, 2, false))</f>
        <v>0</v>
      </c>
      <c r="AS773" s="33" t="str">
        <f t="shared" si="12"/>
        <v/>
      </c>
      <c r="AT773" s="37"/>
      <c r="AU773" s="29"/>
      <c r="AV773" s="29" t="b">
        <v>0</v>
      </c>
      <c r="AW773" s="22" t="str">
        <f t="shared" si="13"/>
        <v/>
      </c>
      <c r="AX773" s="7">
        <f>IF(ISBLANK(AT773), 0, VLOOKUP(AT773, 'Price Sheet'!$A$2:$B1015, 2, false))</f>
        <v>0</v>
      </c>
      <c r="AY773" s="33" t="str">
        <f t="shared" si="14"/>
        <v/>
      </c>
      <c r="AZ773" s="37"/>
      <c r="BA773" s="29"/>
      <c r="BB773" s="29" t="b">
        <v>0</v>
      </c>
      <c r="BC773" s="22" t="str">
        <f t="shared" si="15"/>
        <v/>
      </c>
      <c r="BD773" s="7">
        <f>IF(ISBLANK(AZ773), 0, VLOOKUP(AZ773, 'Price Sheet'!$A$2:$B1015, 2, false))</f>
        <v>0</v>
      </c>
      <c r="BE773" s="33" t="str">
        <f t="shared" si="16"/>
        <v/>
      </c>
      <c r="BF773" s="37"/>
      <c r="BG773" s="29"/>
      <c r="BH773" s="29" t="b">
        <v>0</v>
      </c>
      <c r="BI773" s="22" t="str">
        <f t="shared" si="17"/>
        <v/>
      </c>
      <c r="BJ773" s="7">
        <f>IF(ISBLANK(BF773), 0, VLOOKUP(BF773, 'Price Sheet'!$A$2:$B1015, 2, false))</f>
        <v>0</v>
      </c>
      <c r="BK773" s="33" t="str">
        <f t="shared" si="18"/>
        <v/>
      </c>
      <c r="BL773" s="37"/>
      <c r="BM773" s="29"/>
      <c r="BN773" s="29" t="b">
        <v>0</v>
      </c>
      <c r="BO773" s="22" t="str">
        <f t="shared" si="19"/>
        <v/>
      </c>
      <c r="BP773" s="7">
        <f>IF(ISBLANK(BL773), 0, VLOOKUP(BL773, 'Price Sheet'!$A$2:$B1015, 2, false))</f>
        <v>0</v>
      </c>
      <c r="BQ773" s="33" t="str">
        <f t="shared" si="20"/>
        <v/>
      </c>
    </row>
    <row r="774">
      <c r="B774" s="19"/>
      <c r="C774" s="29"/>
      <c r="D774" s="29"/>
      <c r="E774" s="7" t="str">
        <f>IF(ISBLANK(D774), "", VLOOKUP(D774,'Crafting Tables'!$A$2:$B1015, 2, false))</f>
        <v/>
      </c>
      <c r="F774" s="7" t="str">
        <f>IFERROR(IF(E774 = "None", 1, VLOOKUP(C774,General!$A$5:$L$35, SWITCH(E774, "Basic", 8, "Advanced", 10, "Modern", 12), false)),"")</f>
        <v/>
      </c>
      <c r="G774" s="29"/>
      <c r="H774" s="7">
        <f>IFERROR(VLOOKUP(C774, General!$A$5:$L$35, 6, false) * G774 / 1000, 0)</f>
        <v>0</v>
      </c>
      <c r="I774" s="29"/>
      <c r="J774" s="22" t="str">
        <f>IFERROR(I774*VLOOKUP(D774,'Crafting Tables'!$1:$1000, 4, false)*F774,"")</f>
        <v/>
      </c>
      <c r="K774" s="29" t="b">
        <v>0</v>
      </c>
      <c r="L774" s="37"/>
      <c r="M774" s="29"/>
      <c r="N774" s="21" t="str">
        <f t="shared" si="2"/>
        <v/>
      </c>
      <c r="P774" s="37"/>
      <c r="Q774" s="29"/>
      <c r="R774" s="29" t="b">
        <v>0</v>
      </c>
      <c r="S774" s="22" t="str">
        <f t="shared" si="3"/>
        <v/>
      </c>
      <c r="T774" s="7">
        <f>IF(ISBLANK(P774), 0, VLOOKUP(P774, 'Price Sheet'!$A$2:$B1015, 2, false))</f>
        <v>0</v>
      </c>
      <c r="U774" s="33" t="str">
        <f t="shared" si="4"/>
        <v/>
      </c>
      <c r="V774" s="37"/>
      <c r="W774" s="29"/>
      <c r="X774" s="29" t="b">
        <v>0</v>
      </c>
      <c r="Y774" s="22" t="str">
        <f t="shared" si="5"/>
        <v/>
      </c>
      <c r="Z774" s="7">
        <f>IF(ISBLANK(V774), 0, VLOOKUP(V774, 'Price Sheet'!$A$2:$B1015, 2, false))</f>
        <v>0</v>
      </c>
      <c r="AA774" s="33" t="str">
        <f t="shared" si="6"/>
        <v/>
      </c>
      <c r="AB774" s="37"/>
      <c r="AC774" s="29"/>
      <c r="AD774" s="29" t="b">
        <v>0</v>
      </c>
      <c r="AE774" s="22" t="str">
        <f t="shared" si="7"/>
        <v/>
      </c>
      <c r="AF774" s="7">
        <f>IF(ISBLANK(AB774), 0, VLOOKUP(AB774, 'Price Sheet'!$A$2:$B1015, 2, false))</f>
        <v>0</v>
      </c>
      <c r="AG774" s="33" t="str">
        <f t="shared" si="8"/>
        <v/>
      </c>
      <c r="AH774" s="37"/>
      <c r="AI774" s="29"/>
      <c r="AJ774" s="29" t="b">
        <v>0</v>
      </c>
      <c r="AK774" s="22" t="str">
        <f t="shared" si="9"/>
        <v/>
      </c>
      <c r="AL774" s="7">
        <f>IF(ISBLANK(AH774), 0, VLOOKUP(AH774, 'Price Sheet'!$A$2:$B1015, 2, false))</f>
        <v>0</v>
      </c>
      <c r="AM774" s="33" t="str">
        <f t="shared" si="10"/>
        <v/>
      </c>
      <c r="AN774" s="37"/>
      <c r="AO774" s="29"/>
      <c r="AP774" s="29" t="b">
        <v>0</v>
      </c>
      <c r="AQ774" s="22" t="str">
        <f t="shared" si="11"/>
        <v/>
      </c>
      <c r="AR774" s="7">
        <f>IF(ISBLANK(AN774), 0, VLOOKUP(AN774, 'Price Sheet'!$A$2:$B1015, 2, false))</f>
        <v>0</v>
      </c>
      <c r="AS774" s="33" t="str">
        <f t="shared" si="12"/>
        <v/>
      </c>
      <c r="AT774" s="37"/>
      <c r="AU774" s="29"/>
      <c r="AV774" s="29" t="b">
        <v>0</v>
      </c>
      <c r="AW774" s="22" t="str">
        <f t="shared" si="13"/>
        <v/>
      </c>
      <c r="AX774" s="7">
        <f>IF(ISBLANK(AT774), 0, VLOOKUP(AT774, 'Price Sheet'!$A$2:$B1015, 2, false))</f>
        <v>0</v>
      </c>
      <c r="AY774" s="33" t="str">
        <f t="shared" si="14"/>
        <v/>
      </c>
      <c r="AZ774" s="37"/>
      <c r="BA774" s="29"/>
      <c r="BB774" s="29" t="b">
        <v>0</v>
      </c>
      <c r="BC774" s="22" t="str">
        <f t="shared" si="15"/>
        <v/>
      </c>
      <c r="BD774" s="7">
        <f>IF(ISBLANK(AZ774), 0, VLOOKUP(AZ774, 'Price Sheet'!$A$2:$B1015, 2, false))</f>
        <v>0</v>
      </c>
      <c r="BE774" s="33" t="str">
        <f t="shared" si="16"/>
        <v/>
      </c>
      <c r="BF774" s="37"/>
      <c r="BG774" s="29"/>
      <c r="BH774" s="29" t="b">
        <v>0</v>
      </c>
      <c r="BI774" s="22" t="str">
        <f t="shared" si="17"/>
        <v/>
      </c>
      <c r="BJ774" s="7">
        <f>IF(ISBLANK(BF774), 0, VLOOKUP(BF774, 'Price Sheet'!$A$2:$B1015, 2, false))</f>
        <v>0</v>
      </c>
      <c r="BK774" s="33" t="str">
        <f t="shared" si="18"/>
        <v/>
      </c>
      <c r="BL774" s="37"/>
      <c r="BM774" s="29"/>
      <c r="BN774" s="29" t="b">
        <v>0</v>
      </c>
      <c r="BO774" s="22" t="str">
        <f t="shared" si="19"/>
        <v/>
      </c>
      <c r="BP774" s="7">
        <f>IF(ISBLANK(BL774), 0, VLOOKUP(BL774, 'Price Sheet'!$A$2:$B1015, 2, false))</f>
        <v>0</v>
      </c>
      <c r="BQ774" s="33" t="str">
        <f t="shared" si="20"/>
        <v/>
      </c>
    </row>
    <row r="775">
      <c r="B775" s="19"/>
      <c r="C775" s="29"/>
      <c r="D775" s="29"/>
      <c r="E775" s="7" t="str">
        <f>IF(ISBLANK(D775), "", VLOOKUP(D775,'Crafting Tables'!$A$2:$B1015, 2, false))</f>
        <v/>
      </c>
      <c r="F775" s="7" t="str">
        <f>IFERROR(IF(E775 = "None", 1, VLOOKUP(C775,General!$A$5:$L$35, SWITCH(E775, "Basic", 8, "Advanced", 10, "Modern", 12), false)),"")</f>
        <v/>
      </c>
      <c r="G775" s="29"/>
      <c r="H775" s="7">
        <f>IFERROR(VLOOKUP(C775, General!$A$5:$L$35, 6, false) * G775 / 1000, 0)</f>
        <v>0</v>
      </c>
      <c r="I775" s="29"/>
      <c r="J775" s="22" t="str">
        <f>IFERROR(I775*VLOOKUP(D775,'Crafting Tables'!$1:$1000, 4, false)*F775,"")</f>
        <v/>
      </c>
      <c r="K775" s="29" t="b">
        <v>0</v>
      </c>
      <c r="L775" s="37"/>
      <c r="M775" s="29"/>
      <c r="N775" s="21" t="str">
        <f t="shared" si="2"/>
        <v/>
      </c>
      <c r="P775" s="37"/>
      <c r="Q775" s="29"/>
      <c r="R775" s="29" t="b">
        <v>0</v>
      </c>
      <c r="S775" s="22" t="str">
        <f t="shared" si="3"/>
        <v/>
      </c>
      <c r="T775" s="7">
        <f>IF(ISBLANK(P775), 0, VLOOKUP(P775, 'Price Sheet'!$A$2:$B1015, 2, false))</f>
        <v>0</v>
      </c>
      <c r="U775" s="33" t="str">
        <f t="shared" si="4"/>
        <v/>
      </c>
      <c r="V775" s="37"/>
      <c r="W775" s="29"/>
      <c r="X775" s="29" t="b">
        <v>0</v>
      </c>
      <c r="Y775" s="22" t="str">
        <f t="shared" si="5"/>
        <v/>
      </c>
      <c r="Z775" s="7">
        <f>IF(ISBLANK(V775), 0, VLOOKUP(V775, 'Price Sheet'!$A$2:$B1015, 2, false))</f>
        <v>0</v>
      </c>
      <c r="AA775" s="33" t="str">
        <f t="shared" si="6"/>
        <v/>
      </c>
      <c r="AB775" s="37"/>
      <c r="AC775" s="29"/>
      <c r="AD775" s="29" t="b">
        <v>0</v>
      </c>
      <c r="AE775" s="22" t="str">
        <f t="shared" si="7"/>
        <v/>
      </c>
      <c r="AF775" s="7">
        <f>IF(ISBLANK(AB775), 0, VLOOKUP(AB775, 'Price Sheet'!$A$2:$B1015, 2, false))</f>
        <v>0</v>
      </c>
      <c r="AG775" s="33" t="str">
        <f t="shared" si="8"/>
        <v/>
      </c>
      <c r="AH775" s="37"/>
      <c r="AI775" s="29"/>
      <c r="AJ775" s="29" t="b">
        <v>0</v>
      </c>
      <c r="AK775" s="22" t="str">
        <f t="shared" si="9"/>
        <v/>
      </c>
      <c r="AL775" s="7">
        <f>IF(ISBLANK(AH775), 0, VLOOKUP(AH775, 'Price Sheet'!$A$2:$B1015, 2, false))</f>
        <v>0</v>
      </c>
      <c r="AM775" s="33" t="str">
        <f t="shared" si="10"/>
        <v/>
      </c>
      <c r="AN775" s="37"/>
      <c r="AO775" s="29"/>
      <c r="AP775" s="29" t="b">
        <v>0</v>
      </c>
      <c r="AQ775" s="22" t="str">
        <f t="shared" si="11"/>
        <v/>
      </c>
      <c r="AR775" s="7">
        <f>IF(ISBLANK(AN775), 0, VLOOKUP(AN775, 'Price Sheet'!$A$2:$B1015, 2, false))</f>
        <v>0</v>
      </c>
      <c r="AS775" s="33" t="str">
        <f t="shared" si="12"/>
        <v/>
      </c>
      <c r="AT775" s="37"/>
      <c r="AU775" s="29"/>
      <c r="AV775" s="29" t="b">
        <v>0</v>
      </c>
      <c r="AW775" s="22" t="str">
        <f t="shared" si="13"/>
        <v/>
      </c>
      <c r="AX775" s="7">
        <f>IF(ISBLANK(AT775), 0, VLOOKUP(AT775, 'Price Sheet'!$A$2:$B1015, 2, false))</f>
        <v>0</v>
      </c>
      <c r="AY775" s="33" t="str">
        <f t="shared" si="14"/>
        <v/>
      </c>
      <c r="AZ775" s="37"/>
      <c r="BA775" s="29"/>
      <c r="BB775" s="29" t="b">
        <v>0</v>
      </c>
      <c r="BC775" s="22" t="str">
        <f t="shared" si="15"/>
        <v/>
      </c>
      <c r="BD775" s="7">
        <f>IF(ISBLANK(AZ775), 0, VLOOKUP(AZ775, 'Price Sheet'!$A$2:$B1015, 2, false))</f>
        <v>0</v>
      </c>
      <c r="BE775" s="33" t="str">
        <f t="shared" si="16"/>
        <v/>
      </c>
      <c r="BF775" s="37"/>
      <c r="BG775" s="29"/>
      <c r="BH775" s="29" t="b">
        <v>0</v>
      </c>
      <c r="BI775" s="22" t="str">
        <f t="shared" si="17"/>
        <v/>
      </c>
      <c r="BJ775" s="7">
        <f>IF(ISBLANK(BF775), 0, VLOOKUP(BF775, 'Price Sheet'!$A$2:$B1015, 2, false))</f>
        <v>0</v>
      </c>
      <c r="BK775" s="33" t="str">
        <f t="shared" si="18"/>
        <v/>
      </c>
      <c r="BL775" s="37"/>
      <c r="BM775" s="29"/>
      <c r="BN775" s="29" t="b">
        <v>0</v>
      </c>
      <c r="BO775" s="22" t="str">
        <f t="shared" si="19"/>
        <v/>
      </c>
      <c r="BP775" s="7">
        <f>IF(ISBLANK(BL775), 0, VLOOKUP(BL775, 'Price Sheet'!$A$2:$B1015, 2, false))</f>
        <v>0</v>
      </c>
      <c r="BQ775" s="33" t="str">
        <f t="shared" si="20"/>
        <v/>
      </c>
    </row>
    <row r="776">
      <c r="B776" s="19"/>
      <c r="C776" s="29"/>
      <c r="D776" s="29"/>
      <c r="E776" s="7" t="str">
        <f>IF(ISBLANK(D776), "", VLOOKUP(D776,'Crafting Tables'!$A$2:$B1015, 2, false))</f>
        <v/>
      </c>
      <c r="F776" s="7" t="str">
        <f>IFERROR(IF(E776 = "None", 1, VLOOKUP(C776,General!$A$5:$L$35, SWITCH(E776, "Basic", 8, "Advanced", 10, "Modern", 12), false)),"")</f>
        <v/>
      </c>
      <c r="G776" s="29"/>
      <c r="H776" s="7">
        <f>IFERROR(VLOOKUP(C776, General!$A$5:$L$35, 6, false) * G776 / 1000, 0)</f>
        <v>0</v>
      </c>
      <c r="I776" s="29"/>
      <c r="J776" s="22" t="str">
        <f>IFERROR(I776*VLOOKUP(D776,'Crafting Tables'!$1:$1000, 4, false)*F776,"")</f>
        <v/>
      </c>
      <c r="K776" s="29" t="b">
        <v>0</v>
      </c>
      <c r="L776" s="37"/>
      <c r="M776" s="29"/>
      <c r="N776" s="21" t="str">
        <f t="shared" si="2"/>
        <v/>
      </c>
      <c r="P776" s="37"/>
      <c r="Q776" s="29"/>
      <c r="R776" s="29" t="b">
        <v>0</v>
      </c>
      <c r="S776" s="22" t="str">
        <f t="shared" si="3"/>
        <v/>
      </c>
      <c r="T776" s="7">
        <f>IF(ISBLANK(P776), 0, VLOOKUP(P776, 'Price Sheet'!$A$2:$B1015, 2, false))</f>
        <v>0</v>
      </c>
      <c r="U776" s="33" t="str">
        <f t="shared" si="4"/>
        <v/>
      </c>
      <c r="V776" s="37"/>
      <c r="W776" s="29"/>
      <c r="X776" s="29" t="b">
        <v>0</v>
      </c>
      <c r="Y776" s="22" t="str">
        <f t="shared" si="5"/>
        <v/>
      </c>
      <c r="Z776" s="7">
        <f>IF(ISBLANK(V776), 0, VLOOKUP(V776, 'Price Sheet'!$A$2:$B1015, 2, false))</f>
        <v>0</v>
      </c>
      <c r="AA776" s="33" t="str">
        <f t="shared" si="6"/>
        <v/>
      </c>
      <c r="AB776" s="37"/>
      <c r="AC776" s="29"/>
      <c r="AD776" s="29" t="b">
        <v>0</v>
      </c>
      <c r="AE776" s="22" t="str">
        <f t="shared" si="7"/>
        <v/>
      </c>
      <c r="AF776" s="7">
        <f>IF(ISBLANK(AB776), 0, VLOOKUP(AB776, 'Price Sheet'!$A$2:$B1015, 2, false))</f>
        <v>0</v>
      </c>
      <c r="AG776" s="33" t="str">
        <f t="shared" si="8"/>
        <v/>
      </c>
      <c r="AH776" s="37"/>
      <c r="AI776" s="29"/>
      <c r="AJ776" s="29" t="b">
        <v>0</v>
      </c>
      <c r="AK776" s="22" t="str">
        <f t="shared" si="9"/>
        <v/>
      </c>
      <c r="AL776" s="7">
        <f>IF(ISBLANK(AH776), 0, VLOOKUP(AH776, 'Price Sheet'!$A$2:$B1015, 2, false))</f>
        <v>0</v>
      </c>
      <c r="AM776" s="33" t="str">
        <f t="shared" si="10"/>
        <v/>
      </c>
      <c r="AN776" s="37"/>
      <c r="AO776" s="29"/>
      <c r="AP776" s="29" t="b">
        <v>0</v>
      </c>
      <c r="AQ776" s="22" t="str">
        <f t="shared" si="11"/>
        <v/>
      </c>
      <c r="AR776" s="7">
        <f>IF(ISBLANK(AN776), 0, VLOOKUP(AN776, 'Price Sheet'!$A$2:$B1015, 2, false))</f>
        <v>0</v>
      </c>
      <c r="AS776" s="33" t="str">
        <f t="shared" si="12"/>
        <v/>
      </c>
      <c r="AT776" s="37"/>
      <c r="AU776" s="29"/>
      <c r="AV776" s="29" t="b">
        <v>0</v>
      </c>
      <c r="AW776" s="22" t="str">
        <f t="shared" si="13"/>
        <v/>
      </c>
      <c r="AX776" s="7">
        <f>IF(ISBLANK(AT776), 0, VLOOKUP(AT776, 'Price Sheet'!$A$2:$B1015, 2, false))</f>
        <v>0</v>
      </c>
      <c r="AY776" s="33" t="str">
        <f t="shared" si="14"/>
        <v/>
      </c>
      <c r="AZ776" s="37"/>
      <c r="BA776" s="29"/>
      <c r="BB776" s="29" t="b">
        <v>0</v>
      </c>
      <c r="BC776" s="22" t="str">
        <f t="shared" si="15"/>
        <v/>
      </c>
      <c r="BD776" s="7">
        <f>IF(ISBLANK(AZ776), 0, VLOOKUP(AZ776, 'Price Sheet'!$A$2:$B1015, 2, false))</f>
        <v>0</v>
      </c>
      <c r="BE776" s="33" t="str">
        <f t="shared" si="16"/>
        <v/>
      </c>
      <c r="BF776" s="37"/>
      <c r="BG776" s="29"/>
      <c r="BH776" s="29" t="b">
        <v>0</v>
      </c>
      <c r="BI776" s="22" t="str">
        <f t="shared" si="17"/>
        <v/>
      </c>
      <c r="BJ776" s="7">
        <f>IF(ISBLANK(BF776), 0, VLOOKUP(BF776, 'Price Sheet'!$A$2:$B1015, 2, false))</f>
        <v>0</v>
      </c>
      <c r="BK776" s="33" t="str">
        <f t="shared" si="18"/>
        <v/>
      </c>
      <c r="BL776" s="37"/>
      <c r="BM776" s="29"/>
      <c r="BN776" s="29" t="b">
        <v>0</v>
      </c>
      <c r="BO776" s="22" t="str">
        <f t="shared" si="19"/>
        <v/>
      </c>
      <c r="BP776" s="7">
        <f>IF(ISBLANK(BL776), 0, VLOOKUP(BL776, 'Price Sheet'!$A$2:$B1015, 2, false))</f>
        <v>0</v>
      </c>
      <c r="BQ776" s="33" t="str">
        <f t="shared" si="20"/>
        <v/>
      </c>
    </row>
    <row r="777">
      <c r="B777" s="19"/>
      <c r="C777" s="29"/>
      <c r="D777" s="29"/>
      <c r="E777" s="7" t="str">
        <f>IF(ISBLANK(D777), "", VLOOKUP(D777,'Crafting Tables'!$A$2:$B1015, 2, false))</f>
        <v/>
      </c>
      <c r="F777" s="7" t="str">
        <f>IFERROR(IF(E777 = "None", 1, VLOOKUP(C777,General!$A$5:$L$35, SWITCH(E777, "Basic", 8, "Advanced", 10, "Modern", 12), false)),"")</f>
        <v/>
      </c>
      <c r="G777" s="29"/>
      <c r="H777" s="7">
        <f>IFERROR(VLOOKUP(C777, General!$A$5:$L$35, 6, false) * G777 / 1000, 0)</f>
        <v>0</v>
      </c>
      <c r="I777" s="29"/>
      <c r="J777" s="22" t="str">
        <f>IFERROR(I777*VLOOKUP(D777,'Crafting Tables'!$1:$1000, 4, false)*F777,"")</f>
        <v/>
      </c>
      <c r="K777" s="29" t="b">
        <v>0</v>
      </c>
      <c r="L777" s="37"/>
      <c r="M777" s="29"/>
      <c r="N777" s="21" t="str">
        <f t="shared" si="2"/>
        <v/>
      </c>
      <c r="P777" s="37"/>
      <c r="Q777" s="29"/>
      <c r="R777" s="29" t="b">
        <v>0</v>
      </c>
      <c r="S777" s="22" t="str">
        <f t="shared" si="3"/>
        <v/>
      </c>
      <c r="T777" s="7">
        <f>IF(ISBLANK(P777), 0, VLOOKUP(P777, 'Price Sheet'!$A$2:$B1015, 2, false))</f>
        <v>0</v>
      </c>
      <c r="U777" s="33" t="str">
        <f t="shared" si="4"/>
        <v/>
      </c>
      <c r="V777" s="37"/>
      <c r="W777" s="29"/>
      <c r="X777" s="29" t="b">
        <v>0</v>
      </c>
      <c r="Y777" s="22" t="str">
        <f t="shared" si="5"/>
        <v/>
      </c>
      <c r="Z777" s="7">
        <f>IF(ISBLANK(V777), 0, VLOOKUP(V777, 'Price Sheet'!$A$2:$B1015, 2, false))</f>
        <v>0</v>
      </c>
      <c r="AA777" s="33" t="str">
        <f t="shared" si="6"/>
        <v/>
      </c>
      <c r="AB777" s="37"/>
      <c r="AC777" s="29"/>
      <c r="AD777" s="29" t="b">
        <v>0</v>
      </c>
      <c r="AE777" s="22" t="str">
        <f t="shared" si="7"/>
        <v/>
      </c>
      <c r="AF777" s="7">
        <f>IF(ISBLANK(AB777), 0, VLOOKUP(AB777, 'Price Sheet'!$A$2:$B1015, 2, false))</f>
        <v>0</v>
      </c>
      <c r="AG777" s="33" t="str">
        <f t="shared" si="8"/>
        <v/>
      </c>
      <c r="AH777" s="37"/>
      <c r="AI777" s="29"/>
      <c r="AJ777" s="29" t="b">
        <v>0</v>
      </c>
      <c r="AK777" s="22" t="str">
        <f t="shared" si="9"/>
        <v/>
      </c>
      <c r="AL777" s="7">
        <f>IF(ISBLANK(AH777), 0, VLOOKUP(AH777, 'Price Sheet'!$A$2:$B1015, 2, false))</f>
        <v>0</v>
      </c>
      <c r="AM777" s="33" t="str">
        <f t="shared" si="10"/>
        <v/>
      </c>
      <c r="AN777" s="37"/>
      <c r="AO777" s="29"/>
      <c r="AP777" s="29" t="b">
        <v>0</v>
      </c>
      <c r="AQ777" s="22" t="str">
        <f t="shared" si="11"/>
        <v/>
      </c>
      <c r="AR777" s="7">
        <f>IF(ISBLANK(AN777), 0, VLOOKUP(AN777, 'Price Sheet'!$A$2:$B1015, 2, false))</f>
        <v>0</v>
      </c>
      <c r="AS777" s="33" t="str">
        <f t="shared" si="12"/>
        <v/>
      </c>
      <c r="AT777" s="37"/>
      <c r="AU777" s="29"/>
      <c r="AV777" s="29" t="b">
        <v>0</v>
      </c>
      <c r="AW777" s="22" t="str">
        <f t="shared" si="13"/>
        <v/>
      </c>
      <c r="AX777" s="7">
        <f>IF(ISBLANK(AT777), 0, VLOOKUP(AT777, 'Price Sheet'!$A$2:$B1015, 2, false))</f>
        <v>0</v>
      </c>
      <c r="AY777" s="33" t="str">
        <f t="shared" si="14"/>
        <v/>
      </c>
      <c r="AZ777" s="37"/>
      <c r="BA777" s="29"/>
      <c r="BB777" s="29" t="b">
        <v>0</v>
      </c>
      <c r="BC777" s="22" t="str">
        <f t="shared" si="15"/>
        <v/>
      </c>
      <c r="BD777" s="7">
        <f>IF(ISBLANK(AZ777), 0, VLOOKUP(AZ777, 'Price Sheet'!$A$2:$B1015, 2, false))</f>
        <v>0</v>
      </c>
      <c r="BE777" s="33" t="str">
        <f t="shared" si="16"/>
        <v/>
      </c>
      <c r="BF777" s="37"/>
      <c r="BG777" s="29"/>
      <c r="BH777" s="29" t="b">
        <v>0</v>
      </c>
      <c r="BI777" s="22" t="str">
        <f t="shared" si="17"/>
        <v/>
      </c>
      <c r="BJ777" s="7">
        <f>IF(ISBLANK(BF777), 0, VLOOKUP(BF777, 'Price Sheet'!$A$2:$B1015, 2, false))</f>
        <v>0</v>
      </c>
      <c r="BK777" s="33" t="str">
        <f t="shared" si="18"/>
        <v/>
      </c>
      <c r="BL777" s="37"/>
      <c r="BM777" s="29"/>
      <c r="BN777" s="29" t="b">
        <v>0</v>
      </c>
      <c r="BO777" s="22" t="str">
        <f t="shared" si="19"/>
        <v/>
      </c>
      <c r="BP777" s="7">
        <f>IF(ISBLANK(BL777), 0, VLOOKUP(BL777, 'Price Sheet'!$A$2:$B1015, 2, false))</f>
        <v>0</v>
      </c>
      <c r="BQ777" s="33" t="str">
        <f t="shared" si="20"/>
        <v/>
      </c>
    </row>
    <row r="778">
      <c r="B778" s="19"/>
      <c r="C778" s="29"/>
      <c r="D778" s="29"/>
      <c r="E778" s="7" t="str">
        <f>IF(ISBLANK(D778), "", VLOOKUP(D778,'Crafting Tables'!$A$2:$B1015, 2, false))</f>
        <v/>
      </c>
      <c r="F778" s="7" t="str">
        <f>IFERROR(IF(E778 = "None", 1, VLOOKUP(C778,General!$A$5:$L$35, SWITCH(E778, "Basic", 8, "Advanced", 10, "Modern", 12), false)),"")</f>
        <v/>
      </c>
      <c r="G778" s="29"/>
      <c r="H778" s="7">
        <f>IFERROR(VLOOKUP(C778, General!$A$5:$L$35, 6, false) * G778 / 1000, 0)</f>
        <v>0</v>
      </c>
      <c r="I778" s="29"/>
      <c r="J778" s="22" t="str">
        <f>IFERROR(I778*VLOOKUP(D778,'Crafting Tables'!$1:$1000, 4, false)*F778,"")</f>
        <v/>
      </c>
      <c r="K778" s="29" t="b">
        <v>0</v>
      </c>
      <c r="L778" s="37"/>
      <c r="M778" s="29"/>
      <c r="N778" s="21" t="str">
        <f t="shared" si="2"/>
        <v/>
      </c>
      <c r="P778" s="37"/>
      <c r="Q778" s="29"/>
      <c r="R778" s="29" t="b">
        <v>0</v>
      </c>
      <c r="S778" s="22" t="str">
        <f t="shared" si="3"/>
        <v/>
      </c>
      <c r="T778" s="7">
        <f>IF(ISBLANK(P778), 0, VLOOKUP(P778, 'Price Sheet'!$A$2:$B1015, 2, false))</f>
        <v>0</v>
      </c>
      <c r="U778" s="33" t="str">
        <f t="shared" si="4"/>
        <v/>
      </c>
      <c r="V778" s="37"/>
      <c r="W778" s="29"/>
      <c r="X778" s="29" t="b">
        <v>0</v>
      </c>
      <c r="Y778" s="22" t="str">
        <f t="shared" si="5"/>
        <v/>
      </c>
      <c r="Z778" s="7">
        <f>IF(ISBLANK(V778), 0, VLOOKUP(V778, 'Price Sheet'!$A$2:$B1015, 2, false))</f>
        <v>0</v>
      </c>
      <c r="AA778" s="33" t="str">
        <f t="shared" si="6"/>
        <v/>
      </c>
      <c r="AB778" s="37"/>
      <c r="AC778" s="29"/>
      <c r="AD778" s="29" t="b">
        <v>0</v>
      </c>
      <c r="AE778" s="22" t="str">
        <f t="shared" si="7"/>
        <v/>
      </c>
      <c r="AF778" s="7">
        <f>IF(ISBLANK(AB778), 0, VLOOKUP(AB778, 'Price Sheet'!$A$2:$B1015, 2, false))</f>
        <v>0</v>
      </c>
      <c r="AG778" s="33" t="str">
        <f t="shared" si="8"/>
        <v/>
      </c>
      <c r="AH778" s="37"/>
      <c r="AI778" s="29"/>
      <c r="AJ778" s="29" t="b">
        <v>0</v>
      </c>
      <c r="AK778" s="22" t="str">
        <f t="shared" si="9"/>
        <v/>
      </c>
      <c r="AL778" s="7">
        <f>IF(ISBLANK(AH778), 0, VLOOKUP(AH778, 'Price Sheet'!$A$2:$B1015, 2, false))</f>
        <v>0</v>
      </c>
      <c r="AM778" s="33" t="str">
        <f t="shared" si="10"/>
        <v/>
      </c>
      <c r="AN778" s="37"/>
      <c r="AO778" s="29"/>
      <c r="AP778" s="29" t="b">
        <v>0</v>
      </c>
      <c r="AQ778" s="22" t="str">
        <f t="shared" si="11"/>
        <v/>
      </c>
      <c r="AR778" s="7">
        <f>IF(ISBLANK(AN778), 0, VLOOKUP(AN778, 'Price Sheet'!$A$2:$B1015, 2, false))</f>
        <v>0</v>
      </c>
      <c r="AS778" s="33" t="str">
        <f t="shared" si="12"/>
        <v/>
      </c>
      <c r="AT778" s="37"/>
      <c r="AU778" s="29"/>
      <c r="AV778" s="29" t="b">
        <v>0</v>
      </c>
      <c r="AW778" s="22" t="str">
        <f t="shared" si="13"/>
        <v/>
      </c>
      <c r="AX778" s="7">
        <f>IF(ISBLANK(AT778), 0, VLOOKUP(AT778, 'Price Sheet'!$A$2:$B1015, 2, false))</f>
        <v>0</v>
      </c>
      <c r="AY778" s="33" t="str">
        <f t="shared" si="14"/>
        <v/>
      </c>
      <c r="AZ778" s="37"/>
      <c r="BA778" s="29"/>
      <c r="BB778" s="29" t="b">
        <v>0</v>
      </c>
      <c r="BC778" s="22" t="str">
        <f t="shared" si="15"/>
        <v/>
      </c>
      <c r="BD778" s="7">
        <f>IF(ISBLANK(AZ778), 0, VLOOKUP(AZ778, 'Price Sheet'!$A$2:$B1015, 2, false))</f>
        <v>0</v>
      </c>
      <c r="BE778" s="33" t="str">
        <f t="shared" si="16"/>
        <v/>
      </c>
      <c r="BF778" s="37"/>
      <c r="BG778" s="29"/>
      <c r="BH778" s="29" t="b">
        <v>0</v>
      </c>
      <c r="BI778" s="22" t="str">
        <f t="shared" si="17"/>
        <v/>
      </c>
      <c r="BJ778" s="7">
        <f>IF(ISBLANK(BF778), 0, VLOOKUP(BF778, 'Price Sheet'!$A$2:$B1015, 2, false))</f>
        <v>0</v>
      </c>
      <c r="BK778" s="33" t="str">
        <f t="shared" si="18"/>
        <v/>
      </c>
      <c r="BL778" s="37"/>
      <c r="BM778" s="29"/>
      <c r="BN778" s="29" t="b">
        <v>0</v>
      </c>
      <c r="BO778" s="22" t="str">
        <f t="shared" si="19"/>
        <v/>
      </c>
      <c r="BP778" s="7">
        <f>IF(ISBLANK(BL778), 0, VLOOKUP(BL778, 'Price Sheet'!$A$2:$B1015, 2, false))</f>
        <v>0</v>
      </c>
      <c r="BQ778" s="33" t="str">
        <f t="shared" si="20"/>
        <v/>
      </c>
    </row>
    <row r="779">
      <c r="B779" s="19"/>
      <c r="C779" s="29"/>
      <c r="D779" s="29"/>
      <c r="E779" s="7" t="str">
        <f>IF(ISBLANK(D779), "", VLOOKUP(D779,'Crafting Tables'!$A$2:$B1015, 2, false))</f>
        <v/>
      </c>
      <c r="F779" s="7" t="str">
        <f>IFERROR(IF(E779 = "None", 1, VLOOKUP(C779,General!$A$5:$L$35, SWITCH(E779, "Basic", 8, "Advanced", 10, "Modern", 12), false)),"")</f>
        <v/>
      </c>
      <c r="G779" s="29"/>
      <c r="H779" s="7">
        <f>IFERROR(VLOOKUP(C779, General!$A$5:$L$35, 6, false) * G779 / 1000, 0)</f>
        <v>0</v>
      </c>
      <c r="I779" s="29"/>
      <c r="J779" s="22" t="str">
        <f>IFERROR(I779*VLOOKUP(D779,'Crafting Tables'!$1:$1000, 4, false)*F779,"")</f>
        <v/>
      </c>
      <c r="K779" s="29" t="b">
        <v>0</v>
      </c>
      <c r="L779" s="37"/>
      <c r="M779" s="29"/>
      <c r="N779" s="21" t="str">
        <f t="shared" si="2"/>
        <v/>
      </c>
      <c r="P779" s="37"/>
      <c r="Q779" s="29"/>
      <c r="R779" s="29" t="b">
        <v>0</v>
      </c>
      <c r="S779" s="22" t="str">
        <f t="shared" si="3"/>
        <v/>
      </c>
      <c r="T779" s="7">
        <f>IF(ISBLANK(P779), 0, VLOOKUP(P779, 'Price Sheet'!$A$2:$B1015, 2, false))</f>
        <v>0</v>
      </c>
      <c r="U779" s="33" t="str">
        <f t="shared" si="4"/>
        <v/>
      </c>
      <c r="V779" s="37"/>
      <c r="W779" s="29"/>
      <c r="X779" s="29" t="b">
        <v>0</v>
      </c>
      <c r="Y779" s="22" t="str">
        <f t="shared" si="5"/>
        <v/>
      </c>
      <c r="Z779" s="7">
        <f>IF(ISBLANK(V779), 0, VLOOKUP(V779, 'Price Sheet'!$A$2:$B1015, 2, false))</f>
        <v>0</v>
      </c>
      <c r="AA779" s="33" t="str">
        <f t="shared" si="6"/>
        <v/>
      </c>
      <c r="AB779" s="37"/>
      <c r="AC779" s="29"/>
      <c r="AD779" s="29" t="b">
        <v>0</v>
      </c>
      <c r="AE779" s="22" t="str">
        <f t="shared" si="7"/>
        <v/>
      </c>
      <c r="AF779" s="7">
        <f>IF(ISBLANK(AB779), 0, VLOOKUP(AB779, 'Price Sheet'!$A$2:$B1015, 2, false))</f>
        <v>0</v>
      </c>
      <c r="AG779" s="33" t="str">
        <f t="shared" si="8"/>
        <v/>
      </c>
      <c r="AH779" s="37"/>
      <c r="AI779" s="29"/>
      <c r="AJ779" s="29" t="b">
        <v>0</v>
      </c>
      <c r="AK779" s="22" t="str">
        <f t="shared" si="9"/>
        <v/>
      </c>
      <c r="AL779" s="7">
        <f>IF(ISBLANK(AH779), 0, VLOOKUP(AH779, 'Price Sheet'!$A$2:$B1015, 2, false))</f>
        <v>0</v>
      </c>
      <c r="AM779" s="33" t="str">
        <f t="shared" si="10"/>
        <v/>
      </c>
      <c r="AN779" s="37"/>
      <c r="AO779" s="29"/>
      <c r="AP779" s="29" t="b">
        <v>0</v>
      </c>
      <c r="AQ779" s="22" t="str">
        <f t="shared" si="11"/>
        <v/>
      </c>
      <c r="AR779" s="7">
        <f>IF(ISBLANK(AN779), 0, VLOOKUP(AN779, 'Price Sheet'!$A$2:$B1015, 2, false))</f>
        <v>0</v>
      </c>
      <c r="AS779" s="33" t="str">
        <f t="shared" si="12"/>
        <v/>
      </c>
      <c r="AT779" s="37"/>
      <c r="AU779" s="29"/>
      <c r="AV779" s="29" t="b">
        <v>0</v>
      </c>
      <c r="AW779" s="22" t="str">
        <f t="shared" si="13"/>
        <v/>
      </c>
      <c r="AX779" s="7">
        <f>IF(ISBLANK(AT779), 0, VLOOKUP(AT779, 'Price Sheet'!$A$2:$B1015, 2, false))</f>
        <v>0</v>
      </c>
      <c r="AY779" s="33" t="str">
        <f t="shared" si="14"/>
        <v/>
      </c>
      <c r="AZ779" s="37"/>
      <c r="BA779" s="29"/>
      <c r="BB779" s="29" t="b">
        <v>0</v>
      </c>
      <c r="BC779" s="22" t="str">
        <f t="shared" si="15"/>
        <v/>
      </c>
      <c r="BD779" s="7">
        <f>IF(ISBLANK(AZ779), 0, VLOOKUP(AZ779, 'Price Sheet'!$A$2:$B1015, 2, false))</f>
        <v>0</v>
      </c>
      <c r="BE779" s="33" t="str">
        <f t="shared" si="16"/>
        <v/>
      </c>
      <c r="BF779" s="37"/>
      <c r="BG779" s="29"/>
      <c r="BH779" s="29" t="b">
        <v>0</v>
      </c>
      <c r="BI779" s="22" t="str">
        <f t="shared" si="17"/>
        <v/>
      </c>
      <c r="BJ779" s="7">
        <f>IF(ISBLANK(BF779), 0, VLOOKUP(BF779, 'Price Sheet'!$A$2:$B1015, 2, false))</f>
        <v>0</v>
      </c>
      <c r="BK779" s="33" t="str">
        <f t="shared" si="18"/>
        <v/>
      </c>
      <c r="BL779" s="37"/>
      <c r="BM779" s="29"/>
      <c r="BN779" s="29" t="b">
        <v>0</v>
      </c>
      <c r="BO779" s="22" t="str">
        <f t="shared" si="19"/>
        <v/>
      </c>
      <c r="BP779" s="7">
        <f>IF(ISBLANK(BL779), 0, VLOOKUP(BL779, 'Price Sheet'!$A$2:$B1015, 2, false))</f>
        <v>0</v>
      </c>
      <c r="BQ779" s="33" t="str">
        <f t="shared" si="20"/>
        <v/>
      </c>
    </row>
    <row r="780">
      <c r="B780" s="19"/>
      <c r="C780" s="29"/>
      <c r="D780" s="29"/>
      <c r="E780" s="7" t="str">
        <f>IF(ISBLANK(D780), "", VLOOKUP(D780,'Crafting Tables'!$A$2:$B1015, 2, false))</f>
        <v/>
      </c>
      <c r="F780" s="7" t="str">
        <f>IFERROR(IF(E780 = "None", 1, VLOOKUP(C780,General!$A$5:$L$35, SWITCH(E780, "Basic", 8, "Advanced", 10, "Modern", 12), false)),"")</f>
        <v/>
      </c>
      <c r="G780" s="29"/>
      <c r="H780" s="7">
        <f>IFERROR(VLOOKUP(C780, General!$A$5:$L$35, 6, false) * G780 / 1000, 0)</f>
        <v>0</v>
      </c>
      <c r="I780" s="29"/>
      <c r="J780" s="22" t="str">
        <f>IFERROR(I780*VLOOKUP(D780,'Crafting Tables'!$1:$1000, 4, false)*F780,"")</f>
        <v/>
      </c>
      <c r="K780" s="29" t="b">
        <v>0</v>
      </c>
      <c r="L780" s="37"/>
      <c r="M780" s="29"/>
      <c r="N780" s="21" t="str">
        <f t="shared" si="2"/>
        <v/>
      </c>
      <c r="P780" s="37"/>
      <c r="Q780" s="29"/>
      <c r="R780" s="29" t="b">
        <v>0</v>
      </c>
      <c r="S780" s="22" t="str">
        <f t="shared" si="3"/>
        <v/>
      </c>
      <c r="T780" s="7">
        <f>IF(ISBLANK(P780), 0, VLOOKUP(P780, 'Price Sheet'!$A$2:$B1015, 2, false))</f>
        <v>0</v>
      </c>
      <c r="U780" s="33" t="str">
        <f t="shared" si="4"/>
        <v/>
      </c>
      <c r="V780" s="37"/>
      <c r="W780" s="29"/>
      <c r="X780" s="29" t="b">
        <v>0</v>
      </c>
      <c r="Y780" s="22" t="str">
        <f t="shared" si="5"/>
        <v/>
      </c>
      <c r="Z780" s="7">
        <f>IF(ISBLANK(V780), 0, VLOOKUP(V780, 'Price Sheet'!$A$2:$B1015, 2, false))</f>
        <v>0</v>
      </c>
      <c r="AA780" s="33" t="str">
        <f t="shared" si="6"/>
        <v/>
      </c>
      <c r="AB780" s="37"/>
      <c r="AC780" s="29"/>
      <c r="AD780" s="29" t="b">
        <v>0</v>
      </c>
      <c r="AE780" s="22" t="str">
        <f t="shared" si="7"/>
        <v/>
      </c>
      <c r="AF780" s="7">
        <f>IF(ISBLANK(AB780), 0, VLOOKUP(AB780, 'Price Sheet'!$A$2:$B1015, 2, false))</f>
        <v>0</v>
      </c>
      <c r="AG780" s="33" t="str">
        <f t="shared" si="8"/>
        <v/>
      </c>
      <c r="AH780" s="37"/>
      <c r="AI780" s="29"/>
      <c r="AJ780" s="29" t="b">
        <v>0</v>
      </c>
      <c r="AK780" s="22" t="str">
        <f t="shared" si="9"/>
        <v/>
      </c>
      <c r="AL780" s="7">
        <f>IF(ISBLANK(AH780), 0, VLOOKUP(AH780, 'Price Sheet'!$A$2:$B1015, 2, false))</f>
        <v>0</v>
      </c>
      <c r="AM780" s="33" t="str">
        <f t="shared" si="10"/>
        <v/>
      </c>
      <c r="AN780" s="37"/>
      <c r="AO780" s="29"/>
      <c r="AP780" s="29" t="b">
        <v>0</v>
      </c>
      <c r="AQ780" s="22" t="str">
        <f t="shared" si="11"/>
        <v/>
      </c>
      <c r="AR780" s="7">
        <f>IF(ISBLANK(AN780), 0, VLOOKUP(AN780, 'Price Sheet'!$A$2:$B1015, 2, false))</f>
        <v>0</v>
      </c>
      <c r="AS780" s="33" t="str">
        <f t="shared" si="12"/>
        <v/>
      </c>
      <c r="AT780" s="37"/>
      <c r="AU780" s="29"/>
      <c r="AV780" s="29" t="b">
        <v>0</v>
      </c>
      <c r="AW780" s="22" t="str">
        <f t="shared" si="13"/>
        <v/>
      </c>
      <c r="AX780" s="7">
        <f>IF(ISBLANK(AT780), 0, VLOOKUP(AT780, 'Price Sheet'!$A$2:$B1015, 2, false))</f>
        <v>0</v>
      </c>
      <c r="AY780" s="33" t="str">
        <f t="shared" si="14"/>
        <v/>
      </c>
      <c r="AZ780" s="37"/>
      <c r="BA780" s="29"/>
      <c r="BB780" s="29" t="b">
        <v>0</v>
      </c>
      <c r="BC780" s="22" t="str">
        <f t="shared" si="15"/>
        <v/>
      </c>
      <c r="BD780" s="7">
        <f>IF(ISBLANK(AZ780), 0, VLOOKUP(AZ780, 'Price Sheet'!$A$2:$B1015, 2, false))</f>
        <v>0</v>
      </c>
      <c r="BE780" s="33" t="str">
        <f t="shared" si="16"/>
        <v/>
      </c>
      <c r="BF780" s="37"/>
      <c r="BG780" s="29"/>
      <c r="BH780" s="29" t="b">
        <v>0</v>
      </c>
      <c r="BI780" s="22" t="str">
        <f t="shared" si="17"/>
        <v/>
      </c>
      <c r="BJ780" s="7">
        <f>IF(ISBLANK(BF780), 0, VLOOKUP(BF780, 'Price Sheet'!$A$2:$B1015, 2, false))</f>
        <v>0</v>
      </c>
      <c r="BK780" s="33" t="str">
        <f t="shared" si="18"/>
        <v/>
      </c>
      <c r="BL780" s="37"/>
      <c r="BM780" s="29"/>
      <c r="BN780" s="29" t="b">
        <v>0</v>
      </c>
      <c r="BO780" s="22" t="str">
        <f t="shared" si="19"/>
        <v/>
      </c>
      <c r="BP780" s="7">
        <f>IF(ISBLANK(BL780), 0, VLOOKUP(BL780, 'Price Sheet'!$A$2:$B1015, 2, false))</f>
        <v>0</v>
      </c>
      <c r="BQ780" s="33" t="str">
        <f t="shared" si="20"/>
        <v/>
      </c>
    </row>
    <row r="781">
      <c r="B781" s="19"/>
      <c r="C781" s="29"/>
      <c r="D781" s="29"/>
      <c r="E781" s="7" t="str">
        <f>IF(ISBLANK(D781), "", VLOOKUP(D781,'Crafting Tables'!$A$2:$B1015, 2, false))</f>
        <v/>
      </c>
      <c r="F781" s="7" t="str">
        <f>IFERROR(IF(E781 = "None", 1, VLOOKUP(C781,General!$A$5:$L$35, SWITCH(E781, "Basic", 8, "Advanced", 10, "Modern", 12), false)),"")</f>
        <v/>
      </c>
      <c r="G781" s="29"/>
      <c r="H781" s="7">
        <f>IFERROR(VLOOKUP(C781, General!$A$5:$L$35, 6, false) * G781 / 1000, 0)</f>
        <v>0</v>
      </c>
      <c r="I781" s="29"/>
      <c r="J781" s="22" t="str">
        <f>IFERROR(I781*VLOOKUP(D781,'Crafting Tables'!$1:$1000, 4, false)*F781,"")</f>
        <v/>
      </c>
      <c r="K781" s="29" t="b">
        <v>0</v>
      </c>
      <c r="L781" s="37"/>
      <c r="M781" s="29"/>
      <c r="N781" s="21" t="str">
        <f t="shared" si="2"/>
        <v/>
      </c>
      <c r="P781" s="37"/>
      <c r="Q781" s="29"/>
      <c r="R781" s="29" t="b">
        <v>0</v>
      </c>
      <c r="S781" s="22" t="str">
        <f t="shared" si="3"/>
        <v/>
      </c>
      <c r="T781" s="7">
        <f>IF(ISBLANK(P781), 0, VLOOKUP(P781, 'Price Sheet'!$A$2:$B1015, 2, false))</f>
        <v>0</v>
      </c>
      <c r="U781" s="33" t="str">
        <f t="shared" si="4"/>
        <v/>
      </c>
      <c r="V781" s="37"/>
      <c r="W781" s="29"/>
      <c r="X781" s="29" t="b">
        <v>0</v>
      </c>
      <c r="Y781" s="22" t="str">
        <f t="shared" si="5"/>
        <v/>
      </c>
      <c r="Z781" s="7">
        <f>IF(ISBLANK(V781), 0, VLOOKUP(V781, 'Price Sheet'!$A$2:$B1015, 2, false))</f>
        <v>0</v>
      </c>
      <c r="AA781" s="33" t="str">
        <f t="shared" si="6"/>
        <v/>
      </c>
      <c r="AB781" s="37"/>
      <c r="AC781" s="29"/>
      <c r="AD781" s="29" t="b">
        <v>0</v>
      </c>
      <c r="AE781" s="22" t="str">
        <f t="shared" si="7"/>
        <v/>
      </c>
      <c r="AF781" s="7">
        <f>IF(ISBLANK(AB781), 0, VLOOKUP(AB781, 'Price Sheet'!$A$2:$B1015, 2, false))</f>
        <v>0</v>
      </c>
      <c r="AG781" s="33" t="str">
        <f t="shared" si="8"/>
        <v/>
      </c>
      <c r="AH781" s="37"/>
      <c r="AI781" s="29"/>
      <c r="AJ781" s="29" t="b">
        <v>0</v>
      </c>
      <c r="AK781" s="22" t="str">
        <f t="shared" si="9"/>
        <v/>
      </c>
      <c r="AL781" s="7">
        <f>IF(ISBLANK(AH781), 0, VLOOKUP(AH781, 'Price Sheet'!$A$2:$B1015, 2, false))</f>
        <v>0</v>
      </c>
      <c r="AM781" s="33" t="str">
        <f t="shared" si="10"/>
        <v/>
      </c>
      <c r="AN781" s="37"/>
      <c r="AO781" s="29"/>
      <c r="AP781" s="29" t="b">
        <v>0</v>
      </c>
      <c r="AQ781" s="22" t="str">
        <f t="shared" si="11"/>
        <v/>
      </c>
      <c r="AR781" s="7">
        <f>IF(ISBLANK(AN781), 0, VLOOKUP(AN781, 'Price Sheet'!$A$2:$B1015, 2, false))</f>
        <v>0</v>
      </c>
      <c r="AS781" s="33" t="str">
        <f t="shared" si="12"/>
        <v/>
      </c>
      <c r="AT781" s="37"/>
      <c r="AU781" s="29"/>
      <c r="AV781" s="29" t="b">
        <v>0</v>
      </c>
      <c r="AW781" s="22" t="str">
        <f t="shared" si="13"/>
        <v/>
      </c>
      <c r="AX781" s="7">
        <f>IF(ISBLANK(AT781), 0, VLOOKUP(AT781, 'Price Sheet'!$A$2:$B1015, 2, false))</f>
        <v>0</v>
      </c>
      <c r="AY781" s="33" t="str">
        <f t="shared" si="14"/>
        <v/>
      </c>
      <c r="AZ781" s="37"/>
      <c r="BA781" s="29"/>
      <c r="BB781" s="29" t="b">
        <v>0</v>
      </c>
      <c r="BC781" s="22" t="str">
        <f t="shared" si="15"/>
        <v/>
      </c>
      <c r="BD781" s="7">
        <f>IF(ISBLANK(AZ781), 0, VLOOKUP(AZ781, 'Price Sheet'!$A$2:$B1015, 2, false))</f>
        <v>0</v>
      </c>
      <c r="BE781" s="33" t="str">
        <f t="shared" si="16"/>
        <v/>
      </c>
      <c r="BF781" s="37"/>
      <c r="BG781" s="29"/>
      <c r="BH781" s="29" t="b">
        <v>0</v>
      </c>
      <c r="BI781" s="22" t="str">
        <f t="shared" si="17"/>
        <v/>
      </c>
      <c r="BJ781" s="7">
        <f>IF(ISBLANK(BF781), 0, VLOOKUP(BF781, 'Price Sheet'!$A$2:$B1015, 2, false))</f>
        <v>0</v>
      </c>
      <c r="BK781" s="33" t="str">
        <f t="shared" si="18"/>
        <v/>
      </c>
      <c r="BL781" s="37"/>
      <c r="BM781" s="29"/>
      <c r="BN781" s="29" t="b">
        <v>0</v>
      </c>
      <c r="BO781" s="22" t="str">
        <f t="shared" si="19"/>
        <v/>
      </c>
      <c r="BP781" s="7">
        <f>IF(ISBLANK(BL781), 0, VLOOKUP(BL781, 'Price Sheet'!$A$2:$B1015, 2, false))</f>
        <v>0</v>
      </c>
      <c r="BQ781" s="33" t="str">
        <f t="shared" si="20"/>
        <v/>
      </c>
    </row>
    <row r="782">
      <c r="B782" s="19"/>
      <c r="C782" s="29"/>
      <c r="D782" s="29"/>
      <c r="E782" s="7" t="str">
        <f>IF(ISBLANK(D782), "", VLOOKUP(D782,'Crafting Tables'!$A$2:$B1015, 2, false))</f>
        <v/>
      </c>
      <c r="F782" s="7" t="str">
        <f>IFERROR(IF(E782 = "None", 1, VLOOKUP(C782,General!$A$5:$L$35, SWITCH(E782, "Basic", 8, "Advanced", 10, "Modern", 12), false)),"")</f>
        <v/>
      </c>
      <c r="G782" s="29"/>
      <c r="H782" s="7">
        <f>IFERROR(VLOOKUP(C782, General!$A$5:$L$35, 6, false) * G782 / 1000, 0)</f>
        <v>0</v>
      </c>
      <c r="I782" s="29"/>
      <c r="J782" s="22" t="str">
        <f>IFERROR(I782*VLOOKUP(D782,'Crafting Tables'!$1:$1000, 4, false)*F782,"")</f>
        <v/>
      </c>
      <c r="K782" s="29" t="b">
        <v>0</v>
      </c>
      <c r="L782" s="37"/>
      <c r="M782" s="29"/>
      <c r="N782" s="21" t="str">
        <f t="shared" si="2"/>
        <v/>
      </c>
      <c r="P782" s="37"/>
      <c r="Q782" s="29"/>
      <c r="R782" s="29" t="b">
        <v>0</v>
      </c>
      <c r="S782" s="22" t="str">
        <f t="shared" si="3"/>
        <v/>
      </c>
      <c r="T782" s="7">
        <f>IF(ISBLANK(P782), 0, VLOOKUP(P782, 'Price Sheet'!$A$2:$B1015, 2, false))</f>
        <v>0</v>
      </c>
      <c r="U782" s="33" t="str">
        <f t="shared" si="4"/>
        <v/>
      </c>
      <c r="V782" s="37"/>
      <c r="W782" s="29"/>
      <c r="X782" s="29" t="b">
        <v>0</v>
      </c>
      <c r="Y782" s="22" t="str">
        <f t="shared" si="5"/>
        <v/>
      </c>
      <c r="Z782" s="7">
        <f>IF(ISBLANK(V782), 0, VLOOKUP(V782, 'Price Sheet'!$A$2:$B1015, 2, false))</f>
        <v>0</v>
      </c>
      <c r="AA782" s="33" t="str">
        <f t="shared" si="6"/>
        <v/>
      </c>
      <c r="AB782" s="37"/>
      <c r="AC782" s="29"/>
      <c r="AD782" s="29" t="b">
        <v>0</v>
      </c>
      <c r="AE782" s="22" t="str">
        <f t="shared" si="7"/>
        <v/>
      </c>
      <c r="AF782" s="7">
        <f>IF(ISBLANK(AB782), 0, VLOOKUP(AB782, 'Price Sheet'!$A$2:$B1015, 2, false))</f>
        <v>0</v>
      </c>
      <c r="AG782" s="33" t="str">
        <f t="shared" si="8"/>
        <v/>
      </c>
      <c r="AH782" s="37"/>
      <c r="AI782" s="29"/>
      <c r="AJ782" s="29" t="b">
        <v>0</v>
      </c>
      <c r="AK782" s="22" t="str">
        <f t="shared" si="9"/>
        <v/>
      </c>
      <c r="AL782" s="7">
        <f>IF(ISBLANK(AH782), 0, VLOOKUP(AH782, 'Price Sheet'!$A$2:$B1015, 2, false))</f>
        <v>0</v>
      </c>
      <c r="AM782" s="33" t="str">
        <f t="shared" si="10"/>
        <v/>
      </c>
      <c r="AN782" s="37"/>
      <c r="AO782" s="29"/>
      <c r="AP782" s="29" t="b">
        <v>0</v>
      </c>
      <c r="AQ782" s="22" t="str">
        <f t="shared" si="11"/>
        <v/>
      </c>
      <c r="AR782" s="7">
        <f>IF(ISBLANK(AN782), 0, VLOOKUP(AN782, 'Price Sheet'!$A$2:$B1015, 2, false))</f>
        <v>0</v>
      </c>
      <c r="AS782" s="33" t="str">
        <f t="shared" si="12"/>
        <v/>
      </c>
      <c r="AT782" s="37"/>
      <c r="AU782" s="29"/>
      <c r="AV782" s="29" t="b">
        <v>0</v>
      </c>
      <c r="AW782" s="22" t="str">
        <f t="shared" si="13"/>
        <v/>
      </c>
      <c r="AX782" s="7">
        <f>IF(ISBLANK(AT782), 0, VLOOKUP(AT782, 'Price Sheet'!$A$2:$B1015, 2, false))</f>
        <v>0</v>
      </c>
      <c r="AY782" s="33" t="str">
        <f t="shared" si="14"/>
        <v/>
      </c>
      <c r="AZ782" s="37"/>
      <c r="BA782" s="29"/>
      <c r="BB782" s="29" t="b">
        <v>0</v>
      </c>
      <c r="BC782" s="22" t="str">
        <f t="shared" si="15"/>
        <v/>
      </c>
      <c r="BD782" s="7">
        <f>IF(ISBLANK(AZ782), 0, VLOOKUP(AZ782, 'Price Sheet'!$A$2:$B1015, 2, false))</f>
        <v>0</v>
      </c>
      <c r="BE782" s="33" t="str">
        <f t="shared" si="16"/>
        <v/>
      </c>
      <c r="BF782" s="37"/>
      <c r="BG782" s="29"/>
      <c r="BH782" s="29" t="b">
        <v>0</v>
      </c>
      <c r="BI782" s="22" t="str">
        <f t="shared" si="17"/>
        <v/>
      </c>
      <c r="BJ782" s="7">
        <f>IF(ISBLANK(BF782), 0, VLOOKUP(BF782, 'Price Sheet'!$A$2:$B1015, 2, false))</f>
        <v>0</v>
      </c>
      <c r="BK782" s="33" t="str">
        <f t="shared" si="18"/>
        <v/>
      </c>
      <c r="BL782" s="37"/>
      <c r="BM782" s="29"/>
      <c r="BN782" s="29" t="b">
        <v>0</v>
      </c>
      <c r="BO782" s="22" t="str">
        <f t="shared" si="19"/>
        <v/>
      </c>
      <c r="BP782" s="7">
        <f>IF(ISBLANK(BL782), 0, VLOOKUP(BL782, 'Price Sheet'!$A$2:$B1015, 2, false))</f>
        <v>0</v>
      </c>
      <c r="BQ782" s="33" t="str">
        <f t="shared" si="20"/>
        <v/>
      </c>
    </row>
    <row r="783">
      <c r="B783" s="19"/>
      <c r="C783" s="29"/>
      <c r="D783" s="29"/>
      <c r="E783" s="7" t="str">
        <f>IF(ISBLANK(D783), "", VLOOKUP(D783,'Crafting Tables'!$A$2:$B1015, 2, false))</f>
        <v/>
      </c>
      <c r="F783" s="7" t="str">
        <f>IFERROR(IF(E783 = "None", 1, VLOOKUP(C783,General!$A$5:$L$35, SWITCH(E783, "Basic", 8, "Advanced", 10, "Modern", 12), false)),"")</f>
        <v/>
      </c>
      <c r="G783" s="29"/>
      <c r="H783" s="7">
        <f>IFERROR(VLOOKUP(C783, General!$A$5:$L$35, 6, false) * G783 / 1000, 0)</f>
        <v>0</v>
      </c>
      <c r="I783" s="29"/>
      <c r="J783" s="22" t="str">
        <f>IFERROR(I783*VLOOKUP(D783,'Crafting Tables'!$1:$1000, 4, false)*F783,"")</f>
        <v/>
      </c>
      <c r="K783" s="29" t="b">
        <v>0</v>
      </c>
      <c r="L783" s="37"/>
      <c r="M783" s="29"/>
      <c r="N783" s="21" t="str">
        <f t="shared" si="2"/>
        <v/>
      </c>
      <c r="P783" s="37"/>
      <c r="Q783" s="29"/>
      <c r="R783" s="29" t="b">
        <v>0</v>
      </c>
      <c r="S783" s="22" t="str">
        <f t="shared" si="3"/>
        <v/>
      </c>
      <c r="T783" s="7">
        <f>IF(ISBLANK(P783), 0, VLOOKUP(P783, 'Price Sheet'!$A$2:$B1015, 2, false))</f>
        <v>0</v>
      </c>
      <c r="U783" s="33" t="str">
        <f t="shared" si="4"/>
        <v/>
      </c>
      <c r="V783" s="37"/>
      <c r="W783" s="29"/>
      <c r="X783" s="29" t="b">
        <v>0</v>
      </c>
      <c r="Y783" s="22" t="str">
        <f t="shared" si="5"/>
        <v/>
      </c>
      <c r="Z783" s="7">
        <f>IF(ISBLANK(V783), 0, VLOOKUP(V783, 'Price Sheet'!$A$2:$B1015, 2, false))</f>
        <v>0</v>
      </c>
      <c r="AA783" s="33" t="str">
        <f t="shared" si="6"/>
        <v/>
      </c>
      <c r="AB783" s="37"/>
      <c r="AC783" s="29"/>
      <c r="AD783" s="29" t="b">
        <v>0</v>
      </c>
      <c r="AE783" s="22" t="str">
        <f t="shared" si="7"/>
        <v/>
      </c>
      <c r="AF783" s="7">
        <f>IF(ISBLANK(AB783), 0, VLOOKUP(AB783, 'Price Sheet'!$A$2:$B1015, 2, false))</f>
        <v>0</v>
      </c>
      <c r="AG783" s="33" t="str">
        <f t="shared" si="8"/>
        <v/>
      </c>
      <c r="AH783" s="37"/>
      <c r="AI783" s="29"/>
      <c r="AJ783" s="29" t="b">
        <v>0</v>
      </c>
      <c r="AK783" s="22" t="str">
        <f t="shared" si="9"/>
        <v/>
      </c>
      <c r="AL783" s="7">
        <f>IF(ISBLANK(AH783), 0, VLOOKUP(AH783, 'Price Sheet'!$A$2:$B1015, 2, false))</f>
        <v>0</v>
      </c>
      <c r="AM783" s="33" t="str">
        <f t="shared" si="10"/>
        <v/>
      </c>
      <c r="AN783" s="37"/>
      <c r="AO783" s="29"/>
      <c r="AP783" s="29" t="b">
        <v>0</v>
      </c>
      <c r="AQ783" s="22" t="str">
        <f t="shared" si="11"/>
        <v/>
      </c>
      <c r="AR783" s="7">
        <f>IF(ISBLANK(AN783), 0, VLOOKUP(AN783, 'Price Sheet'!$A$2:$B1015, 2, false))</f>
        <v>0</v>
      </c>
      <c r="AS783" s="33" t="str">
        <f t="shared" si="12"/>
        <v/>
      </c>
      <c r="AT783" s="37"/>
      <c r="AU783" s="29"/>
      <c r="AV783" s="29" t="b">
        <v>0</v>
      </c>
      <c r="AW783" s="22" t="str">
        <f t="shared" si="13"/>
        <v/>
      </c>
      <c r="AX783" s="7">
        <f>IF(ISBLANK(AT783), 0, VLOOKUP(AT783, 'Price Sheet'!$A$2:$B1015, 2, false))</f>
        <v>0</v>
      </c>
      <c r="AY783" s="33" t="str">
        <f t="shared" si="14"/>
        <v/>
      </c>
      <c r="AZ783" s="37"/>
      <c r="BA783" s="29"/>
      <c r="BB783" s="29" t="b">
        <v>0</v>
      </c>
      <c r="BC783" s="22" t="str">
        <f t="shared" si="15"/>
        <v/>
      </c>
      <c r="BD783" s="7">
        <f>IF(ISBLANK(AZ783), 0, VLOOKUP(AZ783, 'Price Sheet'!$A$2:$B1015, 2, false))</f>
        <v>0</v>
      </c>
      <c r="BE783" s="33" t="str">
        <f t="shared" si="16"/>
        <v/>
      </c>
      <c r="BF783" s="37"/>
      <c r="BG783" s="29"/>
      <c r="BH783" s="29" t="b">
        <v>0</v>
      </c>
      <c r="BI783" s="22" t="str">
        <f t="shared" si="17"/>
        <v/>
      </c>
      <c r="BJ783" s="7">
        <f>IF(ISBLANK(BF783), 0, VLOOKUP(BF783, 'Price Sheet'!$A$2:$B1015, 2, false))</f>
        <v>0</v>
      </c>
      <c r="BK783" s="33" t="str">
        <f t="shared" si="18"/>
        <v/>
      </c>
      <c r="BL783" s="37"/>
      <c r="BM783" s="29"/>
      <c r="BN783" s="29" t="b">
        <v>0</v>
      </c>
      <c r="BO783" s="22" t="str">
        <f t="shared" si="19"/>
        <v/>
      </c>
      <c r="BP783" s="7">
        <f>IF(ISBLANK(BL783), 0, VLOOKUP(BL783, 'Price Sheet'!$A$2:$B1015, 2, false))</f>
        <v>0</v>
      </c>
      <c r="BQ783" s="33" t="str">
        <f t="shared" si="20"/>
        <v/>
      </c>
    </row>
    <row r="784">
      <c r="B784" s="19"/>
      <c r="C784" s="29"/>
      <c r="D784" s="29"/>
      <c r="E784" s="7" t="str">
        <f>IF(ISBLANK(D784), "", VLOOKUP(D784,'Crafting Tables'!$A$2:$B1015, 2, false))</f>
        <v/>
      </c>
      <c r="F784" s="7" t="str">
        <f>IFERROR(IF(E784 = "None", 1, VLOOKUP(C784,General!$A$5:$L$35, SWITCH(E784, "Basic", 8, "Advanced", 10, "Modern", 12), false)),"")</f>
        <v/>
      </c>
      <c r="G784" s="29"/>
      <c r="H784" s="7">
        <f>IFERROR(VLOOKUP(C784, General!$A$5:$L$35, 6, false) * G784 / 1000, 0)</f>
        <v>0</v>
      </c>
      <c r="I784" s="29"/>
      <c r="J784" s="22" t="str">
        <f>IFERROR(I784*VLOOKUP(D784,'Crafting Tables'!$1:$1000, 4, false)*F784,"")</f>
        <v/>
      </c>
      <c r="K784" s="29" t="b">
        <v>0</v>
      </c>
      <c r="L784" s="37"/>
      <c r="M784" s="29"/>
      <c r="N784" s="21" t="str">
        <f t="shared" si="2"/>
        <v/>
      </c>
      <c r="P784" s="37"/>
      <c r="Q784" s="29"/>
      <c r="R784" s="29" t="b">
        <v>0</v>
      </c>
      <c r="S784" s="22" t="str">
        <f t="shared" si="3"/>
        <v/>
      </c>
      <c r="T784" s="7">
        <f>IF(ISBLANK(P784), 0, VLOOKUP(P784, 'Price Sheet'!$A$2:$B1015, 2, false))</f>
        <v>0</v>
      </c>
      <c r="U784" s="33" t="str">
        <f t="shared" si="4"/>
        <v/>
      </c>
      <c r="V784" s="37"/>
      <c r="W784" s="29"/>
      <c r="X784" s="29" t="b">
        <v>0</v>
      </c>
      <c r="Y784" s="22" t="str">
        <f t="shared" si="5"/>
        <v/>
      </c>
      <c r="Z784" s="7">
        <f>IF(ISBLANK(V784), 0, VLOOKUP(V784, 'Price Sheet'!$A$2:$B1015, 2, false))</f>
        <v>0</v>
      </c>
      <c r="AA784" s="33" t="str">
        <f t="shared" si="6"/>
        <v/>
      </c>
      <c r="AB784" s="37"/>
      <c r="AC784" s="29"/>
      <c r="AD784" s="29" t="b">
        <v>0</v>
      </c>
      <c r="AE784" s="22" t="str">
        <f t="shared" si="7"/>
        <v/>
      </c>
      <c r="AF784" s="7">
        <f>IF(ISBLANK(AB784), 0, VLOOKUP(AB784, 'Price Sheet'!$A$2:$B1015, 2, false))</f>
        <v>0</v>
      </c>
      <c r="AG784" s="33" t="str">
        <f t="shared" si="8"/>
        <v/>
      </c>
      <c r="AH784" s="37"/>
      <c r="AI784" s="29"/>
      <c r="AJ784" s="29" t="b">
        <v>0</v>
      </c>
      <c r="AK784" s="22" t="str">
        <f t="shared" si="9"/>
        <v/>
      </c>
      <c r="AL784" s="7">
        <f>IF(ISBLANK(AH784), 0, VLOOKUP(AH784, 'Price Sheet'!$A$2:$B1015, 2, false))</f>
        <v>0</v>
      </c>
      <c r="AM784" s="33" t="str">
        <f t="shared" si="10"/>
        <v/>
      </c>
      <c r="AN784" s="37"/>
      <c r="AO784" s="29"/>
      <c r="AP784" s="29" t="b">
        <v>0</v>
      </c>
      <c r="AQ784" s="22" t="str">
        <f t="shared" si="11"/>
        <v/>
      </c>
      <c r="AR784" s="7">
        <f>IF(ISBLANK(AN784), 0, VLOOKUP(AN784, 'Price Sheet'!$A$2:$B1015, 2, false))</f>
        <v>0</v>
      </c>
      <c r="AS784" s="33" t="str">
        <f t="shared" si="12"/>
        <v/>
      </c>
      <c r="AT784" s="37"/>
      <c r="AU784" s="29"/>
      <c r="AV784" s="29" t="b">
        <v>0</v>
      </c>
      <c r="AW784" s="22" t="str">
        <f t="shared" si="13"/>
        <v/>
      </c>
      <c r="AX784" s="7">
        <f>IF(ISBLANK(AT784), 0, VLOOKUP(AT784, 'Price Sheet'!$A$2:$B1015, 2, false))</f>
        <v>0</v>
      </c>
      <c r="AY784" s="33" t="str">
        <f t="shared" si="14"/>
        <v/>
      </c>
      <c r="AZ784" s="37"/>
      <c r="BA784" s="29"/>
      <c r="BB784" s="29" t="b">
        <v>0</v>
      </c>
      <c r="BC784" s="22" t="str">
        <f t="shared" si="15"/>
        <v/>
      </c>
      <c r="BD784" s="7">
        <f>IF(ISBLANK(AZ784), 0, VLOOKUP(AZ784, 'Price Sheet'!$A$2:$B1015, 2, false))</f>
        <v>0</v>
      </c>
      <c r="BE784" s="33" t="str">
        <f t="shared" si="16"/>
        <v/>
      </c>
      <c r="BF784" s="37"/>
      <c r="BG784" s="29"/>
      <c r="BH784" s="29" t="b">
        <v>0</v>
      </c>
      <c r="BI784" s="22" t="str">
        <f t="shared" si="17"/>
        <v/>
      </c>
      <c r="BJ784" s="7">
        <f>IF(ISBLANK(BF784), 0, VLOOKUP(BF784, 'Price Sheet'!$A$2:$B1015, 2, false))</f>
        <v>0</v>
      </c>
      <c r="BK784" s="33" t="str">
        <f t="shared" si="18"/>
        <v/>
      </c>
      <c r="BL784" s="37"/>
      <c r="BM784" s="29"/>
      <c r="BN784" s="29" t="b">
        <v>0</v>
      </c>
      <c r="BO784" s="22" t="str">
        <f t="shared" si="19"/>
        <v/>
      </c>
      <c r="BP784" s="7">
        <f>IF(ISBLANK(BL784), 0, VLOOKUP(BL784, 'Price Sheet'!$A$2:$B1015, 2, false))</f>
        <v>0</v>
      </c>
      <c r="BQ784" s="33" t="str">
        <f t="shared" si="20"/>
        <v/>
      </c>
    </row>
    <row r="785">
      <c r="B785" s="19"/>
      <c r="C785" s="29"/>
      <c r="D785" s="29"/>
      <c r="E785" s="7" t="str">
        <f>IF(ISBLANK(D785), "", VLOOKUP(D785,'Crafting Tables'!$A$2:$B1015, 2, false))</f>
        <v/>
      </c>
      <c r="F785" s="7" t="str">
        <f>IFERROR(IF(E785 = "None", 1, VLOOKUP(C785,General!$A$5:$L$35, SWITCH(E785, "Basic", 8, "Advanced", 10, "Modern", 12), false)),"")</f>
        <v/>
      </c>
      <c r="G785" s="29"/>
      <c r="H785" s="7">
        <f>IFERROR(VLOOKUP(C785, General!$A$5:$L$35, 6, false) * G785 / 1000, 0)</f>
        <v>0</v>
      </c>
      <c r="I785" s="29"/>
      <c r="J785" s="22" t="str">
        <f>IFERROR(I785*VLOOKUP(D785,'Crafting Tables'!$1:$1000, 4, false)*F785,"")</f>
        <v/>
      </c>
      <c r="K785" s="29" t="b">
        <v>0</v>
      </c>
      <c r="L785" s="37"/>
      <c r="M785" s="29"/>
      <c r="N785" s="21" t="str">
        <f t="shared" si="2"/>
        <v/>
      </c>
      <c r="P785" s="37"/>
      <c r="Q785" s="29"/>
      <c r="R785" s="29" t="b">
        <v>0</v>
      </c>
      <c r="S785" s="22" t="str">
        <f t="shared" si="3"/>
        <v/>
      </c>
      <c r="T785" s="7">
        <f>IF(ISBLANK(P785), 0, VLOOKUP(P785, 'Price Sheet'!$A$2:$B1015, 2, false))</f>
        <v>0</v>
      </c>
      <c r="U785" s="33" t="str">
        <f t="shared" si="4"/>
        <v/>
      </c>
      <c r="V785" s="37"/>
      <c r="W785" s="29"/>
      <c r="X785" s="29" t="b">
        <v>0</v>
      </c>
      <c r="Y785" s="22" t="str">
        <f t="shared" si="5"/>
        <v/>
      </c>
      <c r="Z785" s="7">
        <f>IF(ISBLANK(V785), 0, VLOOKUP(V785, 'Price Sheet'!$A$2:$B1015, 2, false))</f>
        <v>0</v>
      </c>
      <c r="AA785" s="33" t="str">
        <f t="shared" si="6"/>
        <v/>
      </c>
      <c r="AB785" s="37"/>
      <c r="AC785" s="29"/>
      <c r="AD785" s="29" t="b">
        <v>0</v>
      </c>
      <c r="AE785" s="22" t="str">
        <f t="shared" si="7"/>
        <v/>
      </c>
      <c r="AF785" s="7">
        <f>IF(ISBLANK(AB785), 0, VLOOKUP(AB785, 'Price Sheet'!$A$2:$B1015, 2, false))</f>
        <v>0</v>
      </c>
      <c r="AG785" s="33" t="str">
        <f t="shared" si="8"/>
        <v/>
      </c>
      <c r="AH785" s="37"/>
      <c r="AI785" s="29"/>
      <c r="AJ785" s="29" t="b">
        <v>0</v>
      </c>
      <c r="AK785" s="22" t="str">
        <f t="shared" si="9"/>
        <v/>
      </c>
      <c r="AL785" s="7">
        <f>IF(ISBLANK(AH785), 0, VLOOKUP(AH785, 'Price Sheet'!$A$2:$B1015, 2, false))</f>
        <v>0</v>
      </c>
      <c r="AM785" s="33" t="str">
        <f t="shared" si="10"/>
        <v/>
      </c>
      <c r="AN785" s="37"/>
      <c r="AO785" s="29"/>
      <c r="AP785" s="29" t="b">
        <v>0</v>
      </c>
      <c r="AQ785" s="22" t="str">
        <f t="shared" si="11"/>
        <v/>
      </c>
      <c r="AR785" s="7">
        <f>IF(ISBLANK(AN785), 0, VLOOKUP(AN785, 'Price Sheet'!$A$2:$B1015, 2, false))</f>
        <v>0</v>
      </c>
      <c r="AS785" s="33" t="str">
        <f t="shared" si="12"/>
        <v/>
      </c>
      <c r="AT785" s="37"/>
      <c r="AU785" s="29"/>
      <c r="AV785" s="29" t="b">
        <v>0</v>
      </c>
      <c r="AW785" s="22" t="str">
        <f t="shared" si="13"/>
        <v/>
      </c>
      <c r="AX785" s="7">
        <f>IF(ISBLANK(AT785), 0, VLOOKUP(AT785, 'Price Sheet'!$A$2:$B1015, 2, false))</f>
        <v>0</v>
      </c>
      <c r="AY785" s="33" t="str">
        <f t="shared" si="14"/>
        <v/>
      </c>
      <c r="AZ785" s="37"/>
      <c r="BA785" s="29"/>
      <c r="BB785" s="29" t="b">
        <v>0</v>
      </c>
      <c r="BC785" s="22" t="str">
        <f t="shared" si="15"/>
        <v/>
      </c>
      <c r="BD785" s="7">
        <f>IF(ISBLANK(AZ785), 0, VLOOKUP(AZ785, 'Price Sheet'!$A$2:$B1015, 2, false))</f>
        <v>0</v>
      </c>
      <c r="BE785" s="33" t="str">
        <f t="shared" si="16"/>
        <v/>
      </c>
      <c r="BF785" s="37"/>
      <c r="BG785" s="29"/>
      <c r="BH785" s="29" t="b">
        <v>0</v>
      </c>
      <c r="BI785" s="22" t="str">
        <f t="shared" si="17"/>
        <v/>
      </c>
      <c r="BJ785" s="7">
        <f>IF(ISBLANK(BF785), 0, VLOOKUP(BF785, 'Price Sheet'!$A$2:$B1015, 2, false))</f>
        <v>0</v>
      </c>
      <c r="BK785" s="33" t="str">
        <f t="shared" si="18"/>
        <v/>
      </c>
      <c r="BL785" s="37"/>
      <c r="BM785" s="29"/>
      <c r="BN785" s="29" t="b">
        <v>0</v>
      </c>
      <c r="BO785" s="22" t="str">
        <f t="shared" si="19"/>
        <v/>
      </c>
      <c r="BP785" s="7">
        <f>IF(ISBLANK(BL785), 0, VLOOKUP(BL785, 'Price Sheet'!$A$2:$B1015, 2, false))</f>
        <v>0</v>
      </c>
      <c r="BQ785" s="33" t="str">
        <f t="shared" si="20"/>
        <v/>
      </c>
    </row>
    <row r="786">
      <c r="B786" s="19"/>
      <c r="C786" s="29"/>
      <c r="D786" s="29"/>
      <c r="E786" s="7" t="str">
        <f>IF(ISBLANK(D786), "", VLOOKUP(D786,'Crafting Tables'!$A$2:$B1015, 2, false))</f>
        <v/>
      </c>
      <c r="F786" s="7" t="str">
        <f>IFERROR(IF(E786 = "None", 1, VLOOKUP(C786,General!$A$5:$L$35, SWITCH(E786, "Basic", 8, "Advanced", 10, "Modern", 12), false)),"")</f>
        <v/>
      </c>
      <c r="G786" s="29"/>
      <c r="H786" s="7">
        <f>IFERROR(VLOOKUP(C786, General!$A$5:$L$35, 6, false) * G786 / 1000, 0)</f>
        <v>0</v>
      </c>
      <c r="I786" s="29"/>
      <c r="J786" s="22" t="str">
        <f>IFERROR(I786*VLOOKUP(D786,'Crafting Tables'!$1:$1000, 4, false)*F786,"")</f>
        <v/>
      </c>
      <c r="K786" s="29" t="b">
        <v>0</v>
      </c>
      <c r="L786" s="37"/>
      <c r="M786" s="29"/>
      <c r="N786" s="21" t="str">
        <f t="shared" si="2"/>
        <v/>
      </c>
      <c r="P786" s="37"/>
      <c r="Q786" s="29"/>
      <c r="R786" s="29" t="b">
        <v>0</v>
      </c>
      <c r="S786" s="22" t="str">
        <f t="shared" si="3"/>
        <v/>
      </c>
      <c r="T786" s="7">
        <f>IF(ISBLANK(P786), 0, VLOOKUP(P786, 'Price Sheet'!$A$2:$B1015, 2, false))</f>
        <v>0</v>
      </c>
      <c r="U786" s="33" t="str">
        <f t="shared" si="4"/>
        <v/>
      </c>
      <c r="V786" s="37"/>
      <c r="W786" s="29"/>
      <c r="X786" s="29" t="b">
        <v>0</v>
      </c>
      <c r="Y786" s="22" t="str">
        <f t="shared" si="5"/>
        <v/>
      </c>
      <c r="Z786" s="7">
        <f>IF(ISBLANK(V786), 0, VLOOKUP(V786, 'Price Sheet'!$A$2:$B1015, 2, false))</f>
        <v>0</v>
      </c>
      <c r="AA786" s="33" t="str">
        <f t="shared" si="6"/>
        <v/>
      </c>
      <c r="AB786" s="37"/>
      <c r="AC786" s="29"/>
      <c r="AD786" s="29" t="b">
        <v>0</v>
      </c>
      <c r="AE786" s="22" t="str">
        <f t="shared" si="7"/>
        <v/>
      </c>
      <c r="AF786" s="7">
        <f>IF(ISBLANK(AB786), 0, VLOOKUP(AB786, 'Price Sheet'!$A$2:$B1015, 2, false))</f>
        <v>0</v>
      </c>
      <c r="AG786" s="33" t="str">
        <f t="shared" si="8"/>
        <v/>
      </c>
      <c r="AH786" s="37"/>
      <c r="AI786" s="29"/>
      <c r="AJ786" s="29" t="b">
        <v>0</v>
      </c>
      <c r="AK786" s="22" t="str">
        <f t="shared" si="9"/>
        <v/>
      </c>
      <c r="AL786" s="7">
        <f>IF(ISBLANK(AH786), 0, VLOOKUP(AH786, 'Price Sheet'!$A$2:$B1015, 2, false))</f>
        <v>0</v>
      </c>
      <c r="AM786" s="33" t="str">
        <f t="shared" si="10"/>
        <v/>
      </c>
      <c r="AN786" s="37"/>
      <c r="AO786" s="29"/>
      <c r="AP786" s="29" t="b">
        <v>0</v>
      </c>
      <c r="AQ786" s="22" t="str">
        <f t="shared" si="11"/>
        <v/>
      </c>
      <c r="AR786" s="7">
        <f>IF(ISBLANK(AN786), 0, VLOOKUP(AN786, 'Price Sheet'!$A$2:$B1015, 2, false))</f>
        <v>0</v>
      </c>
      <c r="AS786" s="33" t="str">
        <f t="shared" si="12"/>
        <v/>
      </c>
      <c r="AT786" s="37"/>
      <c r="AU786" s="29"/>
      <c r="AV786" s="29" t="b">
        <v>0</v>
      </c>
      <c r="AW786" s="22" t="str">
        <f t="shared" si="13"/>
        <v/>
      </c>
      <c r="AX786" s="7">
        <f>IF(ISBLANK(AT786), 0, VLOOKUP(AT786, 'Price Sheet'!$A$2:$B1015, 2, false))</f>
        <v>0</v>
      </c>
      <c r="AY786" s="33" t="str">
        <f t="shared" si="14"/>
        <v/>
      </c>
      <c r="AZ786" s="37"/>
      <c r="BA786" s="29"/>
      <c r="BB786" s="29" t="b">
        <v>0</v>
      </c>
      <c r="BC786" s="22" t="str">
        <f t="shared" si="15"/>
        <v/>
      </c>
      <c r="BD786" s="7">
        <f>IF(ISBLANK(AZ786), 0, VLOOKUP(AZ786, 'Price Sheet'!$A$2:$B1015, 2, false))</f>
        <v>0</v>
      </c>
      <c r="BE786" s="33" t="str">
        <f t="shared" si="16"/>
        <v/>
      </c>
      <c r="BF786" s="37"/>
      <c r="BG786" s="29"/>
      <c r="BH786" s="29" t="b">
        <v>0</v>
      </c>
      <c r="BI786" s="22" t="str">
        <f t="shared" si="17"/>
        <v/>
      </c>
      <c r="BJ786" s="7">
        <f>IF(ISBLANK(BF786), 0, VLOOKUP(BF786, 'Price Sheet'!$A$2:$B1015, 2, false))</f>
        <v>0</v>
      </c>
      <c r="BK786" s="33" t="str">
        <f t="shared" si="18"/>
        <v/>
      </c>
      <c r="BL786" s="37"/>
      <c r="BM786" s="29"/>
      <c r="BN786" s="29" t="b">
        <v>0</v>
      </c>
      <c r="BO786" s="22" t="str">
        <f t="shared" si="19"/>
        <v/>
      </c>
      <c r="BP786" s="7">
        <f>IF(ISBLANK(BL786), 0, VLOOKUP(BL786, 'Price Sheet'!$A$2:$B1015, 2, false))</f>
        <v>0</v>
      </c>
      <c r="BQ786" s="33" t="str">
        <f t="shared" si="20"/>
        <v/>
      </c>
    </row>
    <row r="787">
      <c r="B787" s="19"/>
      <c r="C787" s="29"/>
      <c r="D787" s="29"/>
      <c r="E787" s="7" t="str">
        <f>IF(ISBLANK(D787), "", VLOOKUP(D787,'Crafting Tables'!$A$2:$B1015, 2, false))</f>
        <v/>
      </c>
      <c r="F787" s="7" t="str">
        <f>IFERROR(IF(E787 = "None", 1, VLOOKUP(C787,General!$A$5:$L$35, SWITCH(E787, "Basic", 8, "Advanced", 10, "Modern", 12), false)),"")</f>
        <v/>
      </c>
      <c r="G787" s="29"/>
      <c r="H787" s="7">
        <f>IFERROR(VLOOKUP(C787, General!$A$5:$L$35, 6, false) * G787 / 1000, 0)</f>
        <v>0</v>
      </c>
      <c r="I787" s="29"/>
      <c r="J787" s="22" t="str">
        <f>IFERROR(I787*VLOOKUP(D787,'Crafting Tables'!$1:$1000, 4, false)*F787,"")</f>
        <v/>
      </c>
      <c r="K787" s="29" t="b">
        <v>0</v>
      </c>
      <c r="L787" s="37"/>
      <c r="M787" s="29"/>
      <c r="N787" s="21" t="str">
        <f t="shared" si="2"/>
        <v/>
      </c>
      <c r="P787" s="37"/>
      <c r="Q787" s="29"/>
      <c r="R787" s="29" t="b">
        <v>0</v>
      </c>
      <c r="S787" s="22" t="str">
        <f t="shared" si="3"/>
        <v/>
      </c>
      <c r="T787" s="7">
        <f>IF(ISBLANK(P787), 0, VLOOKUP(P787, 'Price Sheet'!$A$2:$B1015, 2, false))</f>
        <v>0</v>
      </c>
      <c r="U787" s="33" t="str">
        <f t="shared" si="4"/>
        <v/>
      </c>
      <c r="V787" s="37"/>
      <c r="W787" s="29"/>
      <c r="X787" s="29" t="b">
        <v>0</v>
      </c>
      <c r="Y787" s="22" t="str">
        <f t="shared" si="5"/>
        <v/>
      </c>
      <c r="Z787" s="7">
        <f>IF(ISBLANK(V787), 0, VLOOKUP(V787, 'Price Sheet'!$A$2:$B1015, 2, false))</f>
        <v>0</v>
      </c>
      <c r="AA787" s="33" t="str">
        <f t="shared" si="6"/>
        <v/>
      </c>
      <c r="AB787" s="37"/>
      <c r="AC787" s="29"/>
      <c r="AD787" s="29" t="b">
        <v>0</v>
      </c>
      <c r="AE787" s="22" t="str">
        <f t="shared" si="7"/>
        <v/>
      </c>
      <c r="AF787" s="7">
        <f>IF(ISBLANK(AB787), 0, VLOOKUP(AB787, 'Price Sheet'!$A$2:$B1015, 2, false))</f>
        <v>0</v>
      </c>
      <c r="AG787" s="33" t="str">
        <f t="shared" si="8"/>
        <v/>
      </c>
      <c r="AH787" s="37"/>
      <c r="AI787" s="29"/>
      <c r="AJ787" s="29" t="b">
        <v>0</v>
      </c>
      <c r="AK787" s="22" t="str">
        <f t="shared" si="9"/>
        <v/>
      </c>
      <c r="AL787" s="7">
        <f>IF(ISBLANK(AH787), 0, VLOOKUP(AH787, 'Price Sheet'!$A$2:$B1015, 2, false))</f>
        <v>0</v>
      </c>
      <c r="AM787" s="33" t="str">
        <f t="shared" si="10"/>
        <v/>
      </c>
      <c r="AN787" s="37"/>
      <c r="AO787" s="29"/>
      <c r="AP787" s="29" t="b">
        <v>0</v>
      </c>
      <c r="AQ787" s="22" t="str">
        <f t="shared" si="11"/>
        <v/>
      </c>
      <c r="AR787" s="7">
        <f>IF(ISBLANK(AN787), 0, VLOOKUP(AN787, 'Price Sheet'!$A$2:$B1015, 2, false))</f>
        <v>0</v>
      </c>
      <c r="AS787" s="33" t="str">
        <f t="shared" si="12"/>
        <v/>
      </c>
      <c r="AT787" s="37"/>
      <c r="AU787" s="29"/>
      <c r="AV787" s="29" t="b">
        <v>0</v>
      </c>
      <c r="AW787" s="22" t="str">
        <f t="shared" si="13"/>
        <v/>
      </c>
      <c r="AX787" s="7">
        <f>IF(ISBLANK(AT787), 0, VLOOKUP(AT787, 'Price Sheet'!$A$2:$B1015, 2, false))</f>
        <v>0</v>
      </c>
      <c r="AY787" s="33" t="str">
        <f t="shared" si="14"/>
        <v/>
      </c>
      <c r="AZ787" s="37"/>
      <c r="BA787" s="29"/>
      <c r="BB787" s="29" t="b">
        <v>0</v>
      </c>
      <c r="BC787" s="22" t="str">
        <f t="shared" si="15"/>
        <v/>
      </c>
      <c r="BD787" s="7">
        <f>IF(ISBLANK(AZ787), 0, VLOOKUP(AZ787, 'Price Sheet'!$A$2:$B1015, 2, false))</f>
        <v>0</v>
      </c>
      <c r="BE787" s="33" t="str">
        <f t="shared" si="16"/>
        <v/>
      </c>
      <c r="BF787" s="37"/>
      <c r="BG787" s="29"/>
      <c r="BH787" s="29" t="b">
        <v>0</v>
      </c>
      <c r="BI787" s="22" t="str">
        <f t="shared" si="17"/>
        <v/>
      </c>
      <c r="BJ787" s="7">
        <f>IF(ISBLANK(BF787), 0, VLOOKUP(BF787, 'Price Sheet'!$A$2:$B1015, 2, false))</f>
        <v>0</v>
      </c>
      <c r="BK787" s="33" t="str">
        <f t="shared" si="18"/>
        <v/>
      </c>
      <c r="BL787" s="37"/>
      <c r="BM787" s="29"/>
      <c r="BN787" s="29" t="b">
        <v>0</v>
      </c>
      <c r="BO787" s="22" t="str">
        <f t="shared" si="19"/>
        <v/>
      </c>
      <c r="BP787" s="7">
        <f>IF(ISBLANK(BL787), 0, VLOOKUP(BL787, 'Price Sheet'!$A$2:$B1015, 2, false))</f>
        <v>0</v>
      </c>
      <c r="BQ787" s="33" t="str">
        <f t="shared" si="20"/>
        <v/>
      </c>
    </row>
    <row r="788">
      <c r="B788" s="19"/>
      <c r="C788" s="29"/>
      <c r="D788" s="29"/>
      <c r="E788" s="7" t="str">
        <f>IF(ISBLANK(D788), "", VLOOKUP(D788,'Crafting Tables'!$A$2:$B1015, 2, false))</f>
        <v/>
      </c>
      <c r="F788" s="7" t="str">
        <f>IFERROR(IF(E788 = "None", 1, VLOOKUP(C788,General!$A$5:$L$35, SWITCH(E788, "Basic", 8, "Advanced", 10, "Modern", 12), false)),"")</f>
        <v/>
      </c>
      <c r="G788" s="29"/>
      <c r="H788" s="7">
        <f>IFERROR(VLOOKUP(C788, General!$A$5:$L$35, 6, false) * G788 / 1000, 0)</f>
        <v>0</v>
      </c>
      <c r="I788" s="29"/>
      <c r="J788" s="22" t="str">
        <f>IFERROR(I788*VLOOKUP(D788,'Crafting Tables'!$1:$1000, 4, false)*F788,"")</f>
        <v/>
      </c>
      <c r="K788" s="29" t="b">
        <v>0</v>
      </c>
      <c r="L788" s="37"/>
      <c r="M788" s="29"/>
      <c r="N788" s="21" t="str">
        <f t="shared" si="2"/>
        <v/>
      </c>
      <c r="P788" s="37"/>
      <c r="Q788" s="29"/>
      <c r="R788" s="29" t="b">
        <v>0</v>
      </c>
      <c r="S788" s="22" t="str">
        <f t="shared" si="3"/>
        <v/>
      </c>
      <c r="T788" s="7">
        <f>IF(ISBLANK(P788), 0, VLOOKUP(P788, 'Price Sheet'!$A$2:$B1015, 2, false))</f>
        <v>0</v>
      </c>
      <c r="U788" s="33" t="str">
        <f t="shared" si="4"/>
        <v/>
      </c>
      <c r="V788" s="37"/>
      <c r="W788" s="29"/>
      <c r="X788" s="29" t="b">
        <v>0</v>
      </c>
      <c r="Y788" s="22" t="str">
        <f t="shared" si="5"/>
        <v/>
      </c>
      <c r="Z788" s="7">
        <f>IF(ISBLANK(V788), 0, VLOOKUP(V788, 'Price Sheet'!$A$2:$B1015, 2, false))</f>
        <v>0</v>
      </c>
      <c r="AA788" s="33" t="str">
        <f t="shared" si="6"/>
        <v/>
      </c>
      <c r="AB788" s="37"/>
      <c r="AC788" s="29"/>
      <c r="AD788" s="29" t="b">
        <v>0</v>
      </c>
      <c r="AE788" s="22" t="str">
        <f t="shared" si="7"/>
        <v/>
      </c>
      <c r="AF788" s="7">
        <f>IF(ISBLANK(AB788), 0, VLOOKUP(AB788, 'Price Sheet'!$A$2:$B1015, 2, false))</f>
        <v>0</v>
      </c>
      <c r="AG788" s="33" t="str">
        <f t="shared" si="8"/>
        <v/>
      </c>
      <c r="AH788" s="37"/>
      <c r="AI788" s="29"/>
      <c r="AJ788" s="29" t="b">
        <v>0</v>
      </c>
      <c r="AK788" s="22" t="str">
        <f t="shared" si="9"/>
        <v/>
      </c>
      <c r="AL788" s="7">
        <f>IF(ISBLANK(AH788), 0, VLOOKUP(AH788, 'Price Sheet'!$A$2:$B1015, 2, false))</f>
        <v>0</v>
      </c>
      <c r="AM788" s="33" t="str">
        <f t="shared" si="10"/>
        <v/>
      </c>
      <c r="AN788" s="37"/>
      <c r="AO788" s="29"/>
      <c r="AP788" s="29" t="b">
        <v>0</v>
      </c>
      <c r="AQ788" s="22" t="str">
        <f t="shared" si="11"/>
        <v/>
      </c>
      <c r="AR788" s="7">
        <f>IF(ISBLANK(AN788), 0, VLOOKUP(AN788, 'Price Sheet'!$A$2:$B1015, 2, false))</f>
        <v>0</v>
      </c>
      <c r="AS788" s="33" t="str">
        <f t="shared" si="12"/>
        <v/>
      </c>
      <c r="AT788" s="37"/>
      <c r="AU788" s="29"/>
      <c r="AV788" s="29" t="b">
        <v>0</v>
      </c>
      <c r="AW788" s="22" t="str">
        <f t="shared" si="13"/>
        <v/>
      </c>
      <c r="AX788" s="7">
        <f>IF(ISBLANK(AT788), 0, VLOOKUP(AT788, 'Price Sheet'!$A$2:$B1015, 2, false))</f>
        <v>0</v>
      </c>
      <c r="AY788" s="33" t="str">
        <f t="shared" si="14"/>
        <v/>
      </c>
      <c r="AZ788" s="37"/>
      <c r="BA788" s="29"/>
      <c r="BB788" s="29" t="b">
        <v>0</v>
      </c>
      <c r="BC788" s="22" t="str">
        <f t="shared" si="15"/>
        <v/>
      </c>
      <c r="BD788" s="7">
        <f>IF(ISBLANK(AZ788), 0, VLOOKUP(AZ788, 'Price Sheet'!$A$2:$B1015, 2, false))</f>
        <v>0</v>
      </c>
      <c r="BE788" s="33" t="str">
        <f t="shared" si="16"/>
        <v/>
      </c>
      <c r="BF788" s="37"/>
      <c r="BG788" s="29"/>
      <c r="BH788" s="29" t="b">
        <v>0</v>
      </c>
      <c r="BI788" s="22" t="str">
        <f t="shared" si="17"/>
        <v/>
      </c>
      <c r="BJ788" s="7">
        <f>IF(ISBLANK(BF788), 0, VLOOKUP(BF788, 'Price Sheet'!$A$2:$B1015, 2, false))</f>
        <v>0</v>
      </c>
      <c r="BK788" s="33" t="str">
        <f t="shared" si="18"/>
        <v/>
      </c>
      <c r="BL788" s="37"/>
      <c r="BM788" s="29"/>
      <c r="BN788" s="29" t="b">
        <v>0</v>
      </c>
      <c r="BO788" s="22" t="str">
        <f t="shared" si="19"/>
        <v/>
      </c>
      <c r="BP788" s="7">
        <f>IF(ISBLANK(BL788), 0, VLOOKUP(BL788, 'Price Sheet'!$A$2:$B1015, 2, false))</f>
        <v>0</v>
      </c>
      <c r="BQ788" s="33" t="str">
        <f t="shared" si="20"/>
        <v/>
      </c>
    </row>
    <row r="789">
      <c r="B789" s="19"/>
      <c r="C789" s="29"/>
      <c r="D789" s="29"/>
      <c r="E789" s="7" t="str">
        <f>IF(ISBLANK(D789), "", VLOOKUP(D789,'Crafting Tables'!$A$2:$B1015, 2, false))</f>
        <v/>
      </c>
      <c r="F789" s="7" t="str">
        <f>IFERROR(IF(E789 = "None", 1, VLOOKUP(C789,General!$A$5:$L$35, SWITCH(E789, "Basic", 8, "Advanced", 10, "Modern", 12), false)),"")</f>
        <v/>
      </c>
      <c r="G789" s="29"/>
      <c r="H789" s="7">
        <f>IFERROR(VLOOKUP(C789, General!$A$5:$L$35, 6, false) * G789 / 1000, 0)</f>
        <v>0</v>
      </c>
      <c r="I789" s="29"/>
      <c r="J789" s="22" t="str">
        <f>IFERROR(I789*VLOOKUP(D789,'Crafting Tables'!$1:$1000, 4, false)*F789,"")</f>
        <v/>
      </c>
      <c r="K789" s="29" t="b">
        <v>0</v>
      </c>
      <c r="L789" s="37"/>
      <c r="M789" s="29"/>
      <c r="N789" s="21" t="str">
        <f t="shared" si="2"/>
        <v/>
      </c>
      <c r="P789" s="37"/>
      <c r="Q789" s="29"/>
      <c r="R789" s="29" t="b">
        <v>0</v>
      </c>
      <c r="S789" s="22" t="str">
        <f t="shared" si="3"/>
        <v/>
      </c>
      <c r="T789" s="7">
        <f>IF(ISBLANK(P789), 0, VLOOKUP(P789, 'Price Sheet'!$A$2:$B1015, 2, false))</f>
        <v>0</v>
      </c>
      <c r="U789" s="33" t="str">
        <f t="shared" si="4"/>
        <v/>
      </c>
      <c r="V789" s="37"/>
      <c r="W789" s="29"/>
      <c r="X789" s="29" t="b">
        <v>0</v>
      </c>
      <c r="Y789" s="22" t="str">
        <f t="shared" si="5"/>
        <v/>
      </c>
      <c r="Z789" s="7">
        <f>IF(ISBLANK(V789), 0, VLOOKUP(V789, 'Price Sheet'!$A$2:$B1015, 2, false))</f>
        <v>0</v>
      </c>
      <c r="AA789" s="33" t="str">
        <f t="shared" si="6"/>
        <v/>
      </c>
      <c r="AB789" s="37"/>
      <c r="AC789" s="29"/>
      <c r="AD789" s="29" t="b">
        <v>0</v>
      </c>
      <c r="AE789" s="22" t="str">
        <f t="shared" si="7"/>
        <v/>
      </c>
      <c r="AF789" s="7">
        <f>IF(ISBLANK(AB789), 0, VLOOKUP(AB789, 'Price Sheet'!$A$2:$B1015, 2, false))</f>
        <v>0</v>
      </c>
      <c r="AG789" s="33" t="str">
        <f t="shared" si="8"/>
        <v/>
      </c>
      <c r="AH789" s="37"/>
      <c r="AI789" s="29"/>
      <c r="AJ789" s="29" t="b">
        <v>0</v>
      </c>
      <c r="AK789" s="22" t="str">
        <f t="shared" si="9"/>
        <v/>
      </c>
      <c r="AL789" s="7">
        <f>IF(ISBLANK(AH789), 0, VLOOKUP(AH789, 'Price Sheet'!$A$2:$B1015, 2, false))</f>
        <v>0</v>
      </c>
      <c r="AM789" s="33" t="str">
        <f t="shared" si="10"/>
        <v/>
      </c>
      <c r="AN789" s="37"/>
      <c r="AO789" s="29"/>
      <c r="AP789" s="29" t="b">
        <v>0</v>
      </c>
      <c r="AQ789" s="22" t="str">
        <f t="shared" si="11"/>
        <v/>
      </c>
      <c r="AR789" s="7">
        <f>IF(ISBLANK(AN789), 0, VLOOKUP(AN789, 'Price Sheet'!$A$2:$B1015, 2, false))</f>
        <v>0</v>
      </c>
      <c r="AS789" s="33" t="str">
        <f t="shared" si="12"/>
        <v/>
      </c>
      <c r="AT789" s="37"/>
      <c r="AU789" s="29"/>
      <c r="AV789" s="29" t="b">
        <v>0</v>
      </c>
      <c r="AW789" s="22" t="str">
        <f t="shared" si="13"/>
        <v/>
      </c>
      <c r="AX789" s="7">
        <f>IF(ISBLANK(AT789), 0, VLOOKUP(AT789, 'Price Sheet'!$A$2:$B1015, 2, false))</f>
        <v>0</v>
      </c>
      <c r="AY789" s="33" t="str">
        <f t="shared" si="14"/>
        <v/>
      </c>
      <c r="AZ789" s="37"/>
      <c r="BA789" s="29"/>
      <c r="BB789" s="29" t="b">
        <v>0</v>
      </c>
      <c r="BC789" s="22" t="str">
        <f t="shared" si="15"/>
        <v/>
      </c>
      <c r="BD789" s="7">
        <f>IF(ISBLANK(AZ789), 0, VLOOKUP(AZ789, 'Price Sheet'!$A$2:$B1015, 2, false))</f>
        <v>0</v>
      </c>
      <c r="BE789" s="33" t="str">
        <f t="shared" si="16"/>
        <v/>
      </c>
      <c r="BF789" s="37"/>
      <c r="BG789" s="29"/>
      <c r="BH789" s="29" t="b">
        <v>0</v>
      </c>
      <c r="BI789" s="22" t="str">
        <f t="shared" si="17"/>
        <v/>
      </c>
      <c r="BJ789" s="7">
        <f>IF(ISBLANK(BF789), 0, VLOOKUP(BF789, 'Price Sheet'!$A$2:$B1015, 2, false))</f>
        <v>0</v>
      </c>
      <c r="BK789" s="33" t="str">
        <f t="shared" si="18"/>
        <v/>
      </c>
      <c r="BL789" s="37"/>
      <c r="BM789" s="29"/>
      <c r="BN789" s="29" t="b">
        <v>0</v>
      </c>
      <c r="BO789" s="22" t="str">
        <f t="shared" si="19"/>
        <v/>
      </c>
      <c r="BP789" s="7">
        <f>IF(ISBLANK(BL789), 0, VLOOKUP(BL789, 'Price Sheet'!$A$2:$B1015, 2, false))</f>
        <v>0</v>
      </c>
      <c r="BQ789" s="33" t="str">
        <f t="shared" si="20"/>
        <v/>
      </c>
    </row>
    <row r="790">
      <c r="B790" s="19"/>
      <c r="C790" s="29"/>
      <c r="D790" s="29"/>
      <c r="E790" s="7" t="str">
        <f>IF(ISBLANK(D790), "", VLOOKUP(D790,'Crafting Tables'!$A$2:$B1015, 2, false))</f>
        <v/>
      </c>
      <c r="F790" s="7" t="str">
        <f>IFERROR(IF(E790 = "None", 1, VLOOKUP(C790,General!$A$5:$L$35, SWITCH(E790, "Basic", 8, "Advanced", 10, "Modern", 12), false)),"")</f>
        <v/>
      </c>
      <c r="G790" s="29"/>
      <c r="H790" s="7">
        <f>IFERROR(VLOOKUP(C790, General!$A$5:$L$35, 6, false) * G790 / 1000, 0)</f>
        <v>0</v>
      </c>
      <c r="I790" s="29"/>
      <c r="J790" s="22" t="str">
        <f>IFERROR(I790*VLOOKUP(D790,'Crafting Tables'!$1:$1000, 4, false)*F790,"")</f>
        <v/>
      </c>
      <c r="K790" s="29" t="b">
        <v>0</v>
      </c>
      <c r="L790" s="37"/>
      <c r="M790" s="29"/>
      <c r="N790" s="21" t="str">
        <f t="shared" si="2"/>
        <v/>
      </c>
      <c r="P790" s="37"/>
      <c r="Q790" s="29"/>
      <c r="R790" s="29" t="b">
        <v>0</v>
      </c>
      <c r="S790" s="22" t="str">
        <f t="shared" si="3"/>
        <v/>
      </c>
      <c r="T790" s="7">
        <f>IF(ISBLANK(P790), 0, VLOOKUP(P790, 'Price Sheet'!$A$2:$B1015, 2, false))</f>
        <v>0</v>
      </c>
      <c r="U790" s="33" t="str">
        <f t="shared" si="4"/>
        <v/>
      </c>
      <c r="V790" s="37"/>
      <c r="W790" s="29"/>
      <c r="X790" s="29" t="b">
        <v>0</v>
      </c>
      <c r="Y790" s="22" t="str">
        <f t="shared" si="5"/>
        <v/>
      </c>
      <c r="Z790" s="7">
        <f>IF(ISBLANK(V790), 0, VLOOKUP(V790, 'Price Sheet'!$A$2:$B1015, 2, false))</f>
        <v>0</v>
      </c>
      <c r="AA790" s="33" t="str">
        <f t="shared" si="6"/>
        <v/>
      </c>
      <c r="AB790" s="37"/>
      <c r="AC790" s="29"/>
      <c r="AD790" s="29" t="b">
        <v>0</v>
      </c>
      <c r="AE790" s="22" t="str">
        <f t="shared" si="7"/>
        <v/>
      </c>
      <c r="AF790" s="7">
        <f>IF(ISBLANK(AB790), 0, VLOOKUP(AB790, 'Price Sheet'!$A$2:$B1015, 2, false))</f>
        <v>0</v>
      </c>
      <c r="AG790" s="33" t="str">
        <f t="shared" si="8"/>
        <v/>
      </c>
      <c r="AH790" s="37"/>
      <c r="AI790" s="29"/>
      <c r="AJ790" s="29" t="b">
        <v>0</v>
      </c>
      <c r="AK790" s="22" t="str">
        <f t="shared" si="9"/>
        <v/>
      </c>
      <c r="AL790" s="7">
        <f>IF(ISBLANK(AH790), 0, VLOOKUP(AH790, 'Price Sheet'!$A$2:$B1015, 2, false))</f>
        <v>0</v>
      </c>
      <c r="AM790" s="33" t="str">
        <f t="shared" si="10"/>
        <v/>
      </c>
      <c r="AN790" s="37"/>
      <c r="AO790" s="29"/>
      <c r="AP790" s="29" t="b">
        <v>0</v>
      </c>
      <c r="AQ790" s="22" t="str">
        <f t="shared" si="11"/>
        <v/>
      </c>
      <c r="AR790" s="7">
        <f>IF(ISBLANK(AN790), 0, VLOOKUP(AN790, 'Price Sheet'!$A$2:$B1015, 2, false))</f>
        <v>0</v>
      </c>
      <c r="AS790" s="33" t="str">
        <f t="shared" si="12"/>
        <v/>
      </c>
      <c r="AT790" s="37"/>
      <c r="AU790" s="29"/>
      <c r="AV790" s="29" t="b">
        <v>0</v>
      </c>
      <c r="AW790" s="22" t="str">
        <f t="shared" si="13"/>
        <v/>
      </c>
      <c r="AX790" s="7">
        <f>IF(ISBLANK(AT790), 0, VLOOKUP(AT790, 'Price Sheet'!$A$2:$B1015, 2, false))</f>
        <v>0</v>
      </c>
      <c r="AY790" s="33" t="str">
        <f t="shared" si="14"/>
        <v/>
      </c>
      <c r="AZ790" s="37"/>
      <c r="BA790" s="29"/>
      <c r="BB790" s="29" t="b">
        <v>0</v>
      </c>
      <c r="BC790" s="22" t="str">
        <f t="shared" si="15"/>
        <v/>
      </c>
      <c r="BD790" s="7">
        <f>IF(ISBLANK(AZ790), 0, VLOOKUP(AZ790, 'Price Sheet'!$A$2:$B1015, 2, false))</f>
        <v>0</v>
      </c>
      <c r="BE790" s="33" t="str">
        <f t="shared" si="16"/>
        <v/>
      </c>
      <c r="BF790" s="37"/>
      <c r="BG790" s="29"/>
      <c r="BH790" s="29" t="b">
        <v>0</v>
      </c>
      <c r="BI790" s="22" t="str">
        <f t="shared" si="17"/>
        <v/>
      </c>
      <c r="BJ790" s="7">
        <f>IF(ISBLANK(BF790), 0, VLOOKUP(BF790, 'Price Sheet'!$A$2:$B1015, 2, false))</f>
        <v>0</v>
      </c>
      <c r="BK790" s="33" t="str">
        <f t="shared" si="18"/>
        <v/>
      </c>
      <c r="BL790" s="37"/>
      <c r="BM790" s="29"/>
      <c r="BN790" s="29" t="b">
        <v>0</v>
      </c>
      <c r="BO790" s="22" t="str">
        <f t="shared" si="19"/>
        <v/>
      </c>
      <c r="BP790" s="7">
        <f>IF(ISBLANK(BL790), 0, VLOOKUP(BL790, 'Price Sheet'!$A$2:$B1015, 2, false))</f>
        <v>0</v>
      </c>
      <c r="BQ790" s="33" t="str">
        <f t="shared" si="20"/>
        <v/>
      </c>
    </row>
    <row r="791">
      <c r="B791" s="19"/>
      <c r="C791" s="29"/>
      <c r="D791" s="29"/>
      <c r="E791" s="7" t="str">
        <f>IF(ISBLANK(D791), "", VLOOKUP(D791,'Crafting Tables'!$A$2:$B1015, 2, false))</f>
        <v/>
      </c>
      <c r="F791" s="7" t="str">
        <f>IFERROR(IF(E791 = "None", 1, VLOOKUP(C791,General!$A$5:$L$35, SWITCH(E791, "Basic", 8, "Advanced", 10, "Modern", 12), false)),"")</f>
        <v/>
      </c>
      <c r="G791" s="29"/>
      <c r="H791" s="7">
        <f>IFERROR(VLOOKUP(C791, General!$A$5:$L$35, 6, false) * G791 / 1000, 0)</f>
        <v>0</v>
      </c>
      <c r="I791" s="29"/>
      <c r="J791" s="22" t="str">
        <f>IFERROR(I791*VLOOKUP(D791,'Crafting Tables'!$1:$1000, 4, false)*F791,"")</f>
        <v/>
      </c>
      <c r="K791" s="29" t="b">
        <v>0</v>
      </c>
      <c r="L791" s="37"/>
      <c r="M791" s="29"/>
      <c r="N791" s="21" t="str">
        <f t="shared" si="2"/>
        <v/>
      </c>
      <c r="P791" s="37"/>
      <c r="Q791" s="29"/>
      <c r="R791" s="29" t="b">
        <v>0</v>
      </c>
      <c r="S791" s="22" t="str">
        <f t="shared" si="3"/>
        <v/>
      </c>
      <c r="T791" s="7">
        <f>IF(ISBLANK(P791), 0, VLOOKUP(P791, 'Price Sheet'!$A$2:$B1015, 2, false))</f>
        <v>0</v>
      </c>
      <c r="U791" s="33" t="str">
        <f t="shared" si="4"/>
        <v/>
      </c>
      <c r="V791" s="37"/>
      <c r="W791" s="29"/>
      <c r="X791" s="29" t="b">
        <v>0</v>
      </c>
      <c r="Y791" s="22" t="str">
        <f t="shared" si="5"/>
        <v/>
      </c>
      <c r="Z791" s="7">
        <f>IF(ISBLANK(V791), 0, VLOOKUP(V791, 'Price Sheet'!$A$2:$B1015, 2, false))</f>
        <v>0</v>
      </c>
      <c r="AA791" s="33" t="str">
        <f t="shared" si="6"/>
        <v/>
      </c>
      <c r="AB791" s="37"/>
      <c r="AC791" s="29"/>
      <c r="AD791" s="29" t="b">
        <v>0</v>
      </c>
      <c r="AE791" s="22" t="str">
        <f t="shared" si="7"/>
        <v/>
      </c>
      <c r="AF791" s="7">
        <f>IF(ISBLANK(AB791), 0, VLOOKUP(AB791, 'Price Sheet'!$A$2:$B1015, 2, false))</f>
        <v>0</v>
      </c>
      <c r="AG791" s="33" t="str">
        <f t="shared" si="8"/>
        <v/>
      </c>
      <c r="AH791" s="37"/>
      <c r="AI791" s="29"/>
      <c r="AJ791" s="29" t="b">
        <v>0</v>
      </c>
      <c r="AK791" s="22" t="str">
        <f t="shared" si="9"/>
        <v/>
      </c>
      <c r="AL791" s="7">
        <f>IF(ISBLANK(AH791), 0, VLOOKUP(AH791, 'Price Sheet'!$A$2:$B1015, 2, false))</f>
        <v>0</v>
      </c>
      <c r="AM791" s="33" t="str">
        <f t="shared" si="10"/>
        <v/>
      </c>
      <c r="AN791" s="37"/>
      <c r="AO791" s="29"/>
      <c r="AP791" s="29" t="b">
        <v>0</v>
      </c>
      <c r="AQ791" s="22" t="str">
        <f t="shared" si="11"/>
        <v/>
      </c>
      <c r="AR791" s="7">
        <f>IF(ISBLANK(AN791), 0, VLOOKUP(AN791, 'Price Sheet'!$A$2:$B1015, 2, false))</f>
        <v>0</v>
      </c>
      <c r="AS791" s="33" t="str">
        <f t="shared" si="12"/>
        <v/>
      </c>
      <c r="AT791" s="37"/>
      <c r="AU791" s="29"/>
      <c r="AV791" s="29" t="b">
        <v>0</v>
      </c>
      <c r="AW791" s="22" t="str">
        <f t="shared" si="13"/>
        <v/>
      </c>
      <c r="AX791" s="7">
        <f>IF(ISBLANK(AT791), 0, VLOOKUP(AT791, 'Price Sheet'!$A$2:$B1015, 2, false))</f>
        <v>0</v>
      </c>
      <c r="AY791" s="33" t="str">
        <f t="shared" si="14"/>
        <v/>
      </c>
      <c r="AZ791" s="37"/>
      <c r="BA791" s="29"/>
      <c r="BB791" s="29" t="b">
        <v>0</v>
      </c>
      <c r="BC791" s="22" t="str">
        <f t="shared" si="15"/>
        <v/>
      </c>
      <c r="BD791" s="7">
        <f>IF(ISBLANK(AZ791), 0, VLOOKUP(AZ791, 'Price Sheet'!$A$2:$B1015, 2, false))</f>
        <v>0</v>
      </c>
      <c r="BE791" s="33" t="str">
        <f t="shared" si="16"/>
        <v/>
      </c>
      <c r="BF791" s="37"/>
      <c r="BG791" s="29"/>
      <c r="BH791" s="29" t="b">
        <v>0</v>
      </c>
      <c r="BI791" s="22" t="str">
        <f t="shared" si="17"/>
        <v/>
      </c>
      <c r="BJ791" s="7">
        <f>IF(ISBLANK(BF791), 0, VLOOKUP(BF791, 'Price Sheet'!$A$2:$B1015, 2, false))</f>
        <v>0</v>
      </c>
      <c r="BK791" s="33" t="str">
        <f t="shared" si="18"/>
        <v/>
      </c>
      <c r="BL791" s="37"/>
      <c r="BM791" s="29"/>
      <c r="BN791" s="29" t="b">
        <v>0</v>
      </c>
      <c r="BO791" s="22" t="str">
        <f t="shared" si="19"/>
        <v/>
      </c>
      <c r="BP791" s="7">
        <f>IF(ISBLANK(BL791), 0, VLOOKUP(BL791, 'Price Sheet'!$A$2:$B1015, 2, false))</f>
        <v>0</v>
      </c>
      <c r="BQ791" s="33" t="str">
        <f t="shared" si="20"/>
        <v/>
      </c>
    </row>
    <row r="792">
      <c r="B792" s="19"/>
      <c r="C792" s="29"/>
      <c r="D792" s="29"/>
      <c r="E792" s="7" t="str">
        <f>IF(ISBLANK(D792), "", VLOOKUP(D792,'Crafting Tables'!$A$2:$B1015, 2, false))</f>
        <v/>
      </c>
      <c r="F792" s="7" t="str">
        <f>IFERROR(IF(E792 = "None", 1, VLOOKUP(C792,General!$A$5:$L$35, SWITCH(E792, "Basic", 8, "Advanced", 10, "Modern", 12), false)),"")</f>
        <v/>
      </c>
      <c r="G792" s="29"/>
      <c r="H792" s="7">
        <f>IFERROR(VLOOKUP(C792, General!$A$5:$L$35, 6, false) * G792 / 1000, 0)</f>
        <v>0</v>
      </c>
      <c r="I792" s="29"/>
      <c r="J792" s="22" t="str">
        <f>IFERROR(I792*VLOOKUP(D792,'Crafting Tables'!$1:$1000, 4, false)*F792,"")</f>
        <v/>
      </c>
      <c r="K792" s="29" t="b">
        <v>0</v>
      </c>
      <c r="L792" s="37"/>
      <c r="M792" s="29"/>
      <c r="N792" s="21" t="str">
        <f t="shared" si="2"/>
        <v/>
      </c>
      <c r="P792" s="37"/>
      <c r="Q792" s="29"/>
      <c r="R792" s="29" t="b">
        <v>0</v>
      </c>
      <c r="S792" s="22" t="str">
        <f t="shared" si="3"/>
        <v/>
      </c>
      <c r="T792" s="7">
        <f>IF(ISBLANK(P792), 0, VLOOKUP(P792, 'Price Sheet'!$A$2:$B1015, 2, false))</f>
        <v>0</v>
      </c>
      <c r="U792" s="33" t="str">
        <f t="shared" si="4"/>
        <v/>
      </c>
      <c r="V792" s="37"/>
      <c r="W792" s="29"/>
      <c r="X792" s="29" t="b">
        <v>0</v>
      </c>
      <c r="Y792" s="22" t="str">
        <f t="shared" si="5"/>
        <v/>
      </c>
      <c r="Z792" s="7">
        <f>IF(ISBLANK(V792), 0, VLOOKUP(V792, 'Price Sheet'!$A$2:$B1015, 2, false))</f>
        <v>0</v>
      </c>
      <c r="AA792" s="33" t="str">
        <f t="shared" si="6"/>
        <v/>
      </c>
      <c r="AB792" s="37"/>
      <c r="AC792" s="29"/>
      <c r="AD792" s="29" t="b">
        <v>0</v>
      </c>
      <c r="AE792" s="22" t="str">
        <f t="shared" si="7"/>
        <v/>
      </c>
      <c r="AF792" s="7">
        <f>IF(ISBLANK(AB792), 0, VLOOKUP(AB792, 'Price Sheet'!$A$2:$B1015, 2, false))</f>
        <v>0</v>
      </c>
      <c r="AG792" s="33" t="str">
        <f t="shared" si="8"/>
        <v/>
      </c>
      <c r="AH792" s="37"/>
      <c r="AI792" s="29"/>
      <c r="AJ792" s="29" t="b">
        <v>0</v>
      </c>
      <c r="AK792" s="22" t="str">
        <f t="shared" si="9"/>
        <v/>
      </c>
      <c r="AL792" s="7">
        <f>IF(ISBLANK(AH792), 0, VLOOKUP(AH792, 'Price Sheet'!$A$2:$B1015, 2, false))</f>
        <v>0</v>
      </c>
      <c r="AM792" s="33" t="str">
        <f t="shared" si="10"/>
        <v/>
      </c>
      <c r="AN792" s="37"/>
      <c r="AO792" s="29"/>
      <c r="AP792" s="29" t="b">
        <v>0</v>
      </c>
      <c r="AQ792" s="22" t="str">
        <f t="shared" si="11"/>
        <v/>
      </c>
      <c r="AR792" s="7">
        <f>IF(ISBLANK(AN792), 0, VLOOKUP(AN792, 'Price Sheet'!$A$2:$B1015, 2, false))</f>
        <v>0</v>
      </c>
      <c r="AS792" s="33" t="str">
        <f t="shared" si="12"/>
        <v/>
      </c>
      <c r="AT792" s="37"/>
      <c r="AU792" s="29"/>
      <c r="AV792" s="29" t="b">
        <v>0</v>
      </c>
      <c r="AW792" s="22" t="str">
        <f t="shared" si="13"/>
        <v/>
      </c>
      <c r="AX792" s="7">
        <f>IF(ISBLANK(AT792), 0, VLOOKUP(AT792, 'Price Sheet'!$A$2:$B1015, 2, false))</f>
        <v>0</v>
      </c>
      <c r="AY792" s="33" t="str">
        <f t="shared" si="14"/>
        <v/>
      </c>
      <c r="AZ792" s="37"/>
      <c r="BA792" s="29"/>
      <c r="BB792" s="29" t="b">
        <v>0</v>
      </c>
      <c r="BC792" s="22" t="str">
        <f t="shared" si="15"/>
        <v/>
      </c>
      <c r="BD792" s="7">
        <f>IF(ISBLANK(AZ792), 0, VLOOKUP(AZ792, 'Price Sheet'!$A$2:$B1015, 2, false))</f>
        <v>0</v>
      </c>
      <c r="BE792" s="33" t="str">
        <f t="shared" si="16"/>
        <v/>
      </c>
      <c r="BF792" s="37"/>
      <c r="BG792" s="29"/>
      <c r="BH792" s="29" t="b">
        <v>0</v>
      </c>
      <c r="BI792" s="22" t="str">
        <f t="shared" si="17"/>
        <v/>
      </c>
      <c r="BJ792" s="7">
        <f>IF(ISBLANK(BF792), 0, VLOOKUP(BF792, 'Price Sheet'!$A$2:$B1015, 2, false))</f>
        <v>0</v>
      </c>
      <c r="BK792" s="33" t="str">
        <f t="shared" si="18"/>
        <v/>
      </c>
      <c r="BL792" s="37"/>
      <c r="BM792" s="29"/>
      <c r="BN792" s="29" t="b">
        <v>0</v>
      </c>
      <c r="BO792" s="22" t="str">
        <f t="shared" si="19"/>
        <v/>
      </c>
      <c r="BP792" s="7">
        <f>IF(ISBLANK(BL792), 0, VLOOKUP(BL792, 'Price Sheet'!$A$2:$B1015, 2, false))</f>
        <v>0</v>
      </c>
      <c r="BQ792" s="33" t="str">
        <f t="shared" si="20"/>
        <v/>
      </c>
    </row>
    <row r="793">
      <c r="B793" s="19"/>
      <c r="C793" s="29"/>
      <c r="D793" s="29"/>
      <c r="E793" s="7" t="str">
        <f>IF(ISBLANK(D793), "", VLOOKUP(D793,'Crafting Tables'!$A$2:$B1015, 2, false))</f>
        <v/>
      </c>
      <c r="F793" s="7" t="str">
        <f>IFERROR(IF(E793 = "None", 1, VLOOKUP(C793,General!$A$5:$L$35, SWITCH(E793, "Basic", 8, "Advanced", 10, "Modern", 12), false)),"")</f>
        <v/>
      </c>
      <c r="G793" s="29"/>
      <c r="H793" s="7">
        <f>IFERROR(VLOOKUP(C793, General!$A$5:$L$35, 6, false) * G793 / 1000, 0)</f>
        <v>0</v>
      </c>
      <c r="I793" s="29"/>
      <c r="J793" s="22" t="str">
        <f>IFERROR(I793*VLOOKUP(D793,'Crafting Tables'!$1:$1000, 4, false)*F793,"")</f>
        <v/>
      </c>
      <c r="K793" s="29" t="b">
        <v>0</v>
      </c>
      <c r="L793" s="37"/>
      <c r="M793" s="29"/>
      <c r="N793" s="21" t="str">
        <f t="shared" si="2"/>
        <v/>
      </c>
      <c r="P793" s="37"/>
      <c r="Q793" s="29"/>
      <c r="R793" s="29" t="b">
        <v>0</v>
      </c>
      <c r="S793" s="22" t="str">
        <f t="shared" si="3"/>
        <v/>
      </c>
      <c r="T793" s="7">
        <f>IF(ISBLANK(P793), 0, VLOOKUP(P793, 'Price Sheet'!$A$2:$B1015, 2, false))</f>
        <v>0</v>
      </c>
      <c r="U793" s="33" t="str">
        <f t="shared" si="4"/>
        <v/>
      </c>
      <c r="V793" s="37"/>
      <c r="W793" s="29"/>
      <c r="X793" s="29" t="b">
        <v>0</v>
      </c>
      <c r="Y793" s="22" t="str">
        <f t="shared" si="5"/>
        <v/>
      </c>
      <c r="Z793" s="7">
        <f>IF(ISBLANK(V793), 0, VLOOKUP(V793, 'Price Sheet'!$A$2:$B1015, 2, false))</f>
        <v>0</v>
      </c>
      <c r="AA793" s="33" t="str">
        <f t="shared" si="6"/>
        <v/>
      </c>
      <c r="AB793" s="37"/>
      <c r="AC793" s="29"/>
      <c r="AD793" s="29" t="b">
        <v>0</v>
      </c>
      <c r="AE793" s="22" t="str">
        <f t="shared" si="7"/>
        <v/>
      </c>
      <c r="AF793" s="7">
        <f>IF(ISBLANK(AB793), 0, VLOOKUP(AB793, 'Price Sheet'!$A$2:$B1015, 2, false))</f>
        <v>0</v>
      </c>
      <c r="AG793" s="33" t="str">
        <f t="shared" si="8"/>
        <v/>
      </c>
      <c r="AH793" s="37"/>
      <c r="AI793" s="29"/>
      <c r="AJ793" s="29" t="b">
        <v>0</v>
      </c>
      <c r="AK793" s="22" t="str">
        <f t="shared" si="9"/>
        <v/>
      </c>
      <c r="AL793" s="7">
        <f>IF(ISBLANK(AH793), 0, VLOOKUP(AH793, 'Price Sheet'!$A$2:$B1015, 2, false))</f>
        <v>0</v>
      </c>
      <c r="AM793" s="33" t="str">
        <f t="shared" si="10"/>
        <v/>
      </c>
      <c r="AN793" s="37"/>
      <c r="AO793" s="29"/>
      <c r="AP793" s="29" t="b">
        <v>0</v>
      </c>
      <c r="AQ793" s="22" t="str">
        <f t="shared" si="11"/>
        <v/>
      </c>
      <c r="AR793" s="7">
        <f>IF(ISBLANK(AN793), 0, VLOOKUP(AN793, 'Price Sheet'!$A$2:$B1015, 2, false))</f>
        <v>0</v>
      </c>
      <c r="AS793" s="33" t="str">
        <f t="shared" si="12"/>
        <v/>
      </c>
      <c r="AT793" s="37"/>
      <c r="AU793" s="29"/>
      <c r="AV793" s="29" t="b">
        <v>0</v>
      </c>
      <c r="AW793" s="22" t="str">
        <f t="shared" si="13"/>
        <v/>
      </c>
      <c r="AX793" s="7">
        <f>IF(ISBLANK(AT793), 0, VLOOKUP(AT793, 'Price Sheet'!$A$2:$B1015, 2, false))</f>
        <v>0</v>
      </c>
      <c r="AY793" s="33" t="str">
        <f t="shared" si="14"/>
        <v/>
      </c>
      <c r="AZ793" s="37"/>
      <c r="BA793" s="29"/>
      <c r="BB793" s="29" t="b">
        <v>0</v>
      </c>
      <c r="BC793" s="22" t="str">
        <f t="shared" si="15"/>
        <v/>
      </c>
      <c r="BD793" s="7">
        <f>IF(ISBLANK(AZ793), 0, VLOOKUP(AZ793, 'Price Sheet'!$A$2:$B1015, 2, false))</f>
        <v>0</v>
      </c>
      <c r="BE793" s="33" t="str">
        <f t="shared" si="16"/>
        <v/>
      </c>
      <c r="BF793" s="37"/>
      <c r="BG793" s="29"/>
      <c r="BH793" s="29" t="b">
        <v>0</v>
      </c>
      <c r="BI793" s="22" t="str">
        <f t="shared" si="17"/>
        <v/>
      </c>
      <c r="BJ793" s="7">
        <f>IF(ISBLANK(BF793), 0, VLOOKUP(BF793, 'Price Sheet'!$A$2:$B1015, 2, false))</f>
        <v>0</v>
      </c>
      <c r="BK793" s="33" t="str">
        <f t="shared" si="18"/>
        <v/>
      </c>
      <c r="BL793" s="37"/>
      <c r="BM793" s="29"/>
      <c r="BN793" s="29" t="b">
        <v>0</v>
      </c>
      <c r="BO793" s="22" t="str">
        <f t="shared" si="19"/>
        <v/>
      </c>
      <c r="BP793" s="7">
        <f>IF(ISBLANK(BL793), 0, VLOOKUP(BL793, 'Price Sheet'!$A$2:$B1015, 2, false))</f>
        <v>0</v>
      </c>
      <c r="BQ793" s="33" t="str">
        <f t="shared" si="20"/>
        <v/>
      </c>
    </row>
    <row r="794">
      <c r="B794" s="19"/>
      <c r="C794" s="29"/>
      <c r="D794" s="29"/>
      <c r="E794" s="7" t="str">
        <f>IF(ISBLANK(D794), "", VLOOKUP(D794,'Crafting Tables'!$A$2:$B1015, 2, false))</f>
        <v/>
      </c>
      <c r="F794" s="7" t="str">
        <f>IFERROR(IF(E794 = "None", 1, VLOOKUP(C794,General!$A$5:$L$35, SWITCH(E794, "Basic", 8, "Advanced", 10, "Modern", 12), false)),"")</f>
        <v/>
      </c>
      <c r="G794" s="29"/>
      <c r="H794" s="7">
        <f>IFERROR(VLOOKUP(C794, General!$A$5:$L$35, 6, false) * G794 / 1000, 0)</f>
        <v>0</v>
      </c>
      <c r="I794" s="29"/>
      <c r="J794" s="22" t="str">
        <f>IFERROR(I794*VLOOKUP(D794,'Crafting Tables'!$1:$1000, 4, false)*F794,"")</f>
        <v/>
      </c>
      <c r="K794" s="29" t="b">
        <v>0</v>
      </c>
      <c r="L794" s="37"/>
      <c r="M794" s="29"/>
      <c r="N794" s="21" t="str">
        <f t="shared" si="2"/>
        <v/>
      </c>
      <c r="P794" s="37"/>
      <c r="Q794" s="29"/>
      <c r="R794" s="29" t="b">
        <v>0</v>
      </c>
      <c r="S794" s="22" t="str">
        <f t="shared" si="3"/>
        <v/>
      </c>
      <c r="T794" s="7">
        <f>IF(ISBLANK(P794), 0, VLOOKUP(P794, 'Price Sheet'!$A$2:$B1015, 2, false))</f>
        <v>0</v>
      </c>
      <c r="U794" s="33" t="str">
        <f t="shared" si="4"/>
        <v/>
      </c>
      <c r="V794" s="37"/>
      <c r="W794" s="29"/>
      <c r="X794" s="29" t="b">
        <v>0</v>
      </c>
      <c r="Y794" s="22" t="str">
        <f t="shared" si="5"/>
        <v/>
      </c>
      <c r="Z794" s="7">
        <f>IF(ISBLANK(V794), 0, VLOOKUP(V794, 'Price Sheet'!$A$2:$B1015, 2, false))</f>
        <v>0</v>
      </c>
      <c r="AA794" s="33" t="str">
        <f t="shared" si="6"/>
        <v/>
      </c>
      <c r="AB794" s="37"/>
      <c r="AC794" s="29"/>
      <c r="AD794" s="29" t="b">
        <v>0</v>
      </c>
      <c r="AE794" s="22" t="str">
        <f t="shared" si="7"/>
        <v/>
      </c>
      <c r="AF794" s="7">
        <f>IF(ISBLANK(AB794), 0, VLOOKUP(AB794, 'Price Sheet'!$A$2:$B1015, 2, false))</f>
        <v>0</v>
      </c>
      <c r="AG794" s="33" t="str">
        <f t="shared" si="8"/>
        <v/>
      </c>
      <c r="AH794" s="37"/>
      <c r="AI794" s="29"/>
      <c r="AJ794" s="29" t="b">
        <v>0</v>
      </c>
      <c r="AK794" s="22" t="str">
        <f t="shared" si="9"/>
        <v/>
      </c>
      <c r="AL794" s="7">
        <f>IF(ISBLANK(AH794), 0, VLOOKUP(AH794, 'Price Sheet'!$A$2:$B1015, 2, false))</f>
        <v>0</v>
      </c>
      <c r="AM794" s="33" t="str">
        <f t="shared" si="10"/>
        <v/>
      </c>
      <c r="AN794" s="37"/>
      <c r="AO794" s="29"/>
      <c r="AP794" s="29" t="b">
        <v>0</v>
      </c>
      <c r="AQ794" s="22" t="str">
        <f t="shared" si="11"/>
        <v/>
      </c>
      <c r="AR794" s="7">
        <f>IF(ISBLANK(AN794), 0, VLOOKUP(AN794, 'Price Sheet'!$A$2:$B1015, 2, false))</f>
        <v>0</v>
      </c>
      <c r="AS794" s="33" t="str">
        <f t="shared" si="12"/>
        <v/>
      </c>
      <c r="AT794" s="37"/>
      <c r="AU794" s="29"/>
      <c r="AV794" s="29" t="b">
        <v>0</v>
      </c>
      <c r="AW794" s="22" t="str">
        <f t="shared" si="13"/>
        <v/>
      </c>
      <c r="AX794" s="7">
        <f>IF(ISBLANK(AT794), 0, VLOOKUP(AT794, 'Price Sheet'!$A$2:$B1015, 2, false))</f>
        <v>0</v>
      </c>
      <c r="AY794" s="33" t="str">
        <f t="shared" si="14"/>
        <v/>
      </c>
      <c r="AZ794" s="37"/>
      <c r="BA794" s="29"/>
      <c r="BB794" s="29" t="b">
        <v>0</v>
      </c>
      <c r="BC794" s="22" t="str">
        <f t="shared" si="15"/>
        <v/>
      </c>
      <c r="BD794" s="7">
        <f>IF(ISBLANK(AZ794), 0, VLOOKUP(AZ794, 'Price Sheet'!$A$2:$B1015, 2, false))</f>
        <v>0</v>
      </c>
      <c r="BE794" s="33" t="str">
        <f t="shared" si="16"/>
        <v/>
      </c>
      <c r="BF794" s="37"/>
      <c r="BG794" s="29"/>
      <c r="BH794" s="29" t="b">
        <v>0</v>
      </c>
      <c r="BI794" s="22" t="str">
        <f t="shared" si="17"/>
        <v/>
      </c>
      <c r="BJ794" s="7">
        <f>IF(ISBLANK(BF794), 0, VLOOKUP(BF794, 'Price Sheet'!$A$2:$B1015, 2, false))</f>
        <v>0</v>
      </c>
      <c r="BK794" s="33" t="str">
        <f t="shared" si="18"/>
        <v/>
      </c>
      <c r="BL794" s="37"/>
      <c r="BM794" s="29"/>
      <c r="BN794" s="29" t="b">
        <v>0</v>
      </c>
      <c r="BO794" s="22" t="str">
        <f t="shared" si="19"/>
        <v/>
      </c>
      <c r="BP794" s="7">
        <f>IF(ISBLANK(BL794), 0, VLOOKUP(BL794, 'Price Sheet'!$A$2:$B1015, 2, false))</f>
        <v>0</v>
      </c>
      <c r="BQ794" s="33" t="str">
        <f t="shared" si="20"/>
        <v/>
      </c>
    </row>
    <row r="795">
      <c r="B795" s="19"/>
      <c r="C795" s="29"/>
      <c r="D795" s="29"/>
      <c r="E795" s="7" t="str">
        <f>IF(ISBLANK(D795), "", VLOOKUP(D795,'Crafting Tables'!$A$2:$B1015, 2, false))</f>
        <v/>
      </c>
      <c r="F795" s="7" t="str">
        <f>IFERROR(IF(E795 = "None", 1, VLOOKUP(C795,General!$A$5:$L$35, SWITCH(E795, "Basic", 8, "Advanced", 10, "Modern", 12), false)),"")</f>
        <v/>
      </c>
      <c r="G795" s="29"/>
      <c r="H795" s="7">
        <f>IFERROR(VLOOKUP(C795, General!$A$5:$L$35, 6, false) * G795 / 1000, 0)</f>
        <v>0</v>
      </c>
      <c r="I795" s="29"/>
      <c r="J795" s="22" t="str">
        <f>IFERROR(I795*VLOOKUP(D795,'Crafting Tables'!$1:$1000, 4, false)*F795,"")</f>
        <v/>
      </c>
      <c r="K795" s="29" t="b">
        <v>0</v>
      </c>
      <c r="L795" s="37"/>
      <c r="M795" s="29"/>
      <c r="N795" s="21" t="str">
        <f t="shared" si="2"/>
        <v/>
      </c>
      <c r="P795" s="37"/>
      <c r="Q795" s="29"/>
      <c r="R795" s="29" t="b">
        <v>0</v>
      </c>
      <c r="S795" s="22" t="str">
        <f t="shared" si="3"/>
        <v/>
      </c>
      <c r="T795" s="7">
        <f>IF(ISBLANK(P795), 0, VLOOKUP(P795, 'Price Sheet'!$A$2:$B1015, 2, false))</f>
        <v>0</v>
      </c>
      <c r="U795" s="33" t="str">
        <f t="shared" si="4"/>
        <v/>
      </c>
      <c r="V795" s="37"/>
      <c r="W795" s="29"/>
      <c r="X795" s="29" t="b">
        <v>0</v>
      </c>
      <c r="Y795" s="22" t="str">
        <f t="shared" si="5"/>
        <v/>
      </c>
      <c r="Z795" s="7">
        <f>IF(ISBLANK(V795), 0, VLOOKUP(V795, 'Price Sheet'!$A$2:$B1015, 2, false))</f>
        <v>0</v>
      </c>
      <c r="AA795" s="33" t="str">
        <f t="shared" si="6"/>
        <v/>
      </c>
      <c r="AB795" s="37"/>
      <c r="AC795" s="29"/>
      <c r="AD795" s="29" t="b">
        <v>0</v>
      </c>
      <c r="AE795" s="22" t="str">
        <f t="shared" si="7"/>
        <v/>
      </c>
      <c r="AF795" s="7">
        <f>IF(ISBLANK(AB795), 0, VLOOKUP(AB795, 'Price Sheet'!$A$2:$B1015, 2, false))</f>
        <v>0</v>
      </c>
      <c r="AG795" s="33" t="str">
        <f t="shared" si="8"/>
        <v/>
      </c>
      <c r="AH795" s="37"/>
      <c r="AI795" s="29"/>
      <c r="AJ795" s="29" t="b">
        <v>0</v>
      </c>
      <c r="AK795" s="22" t="str">
        <f t="shared" si="9"/>
        <v/>
      </c>
      <c r="AL795" s="7">
        <f>IF(ISBLANK(AH795), 0, VLOOKUP(AH795, 'Price Sheet'!$A$2:$B1015, 2, false))</f>
        <v>0</v>
      </c>
      <c r="AM795" s="33" t="str">
        <f t="shared" si="10"/>
        <v/>
      </c>
      <c r="AN795" s="37"/>
      <c r="AO795" s="29"/>
      <c r="AP795" s="29" t="b">
        <v>0</v>
      </c>
      <c r="AQ795" s="22" t="str">
        <f t="shared" si="11"/>
        <v/>
      </c>
      <c r="AR795" s="7">
        <f>IF(ISBLANK(AN795), 0, VLOOKUP(AN795, 'Price Sheet'!$A$2:$B1015, 2, false))</f>
        <v>0</v>
      </c>
      <c r="AS795" s="33" t="str">
        <f t="shared" si="12"/>
        <v/>
      </c>
      <c r="AT795" s="37"/>
      <c r="AU795" s="29"/>
      <c r="AV795" s="29" t="b">
        <v>0</v>
      </c>
      <c r="AW795" s="22" t="str">
        <f t="shared" si="13"/>
        <v/>
      </c>
      <c r="AX795" s="7">
        <f>IF(ISBLANK(AT795), 0, VLOOKUP(AT795, 'Price Sheet'!$A$2:$B1015, 2, false))</f>
        <v>0</v>
      </c>
      <c r="AY795" s="33" t="str">
        <f t="shared" si="14"/>
        <v/>
      </c>
      <c r="AZ795" s="37"/>
      <c r="BA795" s="29"/>
      <c r="BB795" s="29" t="b">
        <v>0</v>
      </c>
      <c r="BC795" s="22" t="str">
        <f t="shared" si="15"/>
        <v/>
      </c>
      <c r="BD795" s="7">
        <f>IF(ISBLANK(AZ795), 0, VLOOKUP(AZ795, 'Price Sheet'!$A$2:$B1015, 2, false))</f>
        <v>0</v>
      </c>
      <c r="BE795" s="33" t="str">
        <f t="shared" si="16"/>
        <v/>
      </c>
      <c r="BF795" s="37"/>
      <c r="BG795" s="29"/>
      <c r="BH795" s="29" t="b">
        <v>0</v>
      </c>
      <c r="BI795" s="22" t="str">
        <f t="shared" si="17"/>
        <v/>
      </c>
      <c r="BJ795" s="7">
        <f>IF(ISBLANK(BF795), 0, VLOOKUP(BF795, 'Price Sheet'!$A$2:$B1015, 2, false))</f>
        <v>0</v>
      </c>
      <c r="BK795" s="33" t="str">
        <f t="shared" si="18"/>
        <v/>
      </c>
      <c r="BL795" s="37"/>
      <c r="BM795" s="29"/>
      <c r="BN795" s="29" t="b">
        <v>0</v>
      </c>
      <c r="BO795" s="22" t="str">
        <f t="shared" si="19"/>
        <v/>
      </c>
      <c r="BP795" s="7">
        <f>IF(ISBLANK(BL795), 0, VLOOKUP(BL795, 'Price Sheet'!$A$2:$B1015, 2, false))</f>
        <v>0</v>
      </c>
      <c r="BQ795" s="33" t="str">
        <f t="shared" si="20"/>
        <v/>
      </c>
    </row>
    <row r="796">
      <c r="B796" s="19"/>
      <c r="C796" s="29"/>
      <c r="D796" s="29"/>
      <c r="E796" s="7" t="str">
        <f>IF(ISBLANK(D796), "", VLOOKUP(D796,'Crafting Tables'!$A$2:$B1015, 2, false))</f>
        <v/>
      </c>
      <c r="F796" s="7" t="str">
        <f>IFERROR(IF(E796 = "None", 1, VLOOKUP(C796,General!$A$5:$L$35, SWITCH(E796, "Basic", 8, "Advanced", 10, "Modern", 12), false)),"")</f>
        <v/>
      </c>
      <c r="G796" s="29"/>
      <c r="H796" s="7">
        <f>IFERROR(VLOOKUP(C796, General!$A$5:$L$35, 6, false) * G796 / 1000, 0)</f>
        <v>0</v>
      </c>
      <c r="I796" s="29"/>
      <c r="J796" s="22" t="str">
        <f>IFERROR(I796*VLOOKUP(D796,'Crafting Tables'!$1:$1000, 4, false)*F796,"")</f>
        <v/>
      </c>
      <c r="K796" s="29" t="b">
        <v>0</v>
      </c>
      <c r="L796" s="37"/>
      <c r="M796" s="29"/>
      <c r="N796" s="21" t="str">
        <f t="shared" si="2"/>
        <v/>
      </c>
      <c r="P796" s="37"/>
      <c r="Q796" s="29"/>
      <c r="R796" s="29" t="b">
        <v>0</v>
      </c>
      <c r="S796" s="22" t="str">
        <f t="shared" si="3"/>
        <v/>
      </c>
      <c r="T796" s="7">
        <f>IF(ISBLANK(P796), 0, VLOOKUP(P796, 'Price Sheet'!$A$2:$B1015, 2, false))</f>
        <v>0</v>
      </c>
      <c r="U796" s="33" t="str">
        <f t="shared" si="4"/>
        <v/>
      </c>
      <c r="V796" s="37"/>
      <c r="W796" s="29"/>
      <c r="X796" s="29" t="b">
        <v>0</v>
      </c>
      <c r="Y796" s="22" t="str">
        <f t="shared" si="5"/>
        <v/>
      </c>
      <c r="Z796" s="7">
        <f>IF(ISBLANK(V796), 0, VLOOKUP(V796, 'Price Sheet'!$A$2:$B1015, 2, false))</f>
        <v>0</v>
      </c>
      <c r="AA796" s="33" t="str">
        <f t="shared" si="6"/>
        <v/>
      </c>
      <c r="AB796" s="37"/>
      <c r="AC796" s="29"/>
      <c r="AD796" s="29" t="b">
        <v>0</v>
      </c>
      <c r="AE796" s="22" t="str">
        <f t="shared" si="7"/>
        <v/>
      </c>
      <c r="AF796" s="7">
        <f>IF(ISBLANK(AB796), 0, VLOOKUP(AB796, 'Price Sheet'!$A$2:$B1015, 2, false))</f>
        <v>0</v>
      </c>
      <c r="AG796" s="33" t="str">
        <f t="shared" si="8"/>
        <v/>
      </c>
      <c r="AH796" s="37"/>
      <c r="AI796" s="29"/>
      <c r="AJ796" s="29" t="b">
        <v>0</v>
      </c>
      <c r="AK796" s="22" t="str">
        <f t="shared" si="9"/>
        <v/>
      </c>
      <c r="AL796" s="7">
        <f>IF(ISBLANK(AH796), 0, VLOOKUP(AH796, 'Price Sheet'!$A$2:$B1015, 2, false))</f>
        <v>0</v>
      </c>
      <c r="AM796" s="33" t="str">
        <f t="shared" si="10"/>
        <v/>
      </c>
      <c r="AN796" s="37"/>
      <c r="AO796" s="29"/>
      <c r="AP796" s="29" t="b">
        <v>0</v>
      </c>
      <c r="AQ796" s="22" t="str">
        <f t="shared" si="11"/>
        <v/>
      </c>
      <c r="AR796" s="7">
        <f>IF(ISBLANK(AN796), 0, VLOOKUP(AN796, 'Price Sheet'!$A$2:$B1015, 2, false))</f>
        <v>0</v>
      </c>
      <c r="AS796" s="33" t="str">
        <f t="shared" si="12"/>
        <v/>
      </c>
      <c r="AT796" s="37"/>
      <c r="AU796" s="29"/>
      <c r="AV796" s="29" t="b">
        <v>0</v>
      </c>
      <c r="AW796" s="22" t="str">
        <f t="shared" si="13"/>
        <v/>
      </c>
      <c r="AX796" s="7">
        <f>IF(ISBLANK(AT796), 0, VLOOKUP(AT796, 'Price Sheet'!$A$2:$B1015, 2, false))</f>
        <v>0</v>
      </c>
      <c r="AY796" s="33" t="str">
        <f t="shared" si="14"/>
        <v/>
      </c>
      <c r="AZ796" s="37"/>
      <c r="BA796" s="29"/>
      <c r="BB796" s="29" t="b">
        <v>0</v>
      </c>
      <c r="BC796" s="22" t="str">
        <f t="shared" si="15"/>
        <v/>
      </c>
      <c r="BD796" s="7">
        <f>IF(ISBLANK(AZ796), 0, VLOOKUP(AZ796, 'Price Sheet'!$A$2:$B1015, 2, false))</f>
        <v>0</v>
      </c>
      <c r="BE796" s="33" t="str">
        <f t="shared" si="16"/>
        <v/>
      </c>
      <c r="BF796" s="37"/>
      <c r="BG796" s="29"/>
      <c r="BH796" s="29" t="b">
        <v>0</v>
      </c>
      <c r="BI796" s="22" t="str">
        <f t="shared" si="17"/>
        <v/>
      </c>
      <c r="BJ796" s="7">
        <f>IF(ISBLANK(BF796), 0, VLOOKUP(BF796, 'Price Sheet'!$A$2:$B1015, 2, false))</f>
        <v>0</v>
      </c>
      <c r="BK796" s="33" t="str">
        <f t="shared" si="18"/>
        <v/>
      </c>
      <c r="BL796" s="37"/>
      <c r="BM796" s="29"/>
      <c r="BN796" s="29" t="b">
        <v>0</v>
      </c>
      <c r="BO796" s="22" t="str">
        <f t="shared" si="19"/>
        <v/>
      </c>
      <c r="BP796" s="7">
        <f>IF(ISBLANK(BL796), 0, VLOOKUP(BL796, 'Price Sheet'!$A$2:$B1015, 2, false))</f>
        <v>0</v>
      </c>
      <c r="BQ796" s="33" t="str">
        <f t="shared" si="20"/>
        <v/>
      </c>
    </row>
    <row r="797">
      <c r="B797" s="19"/>
      <c r="C797" s="29"/>
      <c r="D797" s="29"/>
      <c r="E797" s="7" t="str">
        <f>IF(ISBLANK(D797), "", VLOOKUP(D797,'Crafting Tables'!$A$2:$B1015, 2, false))</f>
        <v/>
      </c>
      <c r="F797" s="7" t="str">
        <f>IFERROR(IF(E797 = "None", 1, VLOOKUP(C797,General!$A$5:$L$35, SWITCH(E797, "Basic", 8, "Advanced", 10, "Modern", 12), false)),"")</f>
        <v/>
      </c>
      <c r="G797" s="29"/>
      <c r="H797" s="7">
        <f>IFERROR(VLOOKUP(C797, General!$A$5:$L$35, 6, false) * G797 / 1000, 0)</f>
        <v>0</v>
      </c>
      <c r="I797" s="29"/>
      <c r="J797" s="22" t="str">
        <f>IFERROR(I797*VLOOKUP(D797,'Crafting Tables'!$1:$1000, 4, false)*F797,"")</f>
        <v/>
      </c>
      <c r="K797" s="29" t="b">
        <v>0</v>
      </c>
      <c r="L797" s="37"/>
      <c r="M797" s="29"/>
      <c r="N797" s="21" t="str">
        <f t="shared" si="2"/>
        <v/>
      </c>
      <c r="P797" s="37"/>
      <c r="Q797" s="29"/>
      <c r="R797" s="29" t="b">
        <v>0</v>
      </c>
      <c r="S797" s="22" t="str">
        <f t="shared" si="3"/>
        <v/>
      </c>
      <c r="T797" s="7">
        <f>IF(ISBLANK(P797), 0, VLOOKUP(P797, 'Price Sheet'!$A$2:$B1015, 2, false))</f>
        <v>0</v>
      </c>
      <c r="U797" s="33" t="str">
        <f t="shared" si="4"/>
        <v/>
      </c>
      <c r="V797" s="37"/>
      <c r="W797" s="29"/>
      <c r="X797" s="29" t="b">
        <v>0</v>
      </c>
      <c r="Y797" s="22" t="str">
        <f t="shared" si="5"/>
        <v/>
      </c>
      <c r="Z797" s="7">
        <f>IF(ISBLANK(V797), 0, VLOOKUP(V797, 'Price Sheet'!$A$2:$B1015, 2, false))</f>
        <v>0</v>
      </c>
      <c r="AA797" s="33" t="str">
        <f t="shared" si="6"/>
        <v/>
      </c>
      <c r="AB797" s="37"/>
      <c r="AC797" s="29"/>
      <c r="AD797" s="29" t="b">
        <v>0</v>
      </c>
      <c r="AE797" s="22" t="str">
        <f t="shared" si="7"/>
        <v/>
      </c>
      <c r="AF797" s="7">
        <f>IF(ISBLANK(AB797), 0, VLOOKUP(AB797, 'Price Sheet'!$A$2:$B1015, 2, false))</f>
        <v>0</v>
      </c>
      <c r="AG797" s="33" t="str">
        <f t="shared" si="8"/>
        <v/>
      </c>
      <c r="AH797" s="37"/>
      <c r="AI797" s="29"/>
      <c r="AJ797" s="29" t="b">
        <v>0</v>
      </c>
      <c r="AK797" s="22" t="str">
        <f t="shared" si="9"/>
        <v/>
      </c>
      <c r="AL797" s="7">
        <f>IF(ISBLANK(AH797), 0, VLOOKUP(AH797, 'Price Sheet'!$A$2:$B1015, 2, false))</f>
        <v>0</v>
      </c>
      <c r="AM797" s="33" t="str">
        <f t="shared" si="10"/>
        <v/>
      </c>
      <c r="AN797" s="37"/>
      <c r="AO797" s="29"/>
      <c r="AP797" s="29" t="b">
        <v>0</v>
      </c>
      <c r="AQ797" s="22" t="str">
        <f t="shared" si="11"/>
        <v/>
      </c>
      <c r="AR797" s="7">
        <f>IF(ISBLANK(AN797), 0, VLOOKUP(AN797, 'Price Sheet'!$A$2:$B1015, 2, false))</f>
        <v>0</v>
      </c>
      <c r="AS797" s="33" t="str">
        <f t="shared" si="12"/>
        <v/>
      </c>
      <c r="AT797" s="37"/>
      <c r="AU797" s="29"/>
      <c r="AV797" s="29" t="b">
        <v>0</v>
      </c>
      <c r="AW797" s="22" t="str">
        <f t="shared" si="13"/>
        <v/>
      </c>
      <c r="AX797" s="7">
        <f>IF(ISBLANK(AT797), 0, VLOOKUP(AT797, 'Price Sheet'!$A$2:$B1015, 2, false))</f>
        <v>0</v>
      </c>
      <c r="AY797" s="33" t="str">
        <f t="shared" si="14"/>
        <v/>
      </c>
      <c r="AZ797" s="37"/>
      <c r="BA797" s="29"/>
      <c r="BB797" s="29" t="b">
        <v>0</v>
      </c>
      <c r="BC797" s="22" t="str">
        <f t="shared" si="15"/>
        <v/>
      </c>
      <c r="BD797" s="7">
        <f>IF(ISBLANK(AZ797), 0, VLOOKUP(AZ797, 'Price Sheet'!$A$2:$B1015, 2, false))</f>
        <v>0</v>
      </c>
      <c r="BE797" s="33" t="str">
        <f t="shared" si="16"/>
        <v/>
      </c>
      <c r="BF797" s="37"/>
      <c r="BG797" s="29"/>
      <c r="BH797" s="29" t="b">
        <v>0</v>
      </c>
      <c r="BI797" s="22" t="str">
        <f t="shared" si="17"/>
        <v/>
      </c>
      <c r="BJ797" s="7">
        <f>IF(ISBLANK(BF797), 0, VLOOKUP(BF797, 'Price Sheet'!$A$2:$B1015, 2, false))</f>
        <v>0</v>
      </c>
      <c r="BK797" s="33" t="str">
        <f t="shared" si="18"/>
        <v/>
      </c>
      <c r="BL797" s="37"/>
      <c r="BM797" s="29"/>
      <c r="BN797" s="29" t="b">
        <v>0</v>
      </c>
      <c r="BO797" s="22" t="str">
        <f t="shared" si="19"/>
        <v/>
      </c>
      <c r="BP797" s="7">
        <f>IF(ISBLANK(BL797), 0, VLOOKUP(BL797, 'Price Sheet'!$A$2:$B1015, 2, false))</f>
        <v>0</v>
      </c>
      <c r="BQ797" s="33" t="str">
        <f t="shared" si="20"/>
        <v/>
      </c>
    </row>
    <row r="798">
      <c r="B798" s="19"/>
      <c r="C798" s="29"/>
      <c r="D798" s="29"/>
      <c r="E798" s="7" t="str">
        <f>IF(ISBLANK(D798), "", VLOOKUP(D798,'Crafting Tables'!$A$2:$B1015, 2, false))</f>
        <v/>
      </c>
      <c r="F798" s="7" t="str">
        <f>IFERROR(IF(E798 = "None", 1, VLOOKUP(C798,General!$A$5:$L$35, SWITCH(E798, "Basic", 8, "Advanced", 10, "Modern", 12), false)),"")</f>
        <v/>
      </c>
      <c r="G798" s="29"/>
      <c r="H798" s="7">
        <f>IFERROR(VLOOKUP(C798, General!$A$5:$L$35, 6, false) * G798 / 1000, 0)</f>
        <v>0</v>
      </c>
      <c r="I798" s="29"/>
      <c r="J798" s="22" t="str">
        <f>IFERROR(I798*VLOOKUP(D798,'Crafting Tables'!$1:$1000, 4, false)*F798,"")</f>
        <v/>
      </c>
      <c r="K798" s="29" t="b">
        <v>0</v>
      </c>
      <c r="L798" s="37"/>
      <c r="M798" s="29"/>
      <c r="N798" s="21" t="str">
        <f t="shared" si="2"/>
        <v/>
      </c>
      <c r="P798" s="37"/>
      <c r="Q798" s="29"/>
      <c r="R798" s="29" t="b">
        <v>0</v>
      </c>
      <c r="S798" s="22" t="str">
        <f t="shared" si="3"/>
        <v/>
      </c>
      <c r="T798" s="7">
        <f>IF(ISBLANK(P798), 0, VLOOKUP(P798, 'Price Sheet'!$A$2:$B1015, 2, false))</f>
        <v>0</v>
      </c>
      <c r="U798" s="33" t="str">
        <f t="shared" si="4"/>
        <v/>
      </c>
      <c r="V798" s="37"/>
      <c r="W798" s="29"/>
      <c r="X798" s="29" t="b">
        <v>0</v>
      </c>
      <c r="Y798" s="22" t="str">
        <f t="shared" si="5"/>
        <v/>
      </c>
      <c r="Z798" s="7">
        <f>IF(ISBLANK(V798), 0, VLOOKUP(V798, 'Price Sheet'!$A$2:$B1015, 2, false))</f>
        <v>0</v>
      </c>
      <c r="AA798" s="33" t="str">
        <f t="shared" si="6"/>
        <v/>
      </c>
      <c r="AB798" s="37"/>
      <c r="AC798" s="29"/>
      <c r="AD798" s="29" t="b">
        <v>0</v>
      </c>
      <c r="AE798" s="22" t="str">
        <f t="shared" si="7"/>
        <v/>
      </c>
      <c r="AF798" s="7">
        <f>IF(ISBLANK(AB798), 0, VLOOKUP(AB798, 'Price Sheet'!$A$2:$B1015, 2, false))</f>
        <v>0</v>
      </c>
      <c r="AG798" s="33" t="str">
        <f t="shared" si="8"/>
        <v/>
      </c>
      <c r="AH798" s="37"/>
      <c r="AI798" s="29"/>
      <c r="AJ798" s="29" t="b">
        <v>0</v>
      </c>
      <c r="AK798" s="22" t="str">
        <f t="shared" si="9"/>
        <v/>
      </c>
      <c r="AL798" s="7">
        <f>IF(ISBLANK(AH798), 0, VLOOKUP(AH798, 'Price Sheet'!$A$2:$B1015, 2, false))</f>
        <v>0</v>
      </c>
      <c r="AM798" s="33" t="str">
        <f t="shared" si="10"/>
        <v/>
      </c>
      <c r="AN798" s="37"/>
      <c r="AO798" s="29"/>
      <c r="AP798" s="29" t="b">
        <v>0</v>
      </c>
      <c r="AQ798" s="22" t="str">
        <f t="shared" si="11"/>
        <v/>
      </c>
      <c r="AR798" s="7">
        <f>IF(ISBLANK(AN798), 0, VLOOKUP(AN798, 'Price Sheet'!$A$2:$B1015, 2, false))</f>
        <v>0</v>
      </c>
      <c r="AS798" s="33" t="str">
        <f t="shared" si="12"/>
        <v/>
      </c>
      <c r="AT798" s="37"/>
      <c r="AU798" s="29"/>
      <c r="AV798" s="29" t="b">
        <v>0</v>
      </c>
      <c r="AW798" s="22" t="str">
        <f t="shared" si="13"/>
        <v/>
      </c>
      <c r="AX798" s="7">
        <f>IF(ISBLANK(AT798), 0, VLOOKUP(AT798, 'Price Sheet'!$A$2:$B1015, 2, false))</f>
        <v>0</v>
      </c>
      <c r="AY798" s="33" t="str">
        <f t="shared" si="14"/>
        <v/>
      </c>
      <c r="AZ798" s="37"/>
      <c r="BA798" s="29"/>
      <c r="BB798" s="29" t="b">
        <v>0</v>
      </c>
      <c r="BC798" s="22" t="str">
        <f t="shared" si="15"/>
        <v/>
      </c>
      <c r="BD798" s="7">
        <f>IF(ISBLANK(AZ798), 0, VLOOKUP(AZ798, 'Price Sheet'!$A$2:$B1015, 2, false))</f>
        <v>0</v>
      </c>
      <c r="BE798" s="33" t="str">
        <f t="shared" si="16"/>
        <v/>
      </c>
      <c r="BF798" s="37"/>
      <c r="BG798" s="29"/>
      <c r="BH798" s="29" t="b">
        <v>0</v>
      </c>
      <c r="BI798" s="22" t="str">
        <f t="shared" si="17"/>
        <v/>
      </c>
      <c r="BJ798" s="7">
        <f>IF(ISBLANK(BF798), 0, VLOOKUP(BF798, 'Price Sheet'!$A$2:$B1015, 2, false))</f>
        <v>0</v>
      </c>
      <c r="BK798" s="33" t="str">
        <f t="shared" si="18"/>
        <v/>
      </c>
      <c r="BL798" s="37"/>
      <c r="BM798" s="29"/>
      <c r="BN798" s="29" t="b">
        <v>0</v>
      </c>
      <c r="BO798" s="22" t="str">
        <f t="shared" si="19"/>
        <v/>
      </c>
      <c r="BP798" s="7">
        <f>IF(ISBLANK(BL798), 0, VLOOKUP(BL798, 'Price Sheet'!$A$2:$B1015, 2, false))</f>
        <v>0</v>
      </c>
      <c r="BQ798" s="33" t="str">
        <f t="shared" si="20"/>
        <v/>
      </c>
    </row>
    <row r="799">
      <c r="B799" s="19"/>
      <c r="C799" s="29"/>
      <c r="D799" s="29"/>
      <c r="E799" s="7" t="str">
        <f>IF(ISBLANK(D799), "", VLOOKUP(D799,'Crafting Tables'!$A$2:$B1015, 2, false))</f>
        <v/>
      </c>
      <c r="F799" s="7" t="str">
        <f>IFERROR(IF(E799 = "None", 1, VLOOKUP(C799,General!$A$5:$L$35, SWITCH(E799, "Basic", 8, "Advanced", 10, "Modern", 12), false)),"")</f>
        <v/>
      </c>
      <c r="G799" s="29"/>
      <c r="H799" s="7">
        <f>IFERROR(VLOOKUP(C799, General!$A$5:$L$35, 6, false) * G799 / 1000, 0)</f>
        <v>0</v>
      </c>
      <c r="I799" s="29"/>
      <c r="J799" s="22" t="str">
        <f>IFERROR(I799*VLOOKUP(D799,'Crafting Tables'!$1:$1000, 4, false)*F799,"")</f>
        <v/>
      </c>
      <c r="K799" s="29" t="b">
        <v>0</v>
      </c>
      <c r="L799" s="37"/>
      <c r="M799" s="29"/>
      <c r="N799" s="21" t="str">
        <f t="shared" si="2"/>
        <v/>
      </c>
      <c r="P799" s="37"/>
      <c r="Q799" s="29"/>
      <c r="R799" s="29" t="b">
        <v>0</v>
      </c>
      <c r="S799" s="22" t="str">
        <f t="shared" si="3"/>
        <v/>
      </c>
      <c r="T799" s="7">
        <f>IF(ISBLANK(P799), 0, VLOOKUP(P799, 'Price Sheet'!$A$2:$B1015, 2, false))</f>
        <v>0</v>
      </c>
      <c r="U799" s="33" t="str">
        <f t="shared" si="4"/>
        <v/>
      </c>
      <c r="V799" s="37"/>
      <c r="W799" s="29"/>
      <c r="X799" s="29" t="b">
        <v>0</v>
      </c>
      <c r="Y799" s="22" t="str">
        <f t="shared" si="5"/>
        <v/>
      </c>
      <c r="Z799" s="7">
        <f>IF(ISBLANK(V799), 0, VLOOKUP(V799, 'Price Sheet'!$A$2:$B1015, 2, false))</f>
        <v>0</v>
      </c>
      <c r="AA799" s="33" t="str">
        <f t="shared" si="6"/>
        <v/>
      </c>
      <c r="AB799" s="37"/>
      <c r="AC799" s="29"/>
      <c r="AD799" s="29" t="b">
        <v>0</v>
      </c>
      <c r="AE799" s="22" t="str">
        <f t="shared" si="7"/>
        <v/>
      </c>
      <c r="AF799" s="7">
        <f>IF(ISBLANK(AB799), 0, VLOOKUP(AB799, 'Price Sheet'!$A$2:$B1015, 2, false))</f>
        <v>0</v>
      </c>
      <c r="AG799" s="33" t="str">
        <f t="shared" si="8"/>
        <v/>
      </c>
      <c r="AH799" s="37"/>
      <c r="AI799" s="29"/>
      <c r="AJ799" s="29" t="b">
        <v>0</v>
      </c>
      <c r="AK799" s="22" t="str">
        <f t="shared" si="9"/>
        <v/>
      </c>
      <c r="AL799" s="7">
        <f>IF(ISBLANK(AH799), 0, VLOOKUP(AH799, 'Price Sheet'!$A$2:$B1015, 2, false))</f>
        <v>0</v>
      </c>
      <c r="AM799" s="33" t="str">
        <f t="shared" si="10"/>
        <v/>
      </c>
      <c r="AN799" s="37"/>
      <c r="AO799" s="29"/>
      <c r="AP799" s="29" t="b">
        <v>0</v>
      </c>
      <c r="AQ799" s="22" t="str">
        <f t="shared" si="11"/>
        <v/>
      </c>
      <c r="AR799" s="7">
        <f>IF(ISBLANK(AN799), 0, VLOOKUP(AN799, 'Price Sheet'!$A$2:$B1015, 2, false))</f>
        <v>0</v>
      </c>
      <c r="AS799" s="33" t="str">
        <f t="shared" si="12"/>
        <v/>
      </c>
      <c r="AT799" s="37"/>
      <c r="AU799" s="29"/>
      <c r="AV799" s="29" t="b">
        <v>0</v>
      </c>
      <c r="AW799" s="22" t="str">
        <f t="shared" si="13"/>
        <v/>
      </c>
      <c r="AX799" s="7">
        <f>IF(ISBLANK(AT799), 0, VLOOKUP(AT799, 'Price Sheet'!$A$2:$B1015, 2, false))</f>
        <v>0</v>
      </c>
      <c r="AY799" s="33" t="str">
        <f t="shared" si="14"/>
        <v/>
      </c>
      <c r="AZ799" s="37"/>
      <c r="BA799" s="29"/>
      <c r="BB799" s="29" t="b">
        <v>0</v>
      </c>
      <c r="BC799" s="22" t="str">
        <f t="shared" si="15"/>
        <v/>
      </c>
      <c r="BD799" s="7">
        <f>IF(ISBLANK(AZ799), 0, VLOOKUP(AZ799, 'Price Sheet'!$A$2:$B1015, 2, false))</f>
        <v>0</v>
      </c>
      <c r="BE799" s="33" t="str">
        <f t="shared" si="16"/>
        <v/>
      </c>
      <c r="BF799" s="37"/>
      <c r="BG799" s="29"/>
      <c r="BH799" s="29" t="b">
        <v>0</v>
      </c>
      <c r="BI799" s="22" t="str">
        <f t="shared" si="17"/>
        <v/>
      </c>
      <c r="BJ799" s="7">
        <f>IF(ISBLANK(BF799), 0, VLOOKUP(BF799, 'Price Sheet'!$A$2:$B1015, 2, false))</f>
        <v>0</v>
      </c>
      <c r="BK799" s="33" t="str">
        <f t="shared" si="18"/>
        <v/>
      </c>
      <c r="BL799" s="37"/>
      <c r="BM799" s="29"/>
      <c r="BN799" s="29" t="b">
        <v>0</v>
      </c>
      <c r="BO799" s="22" t="str">
        <f t="shared" si="19"/>
        <v/>
      </c>
      <c r="BP799" s="7">
        <f>IF(ISBLANK(BL799), 0, VLOOKUP(BL799, 'Price Sheet'!$A$2:$B1015, 2, false))</f>
        <v>0</v>
      </c>
      <c r="BQ799" s="33" t="str">
        <f t="shared" si="20"/>
        <v/>
      </c>
    </row>
    <row r="800">
      <c r="B800" s="19"/>
      <c r="C800" s="29"/>
      <c r="D800" s="29"/>
      <c r="E800" s="7" t="str">
        <f>IF(ISBLANK(D800), "", VLOOKUP(D800,'Crafting Tables'!$A$2:$B1015, 2, false))</f>
        <v/>
      </c>
      <c r="F800" s="7" t="str">
        <f>IFERROR(IF(E800 = "None", 1, VLOOKUP(C800,General!$A$5:$L$35, SWITCH(E800, "Basic", 8, "Advanced", 10, "Modern", 12), false)),"")</f>
        <v/>
      </c>
      <c r="G800" s="29"/>
      <c r="H800" s="7">
        <f>IFERROR(VLOOKUP(C800, General!$A$5:$L$35, 6, false) * G800 / 1000, 0)</f>
        <v>0</v>
      </c>
      <c r="I800" s="29"/>
      <c r="J800" s="22" t="str">
        <f>IFERROR(I800*VLOOKUP(D800,'Crafting Tables'!$1:$1000, 4, false)*F800,"")</f>
        <v/>
      </c>
      <c r="K800" s="29" t="b">
        <v>0</v>
      </c>
      <c r="L800" s="37"/>
      <c r="M800" s="29"/>
      <c r="N800" s="21" t="str">
        <f t="shared" si="2"/>
        <v/>
      </c>
      <c r="P800" s="37"/>
      <c r="Q800" s="29"/>
      <c r="R800" s="29" t="b">
        <v>0</v>
      </c>
      <c r="S800" s="22" t="str">
        <f t="shared" si="3"/>
        <v/>
      </c>
      <c r="T800" s="7">
        <f>IF(ISBLANK(P800), 0, VLOOKUP(P800, 'Price Sheet'!$A$2:$B1015, 2, false))</f>
        <v>0</v>
      </c>
      <c r="U800" s="33" t="str">
        <f t="shared" si="4"/>
        <v/>
      </c>
      <c r="V800" s="37"/>
      <c r="W800" s="29"/>
      <c r="X800" s="29" t="b">
        <v>0</v>
      </c>
      <c r="Y800" s="22" t="str">
        <f t="shared" si="5"/>
        <v/>
      </c>
      <c r="Z800" s="7">
        <f>IF(ISBLANK(V800), 0, VLOOKUP(V800, 'Price Sheet'!$A$2:$B1015, 2, false))</f>
        <v>0</v>
      </c>
      <c r="AA800" s="33" t="str">
        <f t="shared" si="6"/>
        <v/>
      </c>
      <c r="AB800" s="37"/>
      <c r="AC800" s="29"/>
      <c r="AD800" s="29" t="b">
        <v>0</v>
      </c>
      <c r="AE800" s="22" t="str">
        <f t="shared" si="7"/>
        <v/>
      </c>
      <c r="AF800" s="7">
        <f>IF(ISBLANK(AB800), 0, VLOOKUP(AB800, 'Price Sheet'!$A$2:$B1015, 2, false))</f>
        <v>0</v>
      </c>
      <c r="AG800" s="33" t="str">
        <f t="shared" si="8"/>
        <v/>
      </c>
      <c r="AH800" s="37"/>
      <c r="AI800" s="29"/>
      <c r="AJ800" s="29" t="b">
        <v>0</v>
      </c>
      <c r="AK800" s="22" t="str">
        <f t="shared" si="9"/>
        <v/>
      </c>
      <c r="AL800" s="7">
        <f>IF(ISBLANK(AH800), 0, VLOOKUP(AH800, 'Price Sheet'!$A$2:$B1015, 2, false))</f>
        <v>0</v>
      </c>
      <c r="AM800" s="33" t="str">
        <f t="shared" si="10"/>
        <v/>
      </c>
      <c r="AN800" s="37"/>
      <c r="AO800" s="29"/>
      <c r="AP800" s="29" t="b">
        <v>0</v>
      </c>
      <c r="AQ800" s="22" t="str">
        <f t="shared" si="11"/>
        <v/>
      </c>
      <c r="AR800" s="7">
        <f>IF(ISBLANK(AN800), 0, VLOOKUP(AN800, 'Price Sheet'!$A$2:$B1015, 2, false))</f>
        <v>0</v>
      </c>
      <c r="AS800" s="33" t="str">
        <f t="shared" si="12"/>
        <v/>
      </c>
      <c r="AT800" s="37"/>
      <c r="AU800" s="29"/>
      <c r="AV800" s="29" t="b">
        <v>0</v>
      </c>
      <c r="AW800" s="22" t="str">
        <f t="shared" si="13"/>
        <v/>
      </c>
      <c r="AX800" s="7">
        <f>IF(ISBLANK(AT800), 0, VLOOKUP(AT800, 'Price Sheet'!$A$2:$B1015, 2, false))</f>
        <v>0</v>
      </c>
      <c r="AY800" s="33" t="str">
        <f t="shared" si="14"/>
        <v/>
      </c>
      <c r="AZ800" s="37"/>
      <c r="BA800" s="29"/>
      <c r="BB800" s="29" t="b">
        <v>0</v>
      </c>
      <c r="BC800" s="22" t="str">
        <f t="shared" si="15"/>
        <v/>
      </c>
      <c r="BD800" s="7">
        <f>IF(ISBLANK(AZ800), 0, VLOOKUP(AZ800, 'Price Sheet'!$A$2:$B1015, 2, false))</f>
        <v>0</v>
      </c>
      <c r="BE800" s="33" t="str">
        <f t="shared" si="16"/>
        <v/>
      </c>
      <c r="BF800" s="37"/>
      <c r="BG800" s="29"/>
      <c r="BH800" s="29" t="b">
        <v>0</v>
      </c>
      <c r="BI800" s="22" t="str">
        <f t="shared" si="17"/>
        <v/>
      </c>
      <c r="BJ800" s="7">
        <f>IF(ISBLANK(BF800), 0, VLOOKUP(BF800, 'Price Sheet'!$A$2:$B1015, 2, false))</f>
        <v>0</v>
      </c>
      <c r="BK800" s="33" t="str">
        <f t="shared" si="18"/>
        <v/>
      </c>
      <c r="BL800" s="37"/>
      <c r="BM800" s="29"/>
      <c r="BN800" s="29" t="b">
        <v>0</v>
      </c>
      <c r="BO800" s="22" t="str">
        <f t="shared" si="19"/>
        <v/>
      </c>
      <c r="BP800" s="7">
        <f>IF(ISBLANK(BL800), 0, VLOOKUP(BL800, 'Price Sheet'!$A$2:$B1015, 2, false))</f>
        <v>0</v>
      </c>
      <c r="BQ800" s="33" t="str">
        <f t="shared" si="20"/>
        <v/>
      </c>
    </row>
    <row r="801">
      <c r="B801" s="19"/>
      <c r="C801" s="29"/>
      <c r="D801" s="29"/>
      <c r="E801" s="7" t="str">
        <f>IF(ISBLANK(D801), "", VLOOKUP(D801,'Crafting Tables'!$A$2:$B1015, 2, false))</f>
        <v/>
      </c>
      <c r="F801" s="7" t="str">
        <f>IFERROR(IF(E801 = "None", 1, VLOOKUP(C801,General!$A$5:$L$35, SWITCH(E801, "Basic", 8, "Advanced", 10, "Modern", 12), false)),"")</f>
        <v/>
      </c>
      <c r="G801" s="29"/>
      <c r="H801" s="7">
        <f>IFERROR(VLOOKUP(C801, General!$A$5:$L$35, 6, false) * G801 / 1000, 0)</f>
        <v>0</v>
      </c>
      <c r="I801" s="29"/>
      <c r="J801" s="22" t="str">
        <f>IFERROR(I801*VLOOKUP(D801,'Crafting Tables'!$1:$1000, 4, false)*F801,"")</f>
        <v/>
      </c>
      <c r="K801" s="29" t="b">
        <v>0</v>
      </c>
      <c r="L801" s="37"/>
      <c r="M801" s="29"/>
      <c r="N801" s="21" t="str">
        <f t="shared" si="2"/>
        <v/>
      </c>
      <c r="P801" s="37"/>
      <c r="Q801" s="29"/>
      <c r="R801" s="29" t="b">
        <v>0</v>
      </c>
      <c r="S801" s="22" t="str">
        <f t="shared" si="3"/>
        <v/>
      </c>
      <c r="T801" s="7">
        <f>IF(ISBLANK(P801), 0, VLOOKUP(P801, 'Price Sheet'!$A$2:$B1015, 2, false))</f>
        <v>0</v>
      </c>
      <c r="U801" s="33" t="str">
        <f t="shared" si="4"/>
        <v/>
      </c>
      <c r="V801" s="37"/>
      <c r="W801" s="29"/>
      <c r="X801" s="29" t="b">
        <v>0</v>
      </c>
      <c r="Y801" s="22" t="str">
        <f t="shared" si="5"/>
        <v/>
      </c>
      <c r="Z801" s="7">
        <f>IF(ISBLANK(V801), 0, VLOOKUP(V801, 'Price Sheet'!$A$2:$B1015, 2, false))</f>
        <v>0</v>
      </c>
      <c r="AA801" s="33" t="str">
        <f t="shared" si="6"/>
        <v/>
      </c>
      <c r="AB801" s="37"/>
      <c r="AC801" s="29"/>
      <c r="AD801" s="29" t="b">
        <v>0</v>
      </c>
      <c r="AE801" s="22" t="str">
        <f t="shared" si="7"/>
        <v/>
      </c>
      <c r="AF801" s="7">
        <f>IF(ISBLANK(AB801), 0, VLOOKUP(AB801, 'Price Sheet'!$A$2:$B1015, 2, false))</f>
        <v>0</v>
      </c>
      <c r="AG801" s="33" t="str">
        <f t="shared" si="8"/>
        <v/>
      </c>
      <c r="AH801" s="37"/>
      <c r="AI801" s="29"/>
      <c r="AJ801" s="29" t="b">
        <v>0</v>
      </c>
      <c r="AK801" s="22" t="str">
        <f t="shared" si="9"/>
        <v/>
      </c>
      <c r="AL801" s="7">
        <f>IF(ISBLANK(AH801), 0, VLOOKUP(AH801, 'Price Sheet'!$A$2:$B1015, 2, false))</f>
        <v>0</v>
      </c>
      <c r="AM801" s="33" t="str">
        <f t="shared" si="10"/>
        <v/>
      </c>
      <c r="AN801" s="37"/>
      <c r="AO801" s="29"/>
      <c r="AP801" s="29" t="b">
        <v>0</v>
      </c>
      <c r="AQ801" s="22" t="str">
        <f t="shared" si="11"/>
        <v/>
      </c>
      <c r="AR801" s="7">
        <f>IF(ISBLANK(AN801), 0, VLOOKUP(AN801, 'Price Sheet'!$A$2:$B1015, 2, false))</f>
        <v>0</v>
      </c>
      <c r="AS801" s="33" t="str">
        <f t="shared" si="12"/>
        <v/>
      </c>
      <c r="AT801" s="37"/>
      <c r="AU801" s="29"/>
      <c r="AV801" s="29" t="b">
        <v>0</v>
      </c>
      <c r="AW801" s="22" t="str">
        <f t="shared" si="13"/>
        <v/>
      </c>
      <c r="AX801" s="7">
        <f>IF(ISBLANK(AT801), 0, VLOOKUP(AT801, 'Price Sheet'!$A$2:$B1015, 2, false))</f>
        <v>0</v>
      </c>
      <c r="AY801" s="33" t="str">
        <f t="shared" si="14"/>
        <v/>
      </c>
      <c r="AZ801" s="37"/>
      <c r="BA801" s="29"/>
      <c r="BB801" s="29" t="b">
        <v>0</v>
      </c>
      <c r="BC801" s="22" t="str">
        <f t="shared" si="15"/>
        <v/>
      </c>
      <c r="BD801" s="7">
        <f>IF(ISBLANK(AZ801), 0, VLOOKUP(AZ801, 'Price Sheet'!$A$2:$B1015, 2, false))</f>
        <v>0</v>
      </c>
      <c r="BE801" s="33" t="str">
        <f t="shared" si="16"/>
        <v/>
      </c>
      <c r="BF801" s="37"/>
      <c r="BG801" s="29"/>
      <c r="BH801" s="29" t="b">
        <v>0</v>
      </c>
      <c r="BI801" s="22" t="str">
        <f t="shared" si="17"/>
        <v/>
      </c>
      <c r="BJ801" s="7">
        <f>IF(ISBLANK(BF801), 0, VLOOKUP(BF801, 'Price Sheet'!$A$2:$B1015, 2, false))</f>
        <v>0</v>
      </c>
      <c r="BK801" s="33" t="str">
        <f t="shared" si="18"/>
        <v/>
      </c>
      <c r="BL801" s="37"/>
      <c r="BM801" s="29"/>
      <c r="BN801" s="29" t="b">
        <v>0</v>
      </c>
      <c r="BO801" s="22" t="str">
        <f t="shared" si="19"/>
        <v/>
      </c>
      <c r="BP801" s="7">
        <f>IF(ISBLANK(BL801), 0, VLOOKUP(BL801, 'Price Sheet'!$A$2:$B1015, 2, false))</f>
        <v>0</v>
      </c>
      <c r="BQ801" s="33" t="str">
        <f t="shared" si="20"/>
        <v/>
      </c>
    </row>
    <row r="802">
      <c r="B802" s="19"/>
      <c r="C802" s="29"/>
      <c r="D802" s="29"/>
      <c r="E802" s="7" t="str">
        <f>IF(ISBLANK(D802), "", VLOOKUP(D802,'Crafting Tables'!$A$2:$B1015, 2, false))</f>
        <v/>
      </c>
      <c r="F802" s="7" t="str">
        <f>IFERROR(IF(E802 = "None", 1, VLOOKUP(C802,General!$A$5:$L$35, SWITCH(E802, "Basic", 8, "Advanced", 10, "Modern", 12), false)),"")</f>
        <v/>
      </c>
      <c r="G802" s="29"/>
      <c r="H802" s="7">
        <f>IFERROR(VLOOKUP(C802, General!$A$5:$L$35, 6, false) * G802 / 1000, 0)</f>
        <v>0</v>
      </c>
      <c r="I802" s="29"/>
      <c r="J802" s="22" t="str">
        <f>IFERROR(I802*VLOOKUP(D802,'Crafting Tables'!$1:$1000, 4, false)*F802,"")</f>
        <v/>
      </c>
      <c r="K802" s="29" t="b">
        <v>0</v>
      </c>
      <c r="L802" s="37"/>
      <c r="M802" s="29"/>
      <c r="N802" s="21" t="str">
        <f t="shared" si="2"/>
        <v/>
      </c>
      <c r="P802" s="37"/>
      <c r="Q802" s="29"/>
      <c r="R802" s="29" t="b">
        <v>0</v>
      </c>
      <c r="S802" s="22" t="str">
        <f t="shared" si="3"/>
        <v/>
      </c>
      <c r="T802" s="7">
        <f>IF(ISBLANK(P802), 0, VLOOKUP(P802, 'Price Sheet'!$A$2:$B1015, 2, false))</f>
        <v>0</v>
      </c>
      <c r="U802" s="33" t="str">
        <f t="shared" si="4"/>
        <v/>
      </c>
      <c r="V802" s="37"/>
      <c r="W802" s="29"/>
      <c r="X802" s="29" t="b">
        <v>0</v>
      </c>
      <c r="Y802" s="22" t="str">
        <f t="shared" si="5"/>
        <v/>
      </c>
      <c r="Z802" s="7">
        <f>IF(ISBLANK(V802), 0, VLOOKUP(V802, 'Price Sheet'!$A$2:$B1015, 2, false))</f>
        <v>0</v>
      </c>
      <c r="AA802" s="33" t="str">
        <f t="shared" si="6"/>
        <v/>
      </c>
      <c r="AB802" s="37"/>
      <c r="AC802" s="29"/>
      <c r="AD802" s="29" t="b">
        <v>0</v>
      </c>
      <c r="AE802" s="22" t="str">
        <f t="shared" si="7"/>
        <v/>
      </c>
      <c r="AF802" s="7">
        <f>IF(ISBLANK(AB802), 0, VLOOKUP(AB802, 'Price Sheet'!$A$2:$B1015, 2, false))</f>
        <v>0</v>
      </c>
      <c r="AG802" s="33" t="str">
        <f t="shared" si="8"/>
        <v/>
      </c>
      <c r="AH802" s="37"/>
      <c r="AI802" s="29"/>
      <c r="AJ802" s="29" t="b">
        <v>0</v>
      </c>
      <c r="AK802" s="22" t="str">
        <f t="shared" si="9"/>
        <v/>
      </c>
      <c r="AL802" s="7">
        <f>IF(ISBLANK(AH802), 0, VLOOKUP(AH802, 'Price Sheet'!$A$2:$B1015, 2, false))</f>
        <v>0</v>
      </c>
      <c r="AM802" s="33" t="str">
        <f t="shared" si="10"/>
        <v/>
      </c>
      <c r="AN802" s="37"/>
      <c r="AO802" s="29"/>
      <c r="AP802" s="29" t="b">
        <v>0</v>
      </c>
      <c r="AQ802" s="22" t="str">
        <f t="shared" si="11"/>
        <v/>
      </c>
      <c r="AR802" s="7">
        <f>IF(ISBLANK(AN802), 0, VLOOKUP(AN802, 'Price Sheet'!$A$2:$B1015, 2, false))</f>
        <v>0</v>
      </c>
      <c r="AS802" s="33" t="str">
        <f t="shared" si="12"/>
        <v/>
      </c>
      <c r="AT802" s="37"/>
      <c r="AU802" s="29"/>
      <c r="AV802" s="29" t="b">
        <v>0</v>
      </c>
      <c r="AW802" s="22" t="str">
        <f t="shared" si="13"/>
        <v/>
      </c>
      <c r="AX802" s="7">
        <f>IF(ISBLANK(AT802), 0, VLOOKUP(AT802, 'Price Sheet'!$A$2:$B1015, 2, false))</f>
        <v>0</v>
      </c>
      <c r="AY802" s="33" t="str">
        <f t="shared" si="14"/>
        <v/>
      </c>
      <c r="AZ802" s="37"/>
      <c r="BA802" s="29"/>
      <c r="BB802" s="29" t="b">
        <v>0</v>
      </c>
      <c r="BC802" s="22" t="str">
        <f t="shared" si="15"/>
        <v/>
      </c>
      <c r="BD802" s="7">
        <f>IF(ISBLANK(AZ802), 0, VLOOKUP(AZ802, 'Price Sheet'!$A$2:$B1015, 2, false))</f>
        <v>0</v>
      </c>
      <c r="BE802" s="33" t="str">
        <f t="shared" si="16"/>
        <v/>
      </c>
      <c r="BF802" s="37"/>
      <c r="BG802" s="29"/>
      <c r="BH802" s="29" t="b">
        <v>0</v>
      </c>
      <c r="BI802" s="22" t="str">
        <f t="shared" si="17"/>
        <v/>
      </c>
      <c r="BJ802" s="7">
        <f>IF(ISBLANK(BF802), 0, VLOOKUP(BF802, 'Price Sheet'!$A$2:$B1015, 2, false))</f>
        <v>0</v>
      </c>
      <c r="BK802" s="33" t="str">
        <f t="shared" si="18"/>
        <v/>
      </c>
      <c r="BL802" s="37"/>
      <c r="BM802" s="29"/>
      <c r="BN802" s="29" t="b">
        <v>0</v>
      </c>
      <c r="BO802" s="22" t="str">
        <f t="shared" si="19"/>
        <v/>
      </c>
      <c r="BP802" s="7">
        <f>IF(ISBLANK(BL802), 0, VLOOKUP(BL802, 'Price Sheet'!$A$2:$B1015, 2, false))</f>
        <v>0</v>
      </c>
      <c r="BQ802" s="33" t="str">
        <f t="shared" si="20"/>
        <v/>
      </c>
    </row>
    <row r="803">
      <c r="B803" s="19"/>
      <c r="C803" s="29"/>
      <c r="D803" s="29"/>
      <c r="E803" s="7" t="str">
        <f>IF(ISBLANK(D803), "", VLOOKUP(D803,'Crafting Tables'!$A$2:$B1015, 2, false))</f>
        <v/>
      </c>
      <c r="F803" s="7" t="str">
        <f>IFERROR(IF(E803 = "None", 1, VLOOKUP(C803,General!$A$5:$L$35, SWITCH(E803, "Basic", 8, "Advanced", 10, "Modern", 12), false)),"")</f>
        <v/>
      </c>
      <c r="G803" s="29"/>
      <c r="H803" s="7">
        <f>IFERROR(VLOOKUP(C803, General!$A$5:$L$35, 6, false) * G803 / 1000, 0)</f>
        <v>0</v>
      </c>
      <c r="I803" s="29"/>
      <c r="J803" s="22" t="str">
        <f>IFERROR(I803*VLOOKUP(D803,'Crafting Tables'!$1:$1000, 4, false)*F803,"")</f>
        <v/>
      </c>
      <c r="K803" s="29" t="b">
        <v>0</v>
      </c>
      <c r="L803" s="37"/>
      <c r="M803" s="29"/>
      <c r="N803" s="21" t="str">
        <f t="shared" si="2"/>
        <v/>
      </c>
      <c r="P803" s="37"/>
      <c r="Q803" s="29"/>
      <c r="R803" s="29" t="b">
        <v>0</v>
      </c>
      <c r="S803" s="22" t="str">
        <f t="shared" si="3"/>
        <v/>
      </c>
      <c r="T803" s="7">
        <f>IF(ISBLANK(P803), 0, VLOOKUP(P803, 'Price Sheet'!$A$2:$B1015, 2, false))</f>
        <v>0</v>
      </c>
      <c r="U803" s="33" t="str">
        <f t="shared" si="4"/>
        <v/>
      </c>
      <c r="V803" s="37"/>
      <c r="W803" s="29"/>
      <c r="X803" s="29" t="b">
        <v>0</v>
      </c>
      <c r="Y803" s="22" t="str">
        <f t="shared" si="5"/>
        <v/>
      </c>
      <c r="Z803" s="7">
        <f>IF(ISBLANK(V803), 0, VLOOKUP(V803, 'Price Sheet'!$A$2:$B1015, 2, false))</f>
        <v>0</v>
      </c>
      <c r="AA803" s="33" t="str">
        <f t="shared" si="6"/>
        <v/>
      </c>
      <c r="AB803" s="37"/>
      <c r="AC803" s="29"/>
      <c r="AD803" s="29" t="b">
        <v>0</v>
      </c>
      <c r="AE803" s="22" t="str">
        <f t="shared" si="7"/>
        <v/>
      </c>
      <c r="AF803" s="7">
        <f>IF(ISBLANK(AB803), 0, VLOOKUP(AB803, 'Price Sheet'!$A$2:$B1015, 2, false))</f>
        <v>0</v>
      </c>
      <c r="AG803" s="33" t="str">
        <f t="shared" si="8"/>
        <v/>
      </c>
      <c r="AH803" s="37"/>
      <c r="AI803" s="29"/>
      <c r="AJ803" s="29" t="b">
        <v>0</v>
      </c>
      <c r="AK803" s="22" t="str">
        <f t="shared" si="9"/>
        <v/>
      </c>
      <c r="AL803" s="7">
        <f>IF(ISBLANK(AH803), 0, VLOOKUP(AH803, 'Price Sheet'!$A$2:$B1015, 2, false))</f>
        <v>0</v>
      </c>
      <c r="AM803" s="33" t="str">
        <f t="shared" si="10"/>
        <v/>
      </c>
      <c r="AN803" s="37"/>
      <c r="AO803" s="29"/>
      <c r="AP803" s="29" t="b">
        <v>0</v>
      </c>
      <c r="AQ803" s="22" t="str">
        <f t="shared" si="11"/>
        <v/>
      </c>
      <c r="AR803" s="7">
        <f>IF(ISBLANK(AN803), 0, VLOOKUP(AN803, 'Price Sheet'!$A$2:$B1015, 2, false))</f>
        <v>0</v>
      </c>
      <c r="AS803" s="33" t="str">
        <f t="shared" si="12"/>
        <v/>
      </c>
      <c r="AT803" s="37"/>
      <c r="AU803" s="29"/>
      <c r="AV803" s="29" t="b">
        <v>0</v>
      </c>
      <c r="AW803" s="22" t="str">
        <f t="shared" si="13"/>
        <v/>
      </c>
      <c r="AX803" s="7">
        <f>IF(ISBLANK(AT803), 0, VLOOKUP(AT803, 'Price Sheet'!$A$2:$B1015, 2, false))</f>
        <v>0</v>
      </c>
      <c r="AY803" s="33" t="str">
        <f t="shared" si="14"/>
        <v/>
      </c>
      <c r="AZ803" s="37"/>
      <c r="BA803" s="29"/>
      <c r="BB803" s="29" t="b">
        <v>0</v>
      </c>
      <c r="BC803" s="22" t="str">
        <f t="shared" si="15"/>
        <v/>
      </c>
      <c r="BD803" s="7">
        <f>IF(ISBLANK(AZ803), 0, VLOOKUP(AZ803, 'Price Sheet'!$A$2:$B1015, 2, false))</f>
        <v>0</v>
      </c>
      <c r="BE803" s="33" t="str">
        <f t="shared" si="16"/>
        <v/>
      </c>
      <c r="BF803" s="37"/>
      <c r="BG803" s="29"/>
      <c r="BH803" s="29" t="b">
        <v>0</v>
      </c>
      <c r="BI803" s="22" t="str">
        <f t="shared" si="17"/>
        <v/>
      </c>
      <c r="BJ803" s="7">
        <f>IF(ISBLANK(BF803), 0, VLOOKUP(BF803, 'Price Sheet'!$A$2:$B1015, 2, false))</f>
        <v>0</v>
      </c>
      <c r="BK803" s="33" t="str">
        <f t="shared" si="18"/>
        <v/>
      </c>
      <c r="BL803" s="37"/>
      <c r="BM803" s="29"/>
      <c r="BN803" s="29" t="b">
        <v>0</v>
      </c>
      <c r="BO803" s="22" t="str">
        <f t="shared" si="19"/>
        <v/>
      </c>
      <c r="BP803" s="7">
        <f>IF(ISBLANK(BL803), 0, VLOOKUP(BL803, 'Price Sheet'!$A$2:$B1015, 2, false))</f>
        <v>0</v>
      </c>
      <c r="BQ803" s="33" t="str">
        <f t="shared" si="20"/>
        <v/>
      </c>
    </row>
    <row r="804">
      <c r="B804" s="19"/>
      <c r="C804" s="29"/>
      <c r="D804" s="29"/>
      <c r="E804" s="7" t="str">
        <f>IF(ISBLANK(D804), "", VLOOKUP(D804,'Crafting Tables'!$A$2:$B1015, 2, false))</f>
        <v/>
      </c>
      <c r="F804" s="7" t="str">
        <f>IFERROR(IF(E804 = "None", 1, VLOOKUP(C804,General!$A$5:$L$35, SWITCH(E804, "Basic", 8, "Advanced", 10, "Modern", 12), false)),"")</f>
        <v/>
      </c>
      <c r="G804" s="29"/>
      <c r="H804" s="7">
        <f>IFERROR(VLOOKUP(C804, General!$A$5:$L$35, 6, false) * G804 / 1000, 0)</f>
        <v>0</v>
      </c>
      <c r="I804" s="29"/>
      <c r="J804" s="22" t="str">
        <f>IFERROR(I804*VLOOKUP(D804,'Crafting Tables'!$1:$1000, 4, false)*F804,"")</f>
        <v/>
      </c>
      <c r="K804" s="29" t="b">
        <v>0</v>
      </c>
      <c r="L804" s="37"/>
      <c r="M804" s="29"/>
      <c r="N804" s="21" t="str">
        <f t="shared" si="2"/>
        <v/>
      </c>
      <c r="P804" s="37"/>
      <c r="Q804" s="29"/>
      <c r="R804" s="29" t="b">
        <v>0</v>
      </c>
      <c r="S804" s="22" t="str">
        <f t="shared" si="3"/>
        <v/>
      </c>
      <c r="T804" s="7">
        <f>IF(ISBLANK(P804), 0, VLOOKUP(P804, 'Price Sheet'!$A$2:$B1015, 2, false))</f>
        <v>0</v>
      </c>
      <c r="U804" s="33" t="str">
        <f t="shared" si="4"/>
        <v/>
      </c>
      <c r="V804" s="37"/>
      <c r="W804" s="29"/>
      <c r="X804" s="29" t="b">
        <v>0</v>
      </c>
      <c r="Y804" s="22" t="str">
        <f t="shared" si="5"/>
        <v/>
      </c>
      <c r="Z804" s="7">
        <f>IF(ISBLANK(V804), 0, VLOOKUP(V804, 'Price Sheet'!$A$2:$B1015, 2, false))</f>
        <v>0</v>
      </c>
      <c r="AA804" s="33" t="str">
        <f t="shared" si="6"/>
        <v/>
      </c>
      <c r="AB804" s="37"/>
      <c r="AC804" s="29"/>
      <c r="AD804" s="29" t="b">
        <v>0</v>
      </c>
      <c r="AE804" s="22" t="str">
        <f t="shared" si="7"/>
        <v/>
      </c>
      <c r="AF804" s="7">
        <f>IF(ISBLANK(AB804), 0, VLOOKUP(AB804, 'Price Sheet'!$A$2:$B1015, 2, false))</f>
        <v>0</v>
      </c>
      <c r="AG804" s="33" t="str">
        <f t="shared" si="8"/>
        <v/>
      </c>
      <c r="AH804" s="37"/>
      <c r="AI804" s="29"/>
      <c r="AJ804" s="29" t="b">
        <v>0</v>
      </c>
      <c r="AK804" s="22" t="str">
        <f t="shared" si="9"/>
        <v/>
      </c>
      <c r="AL804" s="7">
        <f>IF(ISBLANK(AH804), 0, VLOOKUP(AH804, 'Price Sheet'!$A$2:$B1015, 2, false))</f>
        <v>0</v>
      </c>
      <c r="AM804" s="33" t="str">
        <f t="shared" si="10"/>
        <v/>
      </c>
      <c r="AN804" s="37"/>
      <c r="AO804" s="29"/>
      <c r="AP804" s="29" t="b">
        <v>0</v>
      </c>
      <c r="AQ804" s="22" t="str">
        <f t="shared" si="11"/>
        <v/>
      </c>
      <c r="AR804" s="7">
        <f>IF(ISBLANK(AN804), 0, VLOOKUP(AN804, 'Price Sheet'!$A$2:$B1015, 2, false))</f>
        <v>0</v>
      </c>
      <c r="AS804" s="33" t="str">
        <f t="shared" si="12"/>
        <v/>
      </c>
      <c r="AT804" s="37"/>
      <c r="AU804" s="29"/>
      <c r="AV804" s="29" t="b">
        <v>0</v>
      </c>
      <c r="AW804" s="22" t="str">
        <f t="shared" si="13"/>
        <v/>
      </c>
      <c r="AX804" s="7">
        <f>IF(ISBLANK(AT804), 0, VLOOKUP(AT804, 'Price Sheet'!$A$2:$B1015, 2, false))</f>
        <v>0</v>
      </c>
      <c r="AY804" s="33" t="str">
        <f t="shared" si="14"/>
        <v/>
      </c>
      <c r="AZ804" s="37"/>
      <c r="BA804" s="29"/>
      <c r="BB804" s="29" t="b">
        <v>0</v>
      </c>
      <c r="BC804" s="22" t="str">
        <f t="shared" si="15"/>
        <v/>
      </c>
      <c r="BD804" s="7">
        <f>IF(ISBLANK(AZ804), 0, VLOOKUP(AZ804, 'Price Sheet'!$A$2:$B1015, 2, false))</f>
        <v>0</v>
      </c>
      <c r="BE804" s="33" t="str">
        <f t="shared" si="16"/>
        <v/>
      </c>
      <c r="BF804" s="37"/>
      <c r="BG804" s="29"/>
      <c r="BH804" s="29" t="b">
        <v>0</v>
      </c>
      <c r="BI804" s="22" t="str">
        <f t="shared" si="17"/>
        <v/>
      </c>
      <c r="BJ804" s="7">
        <f>IF(ISBLANK(BF804), 0, VLOOKUP(BF804, 'Price Sheet'!$A$2:$B1015, 2, false))</f>
        <v>0</v>
      </c>
      <c r="BK804" s="33" t="str">
        <f t="shared" si="18"/>
        <v/>
      </c>
      <c r="BL804" s="37"/>
      <c r="BM804" s="29"/>
      <c r="BN804" s="29" t="b">
        <v>0</v>
      </c>
      <c r="BO804" s="22" t="str">
        <f t="shared" si="19"/>
        <v/>
      </c>
      <c r="BP804" s="7">
        <f>IF(ISBLANK(BL804), 0, VLOOKUP(BL804, 'Price Sheet'!$A$2:$B1015, 2, false))</f>
        <v>0</v>
      </c>
      <c r="BQ804" s="33" t="str">
        <f t="shared" si="20"/>
        <v/>
      </c>
    </row>
    <row r="805">
      <c r="B805" s="19"/>
      <c r="C805" s="29"/>
      <c r="D805" s="29"/>
      <c r="E805" s="7" t="str">
        <f>IF(ISBLANK(D805), "", VLOOKUP(D805,'Crafting Tables'!$A$2:$B1015, 2, false))</f>
        <v/>
      </c>
      <c r="F805" s="7" t="str">
        <f>IFERROR(IF(E805 = "None", 1, VLOOKUP(C805,General!$A$5:$L$35, SWITCH(E805, "Basic", 8, "Advanced", 10, "Modern", 12), false)),"")</f>
        <v/>
      </c>
      <c r="G805" s="29"/>
      <c r="H805" s="7">
        <f>IFERROR(VLOOKUP(C805, General!$A$5:$L$35, 6, false) * G805 / 1000, 0)</f>
        <v>0</v>
      </c>
      <c r="I805" s="29"/>
      <c r="J805" s="22" t="str">
        <f>IFERROR(I805*VLOOKUP(D805,'Crafting Tables'!$1:$1000, 4, false)*F805,"")</f>
        <v/>
      </c>
      <c r="K805" s="29" t="b">
        <v>0</v>
      </c>
      <c r="L805" s="37"/>
      <c r="M805" s="29"/>
      <c r="N805" s="21" t="str">
        <f t="shared" si="2"/>
        <v/>
      </c>
      <c r="P805" s="37"/>
      <c r="Q805" s="29"/>
      <c r="R805" s="29" t="b">
        <v>0</v>
      </c>
      <c r="S805" s="22" t="str">
        <f t="shared" si="3"/>
        <v/>
      </c>
      <c r="T805" s="7">
        <f>IF(ISBLANK(P805), 0, VLOOKUP(P805, 'Price Sheet'!$A$2:$B1015, 2, false))</f>
        <v>0</v>
      </c>
      <c r="U805" s="33" t="str">
        <f t="shared" si="4"/>
        <v/>
      </c>
      <c r="V805" s="37"/>
      <c r="W805" s="29"/>
      <c r="X805" s="29" t="b">
        <v>0</v>
      </c>
      <c r="Y805" s="22" t="str">
        <f t="shared" si="5"/>
        <v/>
      </c>
      <c r="Z805" s="7">
        <f>IF(ISBLANK(V805), 0, VLOOKUP(V805, 'Price Sheet'!$A$2:$B1015, 2, false))</f>
        <v>0</v>
      </c>
      <c r="AA805" s="33" t="str">
        <f t="shared" si="6"/>
        <v/>
      </c>
      <c r="AB805" s="37"/>
      <c r="AC805" s="29"/>
      <c r="AD805" s="29" t="b">
        <v>0</v>
      </c>
      <c r="AE805" s="22" t="str">
        <f t="shared" si="7"/>
        <v/>
      </c>
      <c r="AF805" s="7">
        <f>IF(ISBLANK(AB805), 0, VLOOKUP(AB805, 'Price Sheet'!$A$2:$B1015, 2, false))</f>
        <v>0</v>
      </c>
      <c r="AG805" s="33" t="str">
        <f t="shared" si="8"/>
        <v/>
      </c>
      <c r="AH805" s="37"/>
      <c r="AI805" s="29"/>
      <c r="AJ805" s="29" t="b">
        <v>0</v>
      </c>
      <c r="AK805" s="22" t="str">
        <f t="shared" si="9"/>
        <v/>
      </c>
      <c r="AL805" s="7">
        <f>IF(ISBLANK(AH805), 0, VLOOKUP(AH805, 'Price Sheet'!$A$2:$B1015, 2, false))</f>
        <v>0</v>
      </c>
      <c r="AM805" s="33" t="str">
        <f t="shared" si="10"/>
        <v/>
      </c>
      <c r="AN805" s="37"/>
      <c r="AO805" s="29"/>
      <c r="AP805" s="29" t="b">
        <v>0</v>
      </c>
      <c r="AQ805" s="22" t="str">
        <f t="shared" si="11"/>
        <v/>
      </c>
      <c r="AR805" s="7">
        <f>IF(ISBLANK(AN805), 0, VLOOKUP(AN805, 'Price Sheet'!$A$2:$B1015, 2, false))</f>
        <v>0</v>
      </c>
      <c r="AS805" s="33" t="str">
        <f t="shared" si="12"/>
        <v/>
      </c>
      <c r="AT805" s="37"/>
      <c r="AU805" s="29"/>
      <c r="AV805" s="29" t="b">
        <v>0</v>
      </c>
      <c r="AW805" s="22" t="str">
        <f t="shared" si="13"/>
        <v/>
      </c>
      <c r="AX805" s="7">
        <f>IF(ISBLANK(AT805), 0, VLOOKUP(AT805, 'Price Sheet'!$A$2:$B1015, 2, false))</f>
        <v>0</v>
      </c>
      <c r="AY805" s="33" t="str">
        <f t="shared" si="14"/>
        <v/>
      </c>
      <c r="AZ805" s="37"/>
      <c r="BA805" s="29"/>
      <c r="BB805" s="29" t="b">
        <v>0</v>
      </c>
      <c r="BC805" s="22" t="str">
        <f t="shared" si="15"/>
        <v/>
      </c>
      <c r="BD805" s="7">
        <f>IF(ISBLANK(AZ805), 0, VLOOKUP(AZ805, 'Price Sheet'!$A$2:$B1015, 2, false))</f>
        <v>0</v>
      </c>
      <c r="BE805" s="33" t="str">
        <f t="shared" si="16"/>
        <v/>
      </c>
      <c r="BF805" s="37"/>
      <c r="BG805" s="29"/>
      <c r="BH805" s="29" t="b">
        <v>0</v>
      </c>
      <c r="BI805" s="22" t="str">
        <f t="shared" si="17"/>
        <v/>
      </c>
      <c r="BJ805" s="7">
        <f>IF(ISBLANK(BF805), 0, VLOOKUP(BF805, 'Price Sheet'!$A$2:$B1015, 2, false))</f>
        <v>0</v>
      </c>
      <c r="BK805" s="33" t="str">
        <f t="shared" si="18"/>
        <v/>
      </c>
      <c r="BL805" s="37"/>
      <c r="BM805" s="29"/>
      <c r="BN805" s="29" t="b">
        <v>0</v>
      </c>
      <c r="BO805" s="22" t="str">
        <f t="shared" si="19"/>
        <v/>
      </c>
      <c r="BP805" s="7">
        <f>IF(ISBLANK(BL805), 0, VLOOKUP(BL805, 'Price Sheet'!$A$2:$B1015, 2, false))</f>
        <v>0</v>
      </c>
      <c r="BQ805" s="33" t="str">
        <f t="shared" si="20"/>
        <v/>
      </c>
    </row>
    <row r="806">
      <c r="B806" s="19"/>
      <c r="C806" s="29"/>
      <c r="D806" s="29"/>
      <c r="E806" s="7" t="str">
        <f>IF(ISBLANK(D806), "", VLOOKUP(D806,'Crafting Tables'!$A$2:$B1015, 2, false))</f>
        <v/>
      </c>
      <c r="F806" s="7" t="str">
        <f>IFERROR(IF(E806 = "None", 1, VLOOKUP(C806,General!$A$5:$L$35, SWITCH(E806, "Basic", 8, "Advanced", 10, "Modern", 12), false)),"")</f>
        <v/>
      </c>
      <c r="G806" s="29"/>
      <c r="H806" s="7">
        <f>IFERROR(VLOOKUP(C806, General!$A$5:$L$35, 6, false) * G806 / 1000, 0)</f>
        <v>0</v>
      </c>
      <c r="I806" s="29"/>
      <c r="J806" s="22" t="str">
        <f>IFERROR(I806*VLOOKUP(D806,'Crafting Tables'!$1:$1000, 4, false)*F806,"")</f>
        <v/>
      </c>
      <c r="K806" s="29" t="b">
        <v>0</v>
      </c>
      <c r="L806" s="37"/>
      <c r="M806" s="29"/>
      <c r="N806" s="21" t="str">
        <f t="shared" si="2"/>
        <v/>
      </c>
      <c r="P806" s="37"/>
      <c r="Q806" s="29"/>
      <c r="R806" s="29" t="b">
        <v>0</v>
      </c>
      <c r="S806" s="22" t="str">
        <f t="shared" si="3"/>
        <v/>
      </c>
      <c r="T806" s="7">
        <f>IF(ISBLANK(P806), 0, VLOOKUP(P806, 'Price Sheet'!$A$2:$B1015, 2, false))</f>
        <v>0</v>
      </c>
      <c r="U806" s="33" t="str">
        <f t="shared" si="4"/>
        <v/>
      </c>
      <c r="V806" s="37"/>
      <c r="W806" s="29"/>
      <c r="X806" s="29" t="b">
        <v>0</v>
      </c>
      <c r="Y806" s="22" t="str">
        <f t="shared" si="5"/>
        <v/>
      </c>
      <c r="Z806" s="7">
        <f>IF(ISBLANK(V806), 0, VLOOKUP(V806, 'Price Sheet'!$A$2:$B1015, 2, false))</f>
        <v>0</v>
      </c>
      <c r="AA806" s="33" t="str">
        <f t="shared" si="6"/>
        <v/>
      </c>
      <c r="AB806" s="37"/>
      <c r="AC806" s="29"/>
      <c r="AD806" s="29" t="b">
        <v>0</v>
      </c>
      <c r="AE806" s="22" t="str">
        <f t="shared" si="7"/>
        <v/>
      </c>
      <c r="AF806" s="7">
        <f>IF(ISBLANK(AB806), 0, VLOOKUP(AB806, 'Price Sheet'!$A$2:$B1015, 2, false))</f>
        <v>0</v>
      </c>
      <c r="AG806" s="33" t="str">
        <f t="shared" si="8"/>
        <v/>
      </c>
      <c r="AH806" s="37"/>
      <c r="AI806" s="29"/>
      <c r="AJ806" s="29" t="b">
        <v>0</v>
      </c>
      <c r="AK806" s="22" t="str">
        <f t="shared" si="9"/>
        <v/>
      </c>
      <c r="AL806" s="7">
        <f>IF(ISBLANK(AH806), 0, VLOOKUP(AH806, 'Price Sheet'!$A$2:$B1015, 2, false))</f>
        <v>0</v>
      </c>
      <c r="AM806" s="33" t="str">
        <f t="shared" si="10"/>
        <v/>
      </c>
      <c r="AN806" s="37"/>
      <c r="AO806" s="29"/>
      <c r="AP806" s="29" t="b">
        <v>0</v>
      </c>
      <c r="AQ806" s="22" t="str">
        <f t="shared" si="11"/>
        <v/>
      </c>
      <c r="AR806" s="7">
        <f>IF(ISBLANK(AN806), 0, VLOOKUP(AN806, 'Price Sheet'!$A$2:$B1015, 2, false))</f>
        <v>0</v>
      </c>
      <c r="AS806" s="33" t="str">
        <f t="shared" si="12"/>
        <v/>
      </c>
      <c r="AT806" s="37"/>
      <c r="AU806" s="29"/>
      <c r="AV806" s="29" t="b">
        <v>0</v>
      </c>
      <c r="AW806" s="22" t="str">
        <f t="shared" si="13"/>
        <v/>
      </c>
      <c r="AX806" s="7">
        <f>IF(ISBLANK(AT806), 0, VLOOKUP(AT806, 'Price Sheet'!$A$2:$B1015, 2, false))</f>
        <v>0</v>
      </c>
      <c r="AY806" s="33" t="str">
        <f t="shared" si="14"/>
        <v/>
      </c>
      <c r="AZ806" s="37"/>
      <c r="BA806" s="29"/>
      <c r="BB806" s="29" t="b">
        <v>0</v>
      </c>
      <c r="BC806" s="22" t="str">
        <f t="shared" si="15"/>
        <v/>
      </c>
      <c r="BD806" s="7">
        <f>IF(ISBLANK(AZ806), 0, VLOOKUP(AZ806, 'Price Sheet'!$A$2:$B1015, 2, false))</f>
        <v>0</v>
      </c>
      <c r="BE806" s="33" t="str">
        <f t="shared" si="16"/>
        <v/>
      </c>
      <c r="BF806" s="37"/>
      <c r="BG806" s="29"/>
      <c r="BH806" s="29" t="b">
        <v>0</v>
      </c>
      <c r="BI806" s="22" t="str">
        <f t="shared" si="17"/>
        <v/>
      </c>
      <c r="BJ806" s="7">
        <f>IF(ISBLANK(BF806), 0, VLOOKUP(BF806, 'Price Sheet'!$A$2:$B1015, 2, false))</f>
        <v>0</v>
      </c>
      <c r="BK806" s="33" t="str">
        <f t="shared" si="18"/>
        <v/>
      </c>
      <c r="BL806" s="37"/>
      <c r="BM806" s="29"/>
      <c r="BN806" s="29" t="b">
        <v>0</v>
      </c>
      <c r="BO806" s="22" t="str">
        <f t="shared" si="19"/>
        <v/>
      </c>
      <c r="BP806" s="7">
        <f>IF(ISBLANK(BL806), 0, VLOOKUP(BL806, 'Price Sheet'!$A$2:$B1015, 2, false))</f>
        <v>0</v>
      </c>
      <c r="BQ806" s="33" t="str">
        <f t="shared" si="20"/>
        <v/>
      </c>
    </row>
    <row r="807">
      <c r="B807" s="19"/>
      <c r="C807" s="29"/>
      <c r="D807" s="29"/>
      <c r="E807" s="7" t="str">
        <f>IF(ISBLANK(D807), "", VLOOKUP(D807,'Crafting Tables'!$A$2:$B1015, 2, false))</f>
        <v/>
      </c>
      <c r="F807" s="7" t="str">
        <f>IFERROR(IF(E807 = "None", 1, VLOOKUP(C807,General!$A$5:$L$35, SWITCH(E807, "Basic", 8, "Advanced", 10, "Modern", 12), false)),"")</f>
        <v/>
      </c>
      <c r="G807" s="29"/>
      <c r="H807" s="7">
        <f>IFERROR(VLOOKUP(C807, General!$A$5:$L$35, 6, false) * G807 / 1000, 0)</f>
        <v>0</v>
      </c>
      <c r="I807" s="29"/>
      <c r="J807" s="22" t="str">
        <f>IFERROR(I807*VLOOKUP(D807,'Crafting Tables'!$1:$1000, 4, false)*F807,"")</f>
        <v/>
      </c>
      <c r="K807" s="29" t="b">
        <v>0</v>
      </c>
      <c r="L807" s="37"/>
      <c r="M807" s="29"/>
      <c r="N807" s="21" t="str">
        <f t="shared" si="2"/>
        <v/>
      </c>
      <c r="P807" s="37"/>
      <c r="Q807" s="29"/>
      <c r="R807" s="29" t="b">
        <v>0</v>
      </c>
      <c r="S807" s="22" t="str">
        <f t="shared" si="3"/>
        <v/>
      </c>
      <c r="T807" s="7">
        <f>IF(ISBLANK(P807), 0, VLOOKUP(P807, 'Price Sheet'!$A$2:$B1015, 2, false))</f>
        <v>0</v>
      </c>
      <c r="U807" s="33" t="str">
        <f t="shared" si="4"/>
        <v/>
      </c>
      <c r="V807" s="37"/>
      <c r="W807" s="29"/>
      <c r="X807" s="29" t="b">
        <v>0</v>
      </c>
      <c r="Y807" s="22" t="str">
        <f t="shared" si="5"/>
        <v/>
      </c>
      <c r="Z807" s="7">
        <f>IF(ISBLANK(V807), 0, VLOOKUP(V807, 'Price Sheet'!$A$2:$B1015, 2, false))</f>
        <v>0</v>
      </c>
      <c r="AA807" s="33" t="str">
        <f t="shared" si="6"/>
        <v/>
      </c>
      <c r="AB807" s="37"/>
      <c r="AC807" s="29"/>
      <c r="AD807" s="29" t="b">
        <v>0</v>
      </c>
      <c r="AE807" s="22" t="str">
        <f t="shared" si="7"/>
        <v/>
      </c>
      <c r="AF807" s="7">
        <f>IF(ISBLANK(AB807), 0, VLOOKUP(AB807, 'Price Sheet'!$A$2:$B1015, 2, false))</f>
        <v>0</v>
      </c>
      <c r="AG807" s="33" t="str">
        <f t="shared" si="8"/>
        <v/>
      </c>
      <c r="AH807" s="37"/>
      <c r="AI807" s="29"/>
      <c r="AJ807" s="29" t="b">
        <v>0</v>
      </c>
      <c r="AK807" s="22" t="str">
        <f t="shared" si="9"/>
        <v/>
      </c>
      <c r="AL807" s="7">
        <f>IF(ISBLANK(AH807), 0, VLOOKUP(AH807, 'Price Sheet'!$A$2:$B1015, 2, false))</f>
        <v>0</v>
      </c>
      <c r="AM807" s="33" t="str">
        <f t="shared" si="10"/>
        <v/>
      </c>
      <c r="AN807" s="37"/>
      <c r="AO807" s="29"/>
      <c r="AP807" s="29" t="b">
        <v>0</v>
      </c>
      <c r="AQ807" s="22" t="str">
        <f t="shared" si="11"/>
        <v/>
      </c>
      <c r="AR807" s="7">
        <f>IF(ISBLANK(AN807), 0, VLOOKUP(AN807, 'Price Sheet'!$A$2:$B1015, 2, false))</f>
        <v>0</v>
      </c>
      <c r="AS807" s="33" t="str">
        <f t="shared" si="12"/>
        <v/>
      </c>
      <c r="AT807" s="37"/>
      <c r="AU807" s="29"/>
      <c r="AV807" s="29" t="b">
        <v>0</v>
      </c>
      <c r="AW807" s="22" t="str">
        <f t="shared" si="13"/>
        <v/>
      </c>
      <c r="AX807" s="7">
        <f>IF(ISBLANK(AT807), 0, VLOOKUP(AT807, 'Price Sheet'!$A$2:$B1015, 2, false))</f>
        <v>0</v>
      </c>
      <c r="AY807" s="33" t="str">
        <f t="shared" si="14"/>
        <v/>
      </c>
      <c r="AZ807" s="37"/>
      <c r="BA807" s="29"/>
      <c r="BB807" s="29" t="b">
        <v>0</v>
      </c>
      <c r="BC807" s="22" t="str">
        <f t="shared" si="15"/>
        <v/>
      </c>
      <c r="BD807" s="7">
        <f>IF(ISBLANK(AZ807), 0, VLOOKUP(AZ807, 'Price Sheet'!$A$2:$B1015, 2, false))</f>
        <v>0</v>
      </c>
      <c r="BE807" s="33" t="str">
        <f t="shared" si="16"/>
        <v/>
      </c>
      <c r="BF807" s="37"/>
      <c r="BG807" s="29"/>
      <c r="BH807" s="29" t="b">
        <v>0</v>
      </c>
      <c r="BI807" s="22" t="str">
        <f t="shared" si="17"/>
        <v/>
      </c>
      <c r="BJ807" s="7">
        <f>IF(ISBLANK(BF807), 0, VLOOKUP(BF807, 'Price Sheet'!$A$2:$B1015, 2, false))</f>
        <v>0</v>
      </c>
      <c r="BK807" s="33" t="str">
        <f t="shared" si="18"/>
        <v/>
      </c>
      <c r="BL807" s="37"/>
      <c r="BM807" s="29"/>
      <c r="BN807" s="29" t="b">
        <v>0</v>
      </c>
      <c r="BO807" s="22" t="str">
        <f t="shared" si="19"/>
        <v/>
      </c>
      <c r="BP807" s="7">
        <f>IF(ISBLANK(BL807), 0, VLOOKUP(BL807, 'Price Sheet'!$A$2:$B1015, 2, false))</f>
        <v>0</v>
      </c>
      <c r="BQ807" s="33" t="str">
        <f t="shared" si="20"/>
        <v/>
      </c>
    </row>
    <row r="808">
      <c r="B808" s="19"/>
      <c r="C808" s="29"/>
      <c r="D808" s="29"/>
      <c r="E808" s="7" t="str">
        <f>IF(ISBLANK(D808), "", VLOOKUP(D808,'Crafting Tables'!$A$2:$B1015, 2, false))</f>
        <v/>
      </c>
      <c r="F808" s="7" t="str">
        <f>IFERROR(IF(E808 = "None", 1, VLOOKUP(C808,General!$A$5:$L$35, SWITCH(E808, "Basic", 8, "Advanced", 10, "Modern", 12), false)),"")</f>
        <v/>
      </c>
      <c r="G808" s="29"/>
      <c r="H808" s="7">
        <f>IFERROR(VLOOKUP(C808, General!$A$5:$L$35, 6, false) * G808 / 1000, 0)</f>
        <v>0</v>
      </c>
      <c r="I808" s="29"/>
      <c r="J808" s="22" t="str">
        <f>IFERROR(I808*VLOOKUP(D808,'Crafting Tables'!$1:$1000, 4, false)*F808,"")</f>
        <v/>
      </c>
      <c r="K808" s="29" t="b">
        <v>0</v>
      </c>
      <c r="L808" s="37"/>
      <c r="M808" s="29"/>
      <c r="N808" s="21" t="str">
        <f t="shared" si="2"/>
        <v/>
      </c>
      <c r="P808" s="37"/>
      <c r="Q808" s="29"/>
      <c r="R808" s="29" t="b">
        <v>0</v>
      </c>
      <c r="S808" s="22" t="str">
        <f t="shared" si="3"/>
        <v/>
      </c>
      <c r="T808" s="7">
        <f>IF(ISBLANK(P808), 0, VLOOKUP(P808, 'Price Sheet'!$A$2:$B1015, 2, false))</f>
        <v>0</v>
      </c>
      <c r="U808" s="33" t="str">
        <f t="shared" si="4"/>
        <v/>
      </c>
      <c r="V808" s="37"/>
      <c r="W808" s="29"/>
      <c r="X808" s="29" t="b">
        <v>0</v>
      </c>
      <c r="Y808" s="22" t="str">
        <f t="shared" si="5"/>
        <v/>
      </c>
      <c r="Z808" s="7">
        <f>IF(ISBLANK(V808), 0, VLOOKUP(V808, 'Price Sheet'!$A$2:$B1015, 2, false))</f>
        <v>0</v>
      </c>
      <c r="AA808" s="33" t="str">
        <f t="shared" si="6"/>
        <v/>
      </c>
      <c r="AB808" s="37"/>
      <c r="AC808" s="29"/>
      <c r="AD808" s="29" t="b">
        <v>0</v>
      </c>
      <c r="AE808" s="22" t="str">
        <f t="shared" si="7"/>
        <v/>
      </c>
      <c r="AF808" s="7">
        <f>IF(ISBLANK(AB808), 0, VLOOKUP(AB808, 'Price Sheet'!$A$2:$B1015, 2, false))</f>
        <v>0</v>
      </c>
      <c r="AG808" s="33" t="str">
        <f t="shared" si="8"/>
        <v/>
      </c>
      <c r="AH808" s="37"/>
      <c r="AI808" s="29"/>
      <c r="AJ808" s="29" t="b">
        <v>0</v>
      </c>
      <c r="AK808" s="22" t="str">
        <f t="shared" si="9"/>
        <v/>
      </c>
      <c r="AL808" s="7">
        <f>IF(ISBLANK(AH808), 0, VLOOKUP(AH808, 'Price Sheet'!$A$2:$B1015, 2, false))</f>
        <v>0</v>
      </c>
      <c r="AM808" s="33" t="str">
        <f t="shared" si="10"/>
        <v/>
      </c>
      <c r="AN808" s="37"/>
      <c r="AO808" s="29"/>
      <c r="AP808" s="29" t="b">
        <v>0</v>
      </c>
      <c r="AQ808" s="22" t="str">
        <f t="shared" si="11"/>
        <v/>
      </c>
      <c r="AR808" s="7">
        <f>IF(ISBLANK(AN808), 0, VLOOKUP(AN808, 'Price Sheet'!$A$2:$B1015, 2, false))</f>
        <v>0</v>
      </c>
      <c r="AS808" s="33" t="str">
        <f t="shared" si="12"/>
        <v/>
      </c>
      <c r="AT808" s="37"/>
      <c r="AU808" s="29"/>
      <c r="AV808" s="29" t="b">
        <v>0</v>
      </c>
      <c r="AW808" s="22" t="str">
        <f t="shared" si="13"/>
        <v/>
      </c>
      <c r="AX808" s="7">
        <f>IF(ISBLANK(AT808), 0, VLOOKUP(AT808, 'Price Sheet'!$A$2:$B1015, 2, false))</f>
        <v>0</v>
      </c>
      <c r="AY808" s="33" t="str">
        <f t="shared" si="14"/>
        <v/>
      </c>
      <c r="AZ808" s="37"/>
      <c r="BA808" s="29"/>
      <c r="BB808" s="29" t="b">
        <v>0</v>
      </c>
      <c r="BC808" s="22" t="str">
        <f t="shared" si="15"/>
        <v/>
      </c>
      <c r="BD808" s="7">
        <f>IF(ISBLANK(AZ808), 0, VLOOKUP(AZ808, 'Price Sheet'!$A$2:$B1015, 2, false))</f>
        <v>0</v>
      </c>
      <c r="BE808" s="33" t="str">
        <f t="shared" si="16"/>
        <v/>
      </c>
      <c r="BF808" s="37"/>
      <c r="BG808" s="29"/>
      <c r="BH808" s="29" t="b">
        <v>0</v>
      </c>
      <c r="BI808" s="22" t="str">
        <f t="shared" si="17"/>
        <v/>
      </c>
      <c r="BJ808" s="7">
        <f>IF(ISBLANK(BF808), 0, VLOOKUP(BF808, 'Price Sheet'!$A$2:$B1015, 2, false))</f>
        <v>0</v>
      </c>
      <c r="BK808" s="33" t="str">
        <f t="shared" si="18"/>
        <v/>
      </c>
      <c r="BL808" s="37"/>
      <c r="BM808" s="29"/>
      <c r="BN808" s="29" t="b">
        <v>0</v>
      </c>
      <c r="BO808" s="22" t="str">
        <f t="shared" si="19"/>
        <v/>
      </c>
      <c r="BP808" s="7">
        <f>IF(ISBLANK(BL808), 0, VLOOKUP(BL808, 'Price Sheet'!$A$2:$B1015, 2, false))</f>
        <v>0</v>
      </c>
      <c r="BQ808" s="33" t="str">
        <f t="shared" si="20"/>
        <v/>
      </c>
    </row>
    <row r="809">
      <c r="B809" s="19"/>
      <c r="C809" s="29"/>
      <c r="D809" s="29"/>
      <c r="E809" s="7" t="str">
        <f>IF(ISBLANK(D809), "", VLOOKUP(D809,'Crafting Tables'!$A$2:$B1015, 2, false))</f>
        <v/>
      </c>
      <c r="F809" s="7" t="str">
        <f>IFERROR(IF(E809 = "None", 1, VLOOKUP(C809,General!$A$5:$L$35, SWITCH(E809, "Basic", 8, "Advanced", 10, "Modern", 12), false)),"")</f>
        <v/>
      </c>
      <c r="G809" s="29"/>
      <c r="H809" s="7">
        <f>IFERROR(VLOOKUP(C809, General!$A$5:$L$35, 6, false) * G809 / 1000, 0)</f>
        <v>0</v>
      </c>
      <c r="I809" s="29"/>
      <c r="J809" s="22" t="str">
        <f>IFERROR(I809*VLOOKUP(D809,'Crafting Tables'!$1:$1000, 4, false)*F809,"")</f>
        <v/>
      </c>
      <c r="K809" s="29" t="b">
        <v>0</v>
      </c>
      <c r="L809" s="37"/>
      <c r="M809" s="29"/>
      <c r="N809" s="21" t="str">
        <f t="shared" si="2"/>
        <v/>
      </c>
      <c r="P809" s="37"/>
      <c r="Q809" s="29"/>
      <c r="R809" s="29" t="b">
        <v>0</v>
      </c>
      <c r="S809" s="22" t="str">
        <f t="shared" si="3"/>
        <v/>
      </c>
      <c r="T809" s="7">
        <f>IF(ISBLANK(P809), 0, VLOOKUP(P809, 'Price Sheet'!$A$2:$B1015, 2, false))</f>
        <v>0</v>
      </c>
      <c r="U809" s="33" t="str">
        <f t="shared" si="4"/>
        <v/>
      </c>
      <c r="V809" s="37"/>
      <c r="W809" s="29"/>
      <c r="X809" s="29" t="b">
        <v>0</v>
      </c>
      <c r="Y809" s="22" t="str">
        <f t="shared" si="5"/>
        <v/>
      </c>
      <c r="Z809" s="7">
        <f>IF(ISBLANK(V809), 0, VLOOKUP(V809, 'Price Sheet'!$A$2:$B1015, 2, false))</f>
        <v>0</v>
      </c>
      <c r="AA809" s="33" t="str">
        <f t="shared" si="6"/>
        <v/>
      </c>
      <c r="AB809" s="37"/>
      <c r="AC809" s="29"/>
      <c r="AD809" s="29" t="b">
        <v>0</v>
      </c>
      <c r="AE809" s="22" t="str">
        <f t="shared" si="7"/>
        <v/>
      </c>
      <c r="AF809" s="7">
        <f>IF(ISBLANK(AB809), 0, VLOOKUP(AB809, 'Price Sheet'!$A$2:$B1015, 2, false))</f>
        <v>0</v>
      </c>
      <c r="AG809" s="33" t="str">
        <f t="shared" si="8"/>
        <v/>
      </c>
      <c r="AH809" s="37"/>
      <c r="AI809" s="29"/>
      <c r="AJ809" s="29" t="b">
        <v>0</v>
      </c>
      <c r="AK809" s="22" t="str">
        <f t="shared" si="9"/>
        <v/>
      </c>
      <c r="AL809" s="7">
        <f>IF(ISBLANK(AH809), 0, VLOOKUP(AH809, 'Price Sheet'!$A$2:$B1015, 2, false))</f>
        <v>0</v>
      </c>
      <c r="AM809" s="33" t="str">
        <f t="shared" si="10"/>
        <v/>
      </c>
      <c r="AN809" s="37"/>
      <c r="AO809" s="29"/>
      <c r="AP809" s="29" t="b">
        <v>0</v>
      </c>
      <c r="AQ809" s="22" t="str">
        <f t="shared" si="11"/>
        <v/>
      </c>
      <c r="AR809" s="7">
        <f>IF(ISBLANK(AN809), 0, VLOOKUP(AN809, 'Price Sheet'!$A$2:$B1015, 2, false))</f>
        <v>0</v>
      </c>
      <c r="AS809" s="33" t="str">
        <f t="shared" si="12"/>
        <v/>
      </c>
      <c r="AT809" s="37"/>
      <c r="AU809" s="29"/>
      <c r="AV809" s="29" t="b">
        <v>0</v>
      </c>
      <c r="AW809" s="22" t="str">
        <f t="shared" si="13"/>
        <v/>
      </c>
      <c r="AX809" s="7">
        <f>IF(ISBLANK(AT809), 0, VLOOKUP(AT809, 'Price Sheet'!$A$2:$B1015, 2, false))</f>
        <v>0</v>
      </c>
      <c r="AY809" s="33" t="str">
        <f t="shared" si="14"/>
        <v/>
      </c>
      <c r="AZ809" s="37"/>
      <c r="BA809" s="29"/>
      <c r="BB809" s="29" t="b">
        <v>0</v>
      </c>
      <c r="BC809" s="22" t="str">
        <f t="shared" si="15"/>
        <v/>
      </c>
      <c r="BD809" s="7">
        <f>IF(ISBLANK(AZ809), 0, VLOOKUP(AZ809, 'Price Sheet'!$A$2:$B1015, 2, false))</f>
        <v>0</v>
      </c>
      <c r="BE809" s="33" t="str">
        <f t="shared" si="16"/>
        <v/>
      </c>
      <c r="BF809" s="37"/>
      <c r="BG809" s="29"/>
      <c r="BH809" s="29" t="b">
        <v>0</v>
      </c>
      <c r="BI809" s="22" t="str">
        <f t="shared" si="17"/>
        <v/>
      </c>
      <c r="BJ809" s="7">
        <f>IF(ISBLANK(BF809), 0, VLOOKUP(BF809, 'Price Sheet'!$A$2:$B1015, 2, false))</f>
        <v>0</v>
      </c>
      <c r="BK809" s="33" t="str">
        <f t="shared" si="18"/>
        <v/>
      </c>
      <c r="BL809" s="37"/>
      <c r="BM809" s="29"/>
      <c r="BN809" s="29" t="b">
        <v>0</v>
      </c>
      <c r="BO809" s="22" t="str">
        <f t="shared" si="19"/>
        <v/>
      </c>
      <c r="BP809" s="7">
        <f>IF(ISBLANK(BL809), 0, VLOOKUP(BL809, 'Price Sheet'!$A$2:$B1015, 2, false))</f>
        <v>0</v>
      </c>
      <c r="BQ809" s="33" t="str">
        <f t="shared" si="20"/>
        <v/>
      </c>
    </row>
    <row r="810">
      <c r="B810" s="19"/>
      <c r="C810" s="29"/>
      <c r="D810" s="29"/>
      <c r="E810" s="7" t="str">
        <f>IF(ISBLANK(D810), "", VLOOKUP(D810,'Crafting Tables'!$A$2:$B1015, 2, false))</f>
        <v/>
      </c>
      <c r="F810" s="7" t="str">
        <f>IFERROR(IF(E810 = "None", 1, VLOOKUP(C810,General!$A$5:$L$35, SWITCH(E810, "Basic", 8, "Advanced", 10, "Modern", 12), false)),"")</f>
        <v/>
      </c>
      <c r="G810" s="29"/>
      <c r="H810" s="7">
        <f>IFERROR(VLOOKUP(C810, General!$A$5:$L$35, 6, false) * G810 / 1000, 0)</f>
        <v>0</v>
      </c>
      <c r="I810" s="29"/>
      <c r="J810" s="22" t="str">
        <f>IFERROR(I810*VLOOKUP(D810,'Crafting Tables'!$1:$1000, 4, false)*F810,"")</f>
        <v/>
      </c>
      <c r="K810" s="29" t="b">
        <v>0</v>
      </c>
      <c r="L810" s="37"/>
      <c r="M810" s="29"/>
      <c r="N810" s="21" t="str">
        <f t="shared" si="2"/>
        <v/>
      </c>
      <c r="P810" s="37"/>
      <c r="Q810" s="29"/>
      <c r="R810" s="29" t="b">
        <v>0</v>
      </c>
      <c r="S810" s="22" t="str">
        <f t="shared" si="3"/>
        <v/>
      </c>
      <c r="T810" s="7">
        <f>IF(ISBLANK(P810), 0, VLOOKUP(P810, 'Price Sheet'!$A$2:$B1015, 2, false))</f>
        <v>0</v>
      </c>
      <c r="U810" s="33" t="str">
        <f t="shared" si="4"/>
        <v/>
      </c>
      <c r="V810" s="37"/>
      <c r="W810" s="29"/>
      <c r="X810" s="29" t="b">
        <v>0</v>
      </c>
      <c r="Y810" s="22" t="str">
        <f t="shared" si="5"/>
        <v/>
      </c>
      <c r="Z810" s="7">
        <f>IF(ISBLANK(V810), 0, VLOOKUP(V810, 'Price Sheet'!$A$2:$B1015, 2, false))</f>
        <v>0</v>
      </c>
      <c r="AA810" s="33" t="str">
        <f t="shared" si="6"/>
        <v/>
      </c>
      <c r="AB810" s="37"/>
      <c r="AC810" s="29"/>
      <c r="AD810" s="29" t="b">
        <v>0</v>
      </c>
      <c r="AE810" s="22" t="str">
        <f t="shared" si="7"/>
        <v/>
      </c>
      <c r="AF810" s="7">
        <f>IF(ISBLANK(AB810), 0, VLOOKUP(AB810, 'Price Sheet'!$A$2:$B1015, 2, false))</f>
        <v>0</v>
      </c>
      <c r="AG810" s="33" t="str">
        <f t="shared" si="8"/>
        <v/>
      </c>
      <c r="AH810" s="37"/>
      <c r="AI810" s="29"/>
      <c r="AJ810" s="29" t="b">
        <v>0</v>
      </c>
      <c r="AK810" s="22" t="str">
        <f t="shared" si="9"/>
        <v/>
      </c>
      <c r="AL810" s="7">
        <f>IF(ISBLANK(AH810), 0, VLOOKUP(AH810, 'Price Sheet'!$A$2:$B1015, 2, false))</f>
        <v>0</v>
      </c>
      <c r="AM810" s="33" t="str">
        <f t="shared" si="10"/>
        <v/>
      </c>
      <c r="AN810" s="37"/>
      <c r="AO810" s="29"/>
      <c r="AP810" s="29" t="b">
        <v>0</v>
      </c>
      <c r="AQ810" s="22" t="str">
        <f t="shared" si="11"/>
        <v/>
      </c>
      <c r="AR810" s="7">
        <f>IF(ISBLANK(AN810), 0, VLOOKUP(AN810, 'Price Sheet'!$A$2:$B1015, 2, false))</f>
        <v>0</v>
      </c>
      <c r="AS810" s="33" t="str">
        <f t="shared" si="12"/>
        <v/>
      </c>
      <c r="AT810" s="37"/>
      <c r="AU810" s="29"/>
      <c r="AV810" s="29" t="b">
        <v>0</v>
      </c>
      <c r="AW810" s="22" t="str">
        <f t="shared" si="13"/>
        <v/>
      </c>
      <c r="AX810" s="7">
        <f>IF(ISBLANK(AT810), 0, VLOOKUP(AT810, 'Price Sheet'!$A$2:$B1015, 2, false))</f>
        <v>0</v>
      </c>
      <c r="AY810" s="33" t="str">
        <f t="shared" si="14"/>
        <v/>
      </c>
      <c r="AZ810" s="37"/>
      <c r="BA810" s="29"/>
      <c r="BB810" s="29" t="b">
        <v>0</v>
      </c>
      <c r="BC810" s="22" t="str">
        <f t="shared" si="15"/>
        <v/>
      </c>
      <c r="BD810" s="7">
        <f>IF(ISBLANK(AZ810), 0, VLOOKUP(AZ810, 'Price Sheet'!$A$2:$B1015, 2, false))</f>
        <v>0</v>
      </c>
      <c r="BE810" s="33" t="str">
        <f t="shared" si="16"/>
        <v/>
      </c>
      <c r="BF810" s="37"/>
      <c r="BG810" s="29"/>
      <c r="BH810" s="29" t="b">
        <v>0</v>
      </c>
      <c r="BI810" s="22" t="str">
        <f t="shared" si="17"/>
        <v/>
      </c>
      <c r="BJ810" s="7">
        <f>IF(ISBLANK(BF810), 0, VLOOKUP(BF810, 'Price Sheet'!$A$2:$B1015, 2, false))</f>
        <v>0</v>
      </c>
      <c r="BK810" s="33" t="str">
        <f t="shared" si="18"/>
        <v/>
      </c>
      <c r="BL810" s="37"/>
      <c r="BM810" s="29"/>
      <c r="BN810" s="29" t="b">
        <v>0</v>
      </c>
      <c r="BO810" s="22" t="str">
        <f t="shared" si="19"/>
        <v/>
      </c>
      <c r="BP810" s="7">
        <f>IF(ISBLANK(BL810), 0, VLOOKUP(BL810, 'Price Sheet'!$A$2:$B1015, 2, false))</f>
        <v>0</v>
      </c>
      <c r="BQ810" s="33" t="str">
        <f t="shared" si="20"/>
        <v/>
      </c>
    </row>
    <row r="811">
      <c r="B811" s="19"/>
      <c r="C811" s="29"/>
      <c r="D811" s="29"/>
      <c r="E811" s="7" t="str">
        <f>IF(ISBLANK(D811), "", VLOOKUP(D811,'Crafting Tables'!$A$2:$B1015, 2, false))</f>
        <v/>
      </c>
      <c r="F811" s="7" t="str">
        <f>IFERROR(IF(E811 = "None", 1, VLOOKUP(C811,General!$A$5:$L$35, SWITCH(E811, "Basic", 8, "Advanced", 10, "Modern", 12), false)),"")</f>
        <v/>
      </c>
      <c r="G811" s="29"/>
      <c r="H811" s="7">
        <f>IFERROR(VLOOKUP(C811, General!$A$5:$L$35, 6, false) * G811 / 1000, 0)</f>
        <v>0</v>
      </c>
      <c r="I811" s="29"/>
      <c r="J811" s="22" t="str">
        <f>IFERROR(I811*VLOOKUP(D811,'Crafting Tables'!$1:$1000, 4, false)*F811,"")</f>
        <v/>
      </c>
      <c r="K811" s="29" t="b">
        <v>0</v>
      </c>
      <c r="L811" s="37"/>
      <c r="M811" s="29"/>
      <c r="N811" s="21" t="str">
        <f t="shared" si="2"/>
        <v/>
      </c>
      <c r="P811" s="37"/>
      <c r="Q811" s="29"/>
      <c r="R811" s="29" t="b">
        <v>0</v>
      </c>
      <c r="S811" s="22" t="str">
        <f t="shared" si="3"/>
        <v/>
      </c>
      <c r="T811" s="7">
        <f>IF(ISBLANK(P811), 0, VLOOKUP(P811, 'Price Sheet'!$A$2:$B1015, 2, false))</f>
        <v>0</v>
      </c>
      <c r="U811" s="33" t="str">
        <f t="shared" si="4"/>
        <v/>
      </c>
      <c r="V811" s="37"/>
      <c r="W811" s="29"/>
      <c r="X811" s="29" t="b">
        <v>0</v>
      </c>
      <c r="Y811" s="22" t="str">
        <f t="shared" si="5"/>
        <v/>
      </c>
      <c r="Z811" s="7">
        <f>IF(ISBLANK(V811), 0, VLOOKUP(V811, 'Price Sheet'!$A$2:$B1015, 2, false))</f>
        <v>0</v>
      </c>
      <c r="AA811" s="33" t="str">
        <f t="shared" si="6"/>
        <v/>
      </c>
      <c r="AB811" s="37"/>
      <c r="AC811" s="29"/>
      <c r="AD811" s="29" t="b">
        <v>0</v>
      </c>
      <c r="AE811" s="22" t="str">
        <f t="shared" si="7"/>
        <v/>
      </c>
      <c r="AF811" s="7">
        <f>IF(ISBLANK(AB811), 0, VLOOKUP(AB811, 'Price Sheet'!$A$2:$B1015, 2, false))</f>
        <v>0</v>
      </c>
      <c r="AG811" s="33" t="str">
        <f t="shared" si="8"/>
        <v/>
      </c>
      <c r="AH811" s="37"/>
      <c r="AI811" s="29"/>
      <c r="AJ811" s="29" t="b">
        <v>0</v>
      </c>
      <c r="AK811" s="22" t="str">
        <f t="shared" si="9"/>
        <v/>
      </c>
      <c r="AL811" s="7">
        <f>IF(ISBLANK(AH811), 0, VLOOKUP(AH811, 'Price Sheet'!$A$2:$B1015, 2, false))</f>
        <v>0</v>
      </c>
      <c r="AM811" s="33" t="str">
        <f t="shared" si="10"/>
        <v/>
      </c>
      <c r="AN811" s="37"/>
      <c r="AO811" s="29"/>
      <c r="AP811" s="29" t="b">
        <v>0</v>
      </c>
      <c r="AQ811" s="22" t="str">
        <f t="shared" si="11"/>
        <v/>
      </c>
      <c r="AR811" s="7">
        <f>IF(ISBLANK(AN811), 0, VLOOKUP(AN811, 'Price Sheet'!$A$2:$B1015, 2, false))</f>
        <v>0</v>
      </c>
      <c r="AS811" s="33" t="str">
        <f t="shared" si="12"/>
        <v/>
      </c>
      <c r="AT811" s="37"/>
      <c r="AU811" s="29"/>
      <c r="AV811" s="29" t="b">
        <v>0</v>
      </c>
      <c r="AW811" s="22" t="str">
        <f t="shared" si="13"/>
        <v/>
      </c>
      <c r="AX811" s="7">
        <f>IF(ISBLANK(AT811), 0, VLOOKUP(AT811, 'Price Sheet'!$A$2:$B1015, 2, false))</f>
        <v>0</v>
      </c>
      <c r="AY811" s="33" t="str">
        <f t="shared" si="14"/>
        <v/>
      </c>
      <c r="AZ811" s="37"/>
      <c r="BA811" s="29"/>
      <c r="BB811" s="29" t="b">
        <v>0</v>
      </c>
      <c r="BC811" s="22" t="str">
        <f t="shared" si="15"/>
        <v/>
      </c>
      <c r="BD811" s="7">
        <f>IF(ISBLANK(AZ811), 0, VLOOKUP(AZ811, 'Price Sheet'!$A$2:$B1015, 2, false))</f>
        <v>0</v>
      </c>
      <c r="BE811" s="33" t="str">
        <f t="shared" si="16"/>
        <v/>
      </c>
      <c r="BF811" s="37"/>
      <c r="BG811" s="29"/>
      <c r="BH811" s="29" t="b">
        <v>0</v>
      </c>
      <c r="BI811" s="22" t="str">
        <f t="shared" si="17"/>
        <v/>
      </c>
      <c r="BJ811" s="7">
        <f>IF(ISBLANK(BF811), 0, VLOOKUP(BF811, 'Price Sheet'!$A$2:$B1015, 2, false))</f>
        <v>0</v>
      </c>
      <c r="BK811" s="33" t="str">
        <f t="shared" si="18"/>
        <v/>
      </c>
      <c r="BL811" s="37"/>
      <c r="BM811" s="29"/>
      <c r="BN811" s="29" t="b">
        <v>0</v>
      </c>
      <c r="BO811" s="22" t="str">
        <f t="shared" si="19"/>
        <v/>
      </c>
      <c r="BP811" s="7">
        <f>IF(ISBLANK(BL811), 0, VLOOKUP(BL811, 'Price Sheet'!$A$2:$B1015, 2, false))</f>
        <v>0</v>
      </c>
      <c r="BQ811" s="33" t="str">
        <f t="shared" si="20"/>
        <v/>
      </c>
    </row>
    <row r="812">
      <c r="B812" s="19"/>
      <c r="C812" s="29"/>
      <c r="D812" s="29"/>
      <c r="E812" s="7" t="str">
        <f>IF(ISBLANK(D812), "", VLOOKUP(D812,'Crafting Tables'!$A$2:$B1015, 2, false))</f>
        <v/>
      </c>
      <c r="F812" s="7" t="str">
        <f>IFERROR(IF(E812 = "None", 1, VLOOKUP(C812,General!$A$5:$L$35, SWITCH(E812, "Basic", 8, "Advanced", 10, "Modern", 12), false)),"")</f>
        <v/>
      </c>
      <c r="G812" s="29"/>
      <c r="H812" s="7">
        <f>IFERROR(VLOOKUP(C812, General!$A$5:$L$35, 6, false) * G812 / 1000, 0)</f>
        <v>0</v>
      </c>
      <c r="I812" s="29"/>
      <c r="J812" s="22" t="str">
        <f>IFERROR(I812*VLOOKUP(D812,'Crafting Tables'!$1:$1000, 4, false)*F812,"")</f>
        <v/>
      </c>
      <c r="K812" s="29" t="b">
        <v>0</v>
      </c>
      <c r="L812" s="37"/>
      <c r="M812" s="29"/>
      <c r="N812" s="21" t="str">
        <f t="shared" si="2"/>
        <v/>
      </c>
      <c r="P812" s="37"/>
      <c r="Q812" s="29"/>
      <c r="R812" s="29" t="b">
        <v>0</v>
      </c>
      <c r="S812" s="22" t="str">
        <f t="shared" si="3"/>
        <v/>
      </c>
      <c r="T812" s="7">
        <f>IF(ISBLANK(P812), 0, VLOOKUP(P812, 'Price Sheet'!$A$2:$B1015, 2, false))</f>
        <v>0</v>
      </c>
      <c r="U812" s="33" t="str">
        <f t="shared" si="4"/>
        <v/>
      </c>
      <c r="V812" s="37"/>
      <c r="W812" s="29"/>
      <c r="X812" s="29" t="b">
        <v>0</v>
      </c>
      <c r="Y812" s="22" t="str">
        <f t="shared" si="5"/>
        <v/>
      </c>
      <c r="Z812" s="7">
        <f>IF(ISBLANK(V812), 0, VLOOKUP(V812, 'Price Sheet'!$A$2:$B1015, 2, false))</f>
        <v>0</v>
      </c>
      <c r="AA812" s="33" t="str">
        <f t="shared" si="6"/>
        <v/>
      </c>
      <c r="AB812" s="37"/>
      <c r="AC812" s="29"/>
      <c r="AD812" s="29" t="b">
        <v>0</v>
      </c>
      <c r="AE812" s="22" t="str">
        <f t="shared" si="7"/>
        <v/>
      </c>
      <c r="AF812" s="7">
        <f>IF(ISBLANK(AB812), 0, VLOOKUP(AB812, 'Price Sheet'!$A$2:$B1015, 2, false))</f>
        <v>0</v>
      </c>
      <c r="AG812" s="33" t="str">
        <f t="shared" si="8"/>
        <v/>
      </c>
      <c r="AH812" s="37"/>
      <c r="AI812" s="29"/>
      <c r="AJ812" s="29" t="b">
        <v>0</v>
      </c>
      <c r="AK812" s="22" t="str">
        <f t="shared" si="9"/>
        <v/>
      </c>
      <c r="AL812" s="7">
        <f>IF(ISBLANK(AH812), 0, VLOOKUP(AH812, 'Price Sheet'!$A$2:$B1015, 2, false))</f>
        <v>0</v>
      </c>
      <c r="AM812" s="33" t="str">
        <f t="shared" si="10"/>
        <v/>
      </c>
      <c r="AN812" s="37"/>
      <c r="AO812" s="29"/>
      <c r="AP812" s="29" t="b">
        <v>0</v>
      </c>
      <c r="AQ812" s="22" t="str">
        <f t="shared" si="11"/>
        <v/>
      </c>
      <c r="AR812" s="7">
        <f>IF(ISBLANK(AN812), 0, VLOOKUP(AN812, 'Price Sheet'!$A$2:$B1015, 2, false))</f>
        <v>0</v>
      </c>
      <c r="AS812" s="33" t="str">
        <f t="shared" si="12"/>
        <v/>
      </c>
      <c r="AT812" s="37"/>
      <c r="AU812" s="29"/>
      <c r="AV812" s="29" t="b">
        <v>0</v>
      </c>
      <c r="AW812" s="22" t="str">
        <f t="shared" si="13"/>
        <v/>
      </c>
      <c r="AX812" s="7">
        <f>IF(ISBLANK(AT812), 0, VLOOKUP(AT812, 'Price Sheet'!$A$2:$B1015, 2, false))</f>
        <v>0</v>
      </c>
      <c r="AY812" s="33" t="str">
        <f t="shared" si="14"/>
        <v/>
      </c>
      <c r="AZ812" s="37"/>
      <c r="BA812" s="29"/>
      <c r="BB812" s="29" t="b">
        <v>0</v>
      </c>
      <c r="BC812" s="22" t="str">
        <f t="shared" si="15"/>
        <v/>
      </c>
      <c r="BD812" s="7">
        <f>IF(ISBLANK(AZ812), 0, VLOOKUP(AZ812, 'Price Sheet'!$A$2:$B1015, 2, false))</f>
        <v>0</v>
      </c>
      <c r="BE812" s="33" t="str">
        <f t="shared" si="16"/>
        <v/>
      </c>
      <c r="BF812" s="37"/>
      <c r="BG812" s="29"/>
      <c r="BH812" s="29" t="b">
        <v>0</v>
      </c>
      <c r="BI812" s="22" t="str">
        <f t="shared" si="17"/>
        <v/>
      </c>
      <c r="BJ812" s="7">
        <f>IF(ISBLANK(BF812), 0, VLOOKUP(BF812, 'Price Sheet'!$A$2:$B1015, 2, false))</f>
        <v>0</v>
      </c>
      <c r="BK812" s="33" t="str">
        <f t="shared" si="18"/>
        <v/>
      </c>
      <c r="BL812" s="37"/>
      <c r="BM812" s="29"/>
      <c r="BN812" s="29" t="b">
        <v>0</v>
      </c>
      <c r="BO812" s="22" t="str">
        <f t="shared" si="19"/>
        <v/>
      </c>
      <c r="BP812" s="7">
        <f>IF(ISBLANK(BL812), 0, VLOOKUP(BL812, 'Price Sheet'!$A$2:$B1015, 2, false))</f>
        <v>0</v>
      </c>
      <c r="BQ812" s="33" t="str">
        <f t="shared" si="20"/>
        <v/>
      </c>
    </row>
    <row r="813">
      <c r="B813" s="19"/>
      <c r="C813" s="29"/>
      <c r="D813" s="29"/>
      <c r="E813" s="7" t="str">
        <f>IF(ISBLANK(D813), "", VLOOKUP(D813,'Crafting Tables'!$A$2:$B1015, 2, false))</f>
        <v/>
      </c>
      <c r="F813" s="7" t="str">
        <f>IFERROR(IF(E813 = "None", 1, VLOOKUP(C813,General!$A$5:$L$35, SWITCH(E813, "Basic", 8, "Advanced", 10, "Modern", 12), false)),"")</f>
        <v/>
      </c>
      <c r="G813" s="29"/>
      <c r="H813" s="7">
        <f>IFERROR(VLOOKUP(C813, General!$A$5:$L$35, 6, false) * G813 / 1000, 0)</f>
        <v>0</v>
      </c>
      <c r="I813" s="29"/>
      <c r="J813" s="22" t="str">
        <f>IFERROR(I813*VLOOKUP(D813,'Crafting Tables'!$1:$1000, 4, false)*F813,"")</f>
        <v/>
      </c>
      <c r="K813" s="29" t="b">
        <v>0</v>
      </c>
      <c r="L813" s="37"/>
      <c r="M813" s="29"/>
      <c r="N813" s="21" t="str">
        <f t="shared" si="2"/>
        <v/>
      </c>
      <c r="P813" s="37"/>
      <c r="Q813" s="29"/>
      <c r="R813" s="29" t="b">
        <v>0</v>
      </c>
      <c r="S813" s="22" t="str">
        <f t="shared" si="3"/>
        <v/>
      </c>
      <c r="T813" s="7">
        <f>IF(ISBLANK(P813), 0, VLOOKUP(P813, 'Price Sheet'!$A$2:$B1015, 2, false))</f>
        <v>0</v>
      </c>
      <c r="U813" s="33" t="str">
        <f t="shared" si="4"/>
        <v/>
      </c>
      <c r="V813" s="37"/>
      <c r="W813" s="29"/>
      <c r="X813" s="29" t="b">
        <v>0</v>
      </c>
      <c r="Y813" s="22" t="str">
        <f t="shared" si="5"/>
        <v/>
      </c>
      <c r="Z813" s="7">
        <f>IF(ISBLANK(V813), 0, VLOOKUP(V813, 'Price Sheet'!$A$2:$B1015, 2, false))</f>
        <v>0</v>
      </c>
      <c r="AA813" s="33" t="str">
        <f t="shared" si="6"/>
        <v/>
      </c>
      <c r="AB813" s="37"/>
      <c r="AC813" s="29"/>
      <c r="AD813" s="29" t="b">
        <v>0</v>
      </c>
      <c r="AE813" s="22" t="str">
        <f t="shared" si="7"/>
        <v/>
      </c>
      <c r="AF813" s="7">
        <f>IF(ISBLANK(AB813), 0, VLOOKUP(AB813, 'Price Sheet'!$A$2:$B1015, 2, false))</f>
        <v>0</v>
      </c>
      <c r="AG813" s="33" t="str">
        <f t="shared" si="8"/>
        <v/>
      </c>
      <c r="AH813" s="37"/>
      <c r="AI813" s="29"/>
      <c r="AJ813" s="29" t="b">
        <v>0</v>
      </c>
      <c r="AK813" s="22" t="str">
        <f t="shared" si="9"/>
        <v/>
      </c>
      <c r="AL813" s="7">
        <f>IF(ISBLANK(AH813), 0, VLOOKUP(AH813, 'Price Sheet'!$A$2:$B1015, 2, false))</f>
        <v>0</v>
      </c>
      <c r="AM813" s="33" t="str">
        <f t="shared" si="10"/>
        <v/>
      </c>
      <c r="AN813" s="37"/>
      <c r="AO813" s="29"/>
      <c r="AP813" s="29" t="b">
        <v>0</v>
      </c>
      <c r="AQ813" s="22" t="str">
        <f t="shared" si="11"/>
        <v/>
      </c>
      <c r="AR813" s="7">
        <f>IF(ISBLANK(AN813), 0, VLOOKUP(AN813, 'Price Sheet'!$A$2:$B1015, 2, false))</f>
        <v>0</v>
      </c>
      <c r="AS813" s="33" t="str">
        <f t="shared" si="12"/>
        <v/>
      </c>
      <c r="AT813" s="37"/>
      <c r="AU813" s="29"/>
      <c r="AV813" s="29" t="b">
        <v>0</v>
      </c>
      <c r="AW813" s="22" t="str">
        <f t="shared" si="13"/>
        <v/>
      </c>
      <c r="AX813" s="7">
        <f>IF(ISBLANK(AT813), 0, VLOOKUP(AT813, 'Price Sheet'!$A$2:$B1015, 2, false))</f>
        <v>0</v>
      </c>
      <c r="AY813" s="33" t="str">
        <f t="shared" si="14"/>
        <v/>
      </c>
      <c r="AZ813" s="37"/>
      <c r="BA813" s="29"/>
      <c r="BB813" s="29" t="b">
        <v>0</v>
      </c>
      <c r="BC813" s="22" t="str">
        <f t="shared" si="15"/>
        <v/>
      </c>
      <c r="BD813" s="7">
        <f>IF(ISBLANK(AZ813), 0, VLOOKUP(AZ813, 'Price Sheet'!$A$2:$B1015, 2, false))</f>
        <v>0</v>
      </c>
      <c r="BE813" s="33" t="str">
        <f t="shared" si="16"/>
        <v/>
      </c>
      <c r="BF813" s="37"/>
      <c r="BG813" s="29"/>
      <c r="BH813" s="29" t="b">
        <v>0</v>
      </c>
      <c r="BI813" s="22" t="str">
        <f t="shared" si="17"/>
        <v/>
      </c>
      <c r="BJ813" s="7">
        <f>IF(ISBLANK(BF813), 0, VLOOKUP(BF813, 'Price Sheet'!$A$2:$B1015, 2, false))</f>
        <v>0</v>
      </c>
      <c r="BK813" s="33" t="str">
        <f t="shared" si="18"/>
        <v/>
      </c>
      <c r="BL813" s="37"/>
      <c r="BM813" s="29"/>
      <c r="BN813" s="29" t="b">
        <v>0</v>
      </c>
      <c r="BO813" s="22" t="str">
        <f t="shared" si="19"/>
        <v/>
      </c>
      <c r="BP813" s="7">
        <f>IF(ISBLANK(BL813), 0, VLOOKUP(BL813, 'Price Sheet'!$A$2:$B1015, 2, false))</f>
        <v>0</v>
      </c>
      <c r="BQ813" s="33" t="str">
        <f t="shared" si="20"/>
        <v/>
      </c>
    </row>
    <row r="814">
      <c r="B814" s="19"/>
      <c r="C814" s="29"/>
      <c r="D814" s="29"/>
      <c r="E814" s="7" t="str">
        <f>IF(ISBLANK(D814), "", VLOOKUP(D814,'Crafting Tables'!$A$2:$B1015, 2, false))</f>
        <v/>
      </c>
      <c r="F814" s="7" t="str">
        <f>IFERROR(IF(E814 = "None", 1, VLOOKUP(C814,General!$A$5:$L$35, SWITCH(E814, "Basic", 8, "Advanced", 10, "Modern", 12), false)),"")</f>
        <v/>
      </c>
      <c r="G814" s="29"/>
      <c r="H814" s="7">
        <f>IFERROR(VLOOKUP(C814, General!$A$5:$L$35, 6, false) * G814 / 1000, 0)</f>
        <v>0</v>
      </c>
      <c r="I814" s="29"/>
      <c r="J814" s="22" t="str">
        <f>IFERROR(I814*VLOOKUP(D814,'Crafting Tables'!$1:$1000, 4, false)*F814,"")</f>
        <v/>
      </c>
      <c r="K814" s="29" t="b">
        <v>0</v>
      </c>
      <c r="L814" s="37"/>
      <c r="M814" s="29"/>
      <c r="N814" s="21" t="str">
        <f t="shared" si="2"/>
        <v/>
      </c>
      <c r="P814" s="37"/>
      <c r="Q814" s="29"/>
      <c r="R814" s="29" t="b">
        <v>0</v>
      </c>
      <c r="S814" s="22" t="str">
        <f t="shared" si="3"/>
        <v/>
      </c>
      <c r="T814" s="7">
        <f>IF(ISBLANK(P814), 0, VLOOKUP(P814, 'Price Sheet'!$A$2:$B1015, 2, false))</f>
        <v>0</v>
      </c>
      <c r="U814" s="33" t="str">
        <f t="shared" si="4"/>
        <v/>
      </c>
      <c r="V814" s="37"/>
      <c r="W814" s="29"/>
      <c r="X814" s="29" t="b">
        <v>0</v>
      </c>
      <c r="Y814" s="22" t="str">
        <f t="shared" si="5"/>
        <v/>
      </c>
      <c r="Z814" s="7">
        <f>IF(ISBLANK(V814), 0, VLOOKUP(V814, 'Price Sheet'!$A$2:$B1015, 2, false))</f>
        <v>0</v>
      </c>
      <c r="AA814" s="33" t="str">
        <f t="shared" si="6"/>
        <v/>
      </c>
      <c r="AB814" s="37"/>
      <c r="AC814" s="29"/>
      <c r="AD814" s="29" t="b">
        <v>0</v>
      </c>
      <c r="AE814" s="22" t="str">
        <f t="shared" si="7"/>
        <v/>
      </c>
      <c r="AF814" s="7">
        <f>IF(ISBLANK(AB814), 0, VLOOKUP(AB814, 'Price Sheet'!$A$2:$B1015, 2, false))</f>
        <v>0</v>
      </c>
      <c r="AG814" s="33" t="str">
        <f t="shared" si="8"/>
        <v/>
      </c>
      <c r="AH814" s="37"/>
      <c r="AI814" s="29"/>
      <c r="AJ814" s="29" t="b">
        <v>0</v>
      </c>
      <c r="AK814" s="22" t="str">
        <f t="shared" si="9"/>
        <v/>
      </c>
      <c r="AL814" s="7">
        <f>IF(ISBLANK(AH814), 0, VLOOKUP(AH814, 'Price Sheet'!$A$2:$B1015, 2, false))</f>
        <v>0</v>
      </c>
      <c r="AM814" s="33" t="str">
        <f t="shared" si="10"/>
        <v/>
      </c>
      <c r="AN814" s="37"/>
      <c r="AO814" s="29"/>
      <c r="AP814" s="29" t="b">
        <v>0</v>
      </c>
      <c r="AQ814" s="22" t="str">
        <f t="shared" si="11"/>
        <v/>
      </c>
      <c r="AR814" s="7">
        <f>IF(ISBLANK(AN814), 0, VLOOKUP(AN814, 'Price Sheet'!$A$2:$B1015, 2, false))</f>
        <v>0</v>
      </c>
      <c r="AS814" s="33" t="str">
        <f t="shared" si="12"/>
        <v/>
      </c>
      <c r="AT814" s="37"/>
      <c r="AU814" s="29"/>
      <c r="AV814" s="29" t="b">
        <v>0</v>
      </c>
      <c r="AW814" s="22" t="str">
        <f t="shared" si="13"/>
        <v/>
      </c>
      <c r="AX814" s="7">
        <f>IF(ISBLANK(AT814), 0, VLOOKUP(AT814, 'Price Sheet'!$A$2:$B1015, 2, false))</f>
        <v>0</v>
      </c>
      <c r="AY814" s="33" t="str">
        <f t="shared" si="14"/>
        <v/>
      </c>
      <c r="AZ814" s="37"/>
      <c r="BA814" s="29"/>
      <c r="BB814" s="29" t="b">
        <v>0</v>
      </c>
      <c r="BC814" s="22" t="str">
        <f t="shared" si="15"/>
        <v/>
      </c>
      <c r="BD814" s="7">
        <f>IF(ISBLANK(AZ814), 0, VLOOKUP(AZ814, 'Price Sheet'!$A$2:$B1015, 2, false))</f>
        <v>0</v>
      </c>
      <c r="BE814" s="33" t="str">
        <f t="shared" si="16"/>
        <v/>
      </c>
      <c r="BF814" s="37"/>
      <c r="BG814" s="29"/>
      <c r="BH814" s="29" t="b">
        <v>0</v>
      </c>
      <c r="BI814" s="22" t="str">
        <f t="shared" si="17"/>
        <v/>
      </c>
      <c r="BJ814" s="7">
        <f>IF(ISBLANK(BF814), 0, VLOOKUP(BF814, 'Price Sheet'!$A$2:$B1015, 2, false))</f>
        <v>0</v>
      </c>
      <c r="BK814" s="33" t="str">
        <f t="shared" si="18"/>
        <v/>
      </c>
      <c r="BL814" s="37"/>
      <c r="BM814" s="29"/>
      <c r="BN814" s="29" t="b">
        <v>0</v>
      </c>
      <c r="BO814" s="22" t="str">
        <f t="shared" si="19"/>
        <v/>
      </c>
      <c r="BP814" s="7">
        <f>IF(ISBLANK(BL814), 0, VLOOKUP(BL814, 'Price Sheet'!$A$2:$B1015, 2, false))</f>
        <v>0</v>
      </c>
      <c r="BQ814" s="33" t="str">
        <f t="shared" si="20"/>
        <v/>
      </c>
    </row>
    <row r="815">
      <c r="B815" s="19"/>
      <c r="C815" s="29"/>
      <c r="D815" s="29"/>
      <c r="E815" s="7" t="str">
        <f>IF(ISBLANK(D815), "", VLOOKUP(D815,'Crafting Tables'!$A$2:$B1015, 2, false))</f>
        <v/>
      </c>
      <c r="F815" s="7" t="str">
        <f>IFERROR(IF(E815 = "None", 1, VLOOKUP(C815,General!$A$5:$L$35, SWITCH(E815, "Basic", 8, "Advanced", 10, "Modern", 12), false)),"")</f>
        <v/>
      </c>
      <c r="G815" s="29"/>
      <c r="H815" s="7">
        <f>IFERROR(VLOOKUP(C815, General!$A$5:$L$35, 6, false) * G815 / 1000, 0)</f>
        <v>0</v>
      </c>
      <c r="I815" s="29"/>
      <c r="J815" s="22" t="str">
        <f>IFERROR(I815*VLOOKUP(D815,'Crafting Tables'!$1:$1000, 4, false)*F815,"")</f>
        <v/>
      </c>
      <c r="K815" s="29" t="b">
        <v>0</v>
      </c>
      <c r="L815" s="37"/>
      <c r="M815" s="29"/>
      <c r="N815" s="21" t="str">
        <f t="shared" si="2"/>
        <v/>
      </c>
      <c r="P815" s="37"/>
      <c r="Q815" s="29"/>
      <c r="R815" s="29" t="b">
        <v>0</v>
      </c>
      <c r="S815" s="22" t="str">
        <f t="shared" si="3"/>
        <v/>
      </c>
      <c r="T815" s="7">
        <f>IF(ISBLANK(P815), 0, VLOOKUP(P815, 'Price Sheet'!$A$2:$B1015, 2, false))</f>
        <v>0</v>
      </c>
      <c r="U815" s="33" t="str">
        <f t="shared" si="4"/>
        <v/>
      </c>
      <c r="V815" s="37"/>
      <c r="W815" s="29"/>
      <c r="X815" s="29" t="b">
        <v>0</v>
      </c>
      <c r="Y815" s="22" t="str">
        <f t="shared" si="5"/>
        <v/>
      </c>
      <c r="Z815" s="7">
        <f>IF(ISBLANK(V815), 0, VLOOKUP(V815, 'Price Sheet'!$A$2:$B1015, 2, false))</f>
        <v>0</v>
      </c>
      <c r="AA815" s="33" t="str">
        <f t="shared" si="6"/>
        <v/>
      </c>
      <c r="AB815" s="37"/>
      <c r="AC815" s="29"/>
      <c r="AD815" s="29" t="b">
        <v>0</v>
      </c>
      <c r="AE815" s="22" t="str">
        <f t="shared" si="7"/>
        <v/>
      </c>
      <c r="AF815" s="7">
        <f>IF(ISBLANK(AB815), 0, VLOOKUP(AB815, 'Price Sheet'!$A$2:$B1015, 2, false))</f>
        <v>0</v>
      </c>
      <c r="AG815" s="33" t="str">
        <f t="shared" si="8"/>
        <v/>
      </c>
      <c r="AH815" s="37"/>
      <c r="AI815" s="29"/>
      <c r="AJ815" s="29" t="b">
        <v>0</v>
      </c>
      <c r="AK815" s="22" t="str">
        <f t="shared" si="9"/>
        <v/>
      </c>
      <c r="AL815" s="7">
        <f>IF(ISBLANK(AH815), 0, VLOOKUP(AH815, 'Price Sheet'!$A$2:$B1015, 2, false))</f>
        <v>0</v>
      </c>
      <c r="AM815" s="33" t="str">
        <f t="shared" si="10"/>
        <v/>
      </c>
      <c r="AN815" s="37"/>
      <c r="AO815" s="29"/>
      <c r="AP815" s="29" t="b">
        <v>0</v>
      </c>
      <c r="AQ815" s="22" t="str">
        <f t="shared" si="11"/>
        <v/>
      </c>
      <c r="AR815" s="7">
        <f>IF(ISBLANK(AN815), 0, VLOOKUP(AN815, 'Price Sheet'!$A$2:$B1015, 2, false))</f>
        <v>0</v>
      </c>
      <c r="AS815" s="33" t="str">
        <f t="shared" si="12"/>
        <v/>
      </c>
      <c r="AT815" s="37"/>
      <c r="AU815" s="29"/>
      <c r="AV815" s="29" t="b">
        <v>0</v>
      </c>
      <c r="AW815" s="22" t="str">
        <f t="shared" si="13"/>
        <v/>
      </c>
      <c r="AX815" s="7">
        <f>IF(ISBLANK(AT815), 0, VLOOKUP(AT815, 'Price Sheet'!$A$2:$B1015, 2, false))</f>
        <v>0</v>
      </c>
      <c r="AY815" s="33" t="str">
        <f t="shared" si="14"/>
        <v/>
      </c>
      <c r="AZ815" s="37"/>
      <c r="BA815" s="29"/>
      <c r="BB815" s="29" t="b">
        <v>0</v>
      </c>
      <c r="BC815" s="22" t="str">
        <f t="shared" si="15"/>
        <v/>
      </c>
      <c r="BD815" s="7">
        <f>IF(ISBLANK(AZ815), 0, VLOOKUP(AZ815, 'Price Sheet'!$A$2:$B1015, 2, false))</f>
        <v>0</v>
      </c>
      <c r="BE815" s="33" t="str">
        <f t="shared" si="16"/>
        <v/>
      </c>
      <c r="BF815" s="37"/>
      <c r="BG815" s="29"/>
      <c r="BH815" s="29" t="b">
        <v>0</v>
      </c>
      <c r="BI815" s="22" t="str">
        <f t="shared" si="17"/>
        <v/>
      </c>
      <c r="BJ815" s="7">
        <f>IF(ISBLANK(BF815), 0, VLOOKUP(BF815, 'Price Sheet'!$A$2:$B1015, 2, false))</f>
        <v>0</v>
      </c>
      <c r="BK815" s="33" t="str">
        <f t="shared" si="18"/>
        <v/>
      </c>
      <c r="BL815" s="37"/>
      <c r="BM815" s="29"/>
      <c r="BN815" s="29" t="b">
        <v>0</v>
      </c>
      <c r="BO815" s="22" t="str">
        <f t="shared" si="19"/>
        <v/>
      </c>
      <c r="BP815" s="7">
        <f>IF(ISBLANK(BL815), 0, VLOOKUP(BL815, 'Price Sheet'!$A$2:$B1015, 2, false))</f>
        <v>0</v>
      </c>
      <c r="BQ815" s="33" t="str">
        <f t="shared" si="20"/>
        <v/>
      </c>
    </row>
    <row r="816">
      <c r="B816" s="19"/>
      <c r="C816" s="29"/>
      <c r="D816" s="29"/>
      <c r="E816" s="7" t="str">
        <f>IF(ISBLANK(D816), "", VLOOKUP(D816,'Crafting Tables'!$A$2:$B1015, 2, false))</f>
        <v/>
      </c>
      <c r="F816" s="7" t="str">
        <f>IFERROR(IF(E816 = "None", 1, VLOOKUP(C816,General!$A$5:$L$35, SWITCH(E816, "Basic", 8, "Advanced", 10, "Modern", 12), false)),"")</f>
        <v/>
      </c>
      <c r="G816" s="29"/>
      <c r="H816" s="7">
        <f>IFERROR(VLOOKUP(C816, General!$A$5:$L$35, 6, false) * G816 / 1000, 0)</f>
        <v>0</v>
      </c>
      <c r="I816" s="29"/>
      <c r="J816" s="22" t="str">
        <f>IFERROR(I816*VLOOKUP(D816,'Crafting Tables'!$1:$1000, 4, false)*F816,"")</f>
        <v/>
      </c>
      <c r="K816" s="29" t="b">
        <v>0</v>
      </c>
      <c r="L816" s="37"/>
      <c r="M816" s="29"/>
      <c r="N816" s="21" t="str">
        <f t="shared" si="2"/>
        <v/>
      </c>
      <c r="P816" s="37"/>
      <c r="Q816" s="29"/>
      <c r="R816" s="29" t="b">
        <v>0</v>
      </c>
      <c r="S816" s="22" t="str">
        <f t="shared" si="3"/>
        <v/>
      </c>
      <c r="T816" s="7">
        <f>IF(ISBLANK(P816), 0, VLOOKUP(P816, 'Price Sheet'!$A$2:$B1015, 2, false))</f>
        <v>0</v>
      </c>
      <c r="U816" s="33" t="str">
        <f t="shared" si="4"/>
        <v/>
      </c>
      <c r="V816" s="37"/>
      <c r="W816" s="29"/>
      <c r="X816" s="29" t="b">
        <v>0</v>
      </c>
      <c r="Y816" s="22" t="str">
        <f t="shared" si="5"/>
        <v/>
      </c>
      <c r="Z816" s="7">
        <f>IF(ISBLANK(V816), 0, VLOOKUP(V816, 'Price Sheet'!$A$2:$B1015, 2, false))</f>
        <v>0</v>
      </c>
      <c r="AA816" s="33" t="str">
        <f t="shared" si="6"/>
        <v/>
      </c>
      <c r="AB816" s="37"/>
      <c r="AC816" s="29"/>
      <c r="AD816" s="29" t="b">
        <v>0</v>
      </c>
      <c r="AE816" s="22" t="str">
        <f t="shared" si="7"/>
        <v/>
      </c>
      <c r="AF816" s="7">
        <f>IF(ISBLANK(AB816), 0, VLOOKUP(AB816, 'Price Sheet'!$A$2:$B1015, 2, false))</f>
        <v>0</v>
      </c>
      <c r="AG816" s="33" t="str">
        <f t="shared" si="8"/>
        <v/>
      </c>
      <c r="AH816" s="37"/>
      <c r="AI816" s="29"/>
      <c r="AJ816" s="29" t="b">
        <v>0</v>
      </c>
      <c r="AK816" s="22" t="str">
        <f t="shared" si="9"/>
        <v/>
      </c>
      <c r="AL816" s="7">
        <f>IF(ISBLANK(AH816), 0, VLOOKUP(AH816, 'Price Sheet'!$A$2:$B1015, 2, false))</f>
        <v>0</v>
      </c>
      <c r="AM816" s="33" t="str">
        <f t="shared" si="10"/>
        <v/>
      </c>
      <c r="AN816" s="37"/>
      <c r="AO816" s="29"/>
      <c r="AP816" s="29" t="b">
        <v>0</v>
      </c>
      <c r="AQ816" s="22" t="str">
        <f t="shared" si="11"/>
        <v/>
      </c>
      <c r="AR816" s="7">
        <f>IF(ISBLANK(AN816), 0, VLOOKUP(AN816, 'Price Sheet'!$A$2:$B1015, 2, false))</f>
        <v>0</v>
      </c>
      <c r="AS816" s="33" t="str">
        <f t="shared" si="12"/>
        <v/>
      </c>
      <c r="AT816" s="37"/>
      <c r="AU816" s="29"/>
      <c r="AV816" s="29" t="b">
        <v>0</v>
      </c>
      <c r="AW816" s="22" t="str">
        <f t="shared" si="13"/>
        <v/>
      </c>
      <c r="AX816" s="7">
        <f>IF(ISBLANK(AT816), 0, VLOOKUP(AT816, 'Price Sheet'!$A$2:$B1015, 2, false))</f>
        <v>0</v>
      </c>
      <c r="AY816" s="33" t="str">
        <f t="shared" si="14"/>
        <v/>
      </c>
      <c r="AZ816" s="37"/>
      <c r="BA816" s="29"/>
      <c r="BB816" s="29" t="b">
        <v>0</v>
      </c>
      <c r="BC816" s="22" t="str">
        <f t="shared" si="15"/>
        <v/>
      </c>
      <c r="BD816" s="7">
        <f>IF(ISBLANK(AZ816), 0, VLOOKUP(AZ816, 'Price Sheet'!$A$2:$B1015, 2, false))</f>
        <v>0</v>
      </c>
      <c r="BE816" s="33" t="str">
        <f t="shared" si="16"/>
        <v/>
      </c>
      <c r="BF816" s="37"/>
      <c r="BG816" s="29"/>
      <c r="BH816" s="29" t="b">
        <v>0</v>
      </c>
      <c r="BI816" s="22" t="str">
        <f t="shared" si="17"/>
        <v/>
      </c>
      <c r="BJ816" s="7">
        <f>IF(ISBLANK(BF816), 0, VLOOKUP(BF816, 'Price Sheet'!$A$2:$B1015, 2, false))</f>
        <v>0</v>
      </c>
      <c r="BK816" s="33" t="str">
        <f t="shared" si="18"/>
        <v/>
      </c>
      <c r="BL816" s="37"/>
      <c r="BM816" s="29"/>
      <c r="BN816" s="29" t="b">
        <v>0</v>
      </c>
      <c r="BO816" s="22" t="str">
        <f t="shared" si="19"/>
        <v/>
      </c>
      <c r="BP816" s="7">
        <f>IF(ISBLANK(BL816), 0, VLOOKUP(BL816, 'Price Sheet'!$A$2:$B1015, 2, false))</f>
        <v>0</v>
      </c>
      <c r="BQ816" s="33" t="str">
        <f t="shared" si="20"/>
        <v/>
      </c>
    </row>
    <row r="817">
      <c r="B817" s="19"/>
      <c r="C817" s="29"/>
      <c r="D817" s="29"/>
      <c r="E817" s="7" t="str">
        <f>IF(ISBLANK(D817), "", VLOOKUP(D817,'Crafting Tables'!$A$2:$B1015, 2, false))</f>
        <v/>
      </c>
      <c r="F817" s="7" t="str">
        <f>IFERROR(IF(E817 = "None", 1, VLOOKUP(C817,General!$A$5:$L$35, SWITCH(E817, "Basic", 8, "Advanced", 10, "Modern", 12), false)),"")</f>
        <v/>
      </c>
      <c r="G817" s="29"/>
      <c r="H817" s="7">
        <f>IFERROR(VLOOKUP(C817, General!$A$5:$L$35, 6, false) * G817 / 1000, 0)</f>
        <v>0</v>
      </c>
      <c r="I817" s="29"/>
      <c r="J817" s="22" t="str">
        <f>IFERROR(I817*VLOOKUP(D817,'Crafting Tables'!$1:$1000, 4, false)*F817,"")</f>
        <v/>
      </c>
      <c r="K817" s="29" t="b">
        <v>0</v>
      </c>
      <c r="L817" s="37"/>
      <c r="M817" s="29"/>
      <c r="N817" s="21" t="str">
        <f t="shared" si="2"/>
        <v/>
      </c>
      <c r="P817" s="37"/>
      <c r="Q817" s="29"/>
      <c r="R817" s="29" t="b">
        <v>0</v>
      </c>
      <c r="S817" s="22" t="str">
        <f t="shared" si="3"/>
        <v/>
      </c>
      <c r="T817" s="7">
        <f>IF(ISBLANK(P817), 0, VLOOKUP(P817, 'Price Sheet'!$A$2:$B1015, 2, false))</f>
        <v>0</v>
      </c>
      <c r="U817" s="33" t="str">
        <f t="shared" si="4"/>
        <v/>
      </c>
      <c r="V817" s="37"/>
      <c r="W817" s="29"/>
      <c r="X817" s="29" t="b">
        <v>0</v>
      </c>
      <c r="Y817" s="22" t="str">
        <f t="shared" si="5"/>
        <v/>
      </c>
      <c r="Z817" s="7">
        <f>IF(ISBLANK(V817), 0, VLOOKUP(V817, 'Price Sheet'!$A$2:$B1015, 2, false))</f>
        <v>0</v>
      </c>
      <c r="AA817" s="33" t="str">
        <f t="shared" si="6"/>
        <v/>
      </c>
      <c r="AB817" s="37"/>
      <c r="AC817" s="29"/>
      <c r="AD817" s="29" t="b">
        <v>0</v>
      </c>
      <c r="AE817" s="22" t="str">
        <f t="shared" si="7"/>
        <v/>
      </c>
      <c r="AF817" s="7">
        <f>IF(ISBLANK(AB817), 0, VLOOKUP(AB817, 'Price Sheet'!$A$2:$B1015, 2, false))</f>
        <v>0</v>
      </c>
      <c r="AG817" s="33" t="str">
        <f t="shared" si="8"/>
        <v/>
      </c>
      <c r="AH817" s="37"/>
      <c r="AI817" s="29"/>
      <c r="AJ817" s="29" t="b">
        <v>0</v>
      </c>
      <c r="AK817" s="22" t="str">
        <f t="shared" si="9"/>
        <v/>
      </c>
      <c r="AL817" s="7">
        <f>IF(ISBLANK(AH817), 0, VLOOKUP(AH817, 'Price Sheet'!$A$2:$B1015, 2, false))</f>
        <v>0</v>
      </c>
      <c r="AM817" s="33" t="str">
        <f t="shared" si="10"/>
        <v/>
      </c>
      <c r="AN817" s="37"/>
      <c r="AO817" s="29"/>
      <c r="AP817" s="29" t="b">
        <v>0</v>
      </c>
      <c r="AQ817" s="22" t="str">
        <f t="shared" si="11"/>
        <v/>
      </c>
      <c r="AR817" s="7">
        <f>IF(ISBLANK(AN817), 0, VLOOKUP(AN817, 'Price Sheet'!$A$2:$B1015, 2, false))</f>
        <v>0</v>
      </c>
      <c r="AS817" s="33" t="str">
        <f t="shared" si="12"/>
        <v/>
      </c>
      <c r="AT817" s="37"/>
      <c r="AU817" s="29"/>
      <c r="AV817" s="29" t="b">
        <v>0</v>
      </c>
      <c r="AW817" s="22" t="str">
        <f t="shared" si="13"/>
        <v/>
      </c>
      <c r="AX817" s="7">
        <f>IF(ISBLANK(AT817), 0, VLOOKUP(AT817, 'Price Sheet'!$A$2:$B1015, 2, false))</f>
        <v>0</v>
      </c>
      <c r="AY817" s="33" t="str">
        <f t="shared" si="14"/>
        <v/>
      </c>
      <c r="AZ817" s="37"/>
      <c r="BA817" s="29"/>
      <c r="BB817" s="29" t="b">
        <v>0</v>
      </c>
      <c r="BC817" s="22" t="str">
        <f t="shared" si="15"/>
        <v/>
      </c>
      <c r="BD817" s="7">
        <f>IF(ISBLANK(AZ817), 0, VLOOKUP(AZ817, 'Price Sheet'!$A$2:$B1015, 2, false))</f>
        <v>0</v>
      </c>
      <c r="BE817" s="33" t="str">
        <f t="shared" si="16"/>
        <v/>
      </c>
      <c r="BF817" s="37"/>
      <c r="BG817" s="29"/>
      <c r="BH817" s="29" t="b">
        <v>0</v>
      </c>
      <c r="BI817" s="22" t="str">
        <f t="shared" si="17"/>
        <v/>
      </c>
      <c r="BJ817" s="7">
        <f>IF(ISBLANK(BF817), 0, VLOOKUP(BF817, 'Price Sheet'!$A$2:$B1015, 2, false))</f>
        <v>0</v>
      </c>
      <c r="BK817" s="33" t="str">
        <f t="shared" si="18"/>
        <v/>
      </c>
      <c r="BL817" s="37"/>
      <c r="BM817" s="29"/>
      <c r="BN817" s="29" t="b">
        <v>0</v>
      </c>
      <c r="BO817" s="22" t="str">
        <f t="shared" si="19"/>
        <v/>
      </c>
      <c r="BP817" s="7">
        <f>IF(ISBLANK(BL817), 0, VLOOKUP(BL817, 'Price Sheet'!$A$2:$B1015, 2, false))</f>
        <v>0</v>
      </c>
      <c r="BQ817" s="33" t="str">
        <f t="shared" si="20"/>
        <v/>
      </c>
    </row>
    <row r="818">
      <c r="B818" s="19"/>
      <c r="C818" s="29"/>
      <c r="D818" s="29"/>
      <c r="E818" s="7" t="str">
        <f>IF(ISBLANK(D818), "", VLOOKUP(D818,'Crafting Tables'!$A$2:$B1015, 2, false))</f>
        <v/>
      </c>
      <c r="F818" s="7" t="str">
        <f>IFERROR(IF(E818 = "None", 1, VLOOKUP(C818,General!$A$5:$L$35, SWITCH(E818, "Basic", 8, "Advanced", 10, "Modern", 12), false)),"")</f>
        <v/>
      </c>
      <c r="G818" s="29"/>
      <c r="H818" s="7">
        <f>IFERROR(VLOOKUP(C818, General!$A$5:$L$35, 6, false) * G818 / 1000, 0)</f>
        <v>0</v>
      </c>
      <c r="I818" s="29"/>
      <c r="J818" s="22" t="str">
        <f>IFERROR(I818*VLOOKUP(D818,'Crafting Tables'!$1:$1000, 4, false)*F818,"")</f>
        <v/>
      </c>
      <c r="K818" s="29" t="b">
        <v>0</v>
      </c>
      <c r="L818" s="37"/>
      <c r="M818" s="29"/>
      <c r="N818" s="21" t="str">
        <f t="shared" si="2"/>
        <v/>
      </c>
      <c r="P818" s="37"/>
      <c r="Q818" s="29"/>
      <c r="R818" s="29" t="b">
        <v>0</v>
      </c>
      <c r="S818" s="22" t="str">
        <f t="shared" si="3"/>
        <v/>
      </c>
      <c r="T818" s="7">
        <f>IF(ISBLANK(P818), 0, VLOOKUP(P818, 'Price Sheet'!$A$2:$B1015, 2, false))</f>
        <v>0</v>
      </c>
      <c r="U818" s="33" t="str">
        <f t="shared" si="4"/>
        <v/>
      </c>
      <c r="V818" s="37"/>
      <c r="W818" s="29"/>
      <c r="X818" s="29" t="b">
        <v>0</v>
      </c>
      <c r="Y818" s="22" t="str">
        <f t="shared" si="5"/>
        <v/>
      </c>
      <c r="Z818" s="7">
        <f>IF(ISBLANK(V818), 0, VLOOKUP(V818, 'Price Sheet'!$A$2:$B1015, 2, false))</f>
        <v>0</v>
      </c>
      <c r="AA818" s="33" t="str">
        <f t="shared" si="6"/>
        <v/>
      </c>
      <c r="AB818" s="37"/>
      <c r="AC818" s="29"/>
      <c r="AD818" s="29" t="b">
        <v>0</v>
      </c>
      <c r="AE818" s="22" t="str">
        <f t="shared" si="7"/>
        <v/>
      </c>
      <c r="AF818" s="7">
        <f>IF(ISBLANK(AB818), 0, VLOOKUP(AB818, 'Price Sheet'!$A$2:$B1015, 2, false))</f>
        <v>0</v>
      </c>
      <c r="AG818" s="33" t="str">
        <f t="shared" si="8"/>
        <v/>
      </c>
      <c r="AH818" s="37"/>
      <c r="AI818" s="29"/>
      <c r="AJ818" s="29" t="b">
        <v>0</v>
      </c>
      <c r="AK818" s="22" t="str">
        <f t="shared" si="9"/>
        <v/>
      </c>
      <c r="AL818" s="7">
        <f>IF(ISBLANK(AH818), 0, VLOOKUP(AH818, 'Price Sheet'!$A$2:$B1015, 2, false))</f>
        <v>0</v>
      </c>
      <c r="AM818" s="33" t="str">
        <f t="shared" si="10"/>
        <v/>
      </c>
      <c r="AN818" s="37"/>
      <c r="AO818" s="29"/>
      <c r="AP818" s="29" t="b">
        <v>0</v>
      </c>
      <c r="AQ818" s="22" t="str">
        <f t="shared" si="11"/>
        <v/>
      </c>
      <c r="AR818" s="7">
        <f>IF(ISBLANK(AN818), 0, VLOOKUP(AN818, 'Price Sheet'!$A$2:$B1015, 2, false))</f>
        <v>0</v>
      </c>
      <c r="AS818" s="33" t="str">
        <f t="shared" si="12"/>
        <v/>
      </c>
      <c r="AT818" s="37"/>
      <c r="AU818" s="29"/>
      <c r="AV818" s="29" t="b">
        <v>0</v>
      </c>
      <c r="AW818" s="22" t="str">
        <f t="shared" si="13"/>
        <v/>
      </c>
      <c r="AX818" s="7">
        <f>IF(ISBLANK(AT818), 0, VLOOKUP(AT818, 'Price Sheet'!$A$2:$B1015, 2, false))</f>
        <v>0</v>
      </c>
      <c r="AY818" s="33" t="str">
        <f t="shared" si="14"/>
        <v/>
      </c>
      <c r="AZ818" s="37"/>
      <c r="BA818" s="29"/>
      <c r="BB818" s="29" t="b">
        <v>0</v>
      </c>
      <c r="BC818" s="22" t="str">
        <f t="shared" si="15"/>
        <v/>
      </c>
      <c r="BD818" s="7">
        <f>IF(ISBLANK(AZ818), 0, VLOOKUP(AZ818, 'Price Sheet'!$A$2:$B1015, 2, false))</f>
        <v>0</v>
      </c>
      <c r="BE818" s="33" t="str">
        <f t="shared" si="16"/>
        <v/>
      </c>
      <c r="BF818" s="37"/>
      <c r="BG818" s="29"/>
      <c r="BH818" s="29" t="b">
        <v>0</v>
      </c>
      <c r="BI818" s="22" t="str">
        <f t="shared" si="17"/>
        <v/>
      </c>
      <c r="BJ818" s="7">
        <f>IF(ISBLANK(BF818), 0, VLOOKUP(BF818, 'Price Sheet'!$A$2:$B1015, 2, false))</f>
        <v>0</v>
      </c>
      <c r="BK818" s="33" t="str">
        <f t="shared" si="18"/>
        <v/>
      </c>
      <c r="BL818" s="37"/>
      <c r="BM818" s="29"/>
      <c r="BN818" s="29" t="b">
        <v>0</v>
      </c>
      <c r="BO818" s="22" t="str">
        <f t="shared" si="19"/>
        <v/>
      </c>
      <c r="BP818" s="7">
        <f>IF(ISBLANK(BL818), 0, VLOOKUP(BL818, 'Price Sheet'!$A$2:$B1015, 2, false))</f>
        <v>0</v>
      </c>
      <c r="BQ818" s="33" t="str">
        <f t="shared" si="20"/>
        <v/>
      </c>
    </row>
    <row r="819">
      <c r="B819" s="19"/>
      <c r="C819" s="29"/>
      <c r="D819" s="29"/>
      <c r="E819" s="7" t="str">
        <f>IF(ISBLANK(D819), "", VLOOKUP(D819,'Crafting Tables'!$A$2:$B1015, 2, false))</f>
        <v/>
      </c>
      <c r="F819" s="7" t="str">
        <f>IFERROR(IF(E819 = "None", 1, VLOOKUP(C819,General!$A$5:$L$35, SWITCH(E819, "Basic", 8, "Advanced", 10, "Modern", 12), false)),"")</f>
        <v/>
      </c>
      <c r="G819" s="29"/>
      <c r="H819" s="7">
        <f>IFERROR(VLOOKUP(C819, General!$A$5:$L$35, 6, false) * G819 / 1000, 0)</f>
        <v>0</v>
      </c>
      <c r="I819" s="29"/>
      <c r="J819" s="22" t="str">
        <f>IFERROR(I819*VLOOKUP(D819,'Crafting Tables'!$1:$1000, 4, false)*F819,"")</f>
        <v/>
      </c>
      <c r="K819" s="29" t="b">
        <v>0</v>
      </c>
      <c r="L819" s="37"/>
      <c r="M819" s="29"/>
      <c r="N819" s="21" t="str">
        <f t="shared" si="2"/>
        <v/>
      </c>
      <c r="P819" s="37"/>
      <c r="Q819" s="29"/>
      <c r="R819" s="29" t="b">
        <v>0</v>
      </c>
      <c r="S819" s="22" t="str">
        <f t="shared" si="3"/>
        <v/>
      </c>
      <c r="T819" s="7">
        <f>IF(ISBLANK(P819), 0, VLOOKUP(P819, 'Price Sheet'!$A$2:$B1015, 2, false))</f>
        <v>0</v>
      </c>
      <c r="U819" s="33" t="str">
        <f t="shared" si="4"/>
        <v/>
      </c>
      <c r="V819" s="37"/>
      <c r="W819" s="29"/>
      <c r="X819" s="29" t="b">
        <v>0</v>
      </c>
      <c r="Y819" s="22" t="str">
        <f t="shared" si="5"/>
        <v/>
      </c>
      <c r="Z819" s="7">
        <f>IF(ISBLANK(V819), 0, VLOOKUP(V819, 'Price Sheet'!$A$2:$B1015, 2, false))</f>
        <v>0</v>
      </c>
      <c r="AA819" s="33" t="str">
        <f t="shared" si="6"/>
        <v/>
      </c>
      <c r="AB819" s="37"/>
      <c r="AC819" s="29"/>
      <c r="AD819" s="29" t="b">
        <v>0</v>
      </c>
      <c r="AE819" s="22" t="str">
        <f t="shared" si="7"/>
        <v/>
      </c>
      <c r="AF819" s="7">
        <f>IF(ISBLANK(AB819), 0, VLOOKUP(AB819, 'Price Sheet'!$A$2:$B1015, 2, false))</f>
        <v>0</v>
      </c>
      <c r="AG819" s="33" t="str">
        <f t="shared" si="8"/>
        <v/>
      </c>
      <c r="AH819" s="37"/>
      <c r="AI819" s="29"/>
      <c r="AJ819" s="29" t="b">
        <v>0</v>
      </c>
      <c r="AK819" s="22" t="str">
        <f t="shared" si="9"/>
        <v/>
      </c>
      <c r="AL819" s="7">
        <f>IF(ISBLANK(AH819), 0, VLOOKUP(AH819, 'Price Sheet'!$A$2:$B1015, 2, false))</f>
        <v>0</v>
      </c>
      <c r="AM819" s="33" t="str">
        <f t="shared" si="10"/>
        <v/>
      </c>
      <c r="AN819" s="37"/>
      <c r="AO819" s="29"/>
      <c r="AP819" s="29" t="b">
        <v>0</v>
      </c>
      <c r="AQ819" s="22" t="str">
        <f t="shared" si="11"/>
        <v/>
      </c>
      <c r="AR819" s="7">
        <f>IF(ISBLANK(AN819), 0, VLOOKUP(AN819, 'Price Sheet'!$A$2:$B1015, 2, false))</f>
        <v>0</v>
      </c>
      <c r="AS819" s="33" t="str">
        <f t="shared" si="12"/>
        <v/>
      </c>
      <c r="AT819" s="37"/>
      <c r="AU819" s="29"/>
      <c r="AV819" s="29" t="b">
        <v>0</v>
      </c>
      <c r="AW819" s="22" t="str">
        <f t="shared" si="13"/>
        <v/>
      </c>
      <c r="AX819" s="7">
        <f>IF(ISBLANK(AT819), 0, VLOOKUP(AT819, 'Price Sheet'!$A$2:$B1015, 2, false))</f>
        <v>0</v>
      </c>
      <c r="AY819" s="33" t="str">
        <f t="shared" si="14"/>
        <v/>
      </c>
      <c r="AZ819" s="37"/>
      <c r="BA819" s="29"/>
      <c r="BB819" s="29" t="b">
        <v>0</v>
      </c>
      <c r="BC819" s="22" t="str">
        <f t="shared" si="15"/>
        <v/>
      </c>
      <c r="BD819" s="7">
        <f>IF(ISBLANK(AZ819), 0, VLOOKUP(AZ819, 'Price Sheet'!$A$2:$B1015, 2, false))</f>
        <v>0</v>
      </c>
      <c r="BE819" s="33" t="str">
        <f t="shared" si="16"/>
        <v/>
      </c>
      <c r="BF819" s="37"/>
      <c r="BG819" s="29"/>
      <c r="BH819" s="29" t="b">
        <v>0</v>
      </c>
      <c r="BI819" s="22" t="str">
        <f t="shared" si="17"/>
        <v/>
      </c>
      <c r="BJ819" s="7">
        <f>IF(ISBLANK(BF819), 0, VLOOKUP(BF819, 'Price Sheet'!$A$2:$B1015, 2, false))</f>
        <v>0</v>
      </c>
      <c r="BK819" s="33" t="str">
        <f t="shared" si="18"/>
        <v/>
      </c>
      <c r="BL819" s="37"/>
      <c r="BM819" s="29"/>
      <c r="BN819" s="29" t="b">
        <v>0</v>
      </c>
      <c r="BO819" s="22" t="str">
        <f t="shared" si="19"/>
        <v/>
      </c>
      <c r="BP819" s="7">
        <f>IF(ISBLANK(BL819), 0, VLOOKUP(BL819, 'Price Sheet'!$A$2:$B1015, 2, false))</f>
        <v>0</v>
      </c>
      <c r="BQ819" s="33" t="str">
        <f t="shared" si="20"/>
        <v/>
      </c>
    </row>
    <row r="820">
      <c r="B820" s="19"/>
      <c r="C820" s="29"/>
      <c r="D820" s="29"/>
      <c r="E820" s="7" t="str">
        <f>IF(ISBLANK(D820), "", VLOOKUP(D820,'Crafting Tables'!$A$2:$B1015, 2, false))</f>
        <v/>
      </c>
      <c r="F820" s="7" t="str">
        <f>IFERROR(IF(E820 = "None", 1, VLOOKUP(C820,General!$A$5:$L$35, SWITCH(E820, "Basic", 8, "Advanced", 10, "Modern", 12), false)),"")</f>
        <v/>
      </c>
      <c r="G820" s="29"/>
      <c r="H820" s="7">
        <f>IFERROR(VLOOKUP(C820, General!$A$5:$L$35, 6, false) * G820 / 1000, 0)</f>
        <v>0</v>
      </c>
      <c r="I820" s="29"/>
      <c r="J820" s="22" t="str">
        <f>IFERROR(I820*VLOOKUP(D820,'Crafting Tables'!$1:$1000, 4, false)*F820,"")</f>
        <v/>
      </c>
      <c r="K820" s="29" t="b">
        <v>0</v>
      </c>
      <c r="L820" s="37"/>
      <c r="M820" s="29"/>
      <c r="N820" s="21" t="str">
        <f t="shared" si="2"/>
        <v/>
      </c>
      <c r="P820" s="37"/>
      <c r="Q820" s="29"/>
      <c r="R820" s="29" t="b">
        <v>0</v>
      </c>
      <c r="S820" s="22" t="str">
        <f t="shared" si="3"/>
        <v/>
      </c>
      <c r="T820" s="7">
        <f>IF(ISBLANK(P820), 0, VLOOKUP(P820, 'Price Sheet'!$A$2:$B1015, 2, false))</f>
        <v>0</v>
      </c>
      <c r="U820" s="33" t="str">
        <f t="shared" si="4"/>
        <v/>
      </c>
      <c r="V820" s="37"/>
      <c r="W820" s="29"/>
      <c r="X820" s="29" t="b">
        <v>0</v>
      </c>
      <c r="Y820" s="22" t="str">
        <f t="shared" si="5"/>
        <v/>
      </c>
      <c r="Z820" s="7">
        <f>IF(ISBLANK(V820), 0, VLOOKUP(V820, 'Price Sheet'!$A$2:$B1015, 2, false))</f>
        <v>0</v>
      </c>
      <c r="AA820" s="33" t="str">
        <f t="shared" si="6"/>
        <v/>
      </c>
      <c r="AB820" s="37"/>
      <c r="AC820" s="29"/>
      <c r="AD820" s="29" t="b">
        <v>0</v>
      </c>
      <c r="AE820" s="22" t="str">
        <f t="shared" si="7"/>
        <v/>
      </c>
      <c r="AF820" s="7">
        <f>IF(ISBLANK(AB820), 0, VLOOKUP(AB820, 'Price Sheet'!$A$2:$B1015, 2, false))</f>
        <v>0</v>
      </c>
      <c r="AG820" s="33" t="str">
        <f t="shared" si="8"/>
        <v/>
      </c>
      <c r="AH820" s="37"/>
      <c r="AI820" s="29"/>
      <c r="AJ820" s="29" t="b">
        <v>0</v>
      </c>
      <c r="AK820" s="22" t="str">
        <f t="shared" si="9"/>
        <v/>
      </c>
      <c r="AL820" s="7">
        <f>IF(ISBLANK(AH820), 0, VLOOKUP(AH820, 'Price Sheet'!$A$2:$B1015, 2, false))</f>
        <v>0</v>
      </c>
      <c r="AM820" s="33" t="str">
        <f t="shared" si="10"/>
        <v/>
      </c>
      <c r="AN820" s="37"/>
      <c r="AO820" s="29"/>
      <c r="AP820" s="29" t="b">
        <v>0</v>
      </c>
      <c r="AQ820" s="22" t="str">
        <f t="shared" si="11"/>
        <v/>
      </c>
      <c r="AR820" s="7">
        <f>IF(ISBLANK(AN820), 0, VLOOKUP(AN820, 'Price Sheet'!$A$2:$B1015, 2, false))</f>
        <v>0</v>
      </c>
      <c r="AS820" s="33" t="str">
        <f t="shared" si="12"/>
        <v/>
      </c>
      <c r="AT820" s="37"/>
      <c r="AU820" s="29"/>
      <c r="AV820" s="29" t="b">
        <v>0</v>
      </c>
      <c r="AW820" s="22" t="str">
        <f t="shared" si="13"/>
        <v/>
      </c>
      <c r="AX820" s="7">
        <f>IF(ISBLANK(AT820), 0, VLOOKUP(AT820, 'Price Sheet'!$A$2:$B1015, 2, false))</f>
        <v>0</v>
      </c>
      <c r="AY820" s="33" t="str">
        <f t="shared" si="14"/>
        <v/>
      </c>
      <c r="AZ820" s="37"/>
      <c r="BA820" s="29"/>
      <c r="BB820" s="29" t="b">
        <v>0</v>
      </c>
      <c r="BC820" s="22" t="str">
        <f t="shared" si="15"/>
        <v/>
      </c>
      <c r="BD820" s="7">
        <f>IF(ISBLANK(AZ820), 0, VLOOKUP(AZ820, 'Price Sheet'!$A$2:$B1015, 2, false))</f>
        <v>0</v>
      </c>
      <c r="BE820" s="33" t="str">
        <f t="shared" si="16"/>
        <v/>
      </c>
      <c r="BF820" s="37"/>
      <c r="BG820" s="29"/>
      <c r="BH820" s="29" t="b">
        <v>0</v>
      </c>
      <c r="BI820" s="22" t="str">
        <f t="shared" si="17"/>
        <v/>
      </c>
      <c r="BJ820" s="7">
        <f>IF(ISBLANK(BF820), 0, VLOOKUP(BF820, 'Price Sheet'!$A$2:$B1015, 2, false))</f>
        <v>0</v>
      </c>
      <c r="BK820" s="33" t="str">
        <f t="shared" si="18"/>
        <v/>
      </c>
      <c r="BL820" s="37"/>
      <c r="BM820" s="29"/>
      <c r="BN820" s="29" t="b">
        <v>0</v>
      </c>
      <c r="BO820" s="22" t="str">
        <f t="shared" si="19"/>
        <v/>
      </c>
      <c r="BP820" s="7">
        <f>IF(ISBLANK(BL820), 0, VLOOKUP(BL820, 'Price Sheet'!$A$2:$B1015, 2, false))</f>
        <v>0</v>
      </c>
      <c r="BQ820" s="33" t="str">
        <f t="shared" si="20"/>
        <v/>
      </c>
    </row>
    <row r="821">
      <c r="B821" s="19"/>
      <c r="C821" s="29"/>
      <c r="D821" s="29"/>
      <c r="E821" s="7" t="str">
        <f>IF(ISBLANK(D821), "", VLOOKUP(D821,'Crafting Tables'!$A$2:$B1015, 2, false))</f>
        <v/>
      </c>
      <c r="F821" s="7" t="str">
        <f>IFERROR(IF(E821 = "None", 1, VLOOKUP(C821,General!$A$5:$L$35, SWITCH(E821, "Basic", 8, "Advanced", 10, "Modern", 12), false)),"")</f>
        <v/>
      </c>
      <c r="G821" s="29"/>
      <c r="H821" s="7">
        <f>IFERROR(VLOOKUP(C821, General!$A$5:$L$35, 6, false) * G821 / 1000, 0)</f>
        <v>0</v>
      </c>
      <c r="I821" s="29"/>
      <c r="J821" s="22" t="str">
        <f>IFERROR(I821*VLOOKUP(D821,'Crafting Tables'!$1:$1000, 4, false)*F821,"")</f>
        <v/>
      </c>
      <c r="K821" s="29" t="b">
        <v>0</v>
      </c>
      <c r="L821" s="37"/>
      <c r="M821" s="29"/>
      <c r="N821" s="21" t="str">
        <f t="shared" si="2"/>
        <v/>
      </c>
      <c r="P821" s="37"/>
      <c r="Q821" s="29"/>
      <c r="R821" s="29" t="b">
        <v>0</v>
      </c>
      <c r="S821" s="22" t="str">
        <f t="shared" si="3"/>
        <v/>
      </c>
      <c r="T821" s="7">
        <f>IF(ISBLANK(P821), 0, VLOOKUP(P821, 'Price Sheet'!$A$2:$B1015, 2, false))</f>
        <v>0</v>
      </c>
      <c r="U821" s="33" t="str">
        <f t="shared" si="4"/>
        <v/>
      </c>
      <c r="V821" s="37"/>
      <c r="W821" s="29"/>
      <c r="X821" s="29" t="b">
        <v>0</v>
      </c>
      <c r="Y821" s="22" t="str">
        <f t="shared" si="5"/>
        <v/>
      </c>
      <c r="Z821" s="7">
        <f>IF(ISBLANK(V821), 0, VLOOKUP(V821, 'Price Sheet'!$A$2:$B1015, 2, false))</f>
        <v>0</v>
      </c>
      <c r="AA821" s="33" t="str">
        <f t="shared" si="6"/>
        <v/>
      </c>
      <c r="AB821" s="37"/>
      <c r="AC821" s="29"/>
      <c r="AD821" s="29" t="b">
        <v>0</v>
      </c>
      <c r="AE821" s="22" t="str">
        <f t="shared" si="7"/>
        <v/>
      </c>
      <c r="AF821" s="7">
        <f>IF(ISBLANK(AB821), 0, VLOOKUP(AB821, 'Price Sheet'!$A$2:$B1015, 2, false))</f>
        <v>0</v>
      </c>
      <c r="AG821" s="33" t="str">
        <f t="shared" si="8"/>
        <v/>
      </c>
      <c r="AH821" s="37"/>
      <c r="AI821" s="29"/>
      <c r="AJ821" s="29" t="b">
        <v>0</v>
      </c>
      <c r="AK821" s="22" t="str">
        <f t="shared" si="9"/>
        <v/>
      </c>
      <c r="AL821" s="7">
        <f>IF(ISBLANK(AH821), 0, VLOOKUP(AH821, 'Price Sheet'!$A$2:$B1015, 2, false))</f>
        <v>0</v>
      </c>
      <c r="AM821" s="33" t="str">
        <f t="shared" si="10"/>
        <v/>
      </c>
      <c r="AN821" s="37"/>
      <c r="AO821" s="29"/>
      <c r="AP821" s="29" t="b">
        <v>0</v>
      </c>
      <c r="AQ821" s="22" t="str">
        <f t="shared" si="11"/>
        <v/>
      </c>
      <c r="AR821" s="7">
        <f>IF(ISBLANK(AN821), 0, VLOOKUP(AN821, 'Price Sheet'!$A$2:$B1015, 2, false))</f>
        <v>0</v>
      </c>
      <c r="AS821" s="33" t="str">
        <f t="shared" si="12"/>
        <v/>
      </c>
      <c r="AT821" s="37"/>
      <c r="AU821" s="29"/>
      <c r="AV821" s="29" t="b">
        <v>0</v>
      </c>
      <c r="AW821" s="22" t="str">
        <f t="shared" si="13"/>
        <v/>
      </c>
      <c r="AX821" s="7">
        <f>IF(ISBLANK(AT821), 0, VLOOKUP(AT821, 'Price Sheet'!$A$2:$B1015, 2, false))</f>
        <v>0</v>
      </c>
      <c r="AY821" s="33" t="str">
        <f t="shared" si="14"/>
        <v/>
      </c>
      <c r="AZ821" s="37"/>
      <c r="BA821" s="29"/>
      <c r="BB821" s="29" t="b">
        <v>0</v>
      </c>
      <c r="BC821" s="22" t="str">
        <f t="shared" si="15"/>
        <v/>
      </c>
      <c r="BD821" s="7">
        <f>IF(ISBLANK(AZ821), 0, VLOOKUP(AZ821, 'Price Sheet'!$A$2:$B1015, 2, false))</f>
        <v>0</v>
      </c>
      <c r="BE821" s="33" t="str">
        <f t="shared" si="16"/>
        <v/>
      </c>
      <c r="BF821" s="37"/>
      <c r="BG821" s="29"/>
      <c r="BH821" s="29" t="b">
        <v>0</v>
      </c>
      <c r="BI821" s="22" t="str">
        <f t="shared" si="17"/>
        <v/>
      </c>
      <c r="BJ821" s="7">
        <f>IF(ISBLANK(BF821), 0, VLOOKUP(BF821, 'Price Sheet'!$A$2:$B1015, 2, false))</f>
        <v>0</v>
      </c>
      <c r="BK821" s="33" t="str">
        <f t="shared" si="18"/>
        <v/>
      </c>
      <c r="BL821" s="37"/>
      <c r="BM821" s="29"/>
      <c r="BN821" s="29" t="b">
        <v>0</v>
      </c>
      <c r="BO821" s="22" t="str">
        <f t="shared" si="19"/>
        <v/>
      </c>
      <c r="BP821" s="7">
        <f>IF(ISBLANK(BL821), 0, VLOOKUP(BL821, 'Price Sheet'!$A$2:$B1015, 2, false))</f>
        <v>0</v>
      </c>
      <c r="BQ821" s="33" t="str">
        <f t="shared" si="20"/>
        <v/>
      </c>
    </row>
    <row r="822">
      <c r="B822" s="19"/>
      <c r="C822" s="29"/>
      <c r="D822" s="29"/>
      <c r="E822" s="7" t="str">
        <f>IF(ISBLANK(D822), "", VLOOKUP(D822,'Crafting Tables'!$A$2:$B1015, 2, false))</f>
        <v/>
      </c>
      <c r="F822" s="7" t="str">
        <f>IFERROR(IF(E822 = "None", 1, VLOOKUP(C822,General!$A$5:$L$35, SWITCH(E822, "Basic", 8, "Advanced", 10, "Modern", 12), false)),"")</f>
        <v/>
      </c>
      <c r="G822" s="29"/>
      <c r="H822" s="7">
        <f>IFERROR(VLOOKUP(C822, General!$A$5:$L$35, 6, false) * G822 / 1000, 0)</f>
        <v>0</v>
      </c>
      <c r="I822" s="29"/>
      <c r="J822" s="22" t="str">
        <f>IFERROR(I822*VLOOKUP(D822,'Crafting Tables'!$1:$1000, 4, false)*F822,"")</f>
        <v/>
      </c>
      <c r="K822" s="29" t="b">
        <v>0</v>
      </c>
      <c r="L822" s="37"/>
      <c r="M822" s="29"/>
      <c r="N822" s="21" t="str">
        <f t="shared" si="2"/>
        <v/>
      </c>
      <c r="P822" s="37"/>
      <c r="Q822" s="29"/>
      <c r="R822" s="29" t="b">
        <v>0</v>
      </c>
      <c r="S822" s="22" t="str">
        <f t="shared" si="3"/>
        <v/>
      </c>
      <c r="T822" s="7">
        <f>IF(ISBLANK(P822), 0, VLOOKUP(P822, 'Price Sheet'!$A$2:$B1015, 2, false))</f>
        <v>0</v>
      </c>
      <c r="U822" s="33" t="str">
        <f t="shared" si="4"/>
        <v/>
      </c>
      <c r="V822" s="37"/>
      <c r="W822" s="29"/>
      <c r="X822" s="29" t="b">
        <v>0</v>
      </c>
      <c r="Y822" s="22" t="str">
        <f t="shared" si="5"/>
        <v/>
      </c>
      <c r="Z822" s="7">
        <f>IF(ISBLANK(V822), 0, VLOOKUP(V822, 'Price Sheet'!$A$2:$B1015, 2, false))</f>
        <v>0</v>
      </c>
      <c r="AA822" s="33" t="str">
        <f t="shared" si="6"/>
        <v/>
      </c>
      <c r="AB822" s="37"/>
      <c r="AC822" s="29"/>
      <c r="AD822" s="29" t="b">
        <v>0</v>
      </c>
      <c r="AE822" s="22" t="str">
        <f t="shared" si="7"/>
        <v/>
      </c>
      <c r="AF822" s="7">
        <f>IF(ISBLANK(AB822), 0, VLOOKUP(AB822, 'Price Sheet'!$A$2:$B1015, 2, false))</f>
        <v>0</v>
      </c>
      <c r="AG822" s="33" t="str">
        <f t="shared" si="8"/>
        <v/>
      </c>
      <c r="AH822" s="37"/>
      <c r="AI822" s="29"/>
      <c r="AJ822" s="29" t="b">
        <v>0</v>
      </c>
      <c r="AK822" s="22" t="str">
        <f t="shared" si="9"/>
        <v/>
      </c>
      <c r="AL822" s="7">
        <f>IF(ISBLANK(AH822), 0, VLOOKUP(AH822, 'Price Sheet'!$A$2:$B1015, 2, false))</f>
        <v>0</v>
      </c>
      <c r="AM822" s="33" t="str">
        <f t="shared" si="10"/>
        <v/>
      </c>
      <c r="AN822" s="37"/>
      <c r="AO822" s="29"/>
      <c r="AP822" s="29" t="b">
        <v>0</v>
      </c>
      <c r="AQ822" s="22" t="str">
        <f t="shared" si="11"/>
        <v/>
      </c>
      <c r="AR822" s="7">
        <f>IF(ISBLANK(AN822), 0, VLOOKUP(AN822, 'Price Sheet'!$A$2:$B1015, 2, false))</f>
        <v>0</v>
      </c>
      <c r="AS822" s="33" t="str">
        <f t="shared" si="12"/>
        <v/>
      </c>
      <c r="AT822" s="37"/>
      <c r="AU822" s="29"/>
      <c r="AV822" s="29" t="b">
        <v>0</v>
      </c>
      <c r="AW822" s="22" t="str">
        <f t="shared" si="13"/>
        <v/>
      </c>
      <c r="AX822" s="7">
        <f>IF(ISBLANK(AT822), 0, VLOOKUP(AT822, 'Price Sheet'!$A$2:$B1015, 2, false))</f>
        <v>0</v>
      </c>
      <c r="AY822" s="33" t="str">
        <f t="shared" si="14"/>
        <v/>
      </c>
      <c r="AZ822" s="37"/>
      <c r="BA822" s="29"/>
      <c r="BB822" s="29" t="b">
        <v>0</v>
      </c>
      <c r="BC822" s="22" t="str">
        <f t="shared" si="15"/>
        <v/>
      </c>
      <c r="BD822" s="7">
        <f>IF(ISBLANK(AZ822), 0, VLOOKUP(AZ822, 'Price Sheet'!$A$2:$B1015, 2, false))</f>
        <v>0</v>
      </c>
      <c r="BE822" s="33" t="str">
        <f t="shared" si="16"/>
        <v/>
      </c>
      <c r="BF822" s="37"/>
      <c r="BG822" s="29"/>
      <c r="BH822" s="29" t="b">
        <v>0</v>
      </c>
      <c r="BI822" s="22" t="str">
        <f t="shared" si="17"/>
        <v/>
      </c>
      <c r="BJ822" s="7">
        <f>IF(ISBLANK(BF822), 0, VLOOKUP(BF822, 'Price Sheet'!$A$2:$B1015, 2, false))</f>
        <v>0</v>
      </c>
      <c r="BK822" s="33" t="str">
        <f t="shared" si="18"/>
        <v/>
      </c>
      <c r="BL822" s="37"/>
      <c r="BM822" s="29"/>
      <c r="BN822" s="29" t="b">
        <v>0</v>
      </c>
      <c r="BO822" s="22" t="str">
        <f t="shared" si="19"/>
        <v/>
      </c>
      <c r="BP822" s="7">
        <f>IF(ISBLANK(BL822), 0, VLOOKUP(BL822, 'Price Sheet'!$A$2:$B1015, 2, false))</f>
        <v>0</v>
      </c>
      <c r="BQ822" s="33" t="str">
        <f t="shared" si="20"/>
        <v/>
      </c>
    </row>
    <row r="823">
      <c r="B823" s="19"/>
      <c r="C823" s="29"/>
      <c r="D823" s="29"/>
      <c r="E823" s="7" t="str">
        <f>IF(ISBLANK(D823), "", VLOOKUP(D823,'Crafting Tables'!$A$2:$B1015, 2, false))</f>
        <v/>
      </c>
      <c r="F823" s="7" t="str">
        <f>IFERROR(IF(E823 = "None", 1, VLOOKUP(C823,General!$A$5:$L$35, SWITCH(E823, "Basic", 8, "Advanced", 10, "Modern", 12), false)),"")</f>
        <v/>
      </c>
      <c r="G823" s="29"/>
      <c r="H823" s="7">
        <f>IFERROR(VLOOKUP(C823, General!$A$5:$L$35, 6, false) * G823 / 1000, 0)</f>
        <v>0</v>
      </c>
      <c r="I823" s="29"/>
      <c r="J823" s="22" t="str">
        <f>IFERROR(I823*VLOOKUP(D823,'Crafting Tables'!$1:$1000, 4, false)*F823,"")</f>
        <v/>
      </c>
      <c r="K823" s="29" t="b">
        <v>0</v>
      </c>
      <c r="L823" s="37"/>
      <c r="M823" s="29"/>
      <c r="N823" s="21" t="str">
        <f t="shared" si="2"/>
        <v/>
      </c>
      <c r="P823" s="37"/>
      <c r="Q823" s="29"/>
      <c r="R823" s="29" t="b">
        <v>0</v>
      </c>
      <c r="S823" s="22" t="str">
        <f t="shared" si="3"/>
        <v/>
      </c>
      <c r="T823" s="7">
        <f>IF(ISBLANK(P823), 0, VLOOKUP(P823, 'Price Sheet'!$A$2:$B1015, 2, false))</f>
        <v>0</v>
      </c>
      <c r="U823" s="33" t="str">
        <f t="shared" si="4"/>
        <v/>
      </c>
      <c r="V823" s="37"/>
      <c r="W823" s="29"/>
      <c r="X823" s="29" t="b">
        <v>0</v>
      </c>
      <c r="Y823" s="22" t="str">
        <f t="shared" si="5"/>
        <v/>
      </c>
      <c r="Z823" s="7">
        <f>IF(ISBLANK(V823), 0, VLOOKUP(V823, 'Price Sheet'!$A$2:$B1015, 2, false))</f>
        <v>0</v>
      </c>
      <c r="AA823" s="33" t="str">
        <f t="shared" si="6"/>
        <v/>
      </c>
      <c r="AB823" s="37"/>
      <c r="AC823" s="29"/>
      <c r="AD823" s="29" t="b">
        <v>0</v>
      </c>
      <c r="AE823" s="22" t="str">
        <f t="shared" si="7"/>
        <v/>
      </c>
      <c r="AF823" s="7">
        <f>IF(ISBLANK(AB823), 0, VLOOKUP(AB823, 'Price Sheet'!$A$2:$B1015, 2, false))</f>
        <v>0</v>
      </c>
      <c r="AG823" s="33" t="str">
        <f t="shared" si="8"/>
        <v/>
      </c>
      <c r="AH823" s="37"/>
      <c r="AI823" s="29"/>
      <c r="AJ823" s="29" t="b">
        <v>0</v>
      </c>
      <c r="AK823" s="22" t="str">
        <f t="shared" si="9"/>
        <v/>
      </c>
      <c r="AL823" s="7">
        <f>IF(ISBLANK(AH823), 0, VLOOKUP(AH823, 'Price Sheet'!$A$2:$B1015, 2, false))</f>
        <v>0</v>
      </c>
      <c r="AM823" s="33" t="str">
        <f t="shared" si="10"/>
        <v/>
      </c>
      <c r="AN823" s="37"/>
      <c r="AO823" s="29"/>
      <c r="AP823" s="29" t="b">
        <v>0</v>
      </c>
      <c r="AQ823" s="22" t="str">
        <f t="shared" si="11"/>
        <v/>
      </c>
      <c r="AR823" s="7">
        <f>IF(ISBLANK(AN823), 0, VLOOKUP(AN823, 'Price Sheet'!$A$2:$B1015, 2, false))</f>
        <v>0</v>
      </c>
      <c r="AS823" s="33" t="str">
        <f t="shared" si="12"/>
        <v/>
      </c>
      <c r="AT823" s="37"/>
      <c r="AU823" s="29"/>
      <c r="AV823" s="29" t="b">
        <v>0</v>
      </c>
      <c r="AW823" s="22" t="str">
        <f t="shared" si="13"/>
        <v/>
      </c>
      <c r="AX823" s="7">
        <f>IF(ISBLANK(AT823), 0, VLOOKUP(AT823, 'Price Sheet'!$A$2:$B1015, 2, false))</f>
        <v>0</v>
      </c>
      <c r="AY823" s="33" t="str">
        <f t="shared" si="14"/>
        <v/>
      </c>
      <c r="AZ823" s="37"/>
      <c r="BA823" s="29"/>
      <c r="BB823" s="29" t="b">
        <v>0</v>
      </c>
      <c r="BC823" s="22" t="str">
        <f t="shared" si="15"/>
        <v/>
      </c>
      <c r="BD823" s="7">
        <f>IF(ISBLANK(AZ823), 0, VLOOKUP(AZ823, 'Price Sheet'!$A$2:$B1015, 2, false))</f>
        <v>0</v>
      </c>
      <c r="BE823" s="33" t="str">
        <f t="shared" si="16"/>
        <v/>
      </c>
      <c r="BF823" s="37"/>
      <c r="BG823" s="29"/>
      <c r="BH823" s="29" t="b">
        <v>0</v>
      </c>
      <c r="BI823" s="22" t="str">
        <f t="shared" si="17"/>
        <v/>
      </c>
      <c r="BJ823" s="7">
        <f>IF(ISBLANK(BF823), 0, VLOOKUP(BF823, 'Price Sheet'!$A$2:$B1015, 2, false))</f>
        <v>0</v>
      </c>
      <c r="BK823" s="33" t="str">
        <f t="shared" si="18"/>
        <v/>
      </c>
      <c r="BL823" s="37"/>
      <c r="BM823" s="29"/>
      <c r="BN823" s="29" t="b">
        <v>0</v>
      </c>
      <c r="BO823" s="22" t="str">
        <f t="shared" si="19"/>
        <v/>
      </c>
      <c r="BP823" s="7">
        <f>IF(ISBLANK(BL823), 0, VLOOKUP(BL823, 'Price Sheet'!$A$2:$B1015, 2, false))</f>
        <v>0</v>
      </c>
      <c r="BQ823" s="33" t="str">
        <f t="shared" si="20"/>
        <v/>
      </c>
    </row>
    <row r="824">
      <c r="B824" s="19"/>
      <c r="C824" s="29"/>
      <c r="D824" s="29"/>
      <c r="E824" s="7" t="str">
        <f>IF(ISBLANK(D824), "", VLOOKUP(D824,'Crafting Tables'!$A$2:$B1015, 2, false))</f>
        <v/>
      </c>
      <c r="F824" s="7" t="str">
        <f>IFERROR(IF(E824 = "None", 1, VLOOKUP(C824,General!$A$5:$L$35, SWITCH(E824, "Basic", 8, "Advanced", 10, "Modern", 12), false)),"")</f>
        <v/>
      </c>
      <c r="G824" s="29"/>
      <c r="H824" s="7">
        <f>IFERROR(VLOOKUP(C824, General!$A$5:$L$35, 6, false) * G824 / 1000, 0)</f>
        <v>0</v>
      </c>
      <c r="I824" s="29"/>
      <c r="J824" s="22" t="str">
        <f>IFERROR(I824*VLOOKUP(D824,'Crafting Tables'!$1:$1000, 4, false)*F824,"")</f>
        <v/>
      </c>
      <c r="K824" s="29" t="b">
        <v>0</v>
      </c>
      <c r="L824" s="37"/>
      <c r="M824" s="29"/>
      <c r="N824" s="21" t="str">
        <f t="shared" si="2"/>
        <v/>
      </c>
      <c r="P824" s="37"/>
      <c r="Q824" s="29"/>
      <c r="R824" s="29" t="b">
        <v>0</v>
      </c>
      <c r="S824" s="22" t="str">
        <f t="shared" si="3"/>
        <v/>
      </c>
      <c r="T824" s="7">
        <f>IF(ISBLANK(P824), 0, VLOOKUP(P824, 'Price Sheet'!$A$2:$B1015, 2, false))</f>
        <v>0</v>
      </c>
      <c r="U824" s="33" t="str">
        <f t="shared" si="4"/>
        <v/>
      </c>
      <c r="V824" s="37"/>
      <c r="W824" s="29"/>
      <c r="X824" s="29" t="b">
        <v>0</v>
      </c>
      <c r="Y824" s="22" t="str">
        <f t="shared" si="5"/>
        <v/>
      </c>
      <c r="Z824" s="7">
        <f>IF(ISBLANK(V824), 0, VLOOKUP(V824, 'Price Sheet'!$A$2:$B1015, 2, false))</f>
        <v>0</v>
      </c>
      <c r="AA824" s="33" t="str">
        <f t="shared" si="6"/>
        <v/>
      </c>
      <c r="AB824" s="37"/>
      <c r="AC824" s="29"/>
      <c r="AD824" s="29" t="b">
        <v>0</v>
      </c>
      <c r="AE824" s="22" t="str">
        <f t="shared" si="7"/>
        <v/>
      </c>
      <c r="AF824" s="7">
        <f>IF(ISBLANK(AB824), 0, VLOOKUP(AB824, 'Price Sheet'!$A$2:$B1015, 2, false))</f>
        <v>0</v>
      </c>
      <c r="AG824" s="33" t="str">
        <f t="shared" si="8"/>
        <v/>
      </c>
      <c r="AH824" s="37"/>
      <c r="AI824" s="29"/>
      <c r="AJ824" s="29" t="b">
        <v>0</v>
      </c>
      <c r="AK824" s="22" t="str">
        <f t="shared" si="9"/>
        <v/>
      </c>
      <c r="AL824" s="7">
        <f>IF(ISBLANK(AH824), 0, VLOOKUP(AH824, 'Price Sheet'!$A$2:$B1015, 2, false))</f>
        <v>0</v>
      </c>
      <c r="AM824" s="33" t="str">
        <f t="shared" si="10"/>
        <v/>
      </c>
      <c r="AN824" s="37"/>
      <c r="AO824" s="29"/>
      <c r="AP824" s="29" t="b">
        <v>0</v>
      </c>
      <c r="AQ824" s="22" t="str">
        <f t="shared" si="11"/>
        <v/>
      </c>
      <c r="AR824" s="7">
        <f>IF(ISBLANK(AN824), 0, VLOOKUP(AN824, 'Price Sheet'!$A$2:$B1015, 2, false))</f>
        <v>0</v>
      </c>
      <c r="AS824" s="33" t="str">
        <f t="shared" si="12"/>
        <v/>
      </c>
      <c r="AT824" s="37"/>
      <c r="AU824" s="29"/>
      <c r="AV824" s="29" t="b">
        <v>0</v>
      </c>
      <c r="AW824" s="22" t="str">
        <f t="shared" si="13"/>
        <v/>
      </c>
      <c r="AX824" s="7">
        <f>IF(ISBLANK(AT824), 0, VLOOKUP(AT824, 'Price Sheet'!$A$2:$B1015, 2, false))</f>
        <v>0</v>
      </c>
      <c r="AY824" s="33" t="str">
        <f t="shared" si="14"/>
        <v/>
      </c>
      <c r="AZ824" s="37"/>
      <c r="BA824" s="29"/>
      <c r="BB824" s="29" t="b">
        <v>0</v>
      </c>
      <c r="BC824" s="22" t="str">
        <f t="shared" si="15"/>
        <v/>
      </c>
      <c r="BD824" s="7">
        <f>IF(ISBLANK(AZ824), 0, VLOOKUP(AZ824, 'Price Sheet'!$A$2:$B1015, 2, false))</f>
        <v>0</v>
      </c>
      <c r="BE824" s="33" t="str">
        <f t="shared" si="16"/>
        <v/>
      </c>
      <c r="BF824" s="37"/>
      <c r="BG824" s="29"/>
      <c r="BH824" s="29" t="b">
        <v>0</v>
      </c>
      <c r="BI824" s="22" t="str">
        <f t="shared" si="17"/>
        <v/>
      </c>
      <c r="BJ824" s="7">
        <f>IF(ISBLANK(BF824), 0, VLOOKUP(BF824, 'Price Sheet'!$A$2:$B1015, 2, false))</f>
        <v>0</v>
      </c>
      <c r="BK824" s="33" t="str">
        <f t="shared" si="18"/>
        <v/>
      </c>
      <c r="BL824" s="37"/>
      <c r="BM824" s="29"/>
      <c r="BN824" s="29" t="b">
        <v>0</v>
      </c>
      <c r="BO824" s="22" t="str">
        <f t="shared" si="19"/>
        <v/>
      </c>
      <c r="BP824" s="7">
        <f>IF(ISBLANK(BL824), 0, VLOOKUP(BL824, 'Price Sheet'!$A$2:$B1015, 2, false))</f>
        <v>0</v>
      </c>
      <c r="BQ824" s="33" t="str">
        <f t="shared" si="20"/>
        <v/>
      </c>
    </row>
    <row r="825">
      <c r="B825" s="19"/>
      <c r="C825" s="29"/>
      <c r="D825" s="29"/>
      <c r="E825" s="7" t="str">
        <f>IF(ISBLANK(D825), "", VLOOKUP(D825,'Crafting Tables'!$A$2:$B1015, 2, false))</f>
        <v/>
      </c>
      <c r="F825" s="7" t="str">
        <f>IFERROR(IF(E825 = "None", 1, VLOOKUP(C825,General!$A$5:$L$35, SWITCH(E825, "Basic", 8, "Advanced", 10, "Modern", 12), false)),"")</f>
        <v/>
      </c>
      <c r="G825" s="29"/>
      <c r="H825" s="7">
        <f>IFERROR(VLOOKUP(C825, General!$A$5:$L$35, 6, false) * G825 / 1000, 0)</f>
        <v>0</v>
      </c>
      <c r="I825" s="29"/>
      <c r="J825" s="22" t="str">
        <f>IFERROR(I825*VLOOKUP(D825,'Crafting Tables'!$1:$1000, 4, false)*F825,"")</f>
        <v/>
      </c>
      <c r="K825" s="29" t="b">
        <v>0</v>
      </c>
      <c r="L825" s="37"/>
      <c r="M825" s="29"/>
      <c r="N825" s="21" t="str">
        <f t="shared" si="2"/>
        <v/>
      </c>
      <c r="P825" s="37"/>
      <c r="Q825" s="29"/>
      <c r="R825" s="29" t="b">
        <v>0</v>
      </c>
      <c r="S825" s="22" t="str">
        <f t="shared" si="3"/>
        <v/>
      </c>
      <c r="T825" s="7">
        <f>IF(ISBLANK(P825), 0, VLOOKUP(P825, 'Price Sheet'!$A$2:$B1015, 2, false))</f>
        <v>0</v>
      </c>
      <c r="U825" s="33" t="str">
        <f t="shared" si="4"/>
        <v/>
      </c>
      <c r="V825" s="37"/>
      <c r="W825" s="29"/>
      <c r="X825" s="29" t="b">
        <v>0</v>
      </c>
      <c r="Y825" s="22" t="str">
        <f t="shared" si="5"/>
        <v/>
      </c>
      <c r="Z825" s="7">
        <f>IF(ISBLANK(V825), 0, VLOOKUP(V825, 'Price Sheet'!$A$2:$B1015, 2, false))</f>
        <v>0</v>
      </c>
      <c r="AA825" s="33" t="str">
        <f t="shared" si="6"/>
        <v/>
      </c>
      <c r="AB825" s="37"/>
      <c r="AC825" s="29"/>
      <c r="AD825" s="29" t="b">
        <v>0</v>
      </c>
      <c r="AE825" s="22" t="str">
        <f t="shared" si="7"/>
        <v/>
      </c>
      <c r="AF825" s="7">
        <f>IF(ISBLANK(AB825), 0, VLOOKUP(AB825, 'Price Sheet'!$A$2:$B1015, 2, false))</f>
        <v>0</v>
      </c>
      <c r="AG825" s="33" t="str">
        <f t="shared" si="8"/>
        <v/>
      </c>
      <c r="AH825" s="37"/>
      <c r="AI825" s="29"/>
      <c r="AJ825" s="29" t="b">
        <v>0</v>
      </c>
      <c r="AK825" s="22" t="str">
        <f t="shared" si="9"/>
        <v/>
      </c>
      <c r="AL825" s="7">
        <f>IF(ISBLANK(AH825), 0, VLOOKUP(AH825, 'Price Sheet'!$A$2:$B1015, 2, false))</f>
        <v>0</v>
      </c>
      <c r="AM825" s="33" t="str">
        <f t="shared" si="10"/>
        <v/>
      </c>
      <c r="AN825" s="37"/>
      <c r="AO825" s="29"/>
      <c r="AP825" s="29" t="b">
        <v>0</v>
      </c>
      <c r="AQ825" s="22" t="str">
        <f t="shared" si="11"/>
        <v/>
      </c>
      <c r="AR825" s="7">
        <f>IF(ISBLANK(AN825), 0, VLOOKUP(AN825, 'Price Sheet'!$A$2:$B1015, 2, false))</f>
        <v>0</v>
      </c>
      <c r="AS825" s="33" t="str">
        <f t="shared" si="12"/>
        <v/>
      </c>
      <c r="AT825" s="37"/>
      <c r="AU825" s="29"/>
      <c r="AV825" s="29" t="b">
        <v>0</v>
      </c>
      <c r="AW825" s="22" t="str">
        <f t="shared" si="13"/>
        <v/>
      </c>
      <c r="AX825" s="7">
        <f>IF(ISBLANK(AT825), 0, VLOOKUP(AT825, 'Price Sheet'!$A$2:$B1015, 2, false))</f>
        <v>0</v>
      </c>
      <c r="AY825" s="33" t="str">
        <f t="shared" si="14"/>
        <v/>
      </c>
      <c r="AZ825" s="37"/>
      <c r="BA825" s="29"/>
      <c r="BB825" s="29" t="b">
        <v>0</v>
      </c>
      <c r="BC825" s="22" t="str">
        <f t="shared" si="15"/>
        <v/>
      </c>
      <c r="BD825" s="7">
        <f>IF(ISBLANK(AZ825), 0, VLOOKUP(AZ825, 'Price Sheet'!$A$2:$B1015, 2, false))</f>
        <v>0</v>
      </c>
      <c r="BE825" s="33" t="str">
        <f t="shared" si="16"/>
        <v/>
      </c>
      <c r="BF825" s="37"/>
      <c r="BG825" s="29"/>
      <c r="BH825" s="29" t="b">
        <v>0</v>
      </c>
      <c r="BI825" s="22" t="str">
        <f t="shared" si="17"/>
        <v/>
      </c>
      <c r="BJ825" s="7">
        <f>IF(ISBLANK(BF825), 0, VLOOKUP(BF825, 'Price Sheet'!$A$2:$B1015, 2, false))</f>
        <v>0</v>
      </c>
      <c r="BK825" s="33" t="str">
        <f t="shared" si="18"/>
        <v/>
      </c>
      <c r="BL825" s="37"/>
      <c r="BM825" s="29"/>
      <c r="BN825" s="29" t="b">
        <v>0</v>
      </c>
      <c r="BO825" s="22" t="str">
        <f t="shared" si="19"/>
        <v/>
      </c>
      <c r="BP825" s="7">
        <f>IF(ISBLANK(BL825), 0, VLOOKUP(BL825, 'Price Sheet'!$A$2:$B1015, 2, false))</f>
        <v>0</v>
      </c>
      <c r="BQ825" s="33" t="str">
        <f t="shared" si="20"/>
        <v/>
      </c>
    </row>
    <row r="826">
      <c r="B826" s="19"/>
      <c r="C826" s="29"/>
      <c r="D826" s="29"/>
      <c r="E826" s="7" t="str">
        <f>IF(ISBLANK(D826), "", VLOOKUP(D826,'Crafting Tables'!$A$2:$B1015, 2, false))</f>
        <v/>
      </c>
      <c r="F826" s="7" t="str">
        <f>IFERROR(IF(E826 = "None", 1, VLOOKUP(C826,General!$A$5:$L$35, SWITCH(E826, "Basic", 8, "Advanced", 10, "Modern", 12), false)),"")</f>
        <v/>
      </c>
      <c r="G826" s="29"/>
      <c r="H826" s="7">
        <f>IFERROR(VLOOKUP(C826, General!$A$5:$L$35, 6, false) * G826 / 1000, 0)</f>
        <v>0</v>
      </c>
      <c r="I826" s="29"/>
      <c r="J826" s="22" t="str">
        <f>IFERROR(I826*VLOOKUP(D826,'Crafting Tables'!$1:$1000, 4, false)*F826,"")</f>
        <v/>
      </c>
      <c r="K826" s="29" t="b">
        <v>0</v>
      </c>
      <c r="L826" s="37"/>
      <c r="M826" s="29"/>
      <c r="N826" s="21" t="str">
        <f t="shared" si="2"/>
        <v/>
      </c>
      <c r="P826" s="37"/>
      <c r="Q826" s="29"/>
      <c r="R826" s="29" t="b">
        <v>0</v>
      </c>
      <c r="S826" s="22" t="str">
        <f t="shared" si="3"/>
        <v/>
      </c>
      <c r="T826" s="7">
        <f>IF(ISBLANK(P826), 0, VLOOKUP(P826, 'Price Sheet'!$A$2:$B1015, 2, false))</f>
        <v>0</v>
      </c>
      <c r="U826" s="33" t="str">
        <f t="shared" si="4"/>
        <v/>
      </c>
      <c r="V826" s="37"/>
      <c r="W826" s="29"/>
      <c r="X826" s="29" t="b">
        <v>0</v>
      </c>
      <c r="Y826" s="22" t="str">
        <f t="shared" si="5"/>
        <v/>
      </c>
      <c r="Z826" s="7">
        <f>IF(ISBLANK(V826), 0, VLOOKUP(V826, 'Price Sheet'!$A$2:$B1015, 2, false))</f>
        <v>0</v>
      </c>
      <c r="AA826" s="33" t="str">
        <f t="shared" si="6"/>
        <v/>
      </c>
      <c r="AB826" s="37"/>
      <c r="AC826" s="29"/>
      <c r="AD826" s="29" t="b">
        <v>0</v>
      </c>
      <c r="AE826" s="22" t="str">
        <f t="shared" si="7"/>
        <v/>
      </c>
      <c r="AF826" s="7">
        <f>IF(ISBLANK(AB826), 0, VLOOKUP(AB826, 'Price Sheet'!$A$2:$B1015, 2, false))</f>
        <v>0</v>
      </c>
      <c r="AG826" s="33" t="str">
        <f t="shared" si="8"/>
        <v/>
      </c>
      <c r="AH826" s="37"/>
      <c r="AI826" s="29"/>
      <c r="AJ826" s="29" t="b">
        <v>0</v>
      </c>
      <c r="AK826" s="22" t="str">
        <f t="shared" si="9"/>
        <v/>
      </c>
      <c r="AL826" s="7">
        <f>IF(ISBLANK(AH826), 0, VLOOKUP(AH826, 'Price Sheet'!$A$2:$B1015, 2, false))</f>
        <v>0</v>
      </c>
      <c r="AM826" s="33" t="str">
        <f t="shared" si="10"/>
        <v/>
      </c>
      <c r="AN826" s="37"/>
      <c r="AO826" s="29"/>
      <c r="AP826" s="29" t="b">
        <v>0</v>
      </c>
      <c r="AQ826" s="22" t="str">
        <f t="shared" si="11"/>
        <v/>
      </c>
      <c r="AR826" s="7">
        <f>IF(ISBLANK(AN826), 0, VLOOKUP(AN826, 'Price Sheet'!$A$2:$B1015, 2, false))</f>
        <v>0</v>
      </c>
      <c r="AS826" s="33" t="str">
        <f t="shared" si="12"/>
        <v/>
      </c>
      <c r="AT826" s="37"/>
      <c r="AU826" s="29"/>
      <c r="AV826" s="29" t="b">
        <v>0</v>
      </c>
      <c r="AW826" s="22" t="str">
        <f t="shared" si="13"/>
        <v/>
      </c>
      <c r="AX826" s="7">
        <f>IF(ISBLANK(AT826), 0, VLOOKUP(AT826, 'Price Sheet'!$A$2:$B1015, 2, false))</f>
        <v>0</v>
      </c>
      <c r="AY826" s="33" t="str">
        <f t="shared" si="14"/>
        <v/>
      </c>
      <c r="AZ826" s="37"/>
      <c r="BA826" s="29"/>
      <c r="BB826" s="29" t="b">
        <v>0</v>
      </c>
      <c r="BC826" s="22" t="str">
        <f t="shared" si="15"/>
        <v/>
      </c>
      <c r="BD826" s="7">
        <f>IF(ISBLANK(AZ826), 0, VLOOKUP(AZ826, 'Price Sheet'!$A$2:$B1015, 2, false))</f>
        <v>0</v>
      </c>
      <c r="BE826" s="33" t="str">
        <f t="shared" si="16"/>
        <v/>
      </c>
      <c r="BF826" s="37"/>
      <c r="BG826" s="29"/>
      <c r="BH826" s="29" t="b">
        <v>0</v>
      </c>
      <c r="BI826" s="22" t="str">
        <f t="shared" si="17"/>
        <v/>
      </c>
      <c r="BJ826" s="7">
        <f>IF(ISBLANK(BF826), 0, VLOOKUP(BF826, 'Price Sheet'!$A$2:$B1015, 2, false))</f>
        <v>0</v>
      </c>
      <c r="BK826" s="33" t="str">
        <f t="shared" si="18"/>
        <v/>
      </c>
      <c r="BL826" s="37"/>
      <c r="BM826" s="29"/>
      <c r="BN826" s="29" t="b">
        <v>0</v>
      </c>
      <c r="BO826" s="22" t="str">
        <f t="shared" si="19"/>
        <v/>
      </c>
      <c r="BP826" s="7">
        <f>IF(ISBLANK(BL826), 0, VLOOKUP(BL826, 'Price Sheet'!$A$2:$B1015, 2, false))</f>
        <v>0</v>
      </c>
      <c r="BQ826" s="33" t="str">
        <f t="shared" si="20"/>
        <v/>
      </c>
    </row>
    <row r="827">
      <c r="B827" s="19"/>
      <c r="C827" s="29"/>
      <c r="D827" s="29"/>
      <c r="E827" s="7" t="str">
        <f>IF(ISBLANK(D827), "", VLOOKUP(D827,'Crafting Tables'!$A$2:$B1015, 2, false))</f>
        <v/>
      </c>
      <c r="F827" s="7" t="str">
        <f>IFERROR(IF(E827 = "None", 1, VLOOKUP(C827,General!$A$5:$L$35, SWITCH(E827, "Basic", 8, "Advanced", 10, "Modern", 12), false)),"")</f>
        <v/>
      </c>
      <c r="G827" s="29"/>
      <c r="H827" s="7">
        <f>IFERROR(VLOOKUP(C827, General!$A$5:$L$35, 6, false) * G827 / 1000, 0)</f>
        <v>0</v>
      </c>
      <c r="I827" s="29"/>
      <c r="J827" s="22" t="str">
        <f>IFERROR(I827*VLOOKUP(D827,'Crafting Tables'!$1:$1000, 4, false)*F827,"")</f>
        <v/>
      </c>
      <c r="K827" s="29" t="b">
        <v>0</v>
      </c>
      <c r="L827" s="37"/>
      <c r="M827" s="29"/>
      <c r="N827" s="21" t="str">
        <f t="shared" si="2"/>
        <v/>
      </c>
      <c r="P827" s="37"/>
      <c r="Q827" s="29"/>
      <c r="R827" s="29" t="b">
        <v>0</v>
      </c>
      <c r="S827" s="22" t="str">
        <f t="shared" si="3"/>
        <v/>
      </c>
      <c r="T827" s="7">
        <f>IF(ISBLANK(P827), 0, VLOOKUP(P827, 'Price Sheet'!$A$2:$B1015, 2, false))</f>
        <v>0</v>
      </c>
      <c r="U827" s="33" t="str">
        <f t="shared" si="4"/>
        <v/>
      </c>
      <c r="V827" s="37"/>
      <c r="W827" s="29"/>
      <c r="X827" s="29" t="b">
        <v>0</v>
      </c>
      <c r="Y827" s="22" t="str">
        <f t="shared" si="5"/>
        <v/>
      </c>
      <c r="Z827" s="7">
        <f>IF(ISBLANK(V827), 0, VLOOKUP(V827, 'Price Sheet'!$A$2:$B1015, 2, false))</f>
        <v>0</v>
      </c>
      <c r="AA827" s="33" t="str">
        <f t="shared" si="6"/>
        <v/>
      </c>
      <c r="AB827" s="37"/>
      <c r="AC827" s="29"/>
      <c r="AD827" s="29" t="b">
        <v>0</v>
      </c>
      <c r="AE827" s="22" t="str">
        <f t="shared" si="7"/>
        <v/>
      </c>
      <c r="AF827" s="7">
        <f>IF(ISBLANK(AB827), 0, VLOOKUP(AB827, 'Price Sheet'!$A$2:$B1015, 2, false))</f>
        <v>0</v>
      </c>
      <c r="AG827" s="33" t="str">
        <f t="shared" si="8"/>
        <v/>
      </c>
      <c r="AH827" s="37"/>
      <c r="AI827" s="29"/>
      <c r="AJ827" s="29" t="b">
        <v>0</v>
      </c>
      <c r="AK827" s="22" t="str">
        <f t="shared" si="9"/>
        <v/>
      </c>
      <c r="AL827" s="7">
        <f>IF(ISBLANK(AH827), 0, VLOOKUP(AH827, 'Price Sheet'!$A$2:$B1015, 2, false))</f>
        <v>0</v>
      </c>
      <c r="AM827" s="33" t="str">
        <f t="shared" si="10"/>
        <v/>
      </c>
      <c r="AN827" s="37"/>
      <c r="AO827" s="29"/>
      <c r="AP827" s="29" t="b">
        <v>0</v>
      </c>
      <c r="AQ827" s="22" t="str">
        <f t="shared" si="11"/>
        <v/>
      </c>
      <c r="AR827" s="7">
        <f>IF(ISBLANK(AN827), 0, VLOOKUP(AN827, 'Price Sheet'!$A$2:$B1015, 2, false))</f>
        <v>0</v>
      </c>
      <c r="AS827" s="33" t="str">
        <f t="shared" si="12"/>
        <v/>
      </c>
      <c r="AT827" s="37"/>
      <c r="AU827" s="29"/>
      <c r="AV827" s="29" t="b">
        <v>0</v>
      </c>
      <c r="AW827" s="22" t="str">
        <f t="shared" si="13"/>
        <v/>
      </c>
      <c r="AX827" s="7">
        <f>IF(ISBLANK(AT827), 0, VLOOKUP(AT827, 'Price Sheet'!$A$2:$B1015, 2, false))</f>
        <v>0</v>
      </c>
      <c r="AY827" s="33" t="str">
        <f t="shared" si="14"/>
        <v/>
      </c>
      <c r="AZ827" s="37"/>
      <c r="BA827" s="29"/>
      <c r="BB827" s="29" t="b">
        <v>0</v>
      </c>
      <c r="BC827" s="22" t="str">
        <f t="shared" si="15"/>
        <v/>
      </c>
      <c r="BD827" s="7">
        <f>IF(ISBLANK(AZ827), 0, VLOOKUP(AZ827, 'Price Sheet'!$A$2:$B1015, 2, false))</f>
        <v>0</v>
      </c>
      <c r="BE827" s="33" t="str">
        <f t="shared" si="16"/>
        <v/>
      </c>
      <c r="BF827" s="37"/>
      <c r="BG827" s="29"/>
      <c r="BH827" s="29" t="b">
        <v>0</v>
      </c>
      <c r="BI827" s="22" t="str">
        <f t="shared" si="17"/>
        <v/>
      </c>
      <c r="BJ827" s="7">
        <f>IF(ISBLANK(BF827), 0, VLOOKUP(BF827, 'Price Sheet'!$A$2:$B1015, 2, false))</f>
        <v>0</v>
      </c>
      <c r="BK827" s="33" t="str">
        <f t="shared" si="18"/>
        <v/>
      </c>
      <c r="BL827" s="37"/>
      <c r="BM827" s="29"/>
      <c r="BN827" s="29" t="b">
        <v>0</v>
      </c>
      <c r="BO827" s="22" t="str">
        <f t="shared" si="19"/>
        <v/>
      </c>
      <c r="BP827" s="7">
        <f>IF(ISBLANK(BL827), 0, VLOOKUP(BL827, 'Price Sheet'!$A$2:$B1015, 2, false))</f>
        <v>0</v>
      </c>
      <c r="BQ827" s="33" t="str">
        <f t="shared" si="20"/>
        <v/>
      </c>
    </row>
    <row r="828">
      <c r="B828" s="19"/>
      <c r="C828" s="29"/>
      <c r="D828" s="29"/>
      <c r="E828" s="7" t="str">
        <f>IF(ISBLANK(D828), "", VLOOKUP(D828,'Crafting Tables'!$A$2:$B1015, 2, false))</f>
        <v/>
      </c>
      <c r="F828" s="7" t="str">
        <f>IFERROR(IF(E828 = "None", 1, VLOOKUP(C828,General!$A$5:$L$35, SWITCH(E828, "Basic", 8, "Advanced", 10, "Modern", 12), false)),"")</f>
        <v/>
      </c>
      <c r="G828" s="29"/>
      <c r="H828" s="7">
        <f>IFERROR(VLOOKUP(C828, General!$A$5:$L$35, 6, false) * G828 / 1000, 0)</f>
        <v>0</v>
      </c>
      <c r="I828" s="29"/>
      <c r="J828" s="22" t="str">
        <f>IFERROR(I828*VLOOKUP(D828,'Crafting Tables'!$1:$1000, 4, false)*F828,"")</f>
        <v/>
      </c>
      <c r="K828" s="29" t="b">
        <v>0</v>
      </c>
      <c r="L828" s="37"/>
      <c r="M828" s="29"/>
      <c r="N828" s="21" t="str">
        <f t="shared" si="2"/>
        <v/>
      </c>
      <c r="P828" s="37"/>
      <c r="Q828" s="29"/>
      <c r="R828" s="29" t="b">
        <v>0</v>
      </c>
      <c r="S828" s="22" t="str">
        <f t="shared" si="3"/>
        <v/>
      </c>
      <c r="T828" s="7">
        <f>IF(ISBLANK(P828), 0, VLOOKUP(P828, 'Price Sheet'!$A$2:$B1015, 2, false))</f>
        <v>0</v>
      </c>
      <c r="U828" s="33" t="str">
        <f t="shared" si="4"/>
        <v/>
      </c>
      <c r="V828" s="37"/>
      <c r="W828" s="29"/>
      <c r="X828" s="29" t="b">
        <v>0</v>
      </c>
      <c r="Y828" s="22" t="str">
        <f t="shared" si="5"/>
        <v/>
      </c>
      <c r="Z828" s="7">
        <f>IF(ISBLANK(V828), 0, VLOOKUP(V828, 'Price Sheet'!$A$2:$B1015, 2, false))</f>
        <v>0</v>
      </c>
      <c r="AA828" s="33" t="str">
        <f t="shared" si="6"/>
        <v/>
      </c>
      <c r="AB828" s="37"/>
      <c r="AC828" s="29"/>
      <c r="AD828" s="29" t="b">
        <v>0</v>
      </c>
      <c r="AE828" s="22" t="str">
        <f t="shared" si="7"/>
        <v/>
      </c>
      <c r="AF828" s="7">
        <f>IF(ISBLANK(AB828), 0, VLOOKUP(AB828, 'Price Sheet'!$A$2:$B1015, 2, false))</f>
        <v>0</v>
      </c>
      <c r="AG828" s="33" t="str">
        <f t="shared" si="8"/>
        <v/>
      </c>
      <c r="AH828" s="37"/>
      <c r="AI828" s="29"/>
      <c r="AJ828" s="29" t="b">
        <v>0</v>
      </c>
      <c r="AK828" s="22" t="str">
        <f t="shared" si="9"/>
        <v/>
      </c>
      <c r="AL828" s="7">
        <f>IF(ISBLANK(AH828), 0, VLOOKUP(AH828, 'Price Sheet'!$A$2:$B1015, 2, false))</f>
        <v>0</v>
      </c>
      <c r="AM828" s="33" t="str">
        <f t="shared" si="10"/>
        <v/>
      </c>
      <c r="AN828" s="37"/>
      <c r="AO828" s="29"/>
      <c r="AP828" s="29" t="b">
        <v>0</v>
      </c>
      <c r="AQ828" s="22" t="str">
        <f t="shared" si="11"/>
        <v/>
      </c>
      <c r="AR828" s="7">
        <f>IF(ISBLANK(AN828), 0, VLOOKUP(AN828, 'Price Sheet'!$A$2:$B1015, 2, false))</f>
        <v>0</v>
      </c>
      <c r="AS828" s="33" t="str">
        <f t="shared" si="12"/>
        <v/>
      </c>
      <c r="AT828" s="37"/>
      <c r="AU828" s="29"/>
      <c r="AV828" s="29" t="b">
        <v>0</v>
      </c>
      <c r="AW828" s="22" t="str">
        <f t="shared" si="13"/>
        <v/>
      </c>
      <c r="AX828" s="7">
        <f>IF(ISBLANK(AT828), 0, VLOOKUP(AT828, 'Price Sheet'!$A$2:$B1015, 2, false))</f>
        <v>0</v>
      </c>
      <c r="AY828" s="33" t="str">
        <f t="shared" si="14"/>
        <v/>
      </c>
      <c r="AZ828" s="37"/>
      <c r="BA828" s="29"/>
      <c r="BB828" s="29" t="b">
        <v>0</v>
      </c>
      <c r="BC828" s="22" t="str">
        <f t="shared" si="15"/>
        <v/>
      </c>
      <c r="BD828" s="7">
        <f>IF(ISBLANK(AZ828), 0, VLOOKUP(AZ828, 'Price Sheet'!$A$2:$B1015, 2, false))</f>
        <v>0</v>
      </c>
      <c r="BE828" s="33" t="str">
        <f t="shared" si="16"/>
        <v/>
      </c>
      <c r="BF828" s="37"/>
      <c r="BG828" s="29"/>
      <c r="BH828" s="29" t="b">
        <v>0</v>
      </c>
      <c r="BI828" s="22" t="str">
        <f t="shared" si="17"/>
        <v/>
      </c>
      <c r="BJ828" s="7">
        <f>IF(ISBLANK(BF828), 0, VLOOKUP(BF828, 'Price Sheet'!$A$2:$B1015, 2, false))</f>
        <v>0</v>
      </c>
      <c r="BK828" s="33" t="str">
        <f t="shared" si="18"/>
        <v/>
      </c>
      <c r="BL828" s="37"/>
      <c r="BM828" s="29"/>
      <c r="BN828" s="29" t="b">
        <v>0</v>
      </c>
      <c r="BO828" s="22" t="str">
        <f t="shared" si="19"/>
        <v/>
      </c>
      <c r="BP828" s="7">
        <f>IF(ISBLANK(BL828), 0, VLOOKUP(BL828, 'Price Sheet'!$A$2:$B1015, 2, false))</f>
        <v>0</v>
      </c>
      <c r="BQ828" s="33" t="str">
        <f t="shared" si="20"/>
        <v/>
      </c>
    </row>
    <row r="829">
      <c r="B829" s="19"/>
      <c r="C829" s="29"/>
      <c r="D829" s="29"/>
      <c r="E829" s="7" t="str">
        <f>IF(ISBLANK(D829), "", VLOOKUP(D829,'Crafting Tables'!$A$2:$B1015, 2, false))</f>
        <v/>
      </c>
      <c r="F829" s="7" t="str">
        <f>IFERROR(IF(E829 = "None", 1, VLOOKUP(C829,General!$A$5:$L$35, SWITCH(E829, "Basic", 8, "Advanced", 10, "Modern", 12), false)),"")</f>
        <v/>
      </c>
      <c r="G829" s="29"/>
      <c r="H829" s="7">
        <f>IFERROR(VLOOKUP(C829, General!$A$5:$L$35, 6, false) * G829 / 1000, 0)</f>
        <v>0</v>
      </c>
      <c r="I829" s="29"/>
      <c r="J829" s="22" t="str">
        <f>IFERROR(I829*VLOOKUP(D829,'Crafting Tables'!$1:$1000, 4, false)*F829,"")</f>
        <v/>
      </c>
      <c r="K829" s="29" t="b">
        <v>0</v>
      </c>
      <c r="L829" s="37"/>
      <c r="M829" s="29"/>
      <c r="N829" s="21" t="str">
        <f t="shared" si="2"/>
        <v/>
      </c>
      <c r="P829" s="37"/>
      <c r="Q829" s="29"/>
      <c r="R829" s="29" t="b">
        <v>0</v>
      </c>
      <c r="S829" s="22" t="str">
        <f t="shared" si="3"/>
        <v/>
      </c>
      <c r="T829" s="7">
        <f>IF(ISBLANK(P829), 0, VLOOKUP(P829, 'Price Sheet'!$A$2:$B1015, 2, false))</f>
        <v>0</v>
      </c>
      <c r="U829" s="33" t="str">
        <f t="shared" si="4"/>
        <v/>
      </c>
      <c r="V829" s="37"/>
      <c r="W829" s="29"/>
      <c r="X829" s="29" t="b">
        <v>0</v>
      </c>
      <c r="Y829" s="22" t="str">
        <f t="shared" si="5"/>
        <v/>
      </c>
      <c r="Z829" s="7">
        <f>IF(ISBLANK(V829), 0, VLOOKUP(V829, 'Price Sheet'!$A$2:$B1015, 2, false))</f>
        <v>0</v>
      </c>
      <c r="AA829" s="33" t="str">
        <f t="shared" si="6"/>
        <v/>
      </c>
      <c r="AB829" s="37"/>
      <c r="AC829" s="29"/>
      <c r="AD829" s="29" t="b">
        <v>0</v>
      </c>
      <c r="AE829" s="22" t="str">
        <f t="shared" si="7"/>
        <v/>
      </c>
      <c r="AF829" s="7">
        <f>IF(ISBLANK(AB829), 0, VLOOKUP(AB829, 'Price Sheet'!$A$2:$B1015, 2, false))</f>
        <v>0</v>
      </c>
      <c r="AG829" s="33" t="str">
        <f t="shared" si="8"/>
        <v/>
      </c>
      <c r="AH829" s="37"/>
      <c r="AI829" s="29"/>
      <c r="AJ829" s="29" t="b">
        <v>0</v>
      </c>
      <c r="AK829" s="22" t="str">
        <f t="shared" si="9"/>
        <v/>
      </c>
      <c r="AL829" s="7">
        <f>IF(ISBLANK(AH829), 0, VLOOKUP(AH829, 'Price Sheet'!$A$2:$B1015, 2, false))</f>
        <v>0</v>
      </c>
      <c r="AM829" s="33" t="str">
        <f t="shared" si="10"/>
        <v/>
      </c>
      <c r="AN829" s="37"/>
      <c r="AO829" s="29"/>
      <c r="AP829" s="29" t="b">
        <v>0</v>
      </c>
      <c r="AQ829" s="22" t="str">
        <f t="shared" si="11"/>
        <v/>
      </c>
      <c r="AR829" s="7">
        <f>IF(ISBLANK(AN829), 0, VLOOKUP(AN829, 'Price Sheet'!$A$2:$B1015, 2, false))</f>
        <v>0</v>
      </c>
      <c r="AS829" s="33" t="str">
        <f t="shared" si="12"/>
        <v/>
      </c>
      <c r="AT829" s="37"/>
      <c r="AU829" s="29"/>
      <c r="AV829" s="29" t="b">
        <v>0</v>
      </c>
      <c r="AW829" s="22" t="str">
        <f t="shared" si="13"/>
        <v/>
      </c>
      <c r="AX829" s="7">
        <f>IF(ISBLANK(AT829), 0, VLOOKUP(AT829, 'Price Sheet'!$A$2:$B1015, 2, false))</f>
        <v>0</v>
      </c>
      <c r="AY829" s="33" t="str">
        <f t="shared" si="14"/>
        <v/>
      </c>
      <c r="AZ829" s="37"/>
      <c r="BA829" s="29"/>
      <c r="BB829" s="29" t="b">
        <v>0</v>
      </c>
      <c r="BC829" s="22" t="str">
        <f t="shared" si="15"/>
        <v/>
      </c>
      <c r="BD829" s="7">
        <f>IF(ISBLANK(AZ829), 0, VLOOKUP(AZ829, 'Price Sheet'!$A$2:$B1015, 2, false))</f>
        <v>0</v>
      </c>
      <c r="BE829" s="33" t="str">
        <f t="shared" si="16"/>
        <v/>
      </c>
      <c r="BF829" s="37"/>
      <c r="BG829" s="29"/>
      <c r="BH829" s="29" t="b">
        <v>0</v>
      </c>
      <c r="BI829" s="22" t="str">
        <f t="shared" si="17"/>
        <v/>
      </c>
      <c r="BJ829" s="7">
        <f>IF(ISBLANK(BF829), 0, VLOOKUP(BF829, 'Price Sheet'!$A$2:$B1015, 2, false))</f>
        <v>0</v>
      </c>
      <c r="BK829" s="33" t="str">
        <f t="shared" si="18"/>
        <v/>
      </c>
      <c r="BL829" s="37"/>
      <c r="BM829" s="29"/>
      <c r="BN829" s="29" t="b">
        <v>0</v>
      </c>
      <c r="BO829" s="22" t="str">
        <f t="shared" si="19"/>
        <v/>
      </c>
      <c r="BP829" s="7">
        <f>IF(ISBLANK(BL829), 0, VLOOKUP(BL829, 'Price Sheet'!$A$2:$B1015, 2, false))</f>
        <v>0</v>
      </c>
      <c r="BQ829" s="33" t="str">
        <f t="shared" si="20"/>
        <v/>
      </c>
    </row>
    <row r="830">
      <c r="B830" s="19"/>
      <c r="C830" s="29"/>
      <c r="D830" s="29"/>
      <c r="E830" s="7" t="str">
        <f>IF(ISBLANK(D830), "", VLOOKUP(D830,'Crafting Tables'!$A$2:$B1015, 2, false))</f>
        <v/>
      </c>
      <c r="F830" s="7" t="str">
        <f>IFERROR(IF(E830 = "None", 1, VLOOKUP(C830,General!$A$5:$L$35, SWITCH(E830, "Basic", 8, "Advanced", 10, "Modern", 12), false)),"")</f>
        <v/>
      </c>
      <c r="G830" s="29"/>
      <c r="H830" s="7">
        <f>IFERROR(VLOOKUP(C830, General!$A$5:$L$35, 6, false) * G830 / 1000, 0)</f>
        <v>0</v>
      </c>
      <c r="I830" s="29"/>
      <c r="J830" s="22" t="str">
        <f>IFERROR(I830*VLOOKUP(D830,'Crafting Tables'!$1:$1000, 4, false)*F830,"")</f>
        <v/>
      </c>
      <c r="K830" s="29" t="b">
        <v>0</v>
      </c>
      <c r="L830" s="37"/>
      <c r="M830" s="29"/>
      <c r="N830" s="21" t="str">
        <f t="shared" si="2"/>
        <v/>
      </c>
      <c r="P830" s="37"/>
      <c r="Q830" s="29"/>
      <c r="R830" s="29" t="b">
        <v>0</v>
      </c>
      <c r="S830" s="22" t="str">
        <f t="shared" si="3"/>
        <v/>
      </c>
      <c r="T830" s="7">
        <f>IF(ISBLANK(P830), 0, VLOOKUP(P830, 'Price Sheet'!$A$2:$B1015, 2, false))</f>
        <v>0</v>
      </c>
      <c r="U830" s="33" t="str">
        <f t="shared" si="4"/>
        <v/>
      </c>
      <c r="V830" s="37"/>
      <c r="W830" s="29"/>
      <c r="X830" s="29" t="b">
        <v>0</v>
      </c>
      <c r="Y830" s="22" t="str">
        <f t="shared" si="5"/>
        <v/>
      </c>
      <c r="Z830" s="7">
        <f>IF(ISBLANK(V830), 0, VLOOKUP(V830, 'Price Sheet'!$A$2:$B1015, 2, false))</f>
        <v>0</v>
      </c>
      <c r="AA830" s="33" t="str">
        <f t="shared" si="6"/>
        <v/>
      </c>
      <c r="AB830" s="37"/>
      <c r="AC830" s="29"/>
      <c r="AD830" s="29" t="b">
        <v>0</v>
      </c>
      <c r="AE830" s="22" t="str">
        <f t="shared" si="7"/>
        <v/>
      </c>
      <c r="AF830" s="7">
        <f>IF(ISBLANK(AB830), 0, VLOOKUP(AB830, 'Price Sheet'!$A$2:$B1015, 2, false))</f>
        <v>0</v>
      </c>
      <c r="AG830" s="33" t="str">
        <f t="shared" si="8"/>
        <v/>
      </c>
      <c r="AH830" s="37"/>
      <c r="AI830" s="29"/>
      <c r="AJ830" s="29" t="b">
        <v>0</v>
      </c>
      <c r="AK830" s="22" t="str">
        <f t="shared" si="9"/>
        <v/>
      </c>
      <c r="AL830" s="7">
        <f>IF(ISBLANK(AH830), 0, VLOOKUP(AH830, 'Price Sheet'!$A$2:$B1015, 2, false))</f>
        <v>0</v>
      </c>
      <c r="AM830" s="33" t="str">
        <f t="shared" si="10"/>
        <v/>
      </c>
      <c r="AN830" s="37"/>
      <c r="AO830" s="29"/>
      <c r="AP830" s="29" t="b">
        <v>0</v>
      </c>
      <c r="AQ830" s="22" t="str">
        <f t="shared" si="11"/>
        <v/>
      </c>
      <c r="AR830" s="7">
        <f>IF(ISBLANK(AN830), 0, VLOOKUP(AN830, 'Price Sheet'!$A$2:$B1015, 2, false))</f>
        <v>0</v>
      </c>
      <c r="AS830" s="33" t="str">
        <f t="shared" si="12"/>
        <v/>
      </c>
      <c r="AT830" s="37"/>
      <c r="AU830" s="29"/>
      <c r="AV830" s="29" t="b">
        <v>0</v>
      </c>
      <c r="AW830" s="22" t="str">
        <f t="shared" si="13"/>
        <v/>
      </c>
      <c r="AX830" s="7">
        <f>IF(ISBLANK(AT830), 0, VLOOKUP(AT830, 'Price Sheet'!$A$2:$B1015, 2, false))</f>
        <v>0</v>
      </c>
      <c r="AY830" s="33" t="str">
        <f t="shared" si="14"/>
        <v/>
      </c>
      <c r="AZ830" s="37"/>
      <c r="BA830" s="29"/>
      <c r="BB830" s="29" t="b">
        <v>0</v>
      </c>
      <c r="BC830" s="22" t="str">
        <f t="shared" si="15"/>
        <v/>
      </c>
      <c r="BD830" s="7">
        <f>IF(ISBLANK(AZ830), 0, VLOOKUP(AZ830, 'Price Sheet'!$A$2:$B1015, 2, false))</f>
        <v>0</v>
      </c>
      <c r="BE830" s="33" t="str">
        <f t="shared" si="16"/>
        <v/>
      </c>
      <c r="BF830" s="37"/>
      <c r="BG830" s="29"/>
      <c r="BH830" s="29" t="b">
        <v>0</v>
      </c>
      <c r="BI830" s="22" t="str">
        <f t="shared" si="17"/>
        <v/>
      </c>
      <c r="BJ830" s="7">
        <f>IF(ISBLANK(BF830), 0, VLOOKUP(BF830, 'Price Sheet'!$A$2:$B1015, 2, false))</f>
        <v>0</v>
      </c>
      <c r="BK830" s="33" t="str">
        <f t="shared" si="18"/>
        <v/>
      </c>
      <c r="BL830" s="37"/>
      <c r="BM830" s="29"/>
      <c r="BN830" s="29" t="b">
        <v>0</v>
      </c>
      <c r="BO830" s="22" t="str">
        <f t="shared" si="19"/>
        <v/>
      </c>
      <c r="BP830" s="7">
        <f>IF(ISBLANK(BL830), 0, VLOOKUP(BL830, 'Price Sheet'!$A$2:$B1015, 2, false))</f>
        <v>0</v>
      </c>
      <c r="BQ830" s="33" t="str">
        <f t="shared" si="20"/>
        <v/>
      </c>
    </row>
    <row r="831">
      <c r="B831" s="19"/>
      <c r="C831" s="29"/>
      <c r="D831" s="29"/>
      <c r="E831" s="7" t="str">
        <f>IF(ISBLANK(D831), "", VLOOKUP(D831,'Crafting Tables'!$A$2:$B1015, 2, false))</f>
        <v/>
      </c>
      <c r="F831" s="7" t="str">
        <f>IFERROR(IF(E831 = "None", 1, VLOOKUP(C831,General!$A$5:$L$35, SWITCH(E831, "Basic", 8, "Advanced", 10, "Modern", 12), false)),"")</f>
        <v/>
      </c>
      <c r="G831" s="29"/>
      <c r="H831" s="7">
        <f>IFERROR(VLOOKUP(C831, General!$A$5:$L$35, 6, false) * G831 / 1000, 0)</f>
        <v>0</v>
      </c>
      <c r="I831" s="29"/>
      <c r="J831" s="22" t="str">
        <f>IFERROR(I831*VLOOKUP(D831,'Crafting Tables'!$1:$1000, 4, false)*F831,"")</f>
        <v/>
      </c>
      <c r="K831" s="29" t="b">
        <v>0</v>
      </c>
      <c r="L831" s="37"/>
      <c r="M831" s="29"/>
      <c r="N831" s="21" t="str">
        <f t="shared" si="2"/>
        <v/>
      </c>
      <c r="P831" s="37"/>
      <c r="Q831" s="29"/>
      <c r="R831" s="29" t="b">
        <v>0</v>
      </c>
      <c r="S831" s="22" t="str">
        <f t="shared" si="3"/>
        <v/>
      </c>
      <c r="T831" s="7">
        <f>IF(ISBLANK(P831), 0, VLOOKUP(P831, 'Price Sheet'!$A$2:$B1015, 2, false))</f>
        <v>0</v>
      </c>
      <c r="U831" s="33" t="str">
        <f t="shared" si="4"/>
        <v/>
      </c>
      <c r="V831" s="37"/>
      <c r="W831" s="29"/>
      <c r="X831" s="29" t="b">
        <v>0</v>
      </c>
      <c r="Y831" s="22" t="str">
        <f t="shared" si="5"/>
        <v/>
      </c>
      <c r="Z831" s="7">
        <f>IF(ISBLANK(V831), 0, VLOOKUP(V831, 'Price Sheet'!$A$2:$B1015, 2, false))</f>
        <v>0</v>
      </c>
      <c r="AA831" s="33" t="str">
        <f t="shared" si="6"/>
        <v/>
      </c>
      <c r="AB831" s="37"/>
      <c r="AC831" s="29"/>
      <c r="AD831" s="29" t="b">
        <v>0</v>
      </c>
      <c r="AE831" s="22" t="str">
        <f t="shared" si="7"/>
        <v/>
      </c>
      <c r="AF831" s="7">
        <f>IF(ISBLANK(AB831), 0, VLOOKUP(AB831, 'Price Sheet'!$A$2:$B1015, 2, false))</f>
        <v>0</v>
      </c>
      <c r="AG831" s="33" t="str">
        <f t="shared" si="8"/>
        <v/>
      </c>
      <c r="AH831" s="37"/>
      <c r="AI831" s="29"/>
      <c r="AJ831" s="29" t="b">
        <v>0</v>
      </c>
      <c r="AK831" s="22" t="str">
        <f t="shared" si="9"/>
        <v/>
      </c>
      <c r="AL831" s="7">
        <f>IF(ISBLANK(AH831), 0, VLOOKUP(AH831, 'Price Sheet'!$A$2:$B1015, 2, false))</f>
        <v>0</v>
      </c>
      <c r="AM831" s="33" t="str">
        <f t="shared" si="10"/>
        <v/>
      </c>
      <c r="AN831" s="37"/>
      <c r="AO831" s="29"/>
      <c r="AP831" s="29" t="b">
        <v>0</v>
      </c>
      <c r="AQ831" s="22" t="str">
        <f t="shared" si="11"/>
        <v/>
      </c>
      <c r="AR831" s="7">
        <f>IF(ISBLANK(AN831), 0, VLOOKUP(AN831, 'Price Sheet'!$A$2:$B1015, 2, false))</f>
        <v>0</v>
      </c>
      <c r="AS831" s="33" t="str">
        <f t="shared" si="12"/>
        <v/>
      </c>
      <c r="AT831" s="37"/>
      <c r="AU831" s="29"/>
      <c r="AV831" s="29" t="b">
        <v>0</v>
      </c>
      <c r="AW831" s="22" t="str">
        <f t="shared" si="13"/>
        <v/>
      </c>
      <c r="AX831" s="7">
        <f>IF(ISBLANK(AT831), 0, VLOOKUP(AT831, 'Price Sheet'!$A$2:$B1015, 2, false))</f>
        <v>0</v>
      </c>
      <c r="AY831" s="33" t="str">
        <f t="shared" si="14"/>
        <v/>
      </c>
      <c r="AZ831" s="37"/>
      <c r="BA831" s="29"/>
      <c r="BB831" s="29" t="b">
        <v>0</v>
      </c>
      <c r="BC831" s="22" t="str">
        <f t="shared" si="15"/>
        <v/>
      </c>
      <c r="BD831" s="7">
        <f>IF(ISBLANK(AZ831), 0, VLOOKUP(AZ831, 'Price Sheet'!$A$2:$B1015, 2, false))</f>
        <v>0</v>
      </c>
      <c r="BE831" s="33" t="str">
        <f t="shared" si="16"/>
        <v/>
      </c>
      <c r="BF831" s="37"/>
      <c r="BG831" s="29"/>
      <c r="BH831" s="29" t="b">
        <v>0</v>
      </c>
      <c r="BI831" s="22" t="str">
        <f t="shared" si="17"/>
        <v/>
      </c>
      <c r="BJ831" s="7">
        <f>IF(ISBLANK(BF831), 0, VLOOKUP(BF831, 'Price Sheet'!$A$2:$B1015, 2, false))</f>
        <v>0</v>
      </c>
      <c r="BK831" s="33" t="str">
        <f t="shared" si="18"/>
        <v/>
      </c>
      <c r="BL831" s="37"/>
      <c r="BM831" s="29"/>
      <c r="BN831" s="29" t="b">
        <v>0</v>
      </c>
      <c r="BO831" s="22" t="str">
        <f t="shared" si="19"/>
        <v/>
      </c>
      <c r="BP831" s="7">
        <f>IF(ISBLANK(BL831), 0, VLOOKUP(BL831, 'Price Sheet'!$A$2:$B1015, 2, false))</f>
        <v>0</v>
      </c>
      <c r="BQ831" s="33" t="str">
        <f t="shared" si="20"/>
        <v/>
      </c>
    </row>
    <row r="832">
      <c r="B832" s="19"/>
      <c r="C832" s="29"/>
      <c r="D832" s="29"/>
      <c r="E832" s="7" t="str">
        <f>IF(ISBLANK(D832), "", VLOOKUP(D832,'Crafting Tables'!$A$2:$B1015, 2, false))</f>
        <v/>
      </c>
      <c r="F832" s="7" t="str">
        <f>IFERROR(IF(E832 = "None", 1, VLOOKUP(C832,General!$A$5:$L$35, SWITCH(E832, "Basic", 8, "Advanced", 10, "Modern", 12), false)),"")</f>
        <v/>
      </c>
      <c r="G832" s="29"/>
      <c r="H832" s="7">
        <f>IFERROR(VLOOKUP(C832, General!$A$5:$L$35, 6, false) * G832 / 1000, 0)</f>
        <v>0</v>
      </c>
      <c r="I832" s="29"/>
      <c r="J832" s="22" t="str">
        <f>IFERROR(I832*VLOOKUP(D832,'Crafting Tables'!$1:$1000, 4, false)*F832,"")</f>
        <v/>
      </c>
      <c r="K832" s="29" t="b">
        <v>0</v>
      </c>
      <c r="L832" s="37"/>
      <c r="M832" s="29"/>
      <c r="N832" s="21" t="str">
        <f t="shared" si="2"/>
        <v/>
      </c>
      <c r="P832" s="37"/>
      <c r="Q832" s="29"/>
      <c r="R832" s="29" t="b">
        <v>0</v>
      </c>
      <c r="S832" s="22" t="str">
        <f t="shared" si="3"/>
        <v/>
      </c>
      <c r="T832" s="7">
        <f>IF(ISBLANK(P832), 0, VLOOKUP(P832, 'Price Sheet'!$A$2:$B1015, 2, false))</f>
        <v>0</v>
      </c>
      <c r="U832" s="33" t="str">
        <f t="shared" si="4"/>
        <v/>
      </c>
      <c r="V832" s="37"/>
      <c r="W832" s="29"/>
      <c r="X832" s="29" t="b">
        <v>0</v>
      </c>
      <c r="Y832" s="22" t="str">
        <f t="shared" si="5"/>
        <v/>
      </c>
      <c r="Z832" s="7">
        <f>IF(ISBLANK(V832), 0, VLOOKUP(V832, 'Price Sheet'!$A$2:$B1015, 2, false))</f>
        <v>0</v>
      </c>
      <c r="AA832" s="33" t="str">
        <f t="shared" si="6"/>
        <v/>
      </c>
      <c r="AB832" s="37"/>
      <c r="AC832" s="29"/>
      <c r="AD832" s="29" t="b">
        <v>0</v>
      </c>
      <c r="AE832" s="22" t="str">
        <f t="shared" si="7"/>
        <v/>
      </c>
      <c r="AF832" s="7">
        <f>IF(ISBLANK(AB832), 0, VLOOKUP(AB832, 'Price Sheet'!$A$2:$B1015, 2, false))</f>
        <v>0</v>
      </c>
      <c r="AG832" s="33" t="str">
        <f t="shared" si="8"/>
        <v/>
      </c>
      <c r="AH832" s="37"/>
      <c r="AI832" s="29"/>
      <c r="AJ832" s="29" t="b">
        <v>0</v>
      </c>
      <c r="AK832" s="22" t="str">
        <f t="shared" si="9"/>
        <v/>
      </c>
      <c r="AL832" s="7">
        <f>IF(ISBLANK(AH832), 0, VLOOKUP(AH832, 'Price Sheet'!$A$2:$B1015, 2, false))</f>
        <v>0</v>
      </c>
      <c r="AM832" s="33" t="str">
        <f t="shared" si="10"/>
        <v/>
      </c>
      <c r="AN832" s="37"/>
      <c r="AO832" s="29"/>
      <c r="AP832" s="29" t="b">
        <v>0</v>
      </c>
      <c r="AQ832" s="22" t="str">
        <f t="shared" si="11"/>
        <v/>
      </c>
      <c r="AR832" s="7">
        <f>IF(ISBLANK(AN832), 0, VLOOKUP(AN832, 'Price Sheet'!$A$2:$B1015, 2, false))</f>
        <v>0</v>
      </c>
      <c r="AS832" s="33" t="str">
        <f t="shared" si="12"/>
        <v/>
      </c>
      <c r="AT832" s="37"/>
      <c r="AU832" s="29"/>
      <c r="AV832" s="29" t="b">
        <v>0</v>
      </c>
      <c r="AW832" s="22" t="str">
        <f t="shared" si="13"/>
        <v/>
      </c>
      <c r="AX832" s="7">
        <f>IF(ISBLANK(AT832), 0, VLOOKUP(AT832, 'Price Sheet'!$A$2:$B1015, 2, false))</f>
        <v>0</v>
      </c>
      <c r="AY832" s="33" t="str">
        <f t="shared" si="14"/>
        <v/>
      </c>
      <c r="AZ832" s="37"/>
      <c r="BA832" s="29"/>
      <c r="BB832" s="29" t="b">
        <v>0</v>
      </c>
      <c r="BC832" s="22" t="str">
        <f t="shared" si="15"/>
        <v/>
      </c>
      <c r="BD832" s="7">
        <f>IF(ISBLANK(AZ832), 0, VLOOKUP(AZ832, 'Price Sheet'!$A$2:$B1015, 2, false))</f>
        <v>0</v>
      </c>
      <c r="BE832" s="33" t="str">
        <f t="shared" si="16"/>
        <v/>
      </c>
      <c r="BF832" s="37"/>
      <c r="BG832" s="29"/>
      <c r="BH832" s="29" t="b">
        <v>0</v>
      </c>
      <c r="BI832" s="22" t="str">
        <f t="shared" si="17"/>
        <v/>
      </c>
      <c r="BJ832" s="7">
        <f>IF(ISBLANK(BF832), 0, VLOOKUP(BF832, 'Price Sheet'!$A$2:$B1015, 2, false))</f>
        <v>0</v>
      </c>
      <c r="BK832" s="33" t="str">
        <f t="shared" si="18"/>
        <v/>
      </c>
      <c r="BL832" s="37"/>
      <c r="BM832" s="29"/>
      <c r="BN832" s="29" t="b">
        <v>0</v>
      </c>
      <c r="BO832" s="22" t="str">
        <f t="shared" si="19"/>
        <v/>
      </c>
      <c r="BP832" s="7">
        <f>IF(ISBLANK(BL832), 0, VLOOKUP(BL832, 'Price Sheet'!$A$2:$B1015, 2, false))</f>
        <v>0</v>
      </c>
      <c r="BQ832" s="33" t="str">
        <f t="shared" si="20"/>
        <v/>
      </c>
    </row>
    <row r="833">
      <c r="B833" s="19"/>
      <c r="C833" s="29"/>
      <c r="D833" s="29"/>
      <c r="E833" s="7" t="str">
        <f>IF(ISBLANK(D833), "", VLOOKUP(D833,'Crafting Tables'!$A$2:$B1015, 2, false))</f>
        <v/>
      </c>
      <c r="F833" s="7" t="str">
        <f>IFERROR(IF(E833 = "None", 1, VLOOKUP(C833,General!$A$5:$L$35, SWITCH(E833, "Basic", 8, "Advanced", 10, "Modern", 12), false)),"")</f>
        <v/>
      </c>
      <c r="G833" s="29"/>
      <c r="H833" s="7">
        <f>IFERROR(VLOOKUP(C833, General!$A$5:$L$35, 6, false) * G833 / 1000, 0)</f>
        <v>0</v>
      </c>
      <c r="I833" s="29"/>
      <c r="J833" s="22" t="str">
        <f>IFERROR(I833*VLOOKUP(D833,'Crafting Tables'!$1:$1000, 4, false)*F833,"")</f>
        <v/>
      </c>
      <c r="K833" s="29" t="b">
        <v>0</v>
      </c>
      <c r="L833" s="37"/>
      <c r="M833" s="29"/>
      <c r="N833" s="21" t="str">
        <f t="shared" si="2"/>
        <v/>
      </c>
      <c r="P833" s="37"/>
      <c r="Q833" s="29"/>
      <c r="R833" s="29" t="b">
        <v>0</v>
      </c>
      <c r="S833" s="22" t="str">
        <f t="shared" si="3"/>
        <v/>
      </c>
      <c r="T833" s="7">
        <f>IF(ISBLANK(P833), 0, VLOOKUP(P833, 'Price Sheet'!$A$2:$B1015, 2, false))</f>
        <v>0</v>
      </c>
      <c r="U833" s="33" t="str">
        <f t="shared" si="4"/>
        <v/>
      </c>
      <c r="V833" s="37"/>
      <c r="W833" s="29"/>
      <c r="X833" s="29" t="b">
        <v>0</v>
      </c>
      <c r="Y833" s="22" t="str">
        <f t="shared" si="5"/>
        <v/>
      </c>
      <c r="Z833" s="7">
        <f>IF(ISBLANK(V833), 0, VLOOKUP(V833, 'Price Sheet'!$A$2:$B1015, 2, false))</f>
        <v>0</v>
      </c>
      <c r="AA833" s="33" t="str">
        <f t="shared" si="6"/>
        <v/>
      </c>
      <c r="AB833" s="37"/>
      <c r="AC833" s="29"/>
      <c r="AD833" s="29" t="b">
        <v>0</v>
      </c>
      <c r="AE833" s="22" t="str">
        <f t="shared" si="7"/>
        <v/>
      </c>
      <c r="AF833" s="7">
        <f>IF(ISBLANK(AB833), 0, VLOOKUP(AB833, 'Price Sheet'!$A$2:$B1015, 2, false))</f>
        <v>0</v>
      </c>
      <c r="AG833" s="33" t="str">
        <f t="shared" si="8"/>
        <v/>
      </c>
      <c r="AH833" s="37"/>
      <c r="AI833" s="29"/>
      <c r="AJ833" s="29" t="b">
        <v>0</v>
      </c>
      <c r="AK833" s="22" t="str">
        <f t="shared" si="9"/>
        <v/>
      </c>
      <c r="AL833" s="7">
        <f>IF(ISBLANK(AH833), 0, VLOOKUP(AH833, 'Price Sheet'!$A$2:$B1015, 2, false))</f>
        <v>0</v>
      </c>
      <c r="AM833" s="33" t="str">
        <f t="shared" si="10"/>
        <v/>
      </c>
      <c r="AN833" s="37"/>
      <c r="AO833" s="29"/>
      <c r="AP833" s="29" t="b">
        <v>0</v>
      </c>
      <c r="AQ833" s="22" t="str">
        <f t="shared" si="11"/>
        <v/>
      </c>
      <c r="AR833" s="7">
        <f>IF(ISBLANK(AN833), 0, VLOOKUP(AN833, 'Price Sheet'!$A$2:$B1015, 2, false))</f>
        <v>0</v>
      </c>
      <c r="AS833" s="33" t="str">
        <f t="shared" si="12"/>
        <v/>
      </c>
      <c r="AT833" s="37"/>
      <c r="AU833" s="29"/>
      <c r="AV833" s="29" t="b">
        <v>0</v>
      </c>
      <c r="AW833" s="22" t="str">
        <f t="shared" si="13"/>
        <v/>
      </c>
      <c r="AX833" s="7">
        <f>IF(ISBLANK(AT833), 0, VLOOKUP(AT833, 'Price Sheet'!$A$2:$B1015, 2, false))</f>
        <v>0</v>
      </c>
      <c r="AY833" s="33" t="str">
        <f t="shared" si="14"/>
        <v/>
      </c>
      <c r="AZ833" s="37"/>
      <c r="BA833" s="29"/>
      <c r="BB833" s="29" t="b">
        <v>0</v>
      </c>
      <c r="BC833" s="22" t="str">
        <f t="shared" si="15"/>
        <v/>
      </c>
      <c r="BD833" s="7">
        <f>IF(ISBLANK(AZ833), 0, VLOOKUP(AZ833, 'Price Sheet'!$A$2:$B1015, 2, false))</f>
        <v>0</v>
      </c>
      <c r="BE833" s="33" t="str">
        <f t="shared" si="16"/>
        <v/>
      </c>
      <c r="BF833" s="37"/>
      <c r="BG833" s="29"/>
      <c r="BH833" s="29" t="b">
        <v>0</v>
      </c>
      <c r="BI833" s="22" t="str">
        <f t="shared" si="17"/>
        <v/>
      </c>
      <c r="BJ833" s="7">
        <f>IF(ISBLANK(BF833), 0, VLOOKUP(BF833, 'Price Sheet'!$A$2:$B1015, 2, false))</f>
        <v>0</v>
      </c>
      <c r="BK833" s="33" t="str">
        <f t="shared" si="18"/>
        <v/>
      </c>
      <c r="BL833" s="37"/>
      <c r="BM833" s="29"/>
      <c r="BN833" s="29" t="b">
        <v>0</v>
      </c>
      <c r="BO833" s="22" t="str">
        <f t="shared" si="19"/>
        <v/>
      </c>
      <c r="BP833" s="7">
        <f>IF(ISBLANK(BL833), 0, VLOOKUP(BL833, 'Price Sheet'!$A$2:$B1015, 2, false))</f>
        <v>0</v>
      </c>
      <c r="BQ833" s="33" t="str">
        <f t="shared" si="20"/>
        <v/>
      </c>
    </row>
    <row r="834">
      <c r="B834" s="19"/>
      <c r="C834" s="29"/>
      <c r="D834" s="29"/>
      <c r="E834" s="7" t="str">
        <f>IF(ISBLANK(D834), "", VLOOKUP(D834,'Crafting Tables'!$A$2:$B1015, 2, false))</f>
        <v/>
      </c>
      <c r="F834" s="7" t="str">
        <f>IFERROR(IF(E834 = "None", 1, VLOOKUP(C834,General!$A$5:$L$35, SWITCH(E834, "Basic", 8, "Advanced", 10, "Modern", 12), false)),"")</f>
        <v/>
      </c>
      <c r="G834" s="29"/>
      <c r="H834" s="7">
        <f>IFERROR(VLOOKUP(C834, General!$A$5:$L$35, 6, false) * G834 / 1000, 0)</f>
        <v>0</v>
      </c>
      <c r="I834" s="29"/>
      <c r="J834" s="22" t="str">
        <f>IFERROR(I834*VLOOKUP(D834,'Crafting Tables'!$1:$1000, 4, false)*F834,"")</f>
        <v/>
      </c>
      <c r="K834" s="29" t="b">
        <v>0</v>
      </c>
      <c r="L834" s="37"/>
      <c r="M834" s="29"/>
      <c r="N834" s="21" t="str">
        <f t="shared" si="2"/>
        <v/>
      </c>
      <c r="P834" s="37"/>
      <c r="Q834" s="29"/>
      <c r="R834" s="29" t="b">
        <v>0</v>
      </c>
      <c r="S834" s="22" t="str">
        <f t="shared" si="3"/>
        <v/>
      </c>
      <c r="T834" s="7">
        <f>IF(ISBLANK(P834), 0, VLOOKUP(P834, 'Price Sheet'!$A$2:$B1015, 2, false))</f>
        <v>0</v>
      </c>
      <c r="U834" s="33" t="str">
        <f t="shared" si="4"/>
        <v/>
      </c>
      <c r="V834" s="37"/>
      <c r="W834" s="29"/>
      <c r="X834" s="29" t="b">
        <v>0</v>
      </c>
      <c r="Y834" s="22" t="str">
        <f t="shared" si="5"/>
        <v/>
      </c>
      <c r="Z834" s="7">
        <f>IF(ISBLANK(V834), 0, VLOOKUP(V834, 'Price Sheet'!$A$2:$B1015, 2, false))</f>
        <v>0</v>
      </c>
      <c r="AA834" s="33" t="str">
        <f t="shared" si="6"/>
        <v/>
      </c>
      <c r="AB834" s="37"/>
      <c r="AC834" s="29"/>
      <c r="AD834" s="29" t="b">
        <v>0</v>
      </c>
      <c r="AE834" s="22" t="str">
        <f t="shared" si="7"/>
        <v/>
      </c>
      <c r="AF834" s="7">
        <f>IF(ISBLANK(AB834), 0, VLOOKUP(AB834, 'Price Sheet'!$A$2:$B1015, 2, false))</f>
        <v>0</v>
      </c>
      <c r="AG834" s="33" t="str">
        <f t="shared" si="8"/>
        <v/>
      </c>
      <c r="AH834" s="37"/>
      <c r="AI834" s="29"/>
      <c r="AJ834" s="29" t="b">
        <v>0</v>
      </c>
      <c r="AK834" s="22" t="str">
        <f t="shared" si="9"/>
        <v/>
      </c>
      <c r="AL834" s="7">
        <f>IF(ISBLANK(AH834), 0, VLOOKUP(AH834, 'Price Sheet'!$A$2:$B1015, 2, false))</f>
        <v>0</v>
      </c>
      <c r="AM834" s="33" t="str">
        <f t="shared" si="10"/>
        <v/>
      </c>
      <c r="AN834" s="37"/>
      <c r="AO834" s="29"/>
      <c r="AP834" s="29" t="b">
        <v>0</v>
      </c>
      <c r="AQ834" s="22" t="str">
        <f t="shared" si="11"/>
        <v/>
      </c>
      <c r="AR834" s="7">
        <f>IF(ISBLANK(AN834), 0, VLOOKUP(AN834, 'Price Sheet'!$A$2:$B1015, 2, false))</f>
        <v>0</v>
      </c>
      <c r="AS834" s="33" t="str">
        <f t="shared" si="12"/>
        <v/>
      </c>
      <c r="AT834" s="37"/>
      <c r="AU834" s="29"/>
      <c r="AV834" s="29" t="b">
        <v>0</v>
      </c>
      <c r="AW834" s="22" t="str">
        <f t="shared" si="13"/>
        <v/>
      </c>
      <c r="AX834" s="7">
        <f>IF(ISBLANK(AT834), 0, VLOOKUP(AT834, 'Price Sheet'!$A$2:$B1015, 2, false))</f>
        <v>0</v>
      </c>
      <c r="AY834" s="33" t="str">
        <f t="shared" si="14"/>
        <v/>
      </c>
      <c r="AZ834" s="37"/>
      <c r="BA834" s="29"/>
      <c r="BB834" s="29" t="b">
        <v>0</v>
      </c>
      <c r="BC834" s="22" t="str">
        <f t="shared" si="15"/>
        <v/>
      </c>
      <c r="BD834" s="7">
        <f>IF(ISBLANK(AZ834), 0, VLOOKUP(AZ834, 'Price Sheet'!$A$2:$B1015, 2, false))</f>
        <v>0</v>
      </c>
      <c r="BE834" s="33" t="str">
        <f t="shared" si="16"/>
        <v/>
      </c>
      <c r="BF834" s="37"/>
      <c r="BG834" s="29"/>
      <c r="BH834" s="29" t="b">
        <v>0</v>
      </c>
      <c r="BI834" s="22" t="str">
        <f t="shared" si="17"/>
        <v/>
      </c>
      <c r="BJ834" s="7">
        <f>IF(ISBLANK(BF834), 0, VLOOKUP(BF834, 'Price Sheet'!$A$2:$B1015, 2, false))</f>
        <v>0</v>
      </c>
      <c r="BK834" s="33" t="str">
        <f t="shared" si="18"/>
        <v/>
      </c>
      <c r="BL834" s="37"/>
      <c r="BM834" s="29"/>
      <c r="BN834" s="29" t="b">
        <v>0</v>
      </c>
      <c r="BO834" s="22" t="str">
        <f t="shared" si="19"/>
        <v/>
      </c>
      <c r="BP834" s="7">
        <f>IF(ISBLANK(BL834), 0, VLOOKUP(BL834, 'Price Sheet'!$A$2:$B1015, 2, false))</f>
        <v>0</v>
      </c>
      <c r="BQ834" s="33" t="str">
        <f t="shared" si="20"/>
        <v/>
      </c>
    </row>
    <row r="835">
      <c r="B835" s="19"/>
      <c r="C835" s="29"/>
      <c r="D835" s="29"/>
      <c r="E835" s="7" t="str">
        <f>IF(ISBLANK(D835), "", VLOOKUP(D835,'Crafting Tables'!$A$2:$B1015, 2, false))</f>
        <v/>
      </c>
      <c r="F835" s="7" t="str">
        <f>IFERROR(IF(E835 = "None", 1, VLOOKUP(C835,General!$A$5:$L$35, SWITCH(E835, "Basic", 8, "Advanced", 10, "Modern", 12), false)),"")</f>
        <v/>
      </c>
      <c r="G835" s="29"/>
      <c r="H835" s="7">
        <f>IFERROR(VLOOKUP(C835, General!$A$5:$L$35, 6, false) * G835 / 1000, 0)</f>
        <v>0</v>
      </c>
      <c r="I835" s="29"/>
      <c r="J835" s="22" t="str">
        <f>IFERROR(I835*VLOOKUP(D835,'Crafting Tables'!$1:$1000, 4, false)*F835,"")</f>
        <v/>
      </c>
      <c r="K835" s="29" t="b">
        <v>0</v>
      </c>
      <c r="L835" s="37"/>
      <c r="M835" s="29"/>
      <c r="N835" s="21" t="str">
        <f t="shared" si="2"/>
        <v/>
      </c>
      <c r="P835" s="37"/>
      <c r="Q835" s="29"/>
      <c r="R835" s="29" t="b">
        <v>0</v>
      </c>
      <c r="S835" s="22" t="str">
        <f t="shared" si="3"/>
        <v/>
      </c>
      <c r="T835" s="7">
        <f>IF(ISBLANK(P835), 0, VLOOKUP(P835, 'Price Sheet'!$A$2:$B1015, 2, false))</f>
        <v>0</v>
      </c>
      <c r="U835" s="33" t="str">
        <f t="shared" si="4"/>
        <v/>
      </c>
      <c r="V835" s="37"/>
      <c r="W835" s="29"/>
      <c r="X835" s="29" t="b">
        <v>0</v>
      </c>
      <c r="Y835" s="22" t="str">
        <f t="shared" si="5"/>
        <v/>
      </c>
      <c r="Z835" s="7">
        <f>IF(ISBLANK(V835), 0, VLOOKUP(V835, 'Price Sheet'!$A$2:$B1015, 2, false))</f>
        <v>0</v>
      </c>
      <c r="AA835" s="33" t="str">
        <f t="shared" si="6"/>
        <v/>
      </c>
      <c r="AB835" s="37"/>
      <c r="AC835" s="29"/>
      <c r="AD835" s="29" t="b">
        <v>0</v>
      </c>
      <c r="AE835" s="22" t="str">
        <f t="shared" si="7"/>
        <v/>
      </c>
      <c r="AF835" s="7">
        <f>IF(ISBLANK(AB835), 0, VLOOKUP(AB835, 'Price Sheet'!$A$2:$B1015, 2, false))</f>
        <v>0</v>
      </c>
      <c r="AG835" s="33" t="str">
        <f t="shared" si="8"/>
        <v/>
      </c>
      <c r="AH835" s="37"/>
      <c r="AI835" s="29"/>
      <c r="AJ835" s="29" t="b">
        <v>0</v>
      </c>
      <c r="AK835" s="22" t="str">
        <f t="shared" si="9"/>
        <v/>
      </c>
      <c r="AL835" s="7">
        <f>IF(ISBLANK(AH835), 0, VLOOKUP(AH835, 'Price Sheet'!$A$2:$B1015, 2, false))</f>
        <v>0</v>
      </c>
      <c r="AM835" s="33" t="str">
        <f t="shared" si="10"/>
        <v/>
      </c>
      <c r="AN835" s="37"/>
      <c r="AO835" s="29"/>
      <c r="AP835" s="29" t="b">
        <v>0</v>
      </c>
      <c r="AQ835" s="22" t="str">
        <f t="shared" si="11"/>
        <v/>
      </c>
      <c r="AR835" s="7">
        <f>IF(ISBLANK(AN835), 0, VLOOKUP(AN835, 'Price Sheet'!$A$2:$B1015, 2, false))</f>
        <v>0</v>
      </c>
      <c r="AS835" s="33" t="str">
        <f t="shared" si="12"/>
        <v/>
      </c>
      <c r="AT835" s="37"/>
      <c r="AU835" s="29"/>
      <c r="AV835" s="29" t="b">
        <v>0</v>
      </c>
      <c r="AW835" s="22" t="str">
        <f t="shared" si="13"/>
        <v/>
      </c>
      <c r="AX835" s="7">
        <f>IF(ISBLANK(AT835), 0, VLOOKUP(AT835, 'Price Sheet'!$A$2:$B1015, 2, false))</f>
        <v>0</v>
      </c>
      <c r="AY835" s="33" t="str">
        <f t="shared" si="14"/>
        <v/>
      </c>
      <c r="AZ835" s="37"/>
      <c r="BA835" s="29"/>
      <c r="BB835" s="29" t="b">
        <v>0</v>
      </c>
      <c r="BC835" s="22" t="str">
        <f t="shared" si="15"/>
        <v/>
      </c>
      <c r="BD835" s="7">
        <f>IF(ISBLANK(AZ835), 0, VLOOKUP(AZ835, 'Price Sheet'!$A$2:$B1015, 2, false))</f>
        <v>0</v>
      </c>
      <c r="BE835" s="33" t="str">
        <f t="shared" si="16"/>
        <v/>
      </c>
      <c r="BF835" s="37"/>
      <c r="BG835" s="29"/>
      <c r="BH835" s="29" t="b">
        <v>0</v>
      </c>
      <c r="BI835" s="22" t="str">
        <f t="shared" si="17"/>
        <v/>
      </c>
      <c r="BJ835" s="7">
        <f>IF(ISBLANK(BF835), 0, VLOOKUP(BF835, 'Price Sheet'!$A$2:$B1015, 2, false))</f>
        <v>0</v>
      </c>
      <c r="BK835" s="33" t="str">
        <f t="shared" si="18"/>
        <v/>
      </c>
      <c r="BL835" s="37"/>
      <c r="BM835" s="29"/>
      <c r="BN835" s="29" t="b">
        <v>0</v>
      </c>
      <c r="BO835" s="22" t="str">
        <f t="shared" si="19"/>
        <v/>
      </c>
      <c r="BP835" s="7">
        <f>IF(ISBLANK(BL835), 0, VLOOKUP(BL835, 'Price Sheet'!$A$2:$B1015, 2, false))</f>
        <v>0</v>
      </c>
      <c r="BQ835" s="33" t="str">
        <f t="shared" si="20"/>
        <v/>
      </c>
    </row>
    <row r="836">
      <c r="B836" s="19"/>
      <c r="C836" s="29"/>
      <c r="D836" s="29"/>
      <c r="E836" s="7" t="str">
        <f>IF(ISBLANK(D836), "", VLOOKUP(D836,'Crafting Tables'!$A$2:$B1015, 2, false))</f>
        <v/>
      </c>
      <c r="F836" s="7" t="str">
        <f>IFERROR(IF(E836 = "None", 1, VLOOKUP(C836,General!$A$5:$L$35, SWITCH(E836, "Basic", 8, "Advanced", 10, "Modern", 12), false)),"")</f>
        <v/>
      </c>
      <c r="G836" s="29"/>
      <c r="H836" s="7">
        <f>IFERROR(VLOOKUP(C836, General!$A$5:$L$35, 6, false) * G836 / 1000, 0)</f>
        <v>0</v>
      </c>
      <c r="I836" s="29"/>
      <c r="J836" s="22" t="str">
        <f>IFERROR(I836*VLOOKUP(D836,'Crafting Tables'!$1:$1000, 4, false)*F836,"")</f>
        <v/>
      </c>
      <c r="K836" s="29" t="b">
        <v>0</v>
      </c>
      <c r="L836" s="37"/>
      <c r="M836" s="29"/>
      <c r="N836" s="21" t="str">
        <f t="shared" si="2"/>
        <v/>
      </c>
      <c r="P836" s="37"/>
      <c r="Q836" s="29"/>
      <c r="R836" s="29" t="b">
        <v>0</v>
      </c>
      <c r="S836" s="22" t="str">
        <f t="shared" si="3"/>
        <v/>
      </c>
      <c r="T836" s="7">
        <f>IF(ISBLANK(P836), 0, VLOOKUP(P836, 'Price Sheet'!$A$2:$B1015, 2, false))</f>
        <v>0</v>
      </c>
      <c r="U836" s="33" t="str">
        <f t="shared" si="4"/>
        <v/>
      </c>
      <c r="V836" s="37"/>
      <c r="W836" s="29"/>
      <c r="X836" s="29" t="b">
        <v>0</v>
      </c>
      <c r="Y836" s="22" t="str">
        <f t="shared" si="5"/>
        <v/>
      </c>
      <c r="Z836" s="7">
        <f>IF(ISBLANK(V836), 0, VLOOKUP(V836, 'Price Sheet'!$A$2:$B1015, 2, false))</f>
        <v>0</v>
      </c>
      <c r="AA836" s="33" t="str">
        <f t="shared" si="6"/>
        <v/>
      </c>
      <c r="AB836" s="37"/>
      <c r="AC836" s="29"/>
      <c r="AD836" s="29" t="b">
        <v>0</v>
      </c>
      <c r="AE836" s="22" t="str">
        <f t="shared" si="7"/>
        <v/>
      </c>
      <c r="AF836" s="7">
        <f>IF(ISBLANK(AB836), 0, VLOOKUP(AB836, 'Price Sheet'!$A$2:$B1015, 2, false))</f>
        <v>0</v>
      </c>
      <c r="AG836" s="33" t="str">
        <f t="shared" si="8"/>
        <v/>
      </c>
      <c r="AH836" s="37"/>
      <c r="AI836" s="29"/>
      <c r="AJ836" s="29" t="b">
        <v>0</v>
      </c>
      <c r="AK836" s="22" t="str">
        <f t="shared" si="9"/>
        <v/>
      </c>
      <c r="AL836" s="7">
        <f>IF(ISBLANK(AH836), 0, VLOOKUP(AH836, 'Price Sheet'!$A$2:$B1015, 2, false))</f>
        <v>0</v>
      </c>
      <c r="AM836" s="33" t="str">
        <f t="shared" si="10"/>
        <v/>
      </c>
      <c r="AN836" s="37"/>
      <c r="AO836" s="29"/>
      <c r="AP836" s="29" t="b">
        <v>0</v>
      </c>
      <c r="AQ836" s="22" t="str">
        <f t="shared" si="11"/>
        <v/>
      </c>
      <c r="AR836" s="7">
        <f>IF(ISBLANK(AN836), 0, VLOOKUP(AN836, 'Price Sheet'!$A$2:$B1015, 2, false))</f>
        <v>0</v>
      </c>
      <c r="AS836" s="33" t="str">
        <f t="shared" si="12"/>
        <v/>
      </c>
      <c r="AT836" s="37"/>
      <c r="AU836" s="29"/>
      <c r="AV836" s="29" t="b">
        <v>0</v>
      </c>
      <c r="AW836" s="22" t="str">
        <f t="shared" si="13"/>
        <v/>
      </c>
      <c r="AX836" s="7">
        <f>IF(ISBLANK(AT836), 0, VLOOKUP(AT836, 'Price Sheet'!$A$2:$B1015, 2, false))</f>
        <v>0</v>
      </c>
      <c r="AY836" s="33" t="str">
        <f t="shared" si="14"/>
        <v/>
      </c>
      <c r="AZ836" s="37"/>
      <c r="BA836" s="29"/>
      <c r="BB836" s="29" t="b">
        <v>0</v>
      </c>
      <c r="BC836" s="22" t="str">
        <f t="shared" si="15"/>
        <v/>
      </c>
      <c r="BD836" s="7">
        <f>IF(ISBLANK(AZ836), 0, VLOOKUP(AZ836, 'Price Sheet'!$A$2:$B1015, 2, false))</f>
        <v>0</v>
      </c>
      <c r="BE836" s="33" t="str">
        <f t="shared" si="16"/>
        <v/>
      </c>
      <c r="BF836" s="37"/>
      <c r="BG836" s="29"/>
      <c r="BH836" s="29" t="b">
        <v>0</v>
      </c>
      <c r="BI836" s="22" t="str">
        <f t="shared" si="17"/>
        <v/>
      </c>
      <c r="BJ836" s="7">
        <f>IF(ISBLANK(BF836), 0, VLOOKUP(BF836, 'Price Sheet'!$A$2:$B1015, 2, false))</f>
        <v>0</v>
      </c>
      <c r="BK836" s="33" t="str">
        <f t="shared" si="18"/>
        <v/>
      </c>
      <c r="BL836" s="37"/>
      <c r="BM836" s="29"/>
      <c r="BN836" s="29" t="b">
        <v>0</v>
      </c>
      <c r="BO836" s="22" t="str">
        <f t="shared" si="19"/>
        <v/>
      </c>
      <c r="BP836" s="7">
        <f>IF(ISBLANK(BL836), 0, VLOOKUP(BL836, 'Price Sheet'!$A$2:$B1015, 2, false))</f>
        <v>0</v>
      </c>
      <c r="BQ836" s="33" t="str">
        <f t="shared" si="20"/>
        <v/>
      </c>
    </row>
    <row r="837">
      <c r="B837" s="19"/>
      <c r="C837" s="29"/>
      <c r="D837" s="29"/>
      <c r="E837" s="7" t="str">
        <f>IF(ISBLANK(D837), "", VLOOKUP(D837,'Crafting Tables'!$A$2:$B1015, 2, false))</f>
        <v/>
      </c>
      <c r="F837" s="7" t="str">
        <f>IFERROR(IF(E837 = "None", 1, VLOOKUP(C837,General!$A$5:$L$35, SWITCH(E837, "Basic", 8, "Advanced", 10, "Modern", 12), false)),"")</f>
        <v/>
      </c>
      <c r="G837" s="29"/>
      <c r="H837" s="7">
        <f>IFERROR(VLOOKUP(C837, General!$A$5:$L$35, 6, false) * G837 / 1000, 0)</f>
        <v>0</v>
      </c>
      <c r="I837" s="29"/>
      <c r="J837" s="22" t="str">
        <f>IFERROR(I837*VLOOKUP(D837,'Crafting Tables'!$1:$1000, 4, false)*F837,"")</f>
        <v/>
      </c>
      <c r="K837" s="29" t="b">
        <v>0</v>
      </c>
      <c r="L837" s="37"/>
      <c r="M837" s="29"/>
      <c r="N837" s="21" t="str">
        <f t="shared" si="2"/>
        <v/>
      </c>
      <c r="P837" s="37"/>
      <c r="Q837" s="29"/>
      <c r="R837" s="29" t="b">
        <v>0</v>
      </c>
      <c r="S837" s="22" t="str">
        <f t="shared" si="3"/>
        <v/>
      </c>
      <c r="T837" s="7">
        <f>IF(ISBLANK(P837), 0, VLOOKUP(P837, 'Price Sheet'!$A$2:$B1015, 2, false))</f>
        <v>0</v>
      </c>
      <c r="U837" s="33" t="str">
        <f t="shared" si="4"/>
        <v/>
      </c>
      <c r="V837" s="37"/>
      <c r="W837" s="29"/>
      <c r="X837" s="29" t="b">
        <v>0</v>
      </c>
      <c r="Y837" s="22" t="str">
        <f t="shared" si="5"/>
        <v/>
      </c>
      <c r="Z837" s="7">
        <f>IF(ISBLANK(V837), 0, VLOOKUP(V837, 'Price Sheet'!$A$2:$B1015, 2, false))</f>
        <v>0</v>
      </c>
      <c r="AA837" s="33" t="str">
        <f t="shared" si="6"/>
        <v/>
      </c>
      <c r="AB837" s="37"/>
      <c r="AC837" s="29"/>
      <c r="AD837" s="29" t="b">
        <v>0</v>
      </c>
      <c r="AE837" s="22" t="str">
        <f t="shared" si="7"/>
        <v/>
      </c>
      <c r="AF837" s="7">
        <f>IF(ISBLANK(AB837), 0, VLOOKUP(AB837, 'Price Sheet'!$A$2:$B1015, 2, false))</f>
        <v>0</v>
      </c>
      <c r="AG837" s="33" t="str">
        <f t="shared" si="8"/>
        <v/>
      </c>
      <c r="AH837" s="37"/>
      <c r="AI837" s="29"/>
      <c r="AJ837" s="29" t="b">
        <v>0</v>
      </c>
      <c r="AK837" s="22" t="str">
        <f t="shared" si="9"/>
        <v/>
      </c>
      <c r="AL837" s="7">
        <f>IF(ISBLANK(AH837), 0, VLOOKUP(AH837, 'Price Sheet'!$A$2:$B1015, 2, false))</f>
        <v>0</v>
      </c>
      <c r="AM837" s="33" t="str">
        <f t="shared" si="10"/>
        <v/>
      </c>
      <c r="AN837" s="37"/>
      <c r="AO837" s="29"/>
      <c r="AP837" s="29" t="b">
        <v>0</v>
      </c>
      <c r="AQ837" s="22" t="str">
        <f t="shared" si="11"/>
        <v/>
      </c>
      <c r="AR837" s="7">
        <f>IF(ISBLANK(AN837), 0, VLOOKUP(AN837, 'Price Sheet'!$A$2:$B1015, 2, false))</f>
        <v>0</v>
      </c>
      <c r="AS837" s="33" t="str">
        <f t="shared" si="12"/>
        <v/>
      </c>
      <c r="AT837" s="37"/>
      <c r="AU837" s="29"/>
      <c r="AV837" s="29" t="b">
        <v>0</v>
      </c>
      <c r="AW837" s="22" t="str">
        <f t="shared" si="13"/>
        <v/>
      </c>
      <c r="AX837" s="7">
        <f>IF(ISBLANK(AT837), 0, VLOOKUP(AT837, 'Price Sheet'!$A$2:$B1015, 2, false))</f>
        <v>0</v>
      </c>
      <c r="AY837" s="33" t="str">
        <f t="shared" si="14"/>
        <v/>
      </c>
      <c r="AZ837" s="37"/>
      <c r="BA837" s="29"/>
      <c r="BB837" s="29" t="b">
        <v>0</v>
      </c>
      <c r="BC837" s="22" t="str">
        <f t="shared" si="15"/>
        <v/>
      </c>
      <c r="BD837" s="7">
        <f>IF(ISBLANK(AZ837), 0, VLOOKUP(AZ837, 'Price Sheet'!$A$2:$B1015, 2, false))</f>
        <v>0</v>
      </c>
      <c r="BE837" s="33" t="str">
        <f t="shared" si="16"/>
        <v/>
      </c>
      <c r="BF837" s="37"/>
      <c r="BG837" s="29"/>
      <c r="BH837" s="29" t="b">
        <v>0</v>
      </c>
      <c r="BI837" s="22" t="str">
        <f t="shared" si="17"/>
        <v/>
      </c>
      <c r="BJ837" s="7">
        <f>IF(ISBLANK(BF837), 0, VLOOKUP(BF837, 'Price Sheet'!$A$2:$B1015, 2, false))</f>
        <v>0</v>
      </c>
      <c r="BK837" s="33" t="str">
        <f t="shared" si="18"/>
        <v/>
      </c>
      <c r="BL837" s="37"/>
      <c r="BM837" s="29"/>
      <c r="BN837" s="29" t="b">
        <v>0</v>
      </c>
      <c r="BO837" s="22" t="str">
        <f t="shared" si="19"/>
        <v/>
      </c>
      <c r="BP837" s="7">
        <f>IF(ISBLANK(BL837), 0, VLOOKUP(BL837, 'Price Sheet'!$A$2:$B1015, 2, false))</f>
        <v>0</v>
      </c>
      <c r="BQ837" s="33" t="str">
        <f t="shared" si="20"/>
        <v/>
      </c>
    </row>
    <row r="838">
      <c r="B838" s="19"/>
      <c r="C838" s="29"/>
      <c r="D838" s="29"/>
      <c r="E838" s="7" t="str">
        <f>IF(ISBLANK(D838), "", VLOOKUP(D838,'Crafting Tables'!$A$2:$B1015, 2, false))</f>
        <v/>
      </c>
      <c r="F838" s="7" t="str">
        <f>IFERROR(IF(E838 = "None", 1, VLOOKUP(C838,General!$A$5:$L$35, SWITCH(E838, "Basic", 8, "Advanced", 10, "Modern", 12), false)),"")</f>
        <v/>
      </c>
      <c r="G838" s="29"/>
      <c r="H838" s="7">
        <f>IFERROR(VLOOKUP(C838, General!$A$5:$L$35, 6, false) * G838 / 1000, 0)</f>
        <v>0</v>
      </c>
      <c r="I838" s="29"/>
      <c r="J838" s="22" t="str">
        <f>IFERROR(I838*VLOOKUP(D838,'Crafting Tables'!$1:$1000, 4, false)*F838,"")</f>
        <v/>
      </c>
      <c r="K838" s="29" t="b">
        <v>0</v>
      </c>
      <c r="L838" s="37"/>
      <c r="M838" s="29"/>
      <c r="N838" s="21" t="str">
        <f t="shared" si="2"/>
        <v/>
      </c>
      <c r="P838" s="37"/>
      <c r="Q838" s="29"/>
      <c r="R838" s="29" t="b">
        <v>0</v>
      </c>
      <c r="S838" s="22" t="str">
        <f t="shared" si="3"/>
        <v/>
      </c>
      <c r="T838" s="7">
        <f>IF(ISBLANK(P838), 0, VLOOKUP(P838, 'Price Sheet'!$A$2:$B1015, 2, false))</f>
        <v>0</v>
      </c>
      <c r="U838" s="33" t="str">
        <f t="shared" si="4"/>
        <v/>
      </c>
      <c r="V838" s="37"/>
      <c r="W838" s="29"/>
      <c r="X838" s="29" t="b">
        <v>0</v>
      </c>
      <c r="Y838" s="22" t="str">
        <f t="shared" si="5"/>
        <v/>
      </c>
      <c r="Z838" s="7">
        <f>IF(ISBLANK(V838), 0, VLOOKUP(V838, 'Price Sheet'!$A$2:$B1015, 2, false))</f>
        <v>0</v>
      </c>
      <c r="AA838" s="33" t="str">
        <f t="shared" si="6"/>
        <v/>
      </c>
      <c r="AB838" s="37"/>
      <c r="AC838" s="29"/>
      <c r="AD838" s="29" t="b">
        <v>0</v>
      </c>
      <c r="AE838" s="22" t="str">
        <f t="shared" si="7"/>
        <v/>
      </c>
      <c r="AF838" s="7">
        <f>IF(ISBLANK(AB838), 0, VLOOKUP(AB838, 'Price Sheet'!$A$2:$B1015, 2, false))</f>
        <v>0</v>
      </c>
      <c r="AG838" s="33" t="str">
        <f t="shared" si="8"/>
        <v/>
      </c>
      <c r="AH838" s="37"/>
      <c r="AI838" s="29"/>
      <c r="AJ838" s="29" t="b">
        <v>0</v>
      </c>
      <c r="AK838" s="22" t="str">
        <f t="shared" si="9"/>
        <v/>
      </c>
      <c r="AL838" s="7">
        <f>IF(ISBLANK(AH838), 0, VLOOKUP(AH838, 'Price Sheet'!$A$2:$B1015, 2, false))</f>
        <v>0</v>
      </c>
      <c r="AM838" s="33" t="str">
        <f t="shared" si="10"/>
        <v/>
      </c>
      <c r="AN838" s="37"/>
      <c r="AO838" s="29"/>
      <c r="AP838" s="29" t="b">
        <v>0</v>
      </c>
      <c r="AQ838" s="22" t="str">
        <f t="shared" si="11"/>
        <v/>
      </c>
      <c r="AR838" s="7">
        <f>IF(ISBLANK(AN838), 0, VLOOKUP(AN838, 'Price Sheet'!$A$2:$B1015, 2, false))</f>
        <v>0</v>
      </c>
      <c r="AS838" s="33" t="str">
        <f t="shared" si="12"/>
        <v/>
      </c>
      <c r="AT838" s="37"/>
      <c r="AU838" s="29"/>
      <c r="AV838" s="29" t="b">
        <v>0</v>
      </c>
      <c r="AW838" s="22" t="str">
        <f t="shared" si="13"/>
        <v/>
      </c>
      <c r="AX838" s="7">
        <f>IF(ISBLANK(AT838), 0, VLOOKUP(AT838, 'Price Sheet'!$A$2:$B1015, 2, false))</f>
        <v>0</v>
      </c>
      <c r="AY838" s="33" t="str">
        <f t="shared" si="14"/>
        <v/>
      </c>
      <c r="AZ838" s="37"/>
      <c r="BA838" s="29"/>
      <c r="BB838" s="29" t="b">
        <v>0</v>
      </c>
      <c r="BC838" s="22" t="str">
        <f t="shared" si="15"/>
        <v/>
      </c>
      <c r="BD838" s="7">
        <f>IF(ISBLANK(AZ838), 0, VLOOKUP(AZ838, 'Price Sheet'!$A$2:$B1015, 2, false))</f>
        <v>0</v>
      </c>
      <c r="BE838" s="33" t="str">
        <f t="shared" si="16"/>
        <v/>
      </c>
      <c r="BF838" s="37"/>
      <c r="BG838" s="29"/>
      <c r="BH838" s="29" t="b">
        <v>0</v>
      </c>
      <c r="BI838" s="22" t="str">
        <f t="shared" si="17"/>
        <v/>
      </c>
      <c r="BJ838" s="7">
        <f>IF(ISBLANK(BF838), 0, VLOOKUP(BF838, 'Price Sheet'!$A$2:$B1015, 2, false))</f>
        <v>0</v>
      </c>
      <c r="BK838" s="33" t="str">
        <f t="shared" si="18"/>
        <v/>
      </c>
      <c r="BL838" s="37"/>
      <c r="BM838" s="29"/>
      <c r="BN838" s="29" t="b">
        <v>0</v>
      </c>
      <c r="BO838" s="22" t="str">
        <f t="shared" si="19"/>
        <v/>
      </c>
      <c r="BP838" s="7">
        <f>IF(ISBLANK(BL838), 0, VLOOKUP(BL838, 'Price Sheet'!$A$2:$B1015, 2, false))</f>
        <v>0</v>
      </c>
      <c r="BQ838" s="33" t="str">
        <f t="shared" si="20"/>
        <v/>
      </c>
    </row>
    <row r="839">
      <c r="B839" s="19"/>
      <c r="C839" s="29"/>
      <c r="D839" s="29"/>
      <c r="E839" s="7" t="str">
        <f>IF(ISBLANK(D839), "", VLOOKUP(D839,'Crafting Tables'!$A$2:$B1015, 2, false))</f>
        <v/>
      </c>
      <c r="F839" s="7" t="str">
        <f>IFERROR(IF(E839 = "None", 1, VLOOKUP(C839,General!$A$5:$L$35, SWITCH(E839, "Basic", 8, "Advanced", 10, "Modern", 12), false)),"")</f>
        <v/>
      </c>
      <c r="G839" s="29"/>
      <c r="H839" s="7">
        <f>IFERROR(VLOOKUP(C839, General!$A$5:$L$35, 6, false) * G839 / 1000, 0)</f>
        <v>0</v>
      </c>
      <c r="I839" s="29"/>
      <c r="J839" s="22" t="str">
        <f>IFERROR(I839*VLOOKUP(D839,'Crafting Tables'!$1:$1000, 4, false)*F839,"")</f>
        <v/>
      </c>
      <c r="K839" s="29" t="b">
        <v>0</v>
      </c>
      <c r="L839" s="37"/>
      <c r="M839" s="29"/>
      <c r="N839" s="21" t="str">
        <f t="shared" si="2"/>
        <v/>
      </c>
      <c r="P839" s="37"/>
      <c r="Q839" s="29"/>
      <c r="R839" s="29" t="b">
        <v>0</v>
      </c>
      <c r="S839" s="22" t="str">
        <f t="shared" si="3"/>
        <v/>
      </c>
      <c r="T839" s="7">
        <f>IF(ISBLANK(P839), 0, VLOOKUP(P839, 'Price Sheet'!$A$2:$B1015, 2, false))</f>
        <v>0</v>
      </c>
      <c r="U839" s="33" t="str">
        <f t="shared" si="4"/>
        <v/>
      </c>
      <c r="V839" s="37"/>
      <c r="W839" s="29"/>
      <c r="X839" s="29" t="b">
        <v>0</v>
      </c>
      <c r="Y839" s="22" t="str">
        <f t="shared" si="5"/>
        <v/>
      </c>
      <c r="Z839" s="7">
        <f>IF(ISBLANK(V839), 0, VLOOKUP(V839, 'Price Sheet'!$A$2:$B1015, 2, false))</f>
        <v>0</v>
      </c>
      <c r="AA839" s="33" t="str">
        <f t="shared" si="6"/>
        <v/>
      </c>
      <c r="AB839" s="37"/>
      <c r="AC839" s="29"/>
      <c r="AD839" s="29" t="b">
        <v>0</v>
      </c>
      <c r="AE839" s="22" t="str">
        <f t="shared" si="7"/>
        <v/>
      </c>
      <c r="AF839" s="7">
        <f>IF(ISBLANK(AB839), 0, VLOOKUP(AB839, 'Price Sheet'!$A$2:$B1015, 2, false))</f>
        <v>0</v>
      </c>
      <c r="AG839" s="33" t="str">
        <f t="shared" si="8"/>
        <v/>
      </c>
      <c r="AH839" s="37"/>
      <c r="AI839" s="29"/>
      <c r="AJ839" s="29" t="b">
        <v>0</v>
      </c>
      <c r="AK839" s="22" t="str">
        <f t="shared" si="9"/>
        <v/>
      </c>
      <c r="AL839" s="7">
        <f>IF(ISBLANK(AH839), 0, VLOOKUP(AH839, 'Price Sheet'!$A$2:$B1015, 2, false))</f>
        <v>0</v>
      </c>
      <c r="AM839" s="33" t="str">
        <f t="shared" si="10"/>
        <v/>
      </c>
      <c r="AN839" s="37"/>
      <c r="AO839" s="29"/>
      <c r="AP839" s="29" t="b">
        <v>0</v>
      </c>
      <c r="AQ839" s="22" t="str">
        <f t="shared" si="11"/>
        <v/>
      </c>
      <c r="AR839" s="7">
        <f>IF(ISBLANK(AN839), 0, VLOOKUP(AN839, 'Price Sheet'!$A$2:$B1015, 2, false))</f>
        <v>0</v>
      </c>
      <c r="AS839" s="33" t="str">
        <f t="shared" si="12"/>
        <v/>
      </c>
      <c r="AT839" s="37"/>
      <c r="AU839" s="29"/>
      <c r="AV839" s="29" t="b">
        <v>0</v>
      </c>
      <c r="AW839" s="22" t="str">
        <f t="shared" si="13"/>
        <v/>
      </c>
      <c r="AX839" s="7">
        <f>IF(ISBLANK(AT839), 0, VLOOKUP(AT839, 'Price Sheet'!$A$2:$B1015, 2, false))</f>
        <v>0</v>
      </c>
      <c r="AY839" s="33" t="str">
        <f t="shared" si="14"/>
        <v/>
      </c>
      <c r="AZ839" s="37"/>
      <c r="BA839" s="29"/>
      <c r="BB839" s="29" t="b">
        <v>0</v>
      </c>
      <c r="BC839" s="22" t="str">
        <f t="shared" si="15"/>
        <v/>
      </c>
      <c r="BD839" s="7">
        <f>IF(ISBLANK(AZ839), 0, VLOOKUP(AZ839, 'Price Sheet'!$A$2:$B1015, 2, false))</f>
        <v>0</v>
      </c>
      <c r="BE839" s="33" t="str">
        <f t="shared" si="16"/>
        <v/>
      </c>
      <c r="BF839" s="37"/>
      <c r="BG839" s="29"/>
      <c r="BH839" s="29" t="b">
        <v>0</v>
      </c>
      <c r="BI839" s="22" t="str">
        <f t="shared" si="17"/>
        <v/>
      </c>
      <c r="BJ839" s="7">
        <f>IF(ISBLANK(BF839), 0, VLOOKUP(BF839, 'Price Sheet'!$A$2:$B1015, 2, false))</f>
        <v>0</v>
      </c>
      <c r="BK839" s="33" t="str">
        <f t="shared" si="18"/>
        <v/>
      </c>
      <c r="BL839" s="37"/>
      <c r="BM839" s="29"/>
      <c r="BN839" s="29" t="b">
        <v>0</v>
      </c>
      <c r="BO839" s="22" t="str">
        <f t="shared" si="19"/>
        <v/>
      </c>
      <c r="BP839" s="7">
        <f>IF(ISBLANK(BL839), 0, VLOOKUP(BL839, 'Price Sheet'!$A$2:$B1015, 2, false))</f>
        <v>0</v>
      </c>
      <c r="BQ839" s="33" t="str">
        <f t="shared" si="20"/>
        <v/>
      </c>
    </row>
    <row r="840">
      <c r="B840" s="19"/>
      <c r="C840" s="29"/>
      <c r="D840" s="29"/>
      <c r="E840" s="7" t="str">
        <f>IF(ISBLANK(D840), "", VLOOKUP(D840,'Crafting Tables'!$A$2:$B1015, 2, false))</f>
        <v/>
      </c>
      <c r="F840" s="7" t="str">
        <f>IFERROR(IF(E840 = "None", 1, VLOOKUP(C840,General!$A$5:$L$35, SWITCH(E840, "Basic", 8, "Advanced", 10, "Modern", 12), false)),"")</f>
        <v/>
      </c>
      <c r="G840" s="29"/>
      <c r="H840" s="7">
        <f>IFERROR(VLOOKUP(C840, General!$A$5:$L$35, 6, false) * G840 / 1000, 0)</f>
        <v>0</v>
      </c>
      <c r="I840" s="29"/>
      <c r="J840" s="22" t="str">
        <f>IFERROR(I840*VLOOKUP(D840,'Crafting Tables'!$1:$1000, 4, false)*F840,"")</f>
        <v/>
      </c>
      <c r="K840" s="29" t="b">
        <v>0</v>
      </c>
      <c r="L840" s="37"/>
      <c r="M840" s="29"/>
      <c r="N840" s="21" t="str">
        <f t="shared" si="2"/>
        <v/>
      </c>
      <c r="P840" s="37"/>
      <c r="Q840" s="29"/>
      <c r="R840" s="29" t="b">
        <v>0</v>
      </c>
      <c r="S840" s="22" t="str">
        <f t="shared" si="3"/>
        <v/>
      </c>
      <c r="T840" s="7">
        <f>IF(ISBLANK(P840), 0, VLOOKUP(P840, 'Price Sheet'!$A$2:$B1015, 2, false))</f>
        <v>0</v>
      </c>
      <c r="U840" s="33" t="str">
        <f t="shared" si="4"/>
        <v/>
      </c>
      <c r="V840" s="37"/>
      <c r="W840" s="29"/>
      <c r="X840" s="29" t="b">
        <v>0</v>
      </c>
      <c r="Y840" s="22" t="str">
        <f t="shared" si="5"/>
        <v/>
      </c>
      <c r="Z840" s="7">
        <f>IF(ISBLANK(V840), 0, VLOOKUP(V840, 'Price Sheet'!$A$2:$B1015, 2, false))</f>
        <v>0</v>
      </c>
      <c r="AA840" s="33" t="str">
        <f t="shared" si="6"/>
        <v/>
      </c>
      <c r="AB840" s="37"/>
      <c r="AC840" s="29"/>
      <c r="AD840" s="29" t="b">
        <v>0</v>
      </c>
      <c r="AE840" s="22" t="str">
        <f t="shared" si="7"/>
        <v/>
      </c>
      <c r="AF840" s="7">
        <f>IF(ISBLANK(AB840), 0, VLOOKUP(AB840, 'Price Sheet'!$A$2:$B1015, 2, false))</f>
        <v>0</v>
      </c>
      <c r="AG840" s="33" t="str">
        <f t="shared" si="8"/>
        <v/>
      </c>
      <c r="AH840" s="37"/>
      <c r="AI840" s="29"/>
      <c r="AJ840" s="29" t="b">
        <v>0</v>
      </c>
      <c r="AK840" s="22" t="str">
        <f t="shared" si="9"/>
        <v/>
      </c>
      <c r="AL840" s="7">
        <f>IF(ISBLANK(AH840), 0, VLOOKUP(AH840, 'Price Sheet'!$A$2:$B1015, 2, false))</f>
        <v>0</v>
      </c>
      <c r="AM840" s="33" t="str">
        <f t="shared" si="10"/>
        <v/>
      </c>
      <c r="AN840" s="37"/>
      <c r="AO840" s="29"/>
      <c r="AP840" s="29" t="b">
        <v>0</v>
      </c>
      <c r="AQ840" s="22" t="str">
        <f t="shared" si="11"/>
        <v/>
      </c>
      <c r="AR840" s="7">
        <f>IF(ISBLANK(AN840), 0, VLOOKUP(AN840, 'Price Sheet'!$A$2:$B1015, 2, false))</f>
        <v>0</v>
      </c>
      <c r="AS840" s="33" t="str">
        <f t="shared" si="12"/>
        <v/>
      </c>
      <c r="AT840" s="37"/>
      <c r="AU840" s="29"/>
      <c r="AV840" s="29" t="b">
        <v>0</v>
      </c>
      <c r="AW840" s="22" t="str">
        <f t="shared" si="13"/>
        <v/>
      </c>
      <c r="AX840" s="7">
        <f>IF(ISBLANK(AT840), 0, VLOOKUP(AT840, 'Price Sheet'!$A$2:$B1015, 2, false))</f>
        <v>0</v>
      </c>
      <c r="AY840" s="33" t="str">
        <f t="shared" si="14"/>
        <v/>
      </c>
      <c r="AZ840" s="37"/>
      <c r="BA840" s="29"/>
      <c r="BB840" s="29" t="b">
        <v>0</v>
      </c>
      <c r="BC840" s="22" t="str">
        <f t="shared" si="15"/>
        <v/>
      </c>
      <c r="BD840" s="7">
        <f>IF(ISBLANK(AZ840), 0, VLOOKUP(AZ840, 'Price Sheet'!$A$2:$B1015, 2, false))</f>
        <v>0</v>
      </c>
      <c r="BE840" s="33" t="str">
        <f t="shared" si="16"/>
        <v/>
      </c>
      <c r="BF840" s="37"/>
      <c r="BG840" s="29"/>
      <c r="BH840" s="29" t="b">
        <v>0</v>
      </c>
      <c r="BI840" s="22" t="str">
        <f t="shared" si="17"/>
        <v/>
      </c>
      <c r="BJ840" s="7">
        <f>IF(ISBLANK(BF840), 0, VLOOKUP(BF840, 'Price Sheet'!$A$2:$B1015, 2, false))</f>
        <v>0</v>
      </c>
      <c r="BK840" s="33" t="str">
        <f t="shared" si="18"/>
        <v/>
      </c>
      <c r="BL840" s="37"/>
      <c r="BM840" s="29"/>
      <c r="BN840" s="29" t="b">
        <v>0</v>
      </c>
      <c r="BO840" s="22" t="str">
        <f t="shared" si="19"/>
        <v/>
      </c>
      <c r="BP840" s="7">
        <f>IF(ISBLANK(BL840), 0, VLOOKUP(BL840, 'Price Sheet'!$A$2:$B1015, 2, false))</f>
        <v>0</v>
      </c>
      <c r="BQ840" s="33" t="str">
        <f t="shared" si="20"/>
        <v/>
      </c>
    </row>
    <row r="841">
      <c r="B841" s="19"/>
      <c r="C841" s="29"/>
      <c r="D841" s="29"/>
      <c r="E841" s="7" t="str">
        <f>IF(ISBLANK(D841), "", VLOOKUP(D841,'Crafting Tables'!$A$2:$B1015, 2, false))</f>
        <v/>
      </c>
      <c r="F841" s="7" t="str">
        <f>IFERROR(IF(E841 = "None", 1, VLOOKUP(C841,General!$A$5:$L$35, SWITCH(E841, "Basic", 8, "Advanced", 10, "Modern", 12), false)),"")</f>
        <v/>
      </c>
      <c r="G841" s="29"/>
      <c r="H841" s="7">
        <f>IFERROR(VLOOKUP(C841, General!$A$5:$L$35, 6, false) * G841 / 1000, 0)</f>
        <v>0</v>
      </c>
      <c r="I841" s="29"/>
      <c r="J841" s="22" t="str">
        <f>IFERROR(I841*VLOOKUP(D841,'Crafting Tables'!$1:$1000, 4, false)*F841,"")</f>
        <v/>
      </c>
      <c r="K841" s="29" t="b">
        <v>0</v>
      </c>
      <c r="L841" s="37"/>
      <c r="M841" s="29"/>
      <c r="N841" s="21" t="str">
        <f t="shared" si="2"/>
        <v/>
      </c>
      <c r="P841" s="37"/>
      <c r="Q841" s="29"/>
      <c r="R841" s="29" t="b">
        <v>0</v>
      </c>
      <c r="S841" s="22" t="str">
        <f t="shared" si="3"/>
        <v/>
      </c>
      <c r="T841" s="7">
        <f>IF(ISBLANK(P841), 0, VLOOKUP(P841, 'Price Sheet'!$A$2:$B1015, 2, false))</f>
        <v>0</v>
      </c>
      <c r="U841" s="33" t="str">
        <f t="shared" si="4"/>
        <v/>
      </c>
      <c r="V841" s="37"/>
      <c r="W841" s="29"/>
      <c r="X841" s="29" t="b">
        <v>0</v>
      </c>
      <c r="Y841" s="22" t="str">
        <f t="shared" si="5"/>
        <v/>
      </c>
      <c r="Z841" s="7">
        <f>IF(ISBLANK(V841), 0, VLOOKUP(V841, 'Price Sheet'!$A$2:$B1015, 2, false))</f>
        <v>0</v>
      </c>
      <c r="AA841" s="33" t="str">
        <f t="shared" si="6"/>
        <v/>
      </c>
      <c r="AB841" s="37"/>
      <c r="AC841" s="29"/>
      <c r="AD841" s="29" t="b">
        <v>0</v>
      </c>
      <c r="AE841" s="22" t="str">
        <f t="shared" si="7"/>
        <v/>
      </c>
      <c r="AF841" s="7">
        <f>IF(ISBLANK(AB841), 0, VLOOKUP(AB841, 'Price Sheet'!$A$2:$B1015, 2, false))</f>
        <v>0</v>
      </c>
      <c r="AG841" s="33" t="str">
        <f t="shared" si="8"/>
        <v/>
      </c>
      <c r="AH841" s="37"/>
      <c r="AI841" s="29"/>
      <c r="AJ841" s="29" t="b">
        <v>0</v>
      </c>
      <c r="AK841" s="22" t="str">
        <f t="shared" si="9"/>
        <v/>
      </c>
      <c r="AL841" s="7">
        <f>IF(ISBLANK(AH841), 0, VLOOKUP(AH841, 'Price Sheet'!$A$2:$B1015, 2, false))</f>
        <v>0</v>
      </c>
      <c r="AM841" s="33" t="str">
        <f t="shared" si="10"/>
        <v/>
      </c>
      <c r="AN841" s="37"/>
      <c r="AO841" s="29"/>
      <c r="AP841" s="29" t="b">
        <v>0</v>
      </c>
      <c r="AQ841" s="22" t="str">
        <f t="shared" si="11"/>
        <v/>
      </c>
      <c r="AR841" s="7">
        <f>IF(ISBLANK(AN841), 0, VLOOKUP(AN841, 'Price Sheet'!$A$2:$B1015, 2, false))</f>
        <v>0</v>
      </c>
      <c r="AS841" s="33" t="str">
        <f t="shared" si="12"/>
        <v/>
      </c>
      <c r="AT841" s="37"/>
      <c r="AU841" s="29"/>
      <c r="AV841" s="29" t="b">
        <v>0</v>
      </c>
      <c r="AW841" s="22" t="str">
        <f t="shared" si="13"/>
        <v/>
      </c>
      <c r="AX841" s="7">
        <f>IF(ISBLANK(AT841), 0, VLOOKUP(AT841, 'Price Sheet'!$A$2:$B1015, 2, false))</f>
        <v>0</v>
      </c>
      <c r="AY841" s="33" t="str">
        <f t="shared" si="14"/>
        <v/>
      </c>
      <c r="AZ841" s="37"/>
      <c r="BA841" s="29"/>
      <c r="BB841" s="29" t="b">
        <v>0</v>
      </c>
      <c r="BC841" s="22" t="str">
        <f t="shared" si="15"/>
        <v/>
      </c>
      <c r="BD841" s="7">
        <f>IF(ISBLANK(AZ841), 0, VLOOKUP(AZ841, 'Price Sheet'!$A$2:$B1015, 2, false))</f>
        <v>0</v>
      </c>
      <c r="BE841" s="33" t="str">
        <f t="shared" si="16"/>
        <v/>
      </c>
      <c r="BF841" s="37"/>
      <c r="BG841" s="29"/>
      <c r="BH841" s="29" t="b">
        <v>0</v>
      </c>
      <c r="BI841" s="22" t="str">
        <f t="shared" si="17"/>
        <v/>
      </c>
      <c r="BJ841" s="7">
        <f>IF(ISBLANK(BF841), 0, VLOOKUP(BF841, 'Price Sheet'!$A$2:$B1015, 2, false))</f>
        <v>0</v>
      </c>
      <c r="BK841" s="33" t="str">
        <f t="shared" si="18"/>
        <v/>
      </c>
      <c r="BL841" s="37"/>
      <c r="BM841" s="29"/>
      <c r="BN841" s="29" t="b">
        <v>0</v>
      </c>
      <c r="BO841" s="22" t="str">
        <f t="shared" si="19"/>
        <v/>
      </c>
      <c r="BP841" s="7">
        <f>IF(ISBLANK(BL841), 0, VLOOKUP(BL841, 'Price Sheet'!$A$2:$B1015, 2, false))</f>
        <v>0</v>
      </c>
      <c r="BQ841" s="33" t="str">
        <f t="shared" si="20"/>
        <v/>
      </c>
    </row>
    <row r="842">
      <c r="B842" s="19"/>
      <c r="C842" s="29"/>
      <c r="D842" s="29"/>
      <c r="E842" s="7" t="str">
        <f>IF(ISBLANK(D842), "", VLOOKUP(D842,'Crafting Tables'!$A$2:$B1015, 2, false))</f>
        <v/>
      </c>
      <c r="F842" s="7" t="str">
        <f>IFERROR(IF(E842 = "None", 1, VLOOKUP(C842,General!$A$5:$L$35, SWITCH(E842, "Basic", 8, "Advanced", 10, "Modern", 12), false)),"")</f>
        <v/>
      </c>
      <c r="G842" s="29"/>
      <c r="H842" s="7">
        <f>IFERROR(VLOOKUP(C842, General!$A$5:$L$35, 6, false) * G842 / 1000, 0)</f>
        <v>0</v>
      </c>
      <c r="I842" s="29"/>
      <c r="J842" s="22" t="str">
        <f>IFERROR(I842*VLOOKUP(D842,'Crafting Tables'!$1:$1000, 4, false)*F842,"")</f>
        <v/>
      </c>
      <c r="K842" s="29" t="b">
        <v>0</v>
      </c>
      <c r="L842" s="37"/>
      <c r="M842" s="29"/>
      <c r="N842" s="21" t="str">
        <f t="shared" si="2"/>
        <v/>
      </c>
      <c r="P842" s="37"/>
      <c r="Q842" s="29"/>
      <c r="R842" s="29" t="b">
        <v>0</v>
      </c>
      <c r="S842" s="22" t="str">
        <f t="shared" si="3"/>
        <v/>
      </c>
      <c r="T842" s="7">
        <f>IF(ISBLANK(P842), 0, VLOOKUP(P842, 'Price Sheet'!$A$2:$B1015, 2, false))</f>
        <v>0</v>
      </c>
      <c r="U842" s="33" t="str">
        <f t="shared" si="4"/>
        <v/>
      </c>
      <c r="V842" s="37"/>
      <c r="W842" s="29"/>
      <c r="X842" s="29" t="b">
        <v>0</v>
      </c>
      <c r="Y842" s="22" t="str">
        <f t="shared" si="5"/>
        <v/>
      </c>
      <c r="Z842" s="7">
        <f>IF(ISBLANK(V842), 0, VLOOKUP(V842, 'Price Sheet'!$A$2:$B1015, 2, false))</f>
        <v>0</v>
      </c>
      <c r="AA842" s="33" t="str">
        <f t="shared" si="6"/>
        <v/>
      </c>
      <c r="AB842" s="37"/>
      <c r="AC842" s="29"/>
      <c r="AD842" s="29" t="b">
        <v>0</v>
      </c>
      <c r="AE842" s="22" t="str">
        <f t="shared" si="7"/>
        <v/>
      </c>
      <c r="AF842" s="7">
        <f>IF(ISBLANK(AB842), 0, VLOOKUP(AB842, 'Price Sheet'!$A$2:$B1015, 2, false))</f>
        <v>0</v>
      </c>
      <c r="AG842" s="33" t="str">
        <f t="shared" si="8"/>
        <v/>
      </c>
      <c r="AH842" s="37"/>
      <c r="AI842" s="29"/>
      <c r="AJ842" s="29" t="b">
        <v>0</v>
      </c>
      <c r="AK842" s="22" t="str">
        <f t="shared" si="9"/>
        <v/>
      </c>
      <c r="AL842" s="7">
        <f>IF(ISBLANK(AH842), 0, VLOOKUP(AH842, 'Price Sheet'!$A$2:$B1015, 2, false))</f>
        <v>0</v>
      </c>
      <c r="AM842" s="33" t="str">
        <f t="shared" si="10"/>
        <v/>
      </c>
      <c r="AN842" s="37"/>
      <c r="AO842" s="29"/>
      <c r="AP842" s="29" t="b">
        <v>0</v>
      </c>
      <c r="AQ842" s="22" t="str">
        <f t="shared" si="11"/>
        <v/>
      </c>
      <c r="AR842" s="7">
        <f>IF(ISBLANK(AN842), 0, VLOOKUP(AN842, 'Price Sheet'!$A$2:$B1015, 2, false))</f>
        <v>0</v>
      </c>
      <c r="AS842" s="33" t="str">
        <f t="shared" si="12"/>
        <v/>
      </c>
      <c r="AT842" s="37"/>
      <c r="AU842" s="29"/>
      <c r="AV842" s="29" t="b">
        <v>0</v>
      </c>
      <c r="AW842" s="22" t="str">
        <f t="shared" si="13"/>
        <v/>
      </c>
      <c r="AX842" s="7">
        <f>IF(ISBLANK(AT842), 0, VLOOKUP(AT842, 'Price Sheet'!$A$2:$B1015, 2, false))</f>
        <v>0</v>
      </c>
      <c r="AY842" s="33" t="str">
        <f t="shared" si="14"/>
        <v/>
      </c>
      <c r="AZ842" s="37"/>
      <c r="BA842" s="29"/>
      <c r="BB842" s="29" t="b">
        <v>0</v>
      </c>
      <c r="BC842" s="22" t="str">
        <f t="shared" si="15"/>
        <v/>
      </c>
      <c r="BD842" s="7">
        <f>IF(ISBLANK(AZ842), 0, VLOOKUP(AZ842, 'Price Sheet'!$A$2:$B1015, 2, false))</f>
        <v>0</v>
      </c>
      <c r="BE842" s="33" t="str">
        <f t="shared" si="16"/>
        <v/>
      </c>
      <c r="BF842" s="37"/>
      <c r="BG842" s="29"/>
      <c r="BH842" s="29" t="b">
        <v>0</v>
      </c>
      <c r="BI842" s="22" t="str">
        <f t="shared" si="17"/>
        <v/>
      </c>
      <c r="BJ842" s="7">
        <f>IF(ISBLANK(BF842), 0, VLOOKUP(BF842, 'Price Sheet'!$A$2:$B1015, 2, false))</f>
        <v>0</v>
      </c>
      <c r="BK842" s="33" t="str">
        <f t="shared" si="18"/>
        <v/>
      </c>
      <c r="BL842" s="37"/>
      <c r="BM842" s="29"/>
      <c r="BN842" s="29" t="b">
        <v>0</v>
      </c>
      <c r="BO842" s="22" t="str">
        <f t="shared" si="19"/>
        <v/>
      </c>
      <c r="BP842" s="7">
        <f>IF(ISBLANK(BL842), 0, VLOOKUP(BL842, 'Price Sheet'!$A$2:$B1015, 2, false))</f>
        <v>0</v>
      </c>
      <c r="BQ842" s="33" t="str">
        <f t="shared" si="20"/>
        <v/>
      </c>
    </row>
    <row r="843">
      <c r="B843" s="19"/>
      <c r="C843" s="29"/>
      <c r="D843" s="29"/>
      <c r="E843" s="7" t="str">
        <f>IF(ISBLANK(D843), "", VLOOKUP(D843,'Crafting Tables'!$A$2:$B1015, 2, false))</f>
        <v/>
      </c>
      <c r="F843" s="7" t="str">
        <f>IFERROR(IF(E843 = "None", 1, VLOOKUP(C843,General!$A$5:$L$35, SWITCH(E843, "Basic", 8, "Advanced", 10, "Modern", 12), false)),"")</f>
        <v/>
      </c>
      <c r="G843" s="29"/>
      <c r="H843" s="7">
        <f>IFERROR(VLOOKUP(C843, General!$A$5:$L$35, 6, false) * G843 / 1000, 0)</f>
        <v>0</v>
      </c>
      <c r="I843" s="29"/>
      <c r="J843" s="22" t="str">
        <f>IFERROR(I843*VLOOKUP(D843,'Crafting Tables'!$1:$1000, 4, false)*F843,"")</f>
        <v/>
      </c>
      <c r="K843" s="29" t="b">
        <v>0</v>
      </c>
      <c r="L843" s="37"/>
      <c r="M843" s="29"/>
      <c r="N843" s="21" t="str">
        <f t="shared" si="2"/>
        <v/>
      </c>
      <c r="P843" s="37"/>
      <c r="Q843" s="29"/>
      <c r="R843" s="29" t="b">
        <v>0</v>
      </c>
      <c r="S843" s="22" t="str">
        <f t="shared" si="3"/>
        <v/>
      </c>
      <c r="T843" s="7">
        <f>IF(ISBLANK(P843), 0, VLOOKUP(P843, 'Price Sheet'!$A$2:$B1015, 2, false))</f>
        <v>0</v>
      </c>
      <c r="U843" s="33" t="str">
        <f t="shared" si="4"/>
        <v/>
      </c>
      <c r="V843" s="37"/>
      <c r="W843" s="29"/>
      <c r="X843" s="29" t="b">
        <v>0</v>
      </c>
      <c r="Y843" s="22" t="str">
        <f t="shared" si="5"/>
        <v/>
      </c>
      <c r="Z843" s="7">
        <f>IF(ISBLANK(V843), 0, VLOOKUP(V843, 'Price Sheet'!$A$2:$B1015, 2, false))</f>
        <v>0</v>
      </c>
      <c r="AA843" s="33" t="str">
        <f t="shared" si="6"/>
        <v/>
      </c>
      <c r="AB843" s="37"/>
      <c r="AC843" s="29"/>
      <c r="AD843" s="29" t="b">
        <v>0</v>
      </c>
      <c r="AE843" s="22" t="str">
        <f t="shared" si="7"/>
        <v/>
      </c>
      <c r="AF843" s="7">
        <f>IF(ISBLANK(AB843), 0, VLOOKUP(AB843, 'Price Sheet'!$A$2:$B1015, 2, false))</f>
        <v>0</v>
      </c>
      <c r="AG843" s="33" t="str">
        <f t="shared" si="8"/>
        <v/>
      </c>
      <c r="AH843" s="37"/>
      <c r="AI843" s="29"/>
      <c r="AJ843" s="29" t="b">
        <v>0</v>
      </c>
      <c r="AK843" s="22" t="str">
        <f t="shared" si="9"/>
        <v/>
      </c>
      <c r="AL843" s="7">
        <f>IF(ISBLANK(AH843), 0, VLOOKUP(AH843, 'Price Sheet'!$A$2:$B1015, 2, false))</f>
        <v>0</v>
      </c>
      <c r="AM843" s="33" t="str">
        <f t="shared" si="10"/>
        <v/>
      </c>
      <c r="AN843" s="37"/>
      <c r="AO843" s="29"/>
      <c r="AP843" s="29" t="b">
        <v>0</v>
      </c>
      <c r="AQ843" s="22" t="str">
        <f t="shared" si="11"/>
        <v/>
      </c>
      <c r="AR843" s="7">
        <f>IF(ISBLANK(AN843), 0, VLOOKUP(AN843, 'Price Sheet'!$A$2:$B1015, 2, false))</f>
        <v>0</v>
      </c>
      <c r="AS843" s="33" t="str">
        <f t="shared" si="12"/>
        <v/>
      </c>
      <c r="AT843" s="37"/>
      <c r="AU843" s="29"/>
      <c r="AV843" s="29" t="b">
        <v>0</v>
      </c>
      <c r="AW843" s="22" t="str">
        <f t="shared" si="13"/>
        <v/>
      </c>
      <c r="AX843" s="7">
        <f>IF(ISBLANK(AT843), 0, VLOOKUP(AT843, 'Price Sheet'!$A$2:$B1015, 2, false))</f>
        <v>0</v>
      </c>
      <c r="AY843" s="33" t="str">
        <f t="shared" si="14"/>
        <v/>
      </c>
      <c r="AZ843" s="37"/>
      <c r="BA843" s="29"/>
      <c r="BB843" s="29" t="b">
        <v>0</v>
      </c>
      <c r="BC843" s="22" t="str">
        <f t="shared" si="15"/>
        <v/>
      </c>
      <c r="BD843" s="7">
        <f>IF(ISBLANK(AZ843), 0, VLOOKUP(AZ843, 'Price Sheet'!$A$2:$B1015, 2, false))</f>
        <v>0</v>
      </c>
      <c r="BE843" s="33" t="str">
        <f t="shared" si="16"/>
        <v/>
      </c>
      <c r="BF843" s="37"/>
      <c r="BG843" s="29"/>
      <c r="BH843" s="29" t="b">
        <v>0</v>
      </c>
      <c r="BI843" s="22" t="str">
        <f t="shared" si="17"/>
        <v/>
      </c>
      <c r="BJ843" s="7">
        <f>IF(ISBLANK(BF843), 0, VLOOKUP(BF843, 'Price Sheet'!$A$2:$B1015, 2, false))</f>
        <v>0</v>
      </c>
      <c r="BK843" s="33" t="str">
        <f t="shared" si="18"/>
        <v/>
      </c>
      <c r="BL843" s="37"/>
      <c r="BM843" s="29"/>
      <c r="BN843" s="29" t="b">
        <v>0</v>
      </c>
      <c r="BO843" s="22" t="str">
        <f t="shared" si="19"/>
        <v/>
      </c>
      <c r="BP843" s="7">
        <f>IF(ISBLANK(BL843), 0, VLOOKUP(BL843, 'Price Sheet'!$A$2:$B1015, 2, false))</f>
        <v>0</v>
      </c>
      <c r="BQ843" s="33" t="str">
        <f t="shared" si="20"/>
        <v/>
      </c>
    </row>
    <row r="844">
      <c r="B844" s="19"/>
      <c r="C844" s="29"/>
      <c r="D844" s="29"/>
      <c r="E844" s="7" t="str">
        <f>IF(ISBLANK(D844), "", VLOOKUP(D844,'Crafting Tables'!$A$2:$B1015, 2, false))</f>
        <v/>
      </c>
      <c r="F844" s="7" t="str">
        <f>IFERROR(IF(E844 = "None", 1, VLOOKUP(C844,General!$A$5:$L$35, SWITCH(E844, "Basic", 8, "Advanced", 10, "Modern", 12), false)),"")</f>
        <v/>
      </c>
      <c r="G844" s="29"/>
      <c r="H844" s="7">
        <f>IFERROR(VLOOKUP(C844, General!$A$5:$L$35, 6, false) * G844 / 1000, 0)</f>
        <v>0</v>
      </c>
      <c r="I844" s="29"/>
      <c r="J844" s="22" t="str">
        <f>IFERROR(I844*VLOOKUP(D844,'Crafting Tables'!$1:$1000, 4, false)*F844,"")</f>
        <v/>
      </c>
      <c r="K844" s="29" t="b">
        <v>0</v>
      </c>
      <c r="L844" s="37"/>
      <c r="M844" s="29"/>
      <c r="N844" s="21" t="str">
        <f t="shared" si="2"/>
        <v/>
      </c>
      <c r="P844" s="37"/>
      <c r="Q844" s="29"/>
      <c r="R844" s="29" t="b">
        <v>0</v>
      </c>
      <c r="S844" s="22" t="str">
        <f t="shared" si="3"/>
        <v/>
      </c>
      <c r="T844" s="7">
        <f>IF(ISBLANK(P844), 0, VLOOKUP(P844, 'Price Sheet'!$A$2:$B1015, 2, false))</f>
        <v>0</v>
      </c>
      <c r="U844" s="33" t="str">
        <f t="shared" si="4"/>
        <v/>
      </c>
      <c r="V844" s="37"/>
      <c r="W844" s="29"/>
      <c r="X844" s="29" t="b">
        <v>0</v>
      </c>
      <c r="Y844" s="22" t="str">
        <f t="shared" si="5"/>
        <v/>
      </c>
      <c r="Z844" s="7">
        <f>IF(ISBLANK(V844), 0, VLOOKUP(V844, 'Price Sheet'!$A$2:$B1015, 2, false))</f>
        <v>0</v>
      </c>
      <c r="AA844" s="33" t="str">
        <f t="shared" si="6"/>
        <v/>
      </c>
      <c r="AB844" s="37"/>
      <c r="AC844" s="29"/>
      <c r="AD844" s="29" t="b">
        <v>0</v>
      </c>
      <c r="AE844" s="22" t="str">
        <f t="shared" si="7"/>
        <v/>
      </c>
      <c r="AF844" s="7">
        <f>IF(ISBLANK(AB844), 0, VLOOKUP(AB844, 'Price Sheet'!$A$2:$B1015, 2, false))</f>
        <v>0</v>
      </c>
      <c r="AG844" s="33" t="str">
        <f t="shared" si="8"/>
        <v/>
      </c>
      <c r="AH844" s="37"/>
      <c r="AI844" s="29"/>
      <c r="AJ844" s="29" t="b">
        <v>0</v>
      </c>
      <c r="AK844" s="22" t="str">
        <f t="shared" si="9"/>
        <v/>
      </c>
      <c r="AL844" s="7">
        <f>IF(ISBLANK(AH844), 0, VLOOKUP(AH844, 'Price Sheet'!$A$2:$B1015, 2, false))</f>
        <v>0</v>
      </c>
      <c r="AM844" s="33" t="str">
        <f t="shared" si="10"/>
        <v/>
      </c>
      <c r="AN844" s="37"/>
      <c r="AO844" s="29"/>
      <c r="AP844" s="29" t="b">
        <v>0</v>
      </c>
      <c r="AQ844" s="22" t="str">
        <f t="shared" si="11"/>
        <v/>
      </c>
      <c r="AR844" s="7">
        <f>IF(ISBLANK(AN844), 0, VLOOKUP(AN844, 'Price Sheet'!$A$2:$B1015, 2, false))</f>
        <v>0</v>
      </c>
      <c r="AS844" s="33" t="str">
        <f t="shared" si="12"/>
        <v/>
      </c>
      <c r="AT844" s="37"/>
      <c r="AU844" s="29"/>
      <c r="AV844" s="29" t="b">
        <v>0</v>
      </c>
      <c r="AW844" s="22" t="str">
        <f t="shared" si="13"/>
        <v/>
      </c>
      <c r="AX844" s="7">
        <f>IF(ISBLANK(AT844), 0, VLOOKUP(AT844, 'Price Sheet'!$A$2:$B1015, 2, false))</f>
        <v>0</v>
      </c>
      <c r="AY844" s="33" t="str">
        <f t="shared" si="14"/>
        <v/>
      </c>
      <c r="AZ844" s="37"/>
      <c r="BA844" s="29"/>
      <c r="BB844" s="29" t="b">
        <v>0</v>
      </c>
      <c r="BC844" s="22" t="str">
        <f t="shared" si="15"/>
        <v/>
      </c>
      <c r="BD844" s="7">
        <f>IF(ISBLANK(AZ844), 0, VLOOKUP(AZ844, 'Price Sheet'!$A$2:$B1015, 2, false))</f>
        <v>0</v>
      </c>
      <c r="BE844" s="33" t="str">
        <f t="shared" si="16"/>
        <v/>
      </c>
      <c r="BF844" s="37"/>
      <c r="BG844" s="29"/>
      <c r="BH844" s="29" t="b">
        <v>0</v>
      </c>
      <c r="BI844" s="22" t="str">
        <f t="shared" si="17"/>
        <v/>
      </c>
      <c r="BJ844" s="7">
        <f>IF(ISBLANK(BF844), 0, VLOOKUP(BF844, 'Price Sheet'!$A$2:$B1015, 2, false))</f>
        <v>0</v>
      </c>
      <c r="BK844" s="33" t="str">
        <f t="shared" si="18"/>
        <v/>
      </c>
      <c r="BL844" s="37"/>
      <c r="BM844" s="29"/>
      <c r="BN844" s="29" t="b">
        <v>0</v>
      </c>
      <c r="BO844" s="22" t="str">
        <f t="shared" si="19"/>
        <v/>
      </c>
      <c r="BP844" s="7">
        <f>IF(ISBLANK(BL844), 0, VLOOKUP(BL844, 'Price Sheet'!$A$2:$B1015, 2, false))</f>
        <v>0</v>
      </c>
      <c r="BQ844" s="33" t="str">
        <f t="shared" si="20"/>
        <v/>
      </c>
    </row>
    <row r="845">
      <c r="B845" s="19"/>
      <c r="C845" s="29"/>
      <c r="D845" s="29"/>
      <c r="E845" s="7" t="str">
        <f>IF(ISBLANK(D845), "", VLOOKUP(D845,'Crafting Tables'!$A$2:$B1015, 2, false))</f>
        <v/>
      </c>
      <c r="F845" s="7" t="str">
        <f>IFERROR(IF(E845 = "None", 1, VLOOKUP(C845,General!$A$5:$L$35, SWITCH(E845, "Basic", 8, "Advanced", 10, "Modern", 12), false)),"")</f>
        <v/>
      </c>
      <c r="G845" s="29"/>
      <c r="H845" s="7">
        <f>IFERROR(VLOOKUP(C845, General!$A$5:$L$35, 6, false) * G845 / 1000, 0)</f>
        <v>0</v>
      </c>
      <c r="I845" s="29"/>
      <c r="J845" s="22" t="str">
        <f>IFERROR(I845*VLOOKUP(D845,'Crafting Tables'!$1:$1000, 4, false)*F845,"")</f>
        <v/>
      </c>
      <c r="K845" s="29" t="b">
        <v>0</v>
      </c>
      <c r="L845" s="37"/>
      <c r="M845" s="29"/>
      <c r="N845" s="21" t="str">
        <f t="shared" si="2"/>
        <v/>
      </c>
      <c r="P845" s="37"/>
      <c r="Q845" s="29"/>
      <c r="R845" s="29" t="b">
        <v>0</v>
      </c>
      <c r="S845" s="22" t="str">
        <f t="shared" si="3"/>
        <v/>
      </c>
      <c r="T845" s="7">
        <f>IF(ISBLANK(P845), 0, VLOOKUP(P845, 'Price Sheet'!$A$2:$B1015, 2, false))</f>
        <v>0</v>
      </c>
      <c r="U845" s="33" t="str">
        <f t="shared" si="4"/>
        <v/>
      </c>
      <c r="V845" s="37"/>
      <c r="W845" s="29"/>
      <c r="X845" s="29" t="b">
        <v>0</v>
      </c>
      <c r="Y845" s="22" t="str">
        <f t="shared" si="5"/>
        <v/>
      </c>
      <c r="Z845" s="7">
        <f>IF(ISBLANK(V845), 0, VLOOKUP(V845, 'Price Sheet'!$A$2:$B1015, 2, false))</f>
        <v>0</v>
      </c>
      <c r="AA845" s="33" t="str">
        <f t="shared" si="6"/>
        <v/>
      </c>
      <c r="AB845" s="37"/>
      <c r="AC845" s="29"/>
      <c r="AD845" s="29" t="b">
        <v>0</v>
      </c>
      <c r="AE845" s="22" t="str">
        <f t="shared" si="7"/>
        <v/>
      </c>
      <c r="AF845" s="7">
        <f>IF(ISBLANK(AB845), 0, VLOOKUP(AB845, 'Price Sheet'!$A$2:$B1015, 2, false))</f>
        <v>0</v>
      </c>
      <c r="AG845" s="33" t="str">
        <f t="shared" si="8"/>
        <v/>
      </c>
      <c r="AH845" s="37"/>
      <c r="AI845" s="29"/>
      <c r="AJ845" s="29" t="b">
        <v>0</v>
      </c>
      <c r="AK845" s="22" t="str">
        <f t="shared" si="9"/>
        <v/>
      </c>
      <c r="AL845" s="7">
        <f>IF(ISBLANK(AH845), 0, VLOOKUP(AH845, 'Price Sheet'!$A$2:$B1015, 2, false))</f>
        <v>0</v>
      </c>
      <c r="AM845" s="33" t="str">
        <f t="shared" si="10"/>
        <v/>
      </c>
      <c r="AN845" s="37"/>
      <c r="AO845" s="29"/>
      <c r="AP845" s="29" t="b">
        <v>0</v>
      </c>
      <c r="AQ845" s="22" t="str">
        <f t="shared" si="11"/>
        <v/>
      </c>
      <c r="AR845" s="7">
        <f>IF(ISBLANK(AN845), 0, VLOOKUP(AN845, 'Price Sheet'!$A$2:$B1015, 2, false))</f>
        <v>0</v>
      </c>
      <c r="AS845" s="33" t="str">
        <f t="shared" si="12"/>
        <v/>
      </c>
      <c r="AT845" s="37"/>
      <c r="AU845" s="29"/>
      <c r="AV845" s="29" t="b">
        <v>0</v>
      </c>
      <c r="AW845" s="22" t="str">
        <f t="shared" si="13"/>
        <v/>
      </c>
      <c r="AX845" s="7">
        <f>IF(ISBLANK(AT845), 0, VLOOKUP(AT845, 'Price Sheet'!$A$2:$B1015, 2, false))</f>
        <v>0</v>
      </c>
      <c r="AY845" s="33" t="str">
        <f t="shared" si="14"/>
        <v/>
      </c>
      <c r="AZ845" s="37"/>
      <c r="BA845" s="29"/>
      <c r="BB845" s="29" t="b">
        <v>0</v>
      </c>
      <c r="BC845" s="22" t="str">
        <f t="shared" si="15"/>
        <v/>
      </c>
      <c r="BD845" s="7">
        <f>IF(ISBLANK(AZ845), 0, VLOOKUP(AZ845, 'Price Sheet'!$A$2:$B1015, 2, false))</f>
        <v>0</v>
      </c>
      <c r="BE845" s="33" t="str">
        <f t="shared" si="16"/>
        <v/>
      </c>
      <c r="BF845" s="37"/>
      <c r="BG845" s="29"/>
      <c r="BH845" s="29" t="b">
        <v>0</v>
      </c>
      <c r="BI845" s="22" t="str">
        <f t="shared" si="17"/>
        <v/>
      </c>
      <c r="BJ845" s="7">
        <f>IF(ISBLANK(BF845), 0, VLOOKUP(BF845, 'Price Sheet'!$A$2:$B1015, 2, false))</f>
        <v>0</v>
      </c>
      <c r="BK845" s="33" t="str">
        <f t="shared" si="18"/>
        <v/>
      </c>
      <c r="BL845" s="37"/>
      <c r="BM845" s="29"/>
      <c r="BN845" s="29" t="b">
        <v>0</v>
      </c>
      <c r="BO845" s="22" t="str">
        <f t="shared" si="19"/>
        <v/>
      </c>
      <c r="BP845" s="7">
        <f>IF(ISBLANK(BL845), 0, VLOOKUP(BL845, 'Price Sheet'!$A$2:$B1015, 2, false))</f>
        <v>0</v>
      </c>
      <c r="BQ845" s="33" t="str">
        <f t="shared" si="20"/>
        <v/>
      </c>
    </row>
    <row r="846">
      <c r="B846" s="19"/>
      <c r="C846" s="29"/>
      <c r="D846" s="29"/>
      <c r="E846" s="7" t="str">
        <f>IF(ISBLANK(D846), "", VLOOKUP(D846,'Crafting Tables'!$A$2:$B1015, 2, false))</f>
        <v/>
      </c>
      <c r="F846" s="7" t="str">
        <f>IFERROR(IF(E846 = "None", 1, VLOOKUP(C846,General!$A$5:$L$35, SWITCH(E846, "Basic", 8, "Advanced", 10, "Modern", 12), false)),"")</f>
        <v/>
      </c>
      <c r="G846" s="29"/>
      <c r="H846" s="7">
        <f>IFERROR(VLOOKUP(C846, General!$A$5:$L$35, 6, false) * G846 / 1000, 0)</f>
        <v>0</v>
      </c>
      <c r="I846" s="29"/>
      <c r="J846" s="22" t="str">
        <f>IFERROR(I846*VLOOKUP(D846,'Crafting Tables'!$1:$1000, 4, false)*F846,"")</f>
        <v/>
      </c>
      <c r="K846" s="29" t="b">
        <v>0</v>
      </c>
      <c r="L846" s="37"/>
      <c r="M846" s="29"/>
      <c r="N846" s="21" t="str">
        <f t="shared" si="2"/>
        <v/>
      </c>
      <c r="P846" s="37"/>
      <c r="Q846" s="29"/>
      <c r="R846" s="29" t="b">
        <v>0</v>
      </c>
      <c r="S846" s="22" t="str">
        <f t="shared" si="3"/>
        <v/>
      </c>
      <c r="T846" s="7">
        <f>IF(ISBLANK(P846), 0, VLOOKUP(P846, 'Price Sheet'!$A$2:$B1015, 2, false))</f>
        <v>0</v>
      </c>
      <c r="U846" s="33" t="str">
        <f t="shared" si="4"/>
        <v/>
      </c>
      <c r="V846" s="37"/>
      <c r="W846" s="29"/>
      <c r="X846" s="29" t="b">
        <v>0</v>
      </c>
      <c r="Y846" s="22" t="str">
        <f t="shared" si="5"/>
        <v/>
      </c>
      <c r="Z846" s="7">
        <f>IF(ISBLANK(V846), 0, VLOOKUP(V846, 'Price Sheet'!$A$2:$B1015, 2, false))</f>
        <v>0</v>
      </c>
      <c r="AA846" s="33" t="str">
        <f t="shared" si="6"/>
        <v/>
      </c>
      <c r="AB846" s="37"/>
      <c r="AC846" s="29"/>
      <c r="AD846" s="29" t="b">
        <v>0</v>
      </c>
      <c r="AE846" s="22" t="str">
        <f t="shared" si="7"/>
        <v/>
      </c>
      <c r="AF846" s="7">
        <f>IF(ISBLANK(AB846), 0, VLOOKUP(AB846, 'Price Sheet'!$A$2:$B1015, 2, false))</f>
        <v>0</v>
      </c>
      <c r="AG846" s="33" t="str">
        <f t="shared" si="8"/>
        <v/>
      </c>
      <c r="AH846" s="37"/>
      <c r="AI846" s="29"/>
      <c r="AJ846" s="29" t="b">
        <v>0</v>
      </c>
      <c r="AK846" s="22" t="str">
        <f t="shared" si="9"/>
        <v/>
      </c>
      <c r="AL846" s="7">
        <f>IF(ISBLANK(AH846), 0, VLOOKUP(AH846, 'Price Sheet'!$A$2:$B1015, 2, false))</f>
        <v>0</v>
      </c>
      <c r="AM846" s="33" t="str">
        <f t="shared" si="10"/>
        <v/>
      </c>
      <c r="AN846" s="37"/>
      <c r="AO846" s="29"/>
      <c r="AP846" s="29" t="b">
        <v>0</v>
      </c>
      <c r="AQ846" s="22" t="str">
        <f t="shared" si="11"/>
        <v/>
      </c>
      <c r="AR846" s="7">
        <f>IF(ISBLANK(AN846), 0, VLOOKUP(AN846, 'Price Sheet'!$A$2:$B1015, 2, false))</f>
        <v>0</v>
      </c>
      <c r="AS846" s="33" t="str">
        <f t="shared" si="12"/>
        <v/>
      </c>
      <c r="AT846" s="37"/>
      <c r="AU846" s="29"/>
      <c r="AV846" s="29" t="b">
        <v>0</v>
      </c>
      <c r="AW846" s="22" t="str">
        <f t="shared" si="13"/>
        <v/>
      </c>
      <c r="AX846" s="7">
        <f>IF(ISBLANK(AT846), 0, VLOOKUP(AT846, 'Price Sheet'!$A$2:$B1015, 2, false))</f>
        <v>0</v>
      </c>
      <c r="AY846" s="33" t="str">
        <f t="shared" si="14"/>
        <v/>
      </c>
      <c r="AZ846" s="37"/>
      <c r="BA846" s="29"/>
      <c r="BB846" s="29" t="b">
        <v>0</v>
      </c>
      <c r="BC846" s="22" t="str">
        <f t="shared" si="15"/>
        <v/>
      </c>
      <c r="BD846" s="7">
        <f>IF(ISBLANK(AZ846), 0, VLOOKUP(AZ846, 'Price Sheet'!$A$2:$B1015, 2, false))</f>
        <v>0</v>
      </c>
      <c r="BE846" s="33" t="str">
        <f t="shared" si="16"/>
        <v/>
      </c>
      <c r="BF846" s="37"/>
      <c r="BG846" s="29"/>
      <c r="BH846" s="29" t="b">
        <v>0</v>
      </c>
      <c r="BI846" s="22" t="str">
        <f t="shared" si="17"/>
        <v/>
      </c>
      <c r="BJ846" s="7">
        <f>IF(ISBLANK(BF846), 0, VLOOKUP(BF846, 'Price Sheet'!$A$2:$B1015, 2, false))</f>
        <v>0</v>
      </c>
      <c r="BK846" s="33" t="str">
        <f t="shared" si="18"/>
        <v/>
      </c>
      <c r="BL846" s="37"/>
      <c r="BM846" s="29"/>
      <c r="BN846" s="29" t="b">
        <v>0</v>
      </c>
      <c r="BO846" s="22" t="str">
        <f t="shared" si="19"/>
        <v/>
      </c>
      <c r="BP846" s="7">
        <f>IF(ISBLANK(BL846), 0, VLOOKUP(BL846, 'Price Sheet'!$A$2:$B1015, 2, false))</f>
        <v>0</v>
      </c>
      <c r="BQ846" s="33" t="str">
        <f t="shared" si="20"/>
        <v/>
      </c>
    </row>
    <row r="847">
      <c r="B847" s="19"/>
      <c r="C847" s="29"/>
      <c r="D847" s="29"/>
      <c r="E847" s="7" t="str">
        <f>IF(ISBLANK(D847), "", VLOOKUP(D847,'Crafting Tables'!$A$2:$B1015, 2, false))</f>
        <v/>
      </c>
      <c r="F847" s="7" t="str">
        <f>IFERROR(IF(E847 = "None", 1, VLOOKUP(C847,General!$A$5:$L$35, SWITCH(E847, "Basic", 8, "Advanced", 10, "Modern", 12), false)),"")</f>
        <v/>
      </c>
      <c r="G847" s="29"/>
      <c r="H847" s="7">
        <f>IFERROR(VLOOKUP(C847, General!$A$5:$L$35, 6, false) * G847 / 1000, 0)</f>
        <v>0</v>
      </c>
      <c r="I847" s="29"/>
      <c r="J847" s="22" t="str">
        <f>IFERROR(I847*VLOOKUP(D847,'Crafting Tables'!$1:$1000, 4, false)*F847,"")</f>
        <v/>
      </c>
      <c r="K847" s="29" t="b">
        <v>0</v>
      </c>
      <c r="L847" s="37"/>
      <c r="M847" s="29"/>
      <c r="N847" s="21" t="str">
        <f t="shared" si="2"/>
        <v/>
      </c>
      <c r="P847" s="37"/>
      <c r="Q847" s="29"/>
      <c r="R847" s="29" t="b">
        <v>0</v>
      </c>
      <c r="S847" s="22" t="str">
        <f t="shared" si="3"/>
        <v/>
      </c>
      <c r="T847" s="7">
        <f>IF(ISBLANK(P847), 0, VLOOKUP(P847, 'Price Sheet'!$A$2:$B1015, 2, false))</f>
        <v>0</v>
      </c>
      <c r="U847" s="33" t="str">
        <f t="shared" si="4"/>
        <v/>
      </c>
      <c r="V847" s="37"/>
      <c r="W847" s="29"/>
      <c r="X847" s="29" t="b">
        <v>0</v>
      </c>
      <c r="Y847" s="22" t="str">
        <f t="shared" si="5"/>
        <v/>
      </c>
      <c r="Z847" s="7">
        <f>IF(ISBLANK(V847), 0, VLOOKUP(V847, 'Price Sheet'!$A$2:$B1015, 2, false))</f>
        <v>0</v>
      </c>
      <c r="AA847" s="33" t="str">
        <f t="shared" si="6"/>
        <v/>
      </c>
      <c r="AB847" s="37"/>
      <c r="AC847" s="29"/>
      <c r="AD847" s="29" t="b">
        <v>0</v>
      </c>
      <c r="AE847" s="22" t="str">
        <f t="shared" si="7"/>
        <v/>
      </c>
      <c r="AF847" s="7">
        <f>IF(ISBLANK(AB847), 0, VLOOKUP(AB847, 'Price Sheet'!$A$2:$B1015, 2, false))</f>
        <v>0</v>
      </c>
      <c r="AG847" s="33" t="str">
        <f t="shared" si="8"/>
        <v/>
      </c>
      <c r="AH847" s="37"/>
      <c r="AI847" s="29"/>
      <c r="AJ847" s="29" t="b">
        <v>0</v>
      </c>
      <c r="AK847" s="22" t="str">
        <f t="shared" si="9"/>
        <v/>
      </c>
      <c r="AL847" s="7">
        <f>IF(ISBLANK(AH847), 0, VLOOKUP(AH847, 'Price Sheet'!$A$2:$B1015, 2, false))</f>
        <v>0</v>
      </c>
      <c r="AM847" s="33" t="str">
        <f t="shared" si="10"/>
        <v/>
      </c>
      <c r="AN847" s="37"/>
      <c r="AO847" s="29"/>
      <c r="AP847" s="29" t="b">
        <v>0</v>
      </c>
      <c r="AQ847" s="22" t="str">
        <f t="shared" si="11"/>
        <v/>
      </c>
      <c r="AR847" s="7">
        <f>IF(ISBLANK(AN847), 0, VLOOKUP(AN847, 'Price Sheet'!$A$2:$B1015, 2, false))</f>
        <v>0</v>
      </c>
      <c r="AS847" s="33" t="str">
        <f t="shared" si="12"/>
        <v/>
      </c>
      <c r="AT847" s="37"/>
      <c r="AU847" s="29"/>
      <c r="AV847" s="29" t="b">
        <v>0</v>
      </c>
      <c r="AW847" s="22" t="str">
        <f t="shared" si="13"/>
        <v/>
      </c>
      <c r="AX847" s="7">
        <f>IF(ISBLANK(AT847), 0, VLOOKUP(AT847, 'Price Sheet'!$A$2:$B1015, 2, false))</f>
        <v>0</v>
      </c>
      <c r="AY847" s="33" t="str">
        <f t="shared" si="14"/>
        <v/>
      </c>
      <c r="AZ847" s="37"/>
      <c r="BA847" s="29"/>
      <c r="BB847" s="29" t="b">
        <v>0</v>
      </c>
      <c r="BC847" s="22" t="str">
        <f t="shared" si="15"/>
        <v/>
      </c>
      <c r="BD847" s="7">
        <f>IF(ISBLANK(AZ847), 0, VLOOKUP(AZ847, 'Price Sheet'!$A$2:$B1015, 2, false))</f>
        <v>0</v>
      </c>
      <c r="BE847" s="33" t="str">
        <f t="shared" si="16"/>
        <v/>
      </c>
      <c r="BF847" s="37"/>
      <c r="BG847" s="29"/>
      <c r="BH847" s="29" t="b">
        <v>0</v>
      </c>
      <c r="BI847" s="22" t="str">
        <f t="shared" si="17"/>
        <v/>
      </c>
      <c r="BJ847" s="7">
        <f>IF(ISBLANK(BF847), 0, VLOOKUP(BF847, 'Price Sheet'!$A$2:$B1015, 2, false))</f>
        <v>0</v>
      </c>
      <c r="BK847" s="33" t="str">
        <f t="shared" si="18"/>
        <v/>
      </c>
      <c r="BL847" s="37"/>
      <c r="BM847" s="29"/>
      <c r="BN847" s="29" t="b">
        <v>0</v>
      </c>
      <c r="BO847" s="22" t="str">
        <f t="shared" si="19"/>
        <v/>
      </c>
      <c r="BP847" s="7">
        <f>IF(ISBLANK(BL847), 0, VLOOKUP(BL847, 'Price Sheet'!$A$2:$B1015, 2, false))</f>
        <v>0</v>
      </c>
      <c r="BQ847" s="33" t="str">
        <f t="shared" si="20"/>
        <v/>
      </c>
    </row>
    <row r="848">
      <c r="B848" s="19"/>
      <c r="C848" s="29"/>
      <c r="D848" s="29"/>
      <c r="E848" s="7" t="str">
        <f>IF(ISBLANK(D848), "", VLOOKUP(D848,'Crafting Tables'!$A$2:$B1015, 2, false))</f>
        <v/>
      </c>
      <c r="F848" s="7" t="str">
        <f>IFERROR(IF(E848 = "None", 1, VLOOKUP(C848,General!$A$5:$L$35, SWITCH(E848, "Basic", 8, "Advanced", 10, "Modern", 12), false)),"")</f>
        <v/>
      </c>
      <c r="G848" s="29"/>
      <c r="H848" s="7">
        <f>IFERROR(VLOOKUP(C848, General!$A$5:$L$35, 6, false) * G848 / 1000, 0)</f>
        <v>0</v>
      </c>
      <c r="I848" s="29"/>
      <c r="J848" s="22" t="str">
        <f>IFERROR(I848*VLOOKUP(D848,'Crafting Tables'!$1:$1000, 4, false)*F848,"")</f>
        <v/>
      </c>
      <c r="K848" s="29" t="b">
        <v>0</v>
      </c>
      <c r="L848" s="37"/>
      <c r="M848" s="29"/>
      <c r="N848" s="21" t="str">
        <f t="shared" si="2"/>
        <v/>
      </c>
      <c r="P848" s="37"/>
      <c r="Q848" s="29"/>
      <c r="R848" s="29" t="b">
        <v>0</v>
      </c>
      <c r="S848" s="22" t="str">
        <f t="shared" si="3"/>
        <v/>
      </c>
      <c r="T848" s="7">
        <f>IF(ISBLANK(P848), 0, VLOOKUP(P848, 'Price Sheet'!$A$2:$B1015, 2, false))</f>
        <v>0</v>
      </c>
      <c r="U848" s="33" t="str">
        <f t="shared" si="4"/>
        <v/>
      </c>
      <c r="V848" s="37"/>
      <c r="W848" s="29"/>
      <c r="X848" s="29" t="b">
        <v>0</v>
      </c>
      <c r="Y848" s="22" t="str">
        <f t="shared" si="5"/>
        <v/>
      </c>
      <c r="Z848" s="7">
        <f>IF(ISBLANK(V848), 0, VLOOKUP(V848, 'Price Sheet'!$A$2:$B1015, 2, false))</f>
        <v>0</v>
      </c>
      <c r="AA848" s="33" t="str">
        <f t="shared" si="6"/>
        <v/>
      </c>
      <c r="AB848" s="37"/>
      <c r="AC848" s="29"/>
      <c r="AD848" s="29" t="b">
        <v>0</v>
      </c>
      <c r="AE848" s="22" t="str">
        <f t="shared" si="7"/>
        <v/>
      </c>
      <c r="AF848" s="7">
        <f>IF(ISBLANK(AB848), 0, VLOOKUP(AB848, 'Price Sheet'!$A$2:$B1015, 2, false))</f>
        <v>0</v>
      </c>
      <c r="AG848" s="33" t="str">
        <f t="shared" si="8"/>
        <v/>
      </c>
      <c r="AH848" s="37"/>
      <c r="AI848" s="29"/>
      <c r="AJ848" s="29" t="b">
        <v>0</v>
      </c>
      <c r="AK848" s="22" t="str">
        <f t="shared" si="9"/>
        <v/>
      </c>
      <c r="AL848" s="7">
        <f>IF(ISBLANK(AH848), 0, VLOOKUP(AH848, 'Price Sheet'!$A$2:$B1015, 2, false))</f>
        <v>0</v>
      </c>
      <c r="AM848" s="33" t="str">
        <f t="shared" si="10"/>
        <v/>
      </c>
      <c r="AN848" s="37"/>
      <c r="AO848" s="29"/>
      <c r="AP848" s="29" t="b">
        <v>0</v>
      </c>
      <c r="AQ848" s="22" t="str">
        <f t="shared" si="11"/>
        <v/>
      </c>
      <c r="AR848" s="7">
        <f>IF(ISBLANK(AN848), 0, VLOOKUP(AN848, 'Price Sheet'!$A$2:$B1015, 2, false))</f>
        <v>0</v>
      </c>
      <c r="AS848" s="33" t="str">
        <f t="shared" si="12"/>
        <v/>
      </c>
      <c r="AT848" s="37"/>
      <c r="AU848" s="29"/>
      <c r="AV848" s="29" t="b">
        <v>0</v>
      </c>
      <c r="AW848" s="22" t="str">
        <f t="shared" si="13"/>
        <v/>
      </c>
      <c r="AX848" s="7">
        <f>IF(ISBLANK(AT848), 0, VLOOKUP(AT848, 'Price Sheet'!$A$2:$B1015, 2, false))</f>
        <v>0</v>
      </c>
      <c r="AY848" s="33" t="str">
        <f t="shared" si="14"/>
        <v/>
      </c>
      <c r="AZ848" s="37"/>
      <c r="BA848" s="29"/>
      <c r="BB848" s="29" t="b">
        <v>0</v>
      </c>
      <c r="BC848" s="22" t="str">
        <f t="shared" si="15"/>
        <v/>
      </c>
      <c r="BD848" s="7">
        <f>IF(ISBLANK(AZ848), 0, VLOOKUP(AZ848, 'Price Sheet'!$A$2:$B1015, 2, false))</f>
        <v>0</v>
      </c>
      <c r="BE848" s="33" t="str">
        <f t="shared" si="16"/>
        <v/>
      </c>
      <c r="BF848" s="37"/>
      <c r="BG848" s="29"/>
      <c r="BH848" s="29" t="b">
        <v>0</v>
      </c>
      <c r="BI848" s="22" t="str">
        <f t="shared" si="17"/>
        <v/>
      </c>
      <c r="BJ848" s="7">
        <f>IF(ISBLANK(BF848), 0, VLOOKUP(BF848, 'Price Sheet'!$A$2:$B1015, 2, false))</f>
        <v>0</v>
      </c>
      <c r="BK848" s="33" t="str">
        <f t="shared" si="18"/>
        <v/>
      </c>
      <c r="BL848" s="37"/>
      <c r="BM848" s="29"/>
      <c r="BN848" s="29" t="b">
        <v>0</v>
      </c>
      <c r="BO848" s="22" t="str">
        <f t="shared" si="19"/>
        <v/>
      </c>
      <c r="BP848" s="7">
        <f>IF(ISBLANK(BL848), 0, VLOOKUP(BL848, 'Price Sheet'!$A$2:$B1015, 2, false))</f>
        <v>0</v>
      </c>
      <c r="BQ848" s="33" t="str">
        <f t="shared" si="20"/>
        <v/>
      </c>
    </row>
    <row r="849">
      <c r="B849" s="19"/>
      <c r="C849" s="29"/>
      <c r="D849" s="29"/>
      <c r="E849" s="7" t="str">
        <f>IF(ISBLANK(D849), "", VLOOKUP(D849,'Crafting Tables'!$A$2:$B1015, 2, false))</f>
        <v/>
      </c>
      <c r="F849" s="7" t="str">
        <f>IFERROR(IF(E849 = "None", 1, VLOOKUP(C849,General!$A$5:$L$35, SWITCH(E849, "Basic", 8, "Advanced", 10, "Modern", 12), false)),"")</f>
        <v/>
      </c>
      <c r="G849" s="29"/>
      <c r="H849" s="7">
        <f>IFERROR(VLOOKUP(C849, General!$A$5:$L$35, 6, false) * G849 / 1000, 0)</f>
        <v>0</v>
      </c>
      <c r="I849" s="29"/>
      <c r="J849" s="22" t="str">
        <f>IFERROR(I849*VLOOKUP(D849,'Crafting Tables'!$1:$1000, 4, false)*F849,"")</f>
        <v/>
      </c>
      <c r="K849" s="29" t="b">
        <v>0</v>
      </c>
      <c r="L849" s="37"/>
      <c r="M849" s="29"/>
      <c r="N849" s="21" t="str">
        <f t="shared" si="2"/>
        <v/>
      </c>
      <c r="P849" s="37"/>
      <c r="Q849" s="29"/>
      <c r="R849" s="29" t="b">
        <v>0</v>
      </c>
      <c r="S849" s="22" t="str">
        <f t="shared" si="3"/>
        <v/>
      </c>
      <c r="T849" s="7">
        <f>IF(ISBLANK(P849), 0, VLOOKUP(P849, 'Price Sheet'!$A$2:$B1015, 2, false))</f>
        <v>0</v>
      </c>
      <c r="U849" s="33" t="str">
        <f t="shared" si="4"/>
        <v/>
      </c>
      <c r="V849" s="37"/>
      <c r="W849" s="29"/>
      <c r="X849" s="29" t="b">
        <v>0</v>
      </c>
      <c r="Y849" s="22" t="str">
        <f t="shared" si="5"/>
        <v/>
      </c>
      <c r="Z849" s="7">
        <f>IF(ISBLANK(V849), 0, VLOOKUP(V849, 'Price Sheet'!$A$2:$B1015, 2, false))</f>
        <v>0</v>
      </c>
      <c r="AA849" s="33" t="str">
        <f t="shared" si="6"/>
        <v/>
      </c>
      <c r="AB849" s="37"/>
      <c r="AC849" s="29"/>
      <c r="AD849" s="29" t="b">
        <v>0</v>
      </c>
      <c r="AE849" s="22" t="str">
        <f t="shared" si="7"/>
        <v/>
      </c>
      <c r="AF849" s="7">
        <f>IF(ISBLANK(AB849), 0, VLOOKUP(AB849, 'Price Sheet'!$A$2:$B1015, 2, false))</f>
        <v>0</v>
      </c>
      <c r="AG849" s="33" t="str">
        <f t="shared" si="8"/>
        <v/>
      </c>
      <c r="AH849" s="37"/>
      <c r="AI849" s="29"/>
      <c r="AJ849" s="29" t="b">
        <v>0</v>
      </c>
      <c r="AK849" s="22" t="str">
        <f t="shared" si="9"/>
        <v/>
      </c>
      <c r="AL849" s="7">
        <f>IF(ISBLANK(AH849), 0, VLOOKUP(AH849, 'Price Sheet'!$A$2:$B1015, 2, false))</f>
        <v>0</v>
      </c>
      <c r="AM849" s="33" t="str">
        <f t="shared" si="10"/>
        <v/>
      </c>
      <c r="AN849" s="37"/>
      <c r="AO849" s="29"/>
      <c r="AP849" s="29" t="b">
        <v>0</v>
      </c>
      <c r="AQ849" s="22" t="str">
        <f t="shared" si="11"/>
        <v/>
      </c>
      <c r="AR849" s="7">
        <f>IF(ISBLANK(AN849), 0, VLOOKUP(AN849, 'Price Sheet'!$A$2:$B1015, 2, false))</f>
        <v>0</v>
      </c>
      <c r="AS849" s="33" t="str">
        <f t="shared" si="12"/>
        <v/>
      </c>
      <c r="AT849" s="37"/>
      <c r="AU849" s="29"/>
      <c r="AV849" s="29" t="b">
        <v>0</v>
      </c>
      <c r="AW849" s="22" t="str">
        <f t="shared" si="13"/>
        <v/>
      </c>
      <c r="AX849" s="7">
        <f>IF(ISBLANK(AT849), 0, VLOOKUP(AT849, 'Price Sheet'!$A$2:$B1015, 2, false))</f>
        <v>0</v>
      </c>
      <c r="AY849" s="33" t="str">
        <f t="shared" si="14"/>
        <v/>
      </c>
      <c r="AZ849" s="37"/>
      <c r="BA849" s="29"/>
      <c r="BB849" s="29" t="b">
        <v>0</v>
      </c>
      <c r="BC849" s="22" t="str">
        <f t="shared" si="15"/>
        <v/>
      </c>
      <c r="BD849" s="7">
        <f>IF(ISBLANK(AZ849), 0, VLOOKUP(AZ849, 'Price Sheet'!$A$2:$B1015, 2, false))</f>
        <v>0</v>
      </c>
      <c r="BE849" s="33" t="str">
        <f t="shared" si="16"/>
        <v/>
      </c>
      <c r="BF849" s="37"/>
      <c r="BG849" s="29"/>
      <c r="BH849" s="29" t="b">
        <v>0</v>
      </c>
      <c r="BI849" s="22" t="str">
        <f t="shared" si="17"/>
        <v/>
      </c>
      <c r="BJ849" s="7">
        <f>IF(ISBLANK(BF849), 0, VLOOKUP(BF849, 'Price Sheet'!$A$2:$B1015, 2, false))</f>
        <v>0</v>
      </c>
      <c r="BK849" s="33" t="str">
        <f t="shared" si="18"/>
        <v/>
      </c>
      <c r="BL849" s="37"/>
      <c r="BM849" s="29"/>
      <c r="BN849" s="29" t="b">
        <v>0</v>
      </c>
      <c r="BO849" s="22" t="str">
        <f t="shared" si="19"/>
        <v/>
      </c>
      <c r="BP849" s="7">
        <f>IF(ISBLANK(BL849), 0, VLOOKUP(BL849, 'Price Sheet'!$A$2:$B1015, 2, false))</f>
        <v>0</v>
      </c>
      <c r="BQ849" s="33" t="str">
        <f t="shared" si="20"/>
        <v/>
      </c>
    </row>
    <row r="850">
      <c r="B850" s="19"/>
      <c r="C850" s="29"/>
      <c r="D850" s="29"/>
      <c r="E850" s="7" t="str">
        <f>IF(ISBLANK(D850), "", VLOOKUP(D850,'Crafting Tables'!$A$2:$B1015, 2, false))</f>
        <v/>
      </c>
      <c r="F850" s="7" t="str">
        <f>IFERROR(IF(E850 = "None", 1, VLOOKUP(C850,General!$A$5:$L$35, SWITCH(E850, "Basic", 8, "Advanced", 10, "Modern", 12), false)),"")</f>
        <v/>
      </c>
      <c r="G850" s="29"/>
      <c r="H850" s="7">
        <f>IFERROR(VLOOKUP(C850, General!$A$5:$L$35, 6, false) * G850 / 1000, 0)</f>
        <v>0</v>
      </c>
      <c r="I850" s="29"/>
      <c r="J850" s="22" t="str">
        <f>IFERROR(I850*VLOOKUP(D850,'Crafting Tables'!$1:$1000, 4, false)*F850,"")</f>
        <v/>
      </c>
      <c r="K850" s="29" t="b">
        <v>0</v>
      </c>
      <c r="L850" s="37"/>
      <c r="M850" s="29"/>
      <c r="N850" s="21" t="str">
        <f t="shared" si="2"/>
        <v/>
      </c>
      <c r="P850" s="37"/>
      <c r="Q850" s="29"/>
      <c r="R850" s="29" t="b">
        <v>0</v>
      </c>
      <c r="S850" s="22" t="str">
        <f t="shared" si="3"/>
        <v/>
      </c>
      <c r="T850" s="7">
        <f>IF(ISBLANK(P850), 0, VLOOKUP(P850, 'Price Sheet'!$A$2:$B1015, 2, false))</f>
        <v>0</v>
      </c>
      <c r="U850" s="33" t="str">
        <f t="shared" si="4"/>
        <v/>
      </c>
      <c r="V850" s="37"/>
      <c r="W850" s="29"/>
      <c r="X850" s="29" t="b">
        <v>0</v>
      </c>
      <c r="Y850" s="22" t="str">
        <f t="shared" si="5"/>
        <v/>
      </c>
      <c r="Z850" s="7">
        <f>IF(ISBLANK(V850), 0, VLOOKUP(V850, 'Price Sheet'!$A$2:$B1015, 2, false))</f>
        <v>0</v>
      </c>
      <c r="AA850" s="33" t="str">
        <f t="shared" si="6"/>
        <v/>
      </c>
      <c r="AB850" s="37"/>
      <c r="AC850" s="29"/>
      <c r="AD850" s="29" t="b">
        <v>0</v>
      </c>
      <c r="AE850" s="22" t="str">
        <f t="shared" si="7"/>
        <v/>
      </c>
      <c r="AF850" s="7">
        <f>IF(ISBLANK(AB850), 0, VLOOKUP(AB850, 'Price Sheet'!$A$2:$B1015, 2, false))</f>
        <v>0</v>
      </c>
      <c r="AG850" s="33" t="str">
        <f t="shared" si="8"/>
        <v/>
      </c>
      <c r="AH850" s="37"/>
      <c r="AI850" s="29"/>
      <c r="AJ850" s="29" t="b">
        <v>0</v>
      </c>
      <c r="AK850" s="22" t="str">
        <f t="shared" si="9"/>
        <v/>
      </c>
      <c r="AL850" s="7">
        <f>IF(ISBLANK(AH850), 0, VLOOKUP(AH850, 'Price Sheet'!$A$2:$B1015, 2, false))</f>
        <v>0</v>
      </c>
      <c r="AM850" s="33" t="str">
        <f t="shared" si="10"/>
        <v/>
      </c>
      <c r="AN850" s="37"/>
      <c r="AO850" s="29"/>
      <c r="AP850" s="29" t="b">
        <v>0</v>
      </c>
      <c r="AQ850" s="22" t="str">
        <f t="shared" si="11"/>
        <v/>
      </c>
      <c r="AR850" s="7">
        <f>IF(ISBLANK(AN850), 0, VLOOKUP(AN850, 'Price Sheet'!$A$2:$B1015, 2, false))</f>
        <v>0</v>
      </c>
      <c r="AS850" s="33" t="str">
        <f t="shared" si="12"/>
        <v/>
      </c>
      <c r="AT850" s="37"/>
      <c r="AU850" s="29"/>
      <c r="AV850" s="29" t="b">
        <v>0</v>
      </c>
      <c r="AW850" s="22" t="str">
        <f t="shared" si="13"/>
        <v/>
      </c>
      <c r="AX850" s="7">
        <f>IF(ISBLANK(AT850), 0, VLOOKUP(AT850, 'Price Sheet'!$A$2:$B1015, 2, false))</f>
        <v>0</v>
      </c>
      <c r="AY850" s="33" t="str">
        <f t="shared" si="14"/>
        <v/>
      </c>
      <c r="AZ850" s="37"/>
      <c r="BA850" s="29"/>
      <c r="BB850" s="29" t="b">
        <v>0</v>
      </c>
      <c r="BC850" s="22" t="str">
        <f t="shared" si="15"/>
        <v/>
      </c>
      <c r="BD850" s="7">
        <f>IF(ISBLANK(AZ850), 0, VLOOKUP(AZ850, 'Price Sheet'!$A$2:$B1015, 2, false))</f>
        <v>0</v>
      </c>
      <c r="BE850" s="33" t="str">
        <f t="shared" si="16"/>
        <v/>
      </c>
      <c r="BF850" s="37"/>
      <c r="BG850" s="29"/>
      <c r="BH850" s="29" t="b">
        <v>0</v>
      </c>
      <c r="BI850" s="22" t="str">
        <f t="shared" si="17"/>
        <v/>
      </c>
      <c r="BJ850" s="7">
        <f>IF(ISBLANK(BF850), 0, VLOOKUP(BF850, 'Price Sheet'!$A$2:$B1015, 2, false))</f>
        <v>0</v>
      </c>
      <c r="BK850" s="33" t="str">
        <f t="shared" si="18"/>
        <v/>
      </c>
      <c r="BL850" s="37"/>
      <c r="BM850" s="29"/>
      <c r="BN850" s="29" t="b">
        <v>0</v>
      </c>
      <c r="BO850" s="22" t="str">
        <f t="shared" si="19"/>
        <v/>
      </c>
      <c r="BP850" s="7">
        <f>IF(ISBLANK(BL850), 0, VLOOKUP(BL850, 'Price Sheet'!$A$2:$B1015, 2, false))</f>
        <v>0</v>
      </c>
      <c r="BQ850" s="33" t="str">
        <f t="shared" si="20"/>
        <v/>
      </c>
    </row>
    <row r="851">
      <c r="B851" s="19"/>
      <c r="C851" s="29"/>
      <c r="D851" s="29"/>
      <c r="E851" s="7" t="str">
        <f>IF(ISBLANK(D851), "", VLOOKUP(D851,'Crafting Tables'!$A$2:$B1015, 2, false))</f>
        <v/>
      </c>
      <c r="F851" s="7" t="str">
        <f>IFERROR(IF(E851 = "None", 1, VLOOKUP(C851,General!$A$5:$L$35, SWITCH(E851, "Basic", 8, "Advanced", 10, "Modern", 12), false)),"")</f>
        <v/>
      </c>
      <c r="G851" s="29"/>
      <c r="H851" s="7">
        <f>IFERROR(VLOOKUP(C851, General!$A$5:$L$35, 6, false) * G851 / 1000, 0)</f>
        <v>0</v>
      </c>
      <c r="I851" s="29"/>
      <c r="J851" s="22" t="str">
        <f>IFERROR(I851*VLOOKUP(D851,'Crafting Tables'!$1:$1000, 4, false)*F851,"")</f>
        <v/>
      </c>
      <c r="K851" s="29" t="b">
        <v>0</v>
      </c>
      <c r="L851" s="37"/>
      <c r="M851" s="29"/>
      <c r="N851" s="21" t="str">
        <f t="shared" si="2"/>
        <v/>
      </c>
      <c r="P851" s="37"/>
      <c r="Q851" s="29"/>
      <c r="R851" s="29" t="b">
        <v>0</v>
      </c>
      <c r="S851" s="22" t="str">
        <f t="shared" si="3"/>
        <v/>
      </c>
      <c r="T851" s="7">
        <f>IF(ISBLANK(P851), 0, VLOOKUP(P851, 'Price Sheet'!$A$2:$B1015, 2, false))</f>
        <v>0</v>
      </c>
      <c r="U851" s="33" t="str">
        <f t="shared" si="4"/>
        <v/>
      </c>
      <c r="V851" s="37"/>
      <c r="W851" s="29"/>
      <c r="X851" s="29" t="b">
        <v>0</v>
      </c>
      <c r="Y851" s="22" t="str">
        <f t="shared" si="5"/>
        <v/>
      </c>
      <c r="Z851" s="7">
        <f>IF(ISBLANK(V851), 0, VLOOKUP(V851, 'Price Sheet'!$A$2:$B1015, 2, false))</f>
        <v>0</v>
      </c>
      <c r="AA851" s="33" t="str">
        <f t="shared" si="6"/>
        <v/>
      </c>
      <c r="AB851" s="37"/>
      <c r="AC851" s="29"/>
      <c r="AD851" s="29" t="b">
        <v>0</v>
      </c>
      <c r="AE851" s="22" t="str">
        <f t="shared" si="7"/>
        <v/>
      </c>
      <c r="AF851" s="7">
        <f>IF(ISBLANK(AB851), 0, VLOOKUP(AB851, 'Price Sheet'!$A$2:$B1015, 2, false))</f>
        <v>0</v>
      </c>
      <c r="AG851" s="33" t="str">
        <f t="shared" si="8"/>
        <v/>
      </c>
      <c r="AH851" s="37"/>
      <c r="AI851" s="29"/>
      <c r="AJ851" s="29" t="b">
        <v>0</v>
      </c>
      <c r="AK851" s="22" t="str">
        <f t="shared" si="9"/>
        <v/>
      </c>
      <c r="AL851" s="7">
        <f>IF(ISBLANK(AH851), 0, VLOOKUP(AH851, 'Price Sheet'!$A$2:$B1015, 2, false))</f>
        <v>0</v>
      </c>
      <c r="AM851" s="33" t="str">
        <f t="shared" si="10"/>
        <v/>
      </c>
      <c r="AN851" s="37"/>
      <c r="AO851" s="29"/>
      <c r="AP851" s="29" t="b">
        <v>0</v>
      </c>
      <c r="AQ851" s="22" t="str">
        <f t="shared" si="11"/>
        <v/>
      </c>
      <c r="AR851" s="7">
        <f>IF(ISBLANK(AN851), 0, VLOOKUP(AN851, 'Price Sheet'!$A$2:$B1015, 2, false))</f>
        <v>0</v>
      </c>
      <c r="AS851" s="33" t="str">
        <f t="shared" si="12"/>
        <v/>
      </c>
      <c r="AT851" s="37"/>
      <c r="AU851" s="29"/>
      <c r="AV851" s="29" t="b">
        <v>0</v>
      </c>
      <c r="AW851" s="22" t="str">
        <f t="shared" si="13"/>
        <v/>
      </c>
      <c r="AX851" s="7">
        <f>IF(ISBLANK(AT851), 0, VLOOKUP(AT851, 'Price Sheet'!$A$2:$B1015, 2, false))</f>
        <v>0</v>
      </c>
      <c r="AY851" s="33" t="str">
        <f t="shared" si="14"/>
        <v/>
      </c>
      <c r="AZ851" s="37"/>
      <c r="BA851" s="29"/>
      <c r="BB851" s="29" t="b">
        <v>0</v>
      </c>
      <c r="BC851" s="22" t="str">
        <f t="shared" si="15"/>
        <v/>
      </c>
      <c r="BD851" s="7">
        <f>IF(ISBLANK(AZ851), 0, VLOOKUP(AZ851, 'Price Sheet'!$A$2:$B1015, 2, false))</f>
        <v>0</v>
      </c>
      <c r="BE851" s="33" t="str">
        <f t="shared" si="16"/>
        <v/>
      </c>
      <c r="BF851" s="37"/>
      <c r="BG851" s="29"/>
      <c r="BH851" s="29" t="b">
        <v>0</v>
      </c>
      <c r="BI851" s="22" t="str">
        <f t="shared" si="17"/>
        <v/>
      </c>
      <c r="BJ851" s="7">
        <f>IF(ISBLANK(BF851), 0, VLOOKUP(BF851, 'Price Sheet'!$A$2:$B1015, 2, false))</f>
        <v>0</v>
      </c>
      <c r="BK851" s="33" t="str">
        <f t="shared" si="18"/>
        <v/>
      </c>
      <c r="BL851" s="37"/>
      <c r="BM851" s="29"/>
      <c r="BN851" s="29" t="b">
        <v>0</v>
      </c>
      <c r="BO851" s="22" t="str">
        <f t="shared" si="19"/>
        <v/>
      </c>
      <c r="BP851" s="7">
        <f>IF(ISBLANK(BL851), 0, VLOOKUP(BL851, 'Price Sheet'!$A$2:$B1015, 2, false))</f>
        <v>0</v>
      </c>
      <c r="BQ851" s="33" t="str">
        <f t="shared" si="20"/>
        <v/>
      </c>
    </row>
    <row r="852">
      <c r="B852" s="19"/>
      <c r="C852" s="29"/>
      <c r="D852" s="29"/>
      <c r="E852" s="7" t="str">
        <f>IF(ISBLANK(D852), "", VLOOKUP(D852,'Crafting Tables'!$A$2:$B1015, 2, false))</f>
        <v/>
      </c>
      <c r="F852" s="7" t="str">
        <f>IFERROR(IF(E852 = "None", 1, VLOOKUP(C852,General!$A$5:$L$35, SWITCH(E852, "Basic", 8, "Advanced", 10, "Modern", 12), false)),"")</f>
        <v/>
      </c>
      <c r="G852" s="29"/>
      <c r="H852" s="7">
        <f>IFERROR(VLOOKUP(C852, General!$A$5:$L$35, 6, false) * G852 / 1000, 0)</f>
        <v>0</v>
      </c>
      <c r="I852" s="29"/>
      <c r="J852" s="22" t="str">
        <f>IFERROR(I852*VLOOKUP(D852,'Crafting Tables'!$1:$1000, 4, false)*F852,"")</f>
        <v/>
      </c>
      <c r="K852" s="29" t="b">
        <v>0</v>
      </c>
      <c r="L852" s="37"/>
      <c r="M852" s="29"/>
      <c r="N852" s="21" t="str">
        <f t="shared" si="2"/>
        <v/>
      </c>
      <c r="P852" s="37"/>
      <c r="Q852" s="29"/>
      <c r="R852" s="29" t="b">
        <v>0</v>
      </c>
      <c r="S852" s="22" t="str">
        <f t="shared" si="3"/>
        <v/>
      </c>
      <c r="T852" s="7">
        <f>IF(ISBLANK(P852), 0, VLOOKUP(P852, 'Price Sheet'!$A$2:$B1015, 2, false))</f>
        <v>0</v>
      </c>
      <c r="U852" s="33" t="str">
        <f t="shared" si="4"/>
        <v/>
      </c>
      <c r="V852" s="37"/>
      <c r="W852" s="29"/>
      <c r="X852" s="29" t="b">
        <v>0</v>
      </c>
      <c r="Y852" s="22" t="str">
        <f t="shared" si="5"/>
        <v/>
      </c>
      <c r="Z852" s="7">
        <f>IF(ISBLANK(V852), 0, VLOOKUP(V852, 'Price Sheet'!$A$2:$B1015, 2, false))</f>
        <v>0</v>
      </c>
      <c r="AA852" s="33" t="str">
        <f t="shared" si="6"/>
        <v/>
      </c>
      <c r="AB852" s="37"/>
      <c r="AC852" s="29"/>
      <c r="AD852" s="29" t="b">
        <v>0</v>
      </c>
      <c r="AE852" s="22" t="str">
        <f t="shared" si="7"/>
        <v/>
      </c>
      <c r="AF852" s="7">
        <f>IF(ISBLANK(AB852), 0, VLOOKUP(AB852, 'Price Sheet'!$A$2:$B1015, 2, false))</f>
        <v>0</v>
      </c>
      <c r="AG852" s="33" t="str">
        <f t="shared" si="8"/>
        <v/>
      </c>
      <c r="AH852" s="37"/>
      <c r="AI852" s="29"/>
      <c r="AJ852" s="29" t="b">
        <v>0</v>
      </c>
      <c r="AK852" s="22" t="str">
        <f t="shared" si="9"/>
        <v/>
      </c>
      <c r="AL852" s="7">
        <f>IF(ISBLANK(AH852), 0, VLOOKUP(AH852, 'Price Sheet'!$A$2:$B1015, 2, false))</f>
        <v>0</v>
      </c>
      <c r="AM852" s="33" t="str">
        <f t="shared" si="10"/>
        <v/>
      </c>
      <c r="AN852" s="37"/>
      <c r="AO852" s="29"/>
      <c r="AP852" s="29" t="b">
        <v>0</v>
      </c>
      <c r="AQ852" s="22" t="str">
        <f t="shared" si="11"/>
        <v/>
      </c>
      <c r="AR852" s="7">
        <f>IF(ISBLANK(AN852), 0, VLOOKUP(AN852, 'Price Sheet'!$A$2:$B1015, 2, false))</f>
        <v>0</v>
      </c>
      <c r="AS852" s="33" t="str">
        <f t="shared" si="12"/>
        <v/>
      </c>
      <c r="AT852" s="37"/>
      <c r="AU852" s="29"/>
      <c r="AV852" s="29" t="b">
        <v>0</v>
      </c>
      <c r="AW852" s="22" t="str">
        <f t="shared" si="13"/>
        <v/>
      </c>
      <c r="AX852" s="7">
        <f>IF(ISBLANK(AT852), 0, VLOOKUP(AT852, 'Price Sheet'!$A$2:$B1015, 2, false))</f>
        <v>0</v>
      </c>
      <c r="AY852" s="33" t="str">
        <f t="shared" si="14"/>
        <v/>
      </c>
      <c r="AZ852" s="37"/>
      <c r="BA852" s="29"/>
      <c r="BB852" s="29" t="b">
        <v>0</v>
      </c>
      <c r="BC852" s="22" t="str">
        <f t="shared" si="15"/>
        <v/>
      </c>
      <c r="BD852" s="7">
        <f>IF(ISBLANK(AZ852), 0, VLOOKUP(AZ852, 'Price Sheet'!$A$2:$B1015, 2, false))</f>
        <v>0</v>
      </c>
      <c r="BE852" s="33" t="str">
        <f t="shared" si="16"/>
        <v/>
      </c>
      <c r="BF852" s="37"/>
      <c r="BG852" s="29"/>
      <c r="BH852" s="29" t="b">
        <v>0</v>
      </c>
      <c r="BI852" s="22" t="str">
        <f t="shared" si="17"/>
        <v/>
      </c>
      <c r="BJ852" s="7">
        <f>IF(ISBLANK(BF852), 0, VLOOKUP(BF852, 'Price Sheet'!$A$2:$B1015, 2, false))</f>
        <v>0</v>
      </c>
      <c r="BK852" s="33" t="str">
        <f t="shared" si="18"/>
        <v/>
      </c>
      <c r="BL852" s="37"/>
      <c r="BM852" s="29"/>
      <c r="BN852" s="29" t="b">
        <v>0</v>
      </c>
      <c r="BO852" s="22" t="str">
        <f t="shared" si="19"/>
        <v/>
      </c>
      <c r="BP852" s="7">
        <f>IF(ISBLANK(BL852), 0, VLOOKUP(BL852, 'Price Sheet'!$A$2:$B1015, 2, false))</f>
        <v>0</v>
      </c>
      <c r="BQ852" s="33" t="str">
        <f t="shared" si="20"/>
        <v/>
      </c>
    </row>
    <row r="853">
      <c r="B853" s="19"/>
      <c r="C853" s="29"/>
      <c r="D853" s="29"/>
      <c r="E853" s="7" t="str">
        <f>IF(ISBLANK(D853), "", VLOOKUP(D853,'Crafting Tables'!$A$2:$B1015, 2, false))</f>
        <v/>
      </c>
      <c r="F853" s="7" t="str">
        <f>IFERROR(IF(E853 = "None", 1, VLOOKUP(C853,General!$A$5:$L$35, SWITCH(E853, "Basic", 8, "Advanced", 10, "Modern", 12), false)),"")</f>
        <v/>
      </c>
      <c r="G853" s="29"/>
      <c r="H853" s="7">
        <f>IFERROR(VLOOKUP(C853, General!$A$5:$L$35, 6, false) * G853 / 1000, 0)</f>
        <v>0</v>
      </c>
      <c r="I853" s="29"/>
      <c r="J853" s="22" t="str">
        <f>IFERROR(I853*VLOOKUP(D853,'Crafting Tables'!$1:$1000, 4, false)*F853,"")</f>
        <v/>
      </c>
      <c r="K853" s="29" t="b">
        <v>0</v>
      </c>
      <c r="L853" s="37"/>
      <c r="M853" s="29"/>
      <c r="N853" s="21" t="str">
        <f t="shared" si="2"/>
        <v/>
      </c>
      <c r="P853" s="37"/>
      <c r="Q853" s="29"/>
      <c r="R853" s="29" t="b">
        <v>0</v>
      </c>
      <c r="S853" s="22" t="str">
        <f t="shared" si="3"/>
        <v/>
      </c>
      <c r="T853" s="7">
        <f>IF(ISBLANK(P853), 0, VLOOKUP(P853, 'Price Sheet'!$A$2:$B1015, 2, false))</f>
        <v>0</v>
      </c>
      <c r="U853" s="33" t="str">
        <f t="shared" si="4"/>
        <v/>
      </c>
      <c r="V853" s="37"/>
      <c r="W853" s="29"/>
      <c r="X853" s="29" t="b">
        <v>0</v>
      </c>
      <c r="Y853" s="22" t="str">
        <f t="shared" si="5"/>
        <v/>
      </c>
      <c r="Z853" s="7">
        <f>IF(ISBLANK(V853), 0, VLOOKUP(V853, 'Price Sheet'!$A$2:$B1015, 2, false))</f>
        <v>0</v>
      </c>
      <c r="AA853" s="33" t="str">
        <f t="shared" si="6"/>
        <v/>
      </c>
      <c r="AB853" s="37"/>
      <c r="AC853" s="29"/>
      <c r="AD853" s="29" t="b">
        <v>0</v>
      </c>
      <c r="AE853" s="22" t="str">
        <f t="shared" si="7"/>
        <v/>
      </c>
      <c r="AF853" s="7">
        <f>IF(ISBLANK(AB853), 0, VLOOKUP(AB853, 'Price Sheet'!$A$2:$B1015, 2, false))</f>
        <v>0</v>
      </c>
      <c r="AG853" s="33" t="str">
        <f t="shared" si="8"/>
        <v/>
      </c>
      <c r="AH853" s="37"/>
      <c r="AI853" s="29"/>
      <c r="AJ853" s="29" t="b">
        <v>0</v>
      </c>
      <c r="AK853" s="22" t="str">
        <f t="shared" si="9"/>
        <v/>
      </c>
      <c r="AL853" s="7">
        <f>IF(ISBLANK(AH853), 0, VLOOKUP(AH853, 'Price Sheet'!$A$2:$B1015, 2, false))</f>
        <v>0</v>
      </c>
      <c r="AM853" s="33" t="str">
        <f t="shared" si="10"/>
        <v/>
      </c>
      <c r="AN853" s="37"/>
      <c r="AO853" s="29"/>
      <c r="AP853" s="29" t="b">
        <v>0</v>
      </c>
      <c r="AQ853" s="22" t="str">
        <f t="shared" si="11"/>
        <v/>
      </c>
      <c r="AR853" s="7">
        <f>IF(ISBLANK(AN853), 0, VLOOKUP(AN853, 'Price Sheet'!$A$2:$B1015, 2, false))</f>
        <v>0</v>
      </c>
      <c r="AS853" s="33" t="str">
        <f t="shared" si="12"/>
        <v/>
      </c>
      <c r="AT853" s="37"/>
      <c r="AU853" s="29"/>
      <c r="AV853" s="29" t="b">
        <v>0</v>
      </c>
      <c r="AW853" s="22" t="str">
        <f t="shared" si="13"/>
        <v/>
      </c>
      <c r="AX853" s="7">
        <f>IF(ISBLANK(AT853), 0, VLOOKUP(AT853, 'Price Sheet'!$A$2:$B1015, 2, false))</f>
        <v>0</v>
      </c>
      <c r="AY853" s="33" t="str">
        <f t="shared" si="14"/>
        <v/>
      </c>
      <c r="AZ853" s="37"/>
      <c r="BA853" s="29"/>
      <c r="BB853" s="29" t="b">
        <v>0</v>
      </c>
      <c r="BC853" s="22" t="str">
        <f t="shared" si="15"/>
        <v/>
      </c>
      <c r="BD853" s="7">
        <f>IF(ISBLANK(AZ853), 0, VLOOKUP(AZ853, 'Price Sheet'!$A$2:$B1015, 2, false))</f>
        <v>0</v>
      </c>
      <c r="BE853" s="33" t="str">
        <f t="shared" si="16"/>
        <v/>
      </c>
      <c r="BF853" s="37"/>
      <c r="BG853" s="29"/>
      <c r="BH853" s="29" t="b">
        <v>0</v>
      </c>
      <c r="BI853" s="22" t="str">
        <f t="shared" si="17"/>
        <v/>
      </c>
      <c r="BJ853" s="7">
        <f>IF(ISBLANK(BF853), 0, VLOOKUP(BF853, 'Price Sheet'!$A$2:$B1015, 2, false))</f>
        <v>0</v>
      </c>
      <c r="BK853" s="33" t="str">
        <f t="shared" si="18"/>
        <v/>
      </c>
      <c r="BL853" s="37"/>
      <c r="BM853" s="29"/>
      <c r="BN853" s="29" t="b">
        <v>0</v>
      </c>
      <c r="BO853" s="22" t="str">
        <f t="shared" si="19"/>
        <v/>
      </c>
      <c r="BP853" s="7">
        <f>IF(ISBLANK(BL853), 0, VLOOKUP(BL853, 'Price Sheet'!$A$2:$B1015, 2, false))</f>
        <v>0</v>
      </c>
      <c r="BQ853" s="33" t="str">
        <f t="shared" si="20"/>
        <v/>
      </c>
    </row>
    <row r="854">
      <c r="B854" s="19"/>
      <c r="C854" s="29"/>
      <c r="D854" s="29"/>
      <c r="E854" s="7" t="str">
        <f>IF(ISBLANK(D854), "", VLOOKUP(D854,'Crafting Tables'!$A$2:$B1015, 2, false))</f>
        <v/>
      </c>
      <c r="F854" s="7" t="str">
        <f>IFERROR(IF(E854 = "None", 1, VLOOKUP(C854,General!$A$5:$L$35, SWITCH(E854, "Basic", 8, "Advanced", 10, "Modern", 12), false)),"")</f>
        <v/>
      </c>
      <c r="G854" s="29"/>
      <c r="H854" s="7">
        <f>IFERROR(VLOOKUP(C854, General!$A$5:$L$35, 6, false) * G854 / 1000, 0)</f>
        <v>0</v>
      </c>
      <c r="I854" s="29"/>
      <c r="J854" s="22" t="str">
        <f>IFERROR(I854*VLOOKUP(D854,'Crafting Tables'!$1:$1000, 4, false)*F854,"")</f>
        <v/>
      </c>
      <c r="K854" s="29" t="b">
        <v>0</v>
      </c>
      <c r="L854" s="37"/>
      <c r="M854" s="29"/>
      <c r="N854" s="21" t="str">
        <f t="shared" si="2"/>
        <v/>
      </c>
      <c r="P854" s="37"/>
      <c r="Q854" s="29"/>
      <c r="R854" s="29" t="b">
        <v>0</v>
      </c>
      <c r="S854" s="22" t="str">
        <f t="shared" si="3"/>
        <v/>
      </c>
      <c r="T854" s="7">
        <f>IF(ISBLANK(P854), 0, VLOOKUP(P854, 'Price Sheet'!$A$2:$B1015, 2, false))</f>
        <v>0</v>
      </c>
      <c r="U854" s="33" t="str">
        <f t="shared" si="4"/>
        <v/>
      </c>
      <c r="V854" s="37"/>
      <c r="W854" s="29"/>
      <c r="X854" s="29" t="b">
        <v>0</v>
      </c>
      <c r="Y854" s="22" t="str">
        <f t="shared" si="5"/>
        <v/>
      </c>
      <c r="Z854" s="7">
        <f>IF(ISBLANK(V854), 0, VLOOKUP(V854, 'Price Sheet'!$A$2:$B1015, 2, false))</f>
        <v>0</v>
      </c>
      <c r="AA854" s="33" t="str">
        <f t="shared" si="6"/>
        <v/>
      </c>
      <c r="AB854" s="37"/>
      <c r="AC854" s="29"/>
      <c r="AD854" s="29" t="b">
        <v>0</v>
      </c>
      <c r="AE854" s="22" t="str">
        <f t="shared" si="7"/>
        <v/>
      </c>
      <c r="AF854" s="7">
        <f>IF(ISBLANK(AB854), 0, VLOOKUP(AB854, 'Price Sheet'!$A$2:$B1015, 2, false))</f>
        <v>0</v>
      </c>
      <c r="AG854" s="33" t="str">
        <f t="shared" si="8"/>
        <v/>
      </c>
      <c r="AH854" s="37"/>
      <c r="AI854" s="29"/>
      <c r="AJ854" s="29" t="b">
        <v>0</v>
      </c>
      <c r="AK854" s="22" t="str">
        <f t="shared" si="9"/>
        <v/>
      </c>
      <c r="AL854" s="7">
        <f>IF(ISBLANK(AH854), 0, VLOOKUP(AH854, 'Price Sheet'!$A$2:$B1015, 2, false))</f>
        <v>0</v>
      </c>
      <c r="AM854" s="33" t="str">
        <f t="shared" si="10"/>
        <v/>
      </c>
      <c r="AN854" s="37"/>
      <c r="AO854" s="29"/>
      <c r="AP854" s="29" t="b">
        <v>0</v>
      </c>
      <c r="AQ854" s="22" t="str">
        <f t="shared" si="11"/>
        <v/>
      </c>
      <c r="AR854" s="7">
        <f>IF(ISBLANK(AN854), 0, VLOOKUP(AN854, 'Price Sheet'!$A$2:$B1015, 2, false))</f>
        <v>0</v>
      </c>
      <c r="AS854" s="33" t="str">
        <f t="shared" si="12"/>
        <v/>
      </c>
      <c r="AT854" s="37"/>
      <c r="AU854" s="29"/>
      <c r="AV854" s="29" t="b">
        <v>0</v>
      </c>
      <c r="AW854" s="22" t="str">
        <f t="shared" si="13"/>
        <v/>
      </c>
      <c r="AX854" s="7">
        <f>IF(ISBLANK(AT854), 0, VLOOKUP(AT854, 'Price Sheet'!$A$2:$B1015, 2, false))</f>
        <v>0</v>
      </c>
      <c r="AY854" s="33" t="str">
        <f t="shared" si="14"/>
        <v/>
      </c>
      <c r="AZ854" s="37"/>
      <c r="BA854" s="29"/>
      <c r="BB854" s="29" t="b">
        <v>0</v>
      </c>
      <c r="BC854" s="22" t="str">
        <f t="shared" si="15"/>
        <v/>
      </c>
      <c r="BD854" s="7">
        <f>IF(ISBLANK(AZ854), 0, VLOOKUP(AZ854, 'Price Sheet'!$A$2:$B1015, 2, false))</f>
        <v>0</v>
      </c>
      <c r="BE854" s="33" t="str">
        <f t="shared" si="16"/>
        <v/>
      </c>
      <c r="BF854" s="37"/>
      <c r="BG854" s="29"/>
      <c r="BH854" s="29" t="b">
        <v>0</v>
      </c>
      <c r="BI854" s="22" t="str">
        <f t="shared" si="17"/>
        <v/>
      </c>
      <c r="BJ854" s="7">
        <f>IF(ISBLANK(BF854), 0, VLOOKUP(BF854, 'Price Sheet'!$A$2:$B1015, 2, false))</f>
        <v>0</v>
      </c>
      <c r="BK854" s="33" t="str">
        <f t="shared" si="18"/>
        <v/>
      </c>
      <c r="BL854" s="37"/>
      <c r="BM854" s="29"/>
      <c r="BN854" s="29" t="b">
        <v>0</v>
      </c>
      <c r="BO854" s="22" t="str">
        <f t="shared" si="19"/>
        <v/>
      </c>
      <c r="BP854" s="7">
        <f>IF(ISBLANK(BL854), 0, VLOOKUP(BL854, 'Price Sheet'!$A$2:$B1015, 2, false))</f>
        <v>0</v>
      </c>
      <c r="BQ854" s="33" t="str">
        <f t="shared" si="20"/>
        <v/>
      </c>
    </row>
    <row r="855">
      <c r="B855" s="19"/>
      <c r="C855" s="29"/>
      <c r="D855" s="29"/>
      <c r="E855" s="7" t="str">
        <f>IF(ISBLANK(D855), "", VLOOKUP(D855,'Crafting Tables'!$A$2:$B1015, 2, false))</f>
        <v/>
      </c>
      <c r="F855" s="7" t="str">
        <f>IFERROR(IF(E855 = "None", 1, VLOOKUP(C855,General!$A$5:$L$35, SWITCH(E855, "Basic", 8, "Advanced", 10, "Modern", 12), false)),"")</f>
        <v/>
      </c>
      <c r="G855" s="29"/>
      <c r="H855" s="7">
        <f>IFERROR(VLOOKUP(C855, General!$A$5:$L$35, 6, false) * G855 / 1000, 0)</f>
        <v>0</v>
      </c>
      <c r="I855" s="29"/>
      <c r="J855" s="22" t="str">
        <f>IFERROR(I855*VLOOKUP(D855,'Crafting Tables'!$1:$1000, 4, false)*F855,"")</f>
        <v/>
      </c>
      <c r="K855" s="29" t="b">
        <v>0</v>
      </c>
      <c r="L855" s="37"/>
      <c r="M855" s="29"/>
      <c r="N855" s="21" t="str">
        <f t="shared" si="2"/>
        <v/>
      </c>
      <c r="P855" s="37"/>
      <c r="Q855" s="29"/>
      <c r="R855" s="29" t="b">
        <v>0</v>
      </c>
      <c r="S855" s="22" t="str">
        <f t="shared" si="3"/>
        <v/>
      </c>
      <c r="T855" s="7">
        <f>IF(ISBLANK(P855), 0, VLOOKUP(P855, 'Price Sheet'!$A$2:$B1015, 2, false))</f>
        <v>0</v>
      </c>
      <c r="U855" s="33" t="str">
        <f t="shared" si="4"/>
        <v/>
      </c>
      <c r="V855" s="37"/>
      <c r="W855" s="29"/>
      <c r="X855" s="29" t="b">
        <v>0</v>
      </c>
      <c r="Y855" s="22" t="str">
        <f t="shared" si="5"/>
        <v/>
      </c>
      <c r="Z855" s="7">
        <f>IF(ISBLANK(V855), 0, VLOOKUP(V855, 'Price Sheet'!$A$2:$B1015, 2, false))</f>
        <v>0</v>
      </c>
      <c r="AA855" s="33" t="str">
        <f t="shared" si="6"/>
        <v/>
      </c>
      <c r="AB855" s="37"/>
      <c r="AC855" s="29"/>
      <c r="AD855" s="29" t="b">
        <v>0</v>
      </c>
      <c r="AE855" s="22" t="str">
        <f t="shared" si="7"/>
        <v/>
      </c>
      <c r="AF855" s="7">
        <f>IF(ISBLANK(AB855), 0, VLOOKUP(AB855, 'Price Sheet'!$A$2:$B1015, 2, false))</f>
        <v>0</v>
      </c>
      <c r="AG855" s="33" t="str">
        <f t="shared" si="8"/>
        <v/>
      </c>
      <c r="AH855" s="37"/>
      <c r="AI855" s="29"/>
      <c r="AJ855" s="29" t="b">
        <v>0</v>
      </c>
      <c r="AK855" s="22" t="str">
        <f t="shared" si="9"/>
        <v/>
      </c>
      <c r="AL855" s="7">
        <f>IF(ISBLANK(AH855), 0, VLOOKUP(AH855, 'Price Sheet'!$A$2:$B1015, 2, false))</f>
        <v>0</v>
      </c>
      <c r="AM855" s="33" t="str">
        <f t="shared" si="10"/>
        <v/>
      </c>
      <c r="AN855" s="37"/>
      <c r="AO855" s="29"/>
      <c r="AP855" s="29" t="b">
        <v>0</v>
      </c>
      <c r="AQ855" s="22" t="str">
        <f t="shared" si="11"/>
        <v/>
      </c>
      <c r="AR855" s="7">
        <f>IF(ISBLANK(AN855), 0, VLOOKUP(AN855, 'Price Sheet'!$A$2:$B1015, 2, false))</f>
        <v>0</v>
      </c>
      <c r="AS855" s="33" t="str">
        <f t="shared" si="12"/>
        <v/>
      </c>
      <c r="AT855" s="37"/>
      <c r="AU855" s="29"/>
      <c r="AV855" s="29" t="b">
        <v>0</v>
      </c>
      <c r="AW855" s="22" t="str">
        <f t="shared" si="13"/>
        <v/>
      </c>
      <c r="AX855" s="7">
        <f>IF(ISBLANK(AT855), 0, VLOOKUP(AT855, 'Price Sheet'!$A$2:$B1015, 2, false))</f>
        <v>0</v>
      </c>
      <c r="AY855" s="33" t="str">
        <f t="shared" si="14"/>
        <v/>
      </c>
      <c r="AZ855" s="37"/>
      <c r="BA855" s="29"/>
      <c r="BB855" s="29" t="b">
        <v>0</v>
      </c>
      <c r="BC855" s="22" t="str">
        <f t="shared" si="15"/>
        <v/>
      </c>
      <c r="BD855" s="7">
        <f>IF(ISBLANK(AZ855), 0, VLOOKUP(AZ855, 'Price Sheet'!$A$2:$B1015, 2, false))</f>
        <v>0</v>
      </c>
      <c r="BE855" s="33" t="str">
        <f t="shared" si="16"/>
        <v/>
      </c>
      <c r="BF855" s="37"/>
      <c r="BG855" s="29"/>
      <c r="BH855" s="29" t="b">
        <v>0</v>
      </c>
      <c r="BI855" s="22" t="str">
        <f t="shared" si="17"/>
        <v/>
      </c>
      <c r="BJ855" s="7">
        <f>IF(ISBLANK(BF855), 0, VLOOKUP(BF855, 'Price Sheet'!$A$2:$B1015, 2, false))</f>
        <v>0</v>
      </c>
      <c r="BK855" s="33" t="str">
        <f t="shared" si="18"/>
        <v/>
      </c>
      <c r="BL855" s="37"/>
      <c r="BM855" s="29"/>
      <c r="BN855" s="29" t="b">
        <v>0</v>
      </c>
      <c r="BO855" s="22" t="str">
        <f t="shared" si="19"/>
        <v/>
      </c>
      <c r="BP855" s="7">
        <f>IF(ISBLANK(BL855), 0, VLOOKUP(BL855, 'Price Sheet'!$A$2:$B1015, 2, false))</f>
        <v>0</v>
      </c>
      <c r="BQ855" s="33" t="str">
        <f t="shared" si="20"/>
        <v/>
      </c>
    </row>
    <row r="856">
      <c r="B856" s="19"/>
      <c r="C856" s="29"/>
      <c r="D856" s="29"/>
      <c r="E856" s="7" t="str">
        <f>IF(ISBLANK(D856), "", VLOOKUP(D856,'Crafting Tables'!$A$2:$B1015, 2, false))</f>
        <v/>
      </c>
      <c r="F856" s="7" t="str">
        <f>IFERROR(IF(E856 = "None", 1, VLOOKUP(C856,General!$A$5:$L$35, SWITCH(E856, "Basic", 8, "Advanced", 10, "Modern", 12), false)),"")</f>
        <v/>
      </c>
      <c r="G856" s="29"/>
      <c r="H856" s="7">
        <f>IFERROR(VLOOKUP(C856, General!$A$5:$L$35, 6, false) * G856 / 1000, 0)</f>
        <v>0</v>
      </c>
      <c r="I856" s="29"/>
      <c r="J856" s="22" t="str">
        <f>IFERROR(I856*VLOOKUP(D856,'Crafting Tables'!$1:$1000, 4, false)*F856,"")</f>
        <v/>
      </c>
      <c r="K856" s="29" t="b">
        <v>0</v>
      </c>
      <c r="L856" s="37"/>
      <c r="M856" s="29"/>
      <c r="N856" s="21" t="str">
        <f t="shared" si="2"/>
        <v/>
      </c>
      <c r="P856" s="37"/>
      <c r="Q856" s="29"/>
      <c r="R856" s="29" t="b">
        <v>0</v>
      </c>
      <c r="S856" s="22" t="str">
        <f t="shared" si="3"/>
        <v/>
      </c>
      <c r="T856" s="7">
        <f>IF(ISBLANK(P856), 0, VLOOKUP(P856, 'Price Sheet'!$A$2:$B1015, 2, false))</f>
        <v>0</v>
      </c>
      <c r="U856" s="33" t="str">
        <f t="shared" si="4"/>
        <v/>
      </c>
      <c r="V856" s="37"/>
      <c r="W856" s="29"/>
      <c r="X856" s="29" t="b">
        <v>0</v>
      </c>
      <c r="Y856" s="22" t="str">
        <f t="shared" si="5"/>
        <v/>
      </c>
      <c r="Z856" s="7">
        <f>IF(ISBLANK(V856), 0, VLOOKUP(V856, 'Price Sheet'!$A$2:$B1015, 2, false))</f>
        <v>0</v>
      </c>
      <c r="AA856" s="33" t="str">
        <f t="shared" si="6"/>
        <v/>
      </c>
      <c r="AB856" s="37"/>
      <c r="AC856" s="29"/>
      <c r="AD856" s="29" t="b">
        <v>0</v>
      </c>
      <c r="AE856" s="22" t="str">
        <f t="shared" si="7"/>
        <v/>
      </c>
      <c r="AF856" s="7">
        <f>IF(ISBLANK(AB856), 0, VLOOKUP(AB856, 'Price Sheet'!$A$2:$B1015, 2, false))</f>
        <v>0</v>
      </c>
      <c r="AG856" s="33" t="str">
        <f t="shared" si="8"/>
        <v/>
      </c>
      <c r="AH856" s="37"/>
      <c r="AI856" s="29"/>
      <c r="AJ856" s="29" t="b">
        <v>0</v>
      </c>
      <c r="AK856" s="22" t="str">
        <f t="shared" si="9"/>
        <v/>
      </c>
      <c r="AL856" s="7">
        <f>IF(ISBLANK(AH856), 0, VLOOKUP(AH856, 'Price Sheet'!$A$2:$B1015, 2, false))</f>
        <v>0</v>
      </c>
      <c r="AM856" s="33" t="str">
        <f t="shared" si="10"/>
        <v/>
      </c>
      <c r="AN856" s="37"/>
      <c r="AO856" s="29"/>
      <c r="AP856" s="29" t="b">
        <v>0</v>
      </c>
      <c r="AQ856" s="22" t="str">
        <f t="shared" si="11"/>
        <v/>
      </c>
      <c r="AR856" s="7">
        <f>IF(ISBLANK(AN856), 0, VLOOKUP(AN856, 'Price Sheet'!$A$2:$B1015, 2, false))</f>
        <v>0</v>
      </c>
      <c r="AS856" s="33" t="str">
        <f t="shared" si="12"/>
        <v/>
      </c>
      <c r="AT856" s="37"/>
      <c r="AU856" s="29"/>
      <c r="AV856" s="29" t="b">
        <v>0</v>
      </c>
      <c r="AW856" s="22" t="str">
        <f t="shared" si="13"/>
        <v/>
      </c>
      <c r="AX856" s="7">
        <f>IF(ISBLANK(AT856), 0, VLOOKUP(AT856, 'Price Sheet'!$A$2:$B1015, 2, false))</f>
        <v>0</v>
      </c>
      <c r="AY856" s="33" t="str">
        <f t="shared" si="14"/>
        <v/>
      </c>
      <c r="AZ856" s="37"/>
      <c r="BA856" s="29"/>
      <c r="BB856" s="29" t="b">
        <v>0</v>
      </c>
      <c r="BC856" s="22" t="str">
        <f t="shared" si="15"/>
        <v/>
      </c>
      <c r="BD856" s="7">
        <f>IF(ISBLANK(AZ856), 0, VLOOKUP(AZ856, 'Price Sheet'!$A$2:$B1015, 2, false))</f>
        <v>0</v>
      </c>
      <c r="BE856" s="33" t="str">
        <f t="shared" si="16"/>
        <v/>
      </c>
      <c r="BF856" s="37"/>
      <c r="BG856" s="29"/>
      <c r="BH856" s="29" t="b">
        <v>0</v>
      </c>
      <c r="BI856" s="22" t="str">
        <f t="shared" si="17"/>
        <v/>
      </c>
      <c r="BJ856" s="7">
        <f>IF(ISBLANK(BF856), 0, VLOOKUP(BF856, 'Price Sheet'!$A$2:$B1015, 2, false))</f>
        <v>0</v>
      </c>
      <c r="BK856" s="33" t="str">
        <f t="shared" si="18"/>
        <v/>
      </c>
      <c r="BL856" s="37"/>
      <c r="BM856" s="29"/>
      <c r="BN856" s="29" t="b">
        <v>0</v>
      </c>
      <c r="BO856" s="22" t="str">
        <f t="shared" si="19"/>
        <v/>
      </c>
      <c r="BP856" s="7">
        <f>IF(ISBLANK(BL856), 0, VLOOKUP(BL856, 'Price Sheet'!$A$2:$B1015, 2, false))</f>
        <v>0</v>
      </c>
      <c r="BQ856" s="33" t="str">
        <f t="shared" si="20"/>
        <v/>
      </c>
    </row>
    <row r="857">
      <c r="B857" s="19"/>
      <c r="C857" s="29"/>
      <c r="D857" s="29"/>
      <c r="E857" s="7" t="str">
        <f>IF(ISBLANK(D857), "", VLOOKUP(D857,'Crafting Tables'!$A$2:$B1015, 2, false))</f>
        <v/>
      </c>
      <c r="F857" s="7" t="str">
        <f>IFERROR(IF(E857 = "None", 1, VLOOKUP(C857,General!$A$5:$L$35, SWITCH(E857, "Basic", 8, "Advanced", 10, "Modern", 12), false)),"")</f>
        <v/>
      </c>
      <c r="G857" s="29"/>
      <c r="H857" s="7">
        <f>IFERROR(VLOOKUP(C857, General!$A$5:$L$35, 6, false) * G857 / 1000, 0)</f>
        <v>0</v>
      </c>
      <c r="I857" s="29"/>
      <c r="J857" s="22" t="str">
        <f>IFERROR(I857*VLOOKUP(D857,'Crafting Tables'!$1:$1000, 4, false)*F857,"")</f>
        <v/>
      </c>
      <c r="K857" s="29" t="b">
        <v>0</v>
      </c>
      <c r="L857" s="37"/>
      <c r="M857" s="29"/>
      <c r="N857" s="21" t="str">
        <f t="shared" si="2"/>
        <v/>
      </c>
      <c r="P857" s="37"/>
      <c r="Q857" s="29"/>
      <c r="R857" s="29" t="b">
        <v>0</v>
      </c>
      <c r="S857" s="22" t="str">
        <f t="shared" si="3"/>
        <v/>
      </c>
      <c r="T857" s="7">
        <f>IF(ISBLANK(P857), 0, VLOOKUP(P857, 'Price Sheet'!$A$2:$B1015, 2, false))</f>
        <v>0</v>
      </c>
      <c r="U857" s="33" t="str">
        <f t="shared" si="4"/>
        <v/>
      </c>
      <c r="V857" s="37"/>
      <c r="W857" s="29"/>
      <c r="X857" s="29" t="b">
        <v>0</v>
      </c>
      <c r="Y857" s="22" t="str">
        <f t="shared" si="5"/>
        <v/>
      </c>
      <c r="Z857" s="7">
        <f>IF(ISBLANK(V857), 0, VLOOKUP(V857, 'Price Sheet'!$A$2:$B1015, 2, false))</f>
        <v>0</v>
      </c>
      <c r="AA857" s="33" t="str">
        <f t="shared" si="6"/>
        <v/>
      </c>
      <c r="AB857" s="37"/>
      <c r="AC857" s="29"/>
      <c r="AD857" s="29" t="b">
        <v>0</v>
      </c>
      <c r="AE857" s="22" t="str">
        <f t="shared" si="7"/>
        <v/>
      </c>
      <c r="AF857" s="7">
        <f>IF(ISBLANK(AB857), 0, VLOOKUP(AB857, 'Price Sheet'!$A$2:$B1015, 2, false))</f>
        <v>0</v>
      </c>
      <c r="AG857" s="33" t="str">
        <f t="shared" si="8"/>
        <v/>
      </c>
      <c r="AH857" s="37"/>
      <c r="AI857" s="29"/>
      <c r="AJ857" s="29" t="b">
        <v>0</v>
      </c>
      <c r="AK857" s="22" t="str">
        <f t="shared" si="9"/>
        <v/>
      </c>
      <c r="AL857" s="7">
        <f>IF(ISBLANK(AH857), 0, VLOOKUP(AH857, 'Price Sheet'!$A$2:$B1015, 2, false))</f>
        <v>0</v>
      </c>
      <c r="AM857" s="33" t="str">
        <f t="shared" si="10"/>
        <v/>
      </c>
      <c r="AN857" s="37"/>
      <c r="AO857" s="29"/>
      <c r="AP857" s="29" t="b">
        <v>0</v>
      </c>
      <c r="AQ857" s="22" t="str">
        <f t="shared" si="11"/>
        <v/>
      </c>
      <c r="AR857" s="7">
        <f>IF(ISBLANK(AN857), 0, VLOOKUP(AN857, 'Price Sheet'!$A$2:$B1015, 2, false))</f>
        <v>0</v>
      </c>
      <c r="AS857" s="33" t="str">
        <f t="shared" si="12"/>
        <v/>
      </c>
      <c r="AT857" s="37"/>
      <c r="AU857" s="29"/>
      <c r="AV857" s="29" t="b">
        <v>0</v>
      </c>
      <c r="AW857" s="22" t="str">
        <f t="shared" si="13"/>
        <v/>
      </c>
      <c r="AX857" s="7">
        <f>IF(ISBLANK(AT857), 0, VLOOKUP(AT857, 'Price Sheet'!$A$2:$B1015, 2, false))</f>
        <v>0</v>
      </c>
      <c r="AY857" s="33" t="str">
        <f t="shared" si="14"/>
        <v/>
      </c>
      <c r="AZ857" s="37"/>
      <c r="BA857" s="29"/>
      <c r="BB857" s="29" t="b">
        <v>0</v>
      </c>
      <c r="BC857" s="22" t="str">
        <f t="shared" si="15"/>
        <v/>
      </c>
      <c r="BD857" s="7">
        <f>IF(ISBLANK(AZ857), 0, VLOOKUP(AZ857, 'Price Sheet'!$A$2:$B1015, 2, false))</f>
        <v>0</v>
      </c>
      <c r="BE857" s="33" t="str">
        <f t="shared" si="16"/>
        <v/>
      </c>
      <c r="BF857" s="37"/>
      <c r="BG857" s="29"/>
      <c r="BH857" s="29" t="b">
        <v>0</v>
      </c>
      <c r="BI857" s="22" t="str">
        <f t="shared" si="17"/>
        <v/>
      </c>
      <c r="BJ857" s="7">
        <f>IF(ISBLANK(BF857), 0, VLOOKUP(BF857, 'Price Sheet'!$A$2:$B1015, 2, false))</f>
        <v>0</v>
      </c>
      <c r="BK857" s="33" t="str">
        <f t="shared" si="18"/>
        <v/>
      </c>
      <c r="BL857" s="37"/>
      <c r="BM857" s="29"/>
      <c r="BN857" s="29" t="b">
        <v>0</v>
      </c>
      <c r="BO857" s="22" t="str">
        <f t="shared" si="19"/>
        <v/>
      </c>
      <c r="BP857" s="7">
        <f>IF(ISBLANK(BL857), 0, VLOOKUP(BL857, 'Price Sheet'!$A$2:$B1015, 2, false))</f>
        <v>0</v>
      </c>
      <c r="BQ857" s="33" t="str">
        <f t="shared" si="20"/>
        <v/>
      </c>
    </row>
    <row r="858">
      <c r="B858" s="19"/>
      <c r="C858" s="29"/>
      <c r="D858" s="29"/>
      <c r="E858" s="7" t="str">
        <f>IF(ISBLANK(D858), "", VLOOKUP(D858,'Crafting Tables'!$A$2:$B1015, 2, false))</f>
        <v/>
      </c>
      <c r="F858" s="7" t="str">
        <f>IFERROR(IF(E858 = "None", 1, VLOOKUP(C858,General!$A$5:$L$35, SWITCH(E858, "Basic", 8, "Advanced", 10, "Modern", 12), false)),"")</f>
        <v/>
      </c>
      <c r="G858" s="29"/>
      <c r="H858" s="7">
        <f>IFERROR(VLOOKUP(C858, General!$A$5:$L$35, 6, false) * G858 / 1000, 0)</f>
        <v>0</v>
      </c>
      <c r="I858" s="29"/>
      <c r="J858" s="22" t="str">
        <f>IFERROR(I858*VLOOKUP(D858,'Crafting Tables'!$1:$1000, 4, false)*F858,"")</f>
        <v/>
      </c>
      <c r="K858" s="29" t="b">
        <v>0</v>
      </c>
      <c r="L858" s="37"/>
      <c r="M858" s="29"/>
      <c r="N858" s="21" t="str">
        <f t="shared" si="2"/>
        <v/>
      </c>
      <c r="P858" s="37"/>
      <c r="Q858" s="29"/>
      <c r="R858" s="29" t="b">
        <v>0</v>
      </c>
      <c r="S858" s="22" t="str">
        <f t="shared" si="3"/>
        <v/>
      </c>
      <c r="T858" s="7">
        <f>IF(ISBLANK(P858), 0, VLOOKUP(P858, 'Price Sheet'!$A$2:$B1015, 2, false))</f>
        <v>0</v>
      </c>
      <c r="U858" s="33" t="str">
        <f t="shared" si="4"/>
        <v/>
      </c>
      <c r="V858" s="37"/>
      <c r="W858" s="29"/>
      <c r="X858" s="29" t="b">
        <v>0</v>
      </c>
      <c r="Y858" s="22" t="str">
        <f t="shared" si="5"/>
        <v/>
      </c>
      <c r="Z858" s="7">
        <f>IF(ISBLANK(V858), 0, VLOOKUP(V858, 'Price Sheet'!$A$2:$B1015, 2, false))</f>
        <v>0</v>
      </c>
      <c r="AA858" s="33" t="str">
        <f t="shared" si="6"/>
        <v/>
      </c>
      <c r="AB858" s="37"/>
      <c r="AC858" s="29"/>
      <c r="AD858" s="29" t="b">
        <v>0</v>
      </c>
      <c r="AE858" s="22" t="str">
        <f t="shared" si="7"/>
        <v/>
      </c>
      <c r="AF858" s="7">
        <f>IF(ISBLANK(AB858), 0, VLOOKUP(AB858, 'Price Sheet'!$A$2:$B1015, 2, false))</f>
        <v>0</v>
      </c>
      <c r="AG858" s="33" t="str">
        <f t="shared" si="8"/>
        <v/>
      </c>
      <c r="AH858" s="37"/>
      <c r="AI858" s="29"/>
      <c r="AJ858" s="29" t="b">
        <v>0</v>
      </c>
      <c r="AK858" s="22" t="str">
        <f t="shared" si="9"/>
        <v/>
      </c>
      <c r="AL858" s="7">
        <f>IF(ISBLANK(AH858), 0, VLOOKUP(AH858, 'Price Sheet'!$A$2:$B1015, 2, false))</f>
        <v>0</v>
      </c>
      <c r="AM858" s="33" t="str">
        <f t="shared" si="10"/>
        <v/>
      </c>
      <c r="AN858" s="37"/>
      <c r="AO858" s="29"/>
      <c r="AP858" s="29" t="b">
        <v>0</v>
      </c>
      <c r="AQ858" s="22" t="str">
        <f t="shared" si="11"/>
        <v/>
      </c>
      <c r="AR858" s="7">
        <f>IF(ISBLANK(AN858), 0, VLOOKUP(AN858, 'Price Sheet'!$A$2:$B1015, 2, false))</f>
        <v>0</v>
      </c>
      <c r="AS858" s="33" t="str">
        <f t="shared" si="12"/>
        <v/>
      </c>
      <c r="AT858" s="37"/>
      <c r="AU858" s="29"/>
      <c r="AV858" s="29" t="b">
        <v>0</v>
      </c>
      <c r="AW858" s="22" t="str">
        <f t="shared" si="13"/>
        <v/>
      </c>
      <c r="AX858" s="7">
        <f>IF(ISBLANK(AT858), 0, VLOOKUP(AT858, 'Price Sheet'!$A$2:$B1015, 2, false))</f>
        <v>0</v>
      </c>
      <c r="AY858" s="33" t="str">
        <f t="shared" si="14"/>
        <v/>
      </c>
      <c r="AZ858" s="37"/>
      <c r="BA858" s="29"/>
      <c r="BB858" s="29" t="b">
        <v>0</v>
      </c>
      <c r="BC858" s="22" t="str">
        <f t="shared" si="15"/>
        <v/>
      </c>
      <c r="BD858" s="7">
        <f>IF(ISBLANK(AZ858), 0, VLOOKUP(AZ858, 'Price Sheet'!$A$2:$B1015, 2, false))</f>
        <v>0</v>
      </c>
      <c r="BE858" s="33" t="str">
        <f t="shared" si="16"/>
        <v/>
      </c>
      <c r="BF858" s="37"/>
      <c r="BG858" s="29"/>
      <c r="BH858" s="29" t="b">
        <v>0</v>
      </c>
      <c r="BI858" s="22" t="str">
        <f t="shared" si="17"/>
        <v/>
      </c>
      <c r="BJ858" s="7">
        <f>IF(ISBLANK(BF858), 0, VLOOKUP(BF858, 'Price Sheet'!$A$2:$B1015, 2, false))</f>
        <v>0</v>
      </c>
      <c r="BK858" s="33" t="str">
        <f t="shared" si="18"/>
        <v/>
      </c>
      <c r="BL858" s="37"/>
      <c r="BM858" s="29"/>
      <c r="BN858" s="29" t="b">
        <v>0</v>
      </c>
      <c r="BO858" s="22" t="str">
        <f t="shared" si="19"/>
        <v/>
      </c>
      <c r="BP858" s="7">
        <f>IF(ISBLANK(BL858), 0, VLOOKUP(BL858, 'Price Sheet'!$A$2:$B1015, 2, false))</f>
        <v>0</v>
      </c>
      <c r="BQ858" s="33" t="str">
        <f t="shared" si="20"/>
        <v/>
      </c>
    </row>
    <row r="859">
      <c r="B859" s="19"/>
      <c r="C859" s="29"/>
      <c r="D859" s="29"/>
      <c r="E859" s="7" t="str">
        <f>IF(ISBLANK(D859), "", VLOOKUP(D859,'Crafting Tables'!$A$2:$B1015, 2, false))</f>
        <v/>
      </c>
      <c r="F859" s="7" t="str">
        <f>IFERROR(IF(E859 = "None", 1, VLOOKUP(C859,General!$A$5:$L$35, SWITCH(E859, "Basic", 8, "Advanced", 10, "Modern", 12), false)),"")</f>
        <v/>
      </c>
      <c r="G859" s="29"/>
      <c r="H859" s="7">
        <f>IFERROR(VLOOKUP(C859, General!$A$5:$L$35, 6, false) * G859 / 1000, 0)</f>
        <v>0</v>
      </c>
      <c r="I859" s="29"/>
      <c r="J859" s="22" t="str">
        <f>IFERROR(I859*VLOOKUP(D859,'Crafting Tables'!$1:$1000, 4, false)*F859,"")</f>
        <v/>
      </c>
      <c r="K859" s="29" t="b">
        <v>0</v>
      </c>
      <c r="L859" s="37"/>
      <c r="M859" s="29"/>
      <c r="N859" s="21" t="str">
        <f t="shared" si="2"/>
        <v/>
      </c>
      <c r="P859" s="37"/>
      <c r="Q859" s="29"/>
      <c r="R859" s="29" t="b">
        <v>0</v>
      </c>
      <c r="S859" s="22" t="str">
        <f t="shared" si="3"/>
        <v/>
      </c>
      <c r="T859" s="7">
        <f>IF(ISBLANK(P859), 0, VLOOKUP(P859, 'Price Sheet'!$A$2:$B1015, 2, false))</f>
        <v>0</v>
      </c>
      <c r="U859" s="33" t="str">
        <f t="shared" si="4"/>
        <v/>
      </c>
      <c r="V859" s="37"/>
      <c r="W859" s="29"/>
      <c r="X859" s="29" t="b">
        <v>0</v>
      </c>
      <c r="Y859" s="22" t="str">
        <f t="shared" si="5"/>
        <v/>
      </c>
      <c r="Z859" s="7">
        <f>IF(ISBLANK(V859), 0, VLOOKUP(V859, 'Price Sheet'!$A$2:$B1015, 2, false))</f>
        <v>0</v>
      </c>
      <c r="AA859" s="33" t="str">
        <f t="shared" si="6"/>
        <v/>
      </c>
      <c r="AB859" s="37"/>
      <c r="AC859" s="29"/>
      <c r="AD859" s="29" t="b">
        <v>0</v>
      </c>
      <c r="AE859" s="22" t="str">
        <f t="shared" si="7"/>
        <v/>
      </c>
      <c r="AF859" s="7">
        <f>IF(ISBLANK(AB859), 0, VLOOKUP(AB859, 'Price Sheet'!$A$2:$B1015, 2, false))</f>
        <v>0</v>
      </c>
      <c r="AG859" s="33" t="str">
        <f t="shared" si="8"/>
        <v/>
      </c>
      <c r="AH859" s="37"/>
      <c r="AI859" s="29"/>
      <c r="AJ859" s="29" t="b">
        <v>0</v>
      </c>
      <c r="AK859" s="22" t="str">
        <f t="shared" si="9"/>
        <v/>
      </c>
      <c r="AL859" s="7">
        <f>IF(ISBLANK(AH859), 0, VLOOKUP(AH859, 'Price Sheet'!$A$2:$B1015, 2, false))</f>
        <v>0</v>
      </c>
      <c r="AM859" s="33" t="str">
        <f t="shared" si="10"/>
        <v/>
      </c>
      <c r="AN859" s="37"/>
      <c r="AO859" s="29"/>
      <c r="AP859" s="29" t="b">
        <v>0</v>
      </c>
      <c r="AQ859" s="22" t="str">
        <f t="shared" si="11"/>
        <v/>
      </c>
      <c r="AR859" s="7">
        <f>IF(ISBLANK(AN859), 0, VLOOKUP(AN859, 'Price Sheet'!$A$2:$B1015, 2, false))</f>
        <v>0</v>
      </c>
      <c r="AS859" s="33" t="str">
        <f t="shared" si="12"/>
        <v/>
      </c>
      <c r="AT859" s="37"/>
      <c r="AU859" s="29"/>
      <c r="AV859" s="29" t="b">
        <v>0</v>
      </c>
      <c r="AW859" s="22" t="str">
        <f t="shared" si="13"/>
        <v/>
      </c>
      <c r="AX859" s="7">
        <f>IF(ISBLANK(AT859), 0, VLOOKUP(AT859, 'Price Sheet'!$A$2:$B1015, 2, false))</f>
        <v>0</v>
      </c>
      <c r="AY859" s="33" t="str">
        <f t="shared" si="14"/>
        <v/>
      </c>
      <c r="AZ859" s="37"/>
      <c r="BA859" s="29"/>
      <c r="BB859" s="29" t="b">
        <v>0</v>
      </c>
      <c r="BC859" s="22" t="str">
        <f t="shared" si="15"/>
        <v/>
      </c>
      <c r="BD859" s="7">
        <f>IF(ISBLANK(AZ859), 0, VLOOKUP(AZ859, 'Price Sheet'!$A$2:$B1015, 2, false))</f>
        <v>0</v>
      </c>
      <c r="BE859" s="33" t="str">
        <f t="shared" si="16"/>
        <v/>
      </c>
      <c r="BF859" s="37"/>
      <c r="BG859" s="29"/>
      <c r="BH859" s="29" t="b">
        <v>0</v>
      </c>
      <c r="BI859" s="22" t="str">
        <f t="shared" si="17"/>
        <v/>
      </c>
      <c r="BJ859" s="7">
        <f>IF(ISBLANK(BF859), 0, VLOOKUP(BF859, 'Price Sheet'!$A$2:$B1015, 2, false))</f>
        <v>0</v>
      </c>
      <c r="BK859" s="33" t="str">
        <f t="shared" si="18"/>
        <v/>
      </c>
      <c r="BL859" s="37"/>
      <c r="BM859" s="29"/>
      <c r="BN859" s="29" t="b">
        <v>0</v>
      </c>
      <c r="BO859" s="22" t="str">
        <f t="shared" si="19"/>
        <v/>
      </c>
      <c r="BP859" s="7">
        <f>IF(ISBLANK(BL859), 0, VLOOKUP(BL859, 'Price Sheet'!$A$2:$B1015, 2, false))</f>
        <v>0</v>
      </c>
      <c r="BQ859" s="33" t="str">
        <f t="shared" si="20"/>
        <v/>
      </c>
    </row>
    <row r="860">
      <c r="B860" s="19"/>
      <c r="C860" s="29"/>
      <c r="D860" s="29"/>
      <c r="E860" s="7" t="str">
        <f>IF(ISBLANK(D860), "", VLOOKUP(D860,'Crafting Tables'!$A$2:$B1015, 2, false))</f>
        <v/>
      </c>
      <c r="F860" s="7" t="str">
        <f>IFERROR(IF(E860 = "None", 1, VLOOKUP(C860,General!$A$5:$L$35, SWITCH(E860, "Basic", 8, "Advanced", 10, "Modern", 12), false)),"")</f>
        <v/>
      </c>
      <c r="G860" s="29"/>
      <c r="H860" s="7">
        <f>IFERROR(VLOOKUP(C860, General!$A$5:$L$35, 6, false) * G860 / 1000, 0)</f>
        <v>0</v>
      </c>
      <c r="I860" s="29"/>
      <c r="J860" s="22" t="str">
        <f>IFERROR(I860*VLOOKUP(D860,'Crafting Tables'!$1:$1000, 4, false)*F860,"")</f>
        <v/>
      </c>
      <c r="K860" s="29" t="b">
        <v>0</v>
      </c>
      <c r="L860" s="37"/>
      <c r="M860" s="29"/>
      <c r="N860" s="21" t="str">
        <f t="shared" si="2"/>
        <v/>
      </c>
      <c r="P860" s="37"/>
      <c r="Q860" s="29"/>
      <c r="R860" s="29" t="b">
        <v>0</v>
      </c>
      <c r="S860" s="22" t="str">
        <f t="shared" si="3"/>
        <v/>
      </c>
      <c r="T860" s="7">
        <f>IF(ISBLANK(P860), 0, VLOOKUP(P860, 'Price Sheet'!$A$2:$B1015, 2, false))</f>
        <v>0</v>
      </c>
      <c r="U860" s="33" t="str">
        <f t="shared" si="4"/>
        <v/>
      </c>
      <c r="V860" s="37"/>
      <c r="W860" s="29"/>
      <c r="X860" s="29" t="b">
        <v>0</v>
      </c>
      <c r="Y860" s="22" t="str">
        <f t="shared" si="5"/>
        <v/>
      </c>
      <c r="Z860" s="7">
        <f>IF(ISBLANK(V860), 0, VLOOKUP(V860, 'Price Sheet'!$A$2:$B1015, 2, false))</f>
        <v>0</v>
      </c>
      <c r="AA860" s="33" t="str">
        <f t="shared" si="6"/>
        <v/>
      </c>
      <c r="AB860" s="37"/>
      <c r="AC860" s="29"/>
      <c r="AD860" s="29" t="b">
        <v>0</v>
      </c>
      <c r="AE860" s="22" t="str">
        <f t="shared" si="7"/>
        <v/>
      </c>
      <c r="AF860" s="7">
        <f>IF(ISBLANK(AB860), 0, VLOOKUP(AB860, 'Price Sheet'!$A$2:$B1015, 2, false))</f>
        <v>0</v>
      </c>
      <c r="AG860" s="33" t="str">
        <f t="shared" si="8"/>
        <v/>
      </c>
      <c r="AH860" s="37"/>
      <c r="AI860" s="29"/>
      <c r="AJ860" s="29" t="b">
        <v>0</v>
      </c>
      <c r="AK860" s="22" t="str">
        <f t="shared" si="9"/>
        <v/>
      </c>
      <c r="AL860" s="7">
        <f>IF(ISBLANK(AH860), 0, VLOOKUP(AH860, 'Price Sheet'!$A$2:$B1015, 2, false))</f>
        <v>0</v>
      </c>
      <c r="AM860" s="33" t="str">
        <f t="shared" si="10"/>
        <v/>
      </c>
      <c r="AN860" s="37"/>
      <c r="AO860" s="29"/>
      <c r="AP860" s="29" t="b">
        <v>0</v>
      </c>
      <c r="AQ860" s="22" t="str">
        <f t="shared" si="11"/>
        <v/>
      </c>
      <c r="AR860" s="7">
        <f>IF(ISBLANK(AN860), 0, VLOOKUP(AN860, 'Price Sheet'!$A$2:$B1015, 2, false))</f>
        <v>0</v>
      </c>
      <c r="AS860" s="33" t="str">
        <f t="shared" si="12"/>
        <v/>
      </c>
      <c r="AT860" s="37"/>
      <c r="AU860" s="29"/>
      <c r="AV860" s="29" t="b">
        <v>0</v>
      </c>
      <c r="AW860" s="22" t="str">
        <f t="shared" si="13"/>
        <v/>
      </c>
      <c r="AX860" s="7">
        <f>IF(ISBLANK(AT860), 0, VLOOKUP(AT860, 'Price Sheet'!$A$2:$B1015, 2, false))</f>
        <v>0</v>
      </c>
      <c r="AY860" s="33" t="str">
        <f t="shared" si="14"/>
        <v/>
      </c>
      <c r="AZ860" s="37"/>
      <c r="BA860" s="29"/>
      <c r="BB860" s="29" t="b">
        <v>0</v>
      </c>
      <c r="BC860" s="22" t="str">
        <f t="shared" si="15"/>
        <v/>
      </c>
      <c r="BD860" s="7">
        <f>IF(ISBLANK(AZ860), 0, VLOOKUP(AZ860, 'Price Sheet'!$A$2:$B1015, 2, false))</f>
        <v>0</v>
      </c>
      <c r="BE860" s="33" t="str">
        <f t="shared" si="16"/>
        <v/>
      </c>
      <c r="BF860" s="37"/>
      <c r="BG860" s="29"/>
      <c r="BH860" s="29" t="b">
        <v>0</v>
      </c>
      <c r="BI860" s="22" t="str">
        <f t="shared" si="17"/>
        <v/>
      </c>
      <c r="BJ860" s="7">
        <f>IF(ISBLANK(BF860), 0, VLOOKUP(BF860, 'Price Sheet'!$A$2:$B1015, 2, false))</f>
        <v>0</v>
      </c>
      <c r="BK860" s="33" t="str">
        <f t="shared" si="18"/>
        <v/>
      </c>
      <c r="BL860" s="37"/>
      <c r="BM860" s="29"/>
      <c r="BN860" s="29" t="b">
        <v>0</v>
      </c>
      <c r="BO860" s="22" t="str">
        <f t="shared" si="19"/>
        <v/>
      </c>
      <c r="BP860" s="7">
        <f>IF(ISBLANK(BL860), 0, VLOOKUP(BL860, 'Price Sheet'!$A$2:$B1015, 2, false))</f>
        <v>0</v>
      </c>
      <c r="BQ860" s="33" t="str">
        <f t="shared" si="20"/>
        <v/>
      </c>
    </row>
    <row r="861">
      <c r="B861" s="19"/>
      <c r="C861" s="29"/>
      <c r="D861" s="29"/>
      <c r="E861" s="7" t="str">
        <f>IF(ISBLANK(D861), "", VLOOKUP(D861,'Crafting Tables'!$A$2:$B1015, 2, false))</f>
        <v/>
      </c>
      <c r="F861" s="7" t="str">
        <f>IFERROR(IF(E861 = "None", 1, VLOOKUP(C861,General!$A$5:$L$35, SWITCH(E861, "Basic", 8, "Advanced", 10, "Modern", 12), false)),"")</f>
        <v/>
      </c>
      <c r="G861" s="29"/>
      <c r="H861" s="7">
        <f>IFERROR(VLOOKUP(C861, General!$A$5:$L$35, 6, false) * G861 / 1000, 0)</f>
        <v>0</v>
      </c>
      <c r="I861" s="29"/>
      <c r="J861" s="22" t="str">
        <f>IFERROR(I861*VLOOKUP(D861,'Crafting Tables'!$1:$1000, 4, false)*F861,"")</f>
        <v/>
      </c>
      <c r="K861" s="29" t="b">
        <v>0</v>
      </c>
      <c r="L861" s="37"/>
      <c r="M861" s="29"/>
      <c r="N861" s="21" t="str">
        <f t="shared" si="2"/>
        <v/>
      </c>
      <c r="P861" s="37"/>
      <c r="Q861" s="29"/>
      <c r="R861" s="29" t="b">
        <v>0</v>
      </c>
      <c r="S861" s="22" t="str">
        <f t="shared" si="3"/>
        <v/>
      </c>
      <c r="T861" s="7">
        <f>IF(ISBLANK(P861), 0, VLOOKUP(P861, 'Price Sheet'!$A$2:$B1015, 2, false))</f>
        <v>0</v>
      </c>
      <c r="U861" s="33" t="str">
        <f t="shared" si="4"/>
        <v/>
      </c>
      <c r="V861" s="37"/>
      <c r="W861" s="29"/>
      <c r="X861" s="29" t="b">
        <v>0</v>
      </c>
      <c r="Y861" s="22" t="str">
        <f t="shared" si="5"/>
        <v/>
      </c>
      <c r="Z861" s="7">
        <f>IF(ISBLANK(V861), 0, VLOOKUP(V861, 'Price Sheet'!$A$2:$B1015, 2, false))</f>
        <v>0</v>
      </c>
      <c r="AA861" s="33" t="str">
        <f t="shared" si="6"/>
        <v/>
      </c>
      <c r="AB861" s="37"/>
      <c r="AC861" s="29"/>
      <c r="AD861" s="29" t="b">
        <v>0</v>
      </c>
      <c r="AE861" s="22" t="str">
        <f t="shared" si="7"/>
        <v/>
      </c>
      <c r="AF861" s="7">
        <f>IF(ISBLANK(AB861), 0, VLOOKUP(AB861, 'Price Sheet'!$A$2:$B1015, 2, false))</f>
        <v>0</v>
      </c>
      <c r="AG861" s="33" t="str">
        <f t="shared" si="8"/>
        <v/>
      </c>
      <c r="AH861" s="37"/>
      <c r="AI861" s="29"/>
      <c r="AJ861" s="29" t="b">
        <v>0</v>
      </c>
      <c r="AK861" s="22" t="str">
        <f t="shared" si="9"/>
        <v/>
      </c>
      <c r="AL861" s="7">
        <f>IF(ISBLANK(AH861), 0, VLOOKUP(AH861, 'Price Sheet'!$A$2:$B1015, 2, false))</f>
        <v>0</v>
      </c>
      <c r="AM861" s="33" t="str">
        <f t="shared" si="10"/>
        <v/>
      </c>
      <c r="AN861" s="37"/>
      <c r="AO861" s="29"/>
      <c r="AP861" s="29" t="b">
        <v>0</v>
      </c>
      <c r="AQ861" s="22" t="str">
        <f t="shared" si="11"/>
        <v/>
      </c>
      <c r="AR861" s="7">
        <f>IF(ISBLANK(AN861), 0, VLOOKUP(AN861, 'Price Sheet'!$A$2:$B1015, 2, false))</f>
        <v>0</v>
      </c>
      <c r="AS861" s="33" t="str">
        <f t="shared" si="12"/>
        <v/>
      </c>
      <c r="AT861" s="37"/>
      <c r="AU861" s="29"/>
      <c r="AV861" s="29" t="b">
        <v>0</v>
      </c>
      <c r="AW861" s="22" t="str">
        <f t="shared" si="13"/>
        <v/>
      </c>
      <c r="AX861" s="7">
        <f>IF(ISBLANK(AT861), 0, VLOOKUP(AT861, 'Price Sheet'!$A$2:$B1015, 2, false))</f>
        <v>0</v>
      </c>
      <c r="AY861" s="33" t="str">
        <f t="shared" si="14"/>
        <v/>
      </c>
      <c r="AZ861" s="37"/>
      <c r="BA861" s="29"/>
      <c r="BB861" s="29" t="b">
        <v>0</v>
      </c>
      <c r="BC861" s="22" t="str">
        <f t="shared" si="15"/>
        <v/>
      </c>
      <c r="BD861" s="7">
        <f>IF(ISBLANK(AZ861), 0, VLOOKUP(AZ861, 'Price Sheet'!$A$2:$B1015, 2, false))</f>
        <v>0</v>
      </c>
      <c r="BE861" s="33" t="str">
        <f t="shared" si="16"/>
        <v/>
      </c>
      <c r="BF861" s="37"/>
      <c r="BG861" s="29"/>
      <c r="BH861" s="29" t="b">
        <v>0</v>
      </c>
      <c r="BI861" s="22" t="str">
        <f t="shared" si="17"/>
        <v/>
      </c>
      <c r="BJ861" s="7">
        <f>IF(ISBLANK(BF861), 0, VLOOKUP(BF861, 'Price Sheet'!$A$2:$B1015, 2, false))</f>
        <v>0</v>
      </c>
      <c r="BK861" s="33" t="str">
        <f t="shared" si="18"/>
        <v/>
      </c>
      <c r="BL861" s="37"/>
      <c r="BM861" s="29"/>
      <c r="BN861" s="29" t="b">
        <v>0</v>
      </c>
      <c r="BO861" s="22" t="str">
        <f t="shared" si="19"/>
        <v/>
      </c>
      <c r="BP861" s="7">
        <f>IF(ISBLANK(BL861), 0, VLOOKUP(BL861, 'Price Sheet'!$A$2:$B1015, 2, false))</f>
        <v>0</v>
      </c>
      <c r="BQ861" s="33" t="str">
        <f t="shared" si="20"/>
        <v/>
      </c>
    </row>
    <row r="862">
      <c r="B862" s="19"/>
      <c r="C862" s="29"/>
      <c r="D862" s="29"/>
      <c r="E862" s="7" t="str">
        <f>IF(ISBLANK(D862), "", VLOOKUP(D862,'Crafting Tables'!$A$2:$B1015, 2, false))</f>
        <v/>
      </c>
      <c r="F862" s="7" t="str">
        <f>IFERROR(IF(E862 = "None", 1, VLOOKUP(C862,General!$A$5:$L$35, SWITCH(E862, "Basic", 8, "Advanced", 10, "Modern", 12), false)),"")</f>
        <v/>
      </c>
      <c r="G862" s="29"/>
      <c r="H862" s="7">
        <f>IFERROR(VLOOKUP(C862, General!$A$5:$L$35, 6, false) * G862 / 1000, 0)</f>
        <v>0</v>
      </c>
      <c r="I862" s="29"/>
      <c r="J862" s="22" t="str">
        <f>IFERROR(I862*VLOOKUP(D862,'Crafting Tables'!$1:$1000, 4, false)*F862,"")</f>
        <v/>
      </c>
      <c r="K862" s="29" t="b">
        <v>0</v>
      </c>
      <c r="L862" s="37"/>
      <c r="M862" s="29"/>
      <c r="N862" s="21" t="str">
        <f t="shared" si="2"/>
        <v/>
      </c>
      <c r="P862" s="37"/>
      <c r="Q862" s="29"/>
      <c r="R862" s="29" t="b">
        <v>0</v>
      </c>
      <c r="S862" s="22" t="str">
        <f t="shared" si="3"/>
        <v/>
      </c>
      <c r="T862" s="7">
        <f>IF(ISBLANK(P862), 0, VLOOKUP(P862, 'Price Sheet'!$A$2:$B1015, 2, false))</f>
        <v>0</v>
      </c>
      <c r="U862" s="33" t="str">
        <f t="shared" si="4"/>
        <v/>
      </c>
      <c r="V862" s="37"/>
      <c r="W862" s="29"/>
      <c r="X862" s="29" t="b">
        <v>0</v>
      </c>
      <c r="Y862" s="22" t="str">
        <f t="shared" si="5"/>
        <v/>
      </c>
      <c r="Z862" s="7">
        <f>IF(ISBLANK(V862), 0, VLOOKUP(V862, 'Price Sheet'!$A$2:$B1015, 2, false))</f>
        <v>0</v>
      </c>
      <c r="AA862" s="33" t="str">
        <f t="shared" si="6"/>
        <v/>
      </c>
      <c r="AB862" s="37"/>
      <c r="AC862" s="29"/>
      <c r="AD862" s="29" t="b">
        <v>0</v>
      </c>
      <c r="AE862" s="22" t="str">
        <f t="shared" si="7"/>
        <v/>
      </c>
      <c r="AF862" s="7">
        <f>IF(ISBLANK(AB862), 0, VLOOKUP(AB862, 'Price Sheet'!$A$2:$B1015, 2, false))</f>
        <v>0</v>
      </c>
      <c r="AG862" s="33" t="str">
        <f t="shared" si="8"/>
        <v/>
      </c>
      <c r="AH862" s="37"/>
      <c r="AI862" s="29"/>
      <c r="AJ862" s="29" t="b">
        <v>0</v>
      </c>
      <c r="AK862" s="22" t="str">
        <f t="shared" si="9"/>
        <v/>
      </c>
      <c r="AL862" s="7">
        <f>IF(ISBLANK(AH862), 0, VLOOKUP(AH862, 'Price Sheet'!$A$2:$B1015, 2, false))</f>
        <v>0</v>
      </c>
      <c r="AM862" s="33" t="str">
        <f t="shared" si="10"/>
        <v/>
      </c>
      <c r="AN862" s="37"/>
      <c r="AO862" s="29"/>
      <c r="AP862" s="29" t="b">
        <v>0</v>
      </c>
      <c r="AQ862" s="22" t="str">
        <f t="shared" si="11"/>
        <v/>
      </c>
      <c r="AR862" s="7">
        <f>IF(ISBLANK(AN862), 0, VLOOKUP(AN862, 'Price Sheet'!$A$2:$B1015, 2, false))</f>
        <v>0</v>
      </c>
      <c r="AS862" s="33" t="str">
        <f t="shared" si="12"/>
        <v/>
      </c>
      <c r="AT862" s="37"/>
      <c r="AU862" s="29"/>
      <c r="AV862" s="29" t="b">
        <v>0</v>
      </c>
      <c r="AW862" s="22" t="str">
        <f t="shared" si="13"/>
        <v/>
      </c>
      <c r="AX862" s="7">
        <f>IF(ISBLANK(AT862), 0, VLOOKUP(AT862, 'Price Sheet'!$A$2:$B1015, 2, false))</f>
        <v>0</v>
      </c>
      <c r="AY862" s="33" t="str">
        <f t="shared" si="14"/>
        <v/>
      </c>
      <c r="AZ862" s="37"/>
      <c r="BA862" s="29"/>
      <c r="BB862" s="29" t="b">
        <v>0</v>
      </c>
      <c r="BC862" s="22" t="str">
        <f t="shared" si="15"/>
        <v/>
      </c>
      <c r="BD862" s="7">
        <f>IF(ISBLANK(AZ862), 0, VLOOKUP(AZ862, 'Price Sheet'!$A$2:$B1015, 2, false))</f>
        <v>0</v>
      </c>
      <c r="BE862" s="33" t="str">
        <f t="shared" si="16"/>
        <v/>
      </c>
      <c r="BF862" s="37"/>
      <c r="BG862" s="29"/>
      <c r="BH862" s="29" t="b">
        <v>0</v>
      </c>
      <c r="BI862" s="22" t="str">
        <f t="shared" si="17"/>
        <v/>
      </c>
      <c r="BJ862" s="7">
        <f>IF(ISBLANK(BF862), 0, VLOOKUP(BF862, 'Price Sheet'!$A$2:$B1015, 2, false))</f>
        <v>0</v>
      </c>
      <c r="BK862" s="33" t="str">
        <f t="shared" si="18"/>
        <v/>
      </c>
      <c r="BL862" s="37"/>
      <c r="BM862" s="29"/>
      <c r="BN862" s="29" t="b">
        <v>0</v>
      </c>
      <c r="BO862" s="22" t="str">
        <f t="shared" si="19"/>
        <v/>
      </c>
      <c r="BP862" s="7">
        <f>IF(ISBLANK(BL862), 0, VLOOKUP(BL862, 'Price Sheet'!$A$2:$B1015, 2, false))</f>
        <v>0</v>
      </c>
      <c r="BQ862" s="33" t="str">
        <f t="shared" si="20"/>
        <v/>
      </c>
    </row>
    <row r="863">
      <c r="B863" s="19"/>
      <c r="C863" s="29"/>
      <c r="D863" s="29"/>
      <c r="E863" s="7" t="str">
        <f>IF(ISBLANK(D863), "", VLOOKUP(D863,'Crafting Tables'!$A$2:$B1015, 2, false))</f>
        <v/>
      </c>
      <c r="F863" s="7" t="str">
        <f>IFERROR(IF(E863 = "None", 1, VLOOKUP(C863,General!$A$5:$L$35, SWITCH(E863, "Basic", 8, "Advanced", 10, "Modern", 12), false)),"")</f>
        <v/>
      </c>
      <c r="G863" s="29"/>
      <c r="H863" s="7">
        <f>IFERROR(VLOOKUP(C863, General!$A$5:$L$35, 6, false) * G863 / 1000, 0)</f>
        <v>0</v>
      </c>
      <c r="I863" s="29"/>
      <c r="J863" s="22" t="str">
        <f>IFERROR(I863*VLOOKUP(D863,'Crafting Tables'!$1:$1000, 4, false)*F863,"")</f>
        <v/>
      </c>
      <c r="K863" s="29" t="b">
        <v>0</v>
      </c>
      <c r="L863" s="37"/>
      <c r="M863" s="29"/>
      <c r="N863" s="21" t="str">
        <f t="shared" si="2"/>
        <v/>
      </c>
      <c r="P863" s="37"/>
      <c r="Q863" s="29"/>
      <c r="R863" s="29" t="b">
        <v>0</v>
      </c>
      <c r="S863" s="22" t="str">
        <f t="shared" si="3"/>
        <v/>
      </c>
      <c r="T863" s="7">
        <f>IF(ISBLANK(P863), 0, VLOOKUP(P863, 'Price Sheet'!$A$2:$B1015, 2, false))</f>
        <v>0</v>
      </c>
      <c r="U863" s="33" t="str">
        <f t="shared" si="4"/>
        <v/>
      </c>
      <c r="V863" s="37"/>
      <c r="W863" s="29"/>
      <c r="X863" s="29" t="b">
        <v>0</v>
      </c>
      <c r="Y863" s="22" t="str">
        <f t="shared" si="5"/>
        <v/>
      </c>
      <c r="Z863" s="7">
        <f>IF(ISBLANK(V863), 0, VLOOKUP(V863, 'Price Sheet'!$A$2:$B1015, 2, false))</f>
        <v>0</v>
      </c>
      <c r="AA863" s="33" t="str">
        <f t="shared" si="6"/>
        <v/>
      </c>
      <c r="AB863" s="37"/>
      <c r="AC863" s="29"/>
      <c r="AD863" s="29" t="b">
        <v>0</v>
      </c>
      <c r="AE863" s="22" t="str">
        <f t="shared" si="7"/>
        <v/>
      </c>
      <c r="AF863" s="7">
        <f>IF(ISBLANK(AB863), 0, VLOOKUP(AB863, 'Price Sheet'!$A$2:$B1015, 2, false))</f>
        <v>0</v>
      </c>
      <c r="AG863" s="33" t="str">
        <f t="shared" si="8"/>
        <v/>
      </c>
      <c r="AH863" s="37"/>
      <c r="AI863" s="29"/>
      <c r="AJ863" s="29" t="b">
        <v>0</v>
      </c>
      <c r="AK863" s="22" t="str">
        <f t="shared" si="9"/>
        <v/>
      </c>
      <c r="AL863" s="7">
        <f>IF(ISBLANK(AH863), 0, VLOOKUP(AH863, 'Price Sheet'!$A$2:$B1015, 2, false))</f>
        <v>0</v>
      </c>
      <c r="AM863" s="33" t="str">
        <f t="shared" si="10"/>
        <v/>
      </c>
      <c r="AN863" s="37"/>
      <c r="AO863" s="29"/>
      <c r="AP863" s="29" t="b">
        <v>0</v>
      </c>
      <c r="AQ863" s="22" t="str">
        <f t="shared" si="11"/>
        <v/>
      </c>
      <c r="AR863" s="7">
        <f>IF(ISBLANK(AN863), 0, VLOOKUP(AN863, 'Price Sheet'!$A$2:$B1015, 2, false))</f>
        <v>0</v>
      </c>
      <c r="AS863" s="33" t="str">
        <f t="shared" si="12"/>
        <v/>
      </c>
      <c r="AT863" s="37"/>
      <c r="AU863" s="29"/>
      <c r="AV863" s="29" t="b">
        <v>0</v>
      </c>
      <c r="AW863" s="22" t="str">
        <f t="shared" si="13"/>
        <v/>
      </c>
      <c r="AX863" s="7">
        <f>IF(ISBLANK(AT863), 0, VLOOKUP(AT863, 'Price Sheet'!$A$2:$B1015, 2, false))</f>
        <v>0</v>
      </c>
      <c r="AY863" s="33" t="str">
        <f t="shared" si="14"/>
        <v/>
      </c>
      <c r="AZ863" s="37"/>
      <c r="BA863" s="29"/>
      <c r="BB863" s="29" t="b">
        <v>0</v>
      </c>
      <c r="BC863" s="22" t="str">
        <f t="shared" si="15"/>
        <v/>
      </c>
      <c r="BD863" s="7">
        <f>IF(ISBLANK(AZ863), 0, VLOOKUP(AZ863, 'Price Sheet'!$A$2:$B1015, 2, false))</f>
        <v>0</v>
      </c>
      <c r="BE863" s="33" t="str">
        <f t="shared" si="16"/>
        <v/>
      </c>
      <c r="BF863" s="37"/>
      <c r="BG863" s="29"/>
      <c r="BH863" s="29" t="b">
        <v>0</v>
      </c>
      <c r="BI863" s="22" t="str">
        <f t="shared" si="17"/>
        <v/>
      </c>
      <c r="BJ863" s="7">
        <f>IF(ISBLANK(BF863), 0, VLOOKUP(BF863, 'Price Sheet'!$A$2:$B1015, 2, false))</f>
        <v>0</v>
      </c>
      <c r="BK863" s="33" t="str">
        <f t="shared" si="18"/>
        <v/>
      </c>
      <c r="BL863" s="37"/>
      <c r="BM863" s="29"/>
      <c r="BN863" s="29" t="b">
        <v>0</v>
      </c>
      <c r="BO863" s="22" t="str">
        <f t="shared" si="19"/>
        <v/>
      </c>
      <c r="BP863" s="7">
        <f>IF(ISBLANK(BL863), 0, VLOOKUP(BL863, 'Price Sheet'!$A$2:$B1015, 2, false))</f>
        <v>0</v>
      </c>
      <c r="BQ863" s="33" t="str">
        <f t="shared" si="20"/>
        <v/>
      </c>
    </row>
    <row r="864">
      <c r="B864" s="19"/>
      <c r="C864" s="29"/>
      <c r="D864" s="29"/>
      <c r="E864" s="7" t="str">
        <f>IF(ISBLANK(D864), "", VLOOKUP(D864,'Crafting Tables'!$A$2:$B1015, 2, false))</f>
        <v/>
      </c>
      <c r="F864" s="7" t="str">
        <f>IFERROR(IF(E864 = "None", 1, VLOOKUP(C864,General!$A$5:$L$35, SWITCH(E864, "Basic", 8, "Advanced", 10, "Modern", 12), false)),"")</f>
        <v/>
      </c>
      <c r="G864" s="29"/>
      <c r="H864" s="7">
        <f>IFERROR(VLOOKUP(C864, General!$A$5:$L$35, 6, false) * G864 / 1000, 0)</f>
        <v>0</v>
      </c>
      <c r="I864" s="29"/>
      <c r="J864" s="22" t="str">
        <f>IFERROR(I864*VLOOKUP(D864,'Crafting Tables'!$1:$1000, 4, false)*F864,"")</f>
        <v/>
      </c>
      <c r="K864" s="29" t="b">
        <v>0</v>
      </c>
      <c r="L864" s="37"/>
      <c r="M864" s="29"/>
      <c r="N864" s="21" t="str">
        <f t="shared" si="2"/>
        <v/>
      </c>
      <c r="P864" s="37"/>
      <c r="Q864" s="29"/>
      <c r="R864" s="29" t="b">
        <v>0</v>
      </c>
      <c r="S864" s="22" t="str">
        <f t="shared" si="3"/>
        <v/>
      </c>
      <c r="T864" s="7">
        <f>IF(ISBLANK(P864), 0, VLOOKUP(P864, 'Price Sheet'!$A$2:$B1015, 2, false))</f>
        <v>0</v>
      </c>
      <c r="U864" s="33" t="str">
        <f t="shared" si="4"/>
        <v/>
      </c>
      <c r="V864" s="37"/>
      <c r="W864" s="29"/>
      <c r="X864" s="29" t="b">
        <v>0</v>
      </c>
      <c r="Y864" s="22" t="str">
        <f t="shared" si="5"/>
        <v/>
      </c>
      <c r="Z864" s="7">
        <f>IF(ISBLANK(V864), 0, VLOOKUP(V864, 'Price Sheet'!$A$2:$B1015, 2, false))</f>
        <v>0</v>
      </c>
      <c r="AA864" s="33" t="str">
        <f t="shared" si="6"/>
        <v/>
      </c>
      <c r="AB864" s="37"/>
      <c r="AC864" s="29"/>
      <c r="AD864" s="29" t="b">
        <v>0</v>
      </c>
      <c r="AE864" s="22" t="str">
        <f t="shared" si="7"/>
        <v/>
      </c>
      <c r="AF864" s="7">
        <f>IF(ISBLANK(AB864), 0, VLOOKUP(AB864, 'Price Sheet'!$A$2:$B1015, 2, false))</f>
        <v>0</v>
      </c>
      <c r="AG864" s="33" t="str">
        <f t="shared" si="8"/>
        <v/>
      </c>
      <c r="AH864" s="37"/>
      <c r="AI864" s="29"/>
      <c r="AJ864" s="29" t="b">
        <v>0</v>
      </c>
      <c r="AK864" s="22" t="str">
        <f t="shared" si="9"/>
        <v/>
      </c>
      <c r="AL864" s="7">
        <f>IF(ISBLANK(AH864), 0, VLOOKUP(AH864, 'Price Sheet'!$A$2:$B1015, 2, false))</f>
        <v>0</v>
      </c>
      <c r="AM864" s="33" t="str">
        <f t="shared" si="10"/>
        <v/>
      </c>
      <c r="AN864" s="37"/>
      <c r="AO864" s="29"/>
      <c r="AP864" s="29" t="b">
        <v>0</v>
      </c>
      <c r="AQ864" s="22" t="str">
        <f t="shared" si="11"/>
        <v/>
      </c>
      <c r="AR864" s="7">
        <f>IF(ISBLANK(AN864), 0, VLOOKUP(AN864, 'Price Sheet'!$A$2:$B1015, 2, false))</f>
        <v>0</v>
      </c>
      <c r="AS864" s="33" t="str">
        <f t="shared" si="12"/>
        <v/>
      </c>
      <c r="AT864" s="37"/>
      <c r="AU864" s="29"/>
      <c r="AV864" s="29" t="b">
        <v>0</v>
      </c>
      <c r="AW864" s="22" t="str">
        <f t="shared" si="13"/>
        <v/>
      </c>
      <c r="AX864" s="7">
        <f>IF(ISBLANK(AT864), 0, VLOOKUP(AT864, 'Price Sheet'!$A$2:$B1015, 2, false))</f>
        <v>0</v>
      </c>
      <c r="AY864" s="33" t="str">
        <f t="shared" si="14"/>
        <v/>
      </c>
      <c r="AZ864" s="37"/>
      <c r="BA864" s="29"/>
      <c r="BB864" s="29" t="b">
        <v>0</v>
      </c>
      <c r="BC864" s="22" t="str">
        <f t="shared" si="15"/>
        <v/>
      </c>
      <c r="BD864" s="7">
        <f>IF(ISBLANK(AZ864), 0, VLOOKUP(AZ864, 'Price Sheet'!$A$2:$B1015, 2, false))</f>
        <v>0</v>
      </c>
      <c r="BE864" s="33" t="str">
        <f t="shared" si="16"/>
        <v/>
      </c>
      <c r="BF864" s="37"/>
      <c r="BG864" s="29"/>
      <c r="BH864" s="29" t="b">
        <v>0</v>
      </c>
      <c r="BI864" s="22" t="str">
        <f t="shared" si="17"/>
        <v/>
      </c>
      <c r="BJ864" s="7">
        <f>IF(ISBLANK(BF864), 0, VLOOKUP(BF864, 'Price Sheet'!$A$2:$B1015, 2, false))</f>
        <v>0</v>
      </c>
      <c r="BK864" s="33" t="str">
        <f t="shared" si="18"/>
        <v/>
      </c>
      <c r="BL864" s="37"/>
      <c r="BM864" s="29"/>
      <c r="BN864" s="29" t="b">
        <v>0</v>
      </c>
      <c r="BO864" s="22" t="str">
        <f t="shared" si="19"/>
        <v/>
      </c>
      <c r="BP864" s="7">
        <f>IF(ISBLANK(BL864), 0, VLOOKUP(BL864, 'Price Sheet'!$A$2:$B1015, 2, false))</f>
        <v>0</v>
      </c>
      <c r="BQ864" s="33" t="str">
        <f t="shared" si="20"/>
        <v/>
      </c>
    </row>
    <row r="865">
      <c r="B865" s="19"/>
      <c r="C865" s="29"/>
      <c r="D865" s="29"/>
      <c r="E865" s="7" t="str">
        <f>IF(ISBLANK(D865), "", VLOOKUP(D865,'Crafting Tables'!$A$2:$B1015, 2, false))</f>
        <v/>
      </c>
      <c r="F865" s="7" t="str">
        <f>IFERROR(IF(E865 = "None", 1, VLOOKUP(C865,General!$A$5:$L$35, SWITCH(E865, "Basic", 8, "Advanced", 10, "Modern", 12), false)),"")</f>
        <v/>
      </c>
      <c r="G865" s="29"/>
      <c r="H865" s="7">
        <f>IFERROR(VLOOKUP(C865, General!$A$5:$L$35, 6, false) * G865 / 1000, 0)</f>
        <v>0</v>
      </c>
      <c r="I865" s="29"/>
      <c r="J865" s="22" t="str">
        <f>IFERROR(I865*VLOOKUP(D865,'Crafting Tables'!$1:$1000, 4, false)*F865,"")</f>
        <v/>
      </c>
      <c r="K865" s="29" t="b">
        <v>0</v>
      </c>
      <c r="L865" s="37"/>
      <c r="M865" s="29"/>
      <c r="N865" s="21" t="str">
        <f t="shared" si="2"/>
        <v/>
      </c>
      <c r="P865" s="37"/>
      <c r="Q865" s="29"/>
      <c r="R865" s="29" t="b">
        <v>0</v>
      </c>
      <c r="S865" s="22" t="str">
        <f t="shared" si="3"/>
        <v/>
      </c>
      <c r="T865" s="7">
        <f>IF(ISBLANK(P865), 0, VLOOKUP(P865, 'Price Sheet'!$A$2:$B1015, 2, false))</f>
        <v>0</v>
      </c>
      <c r="U865" s="33" t="str">
        <f t="shared" si="4"/>
        <v/>
      </c>
      <c r="V865" s="37"/>
      <c r="W865" s="29"/>
      <c r="X865" s="29" t="b">
        <v>0</v>
      </c>
      <c r="Y865" s="22" t="str">
        <f t="shared" si="5"/>
        <v/>
      </c>
      <c r="Z865" s="7">
        <f>IF(ISBLANK(V865), 0, VLOOKUP(V865, 'Price Sheet'!$A$2:$B1015, 2, false))</f>
        <v>0</v>
      </c>
      <c r="AA865" s="33" t="str">
        <f t="shared" si="6"/>
        <v/>
      </c>
      <c r="AB865" s="37"/>
      <c r="AC865" s="29"/>
      <c r="AD865" s="29" t="b">
        <v>0</v>
      </c>
      <c r="AE865" s="22" t="str">
        <f t="shared" si="7"/>
        <v/>
      </c>
      <c r="AF865" s="7">
        <f>IF(ISBLANK(AB865), 0, VLOOKUP(AB865, 'Price Sheet'!$A$2:$B1015, 2, false))</f>
        <v>0</v>
      </c>
      <c r="AG865" s="33" t="str">
        <f t="shared" si="8"/>
        <v/>
      </c>
      <c r="AH865" s="37"/>
      <c r="AI865" s="29"/>
      <c r="AJ865" s="29" t="b">
        <v>0</v>
      </c>
      <c r="AK865" s="22" t="str">
        <f t="shared" si="9"/>
        <v/>
      </c>
      <c r="AL865" s="7">
        <f>IF(ISBLANK(AH865), 0, VLOOKUP(AH865, 'Price Sheet'!$A$2:$B1015, 2, false))</f>
        <v>0</v>
      </c>
      <c r="AM865" s="33" t="str">
        <f t="shared" si="10"/>
        <v/>
      </c>
      <c r="AN865" s="37"/>
      <c r="AO865" s="29"/>
      <c r="AP865" s="29" t="b">
        <v>0</v>
      </c>
      <c r="AQ865" s="22" t="str">
        <f t="shared" si="11"/>
        <v/>
      </c>
      <c r="AR865" s="7">
        <f>IF(ISBLANK(AN865), 0, VLOOKUP(AN865, 'Price Sheet'!$A$2:$B1015, 2, false))</f>
        <v>0</v>
      </c>
      <c r="AS865" s="33" t="str">
        <f t="shared" si="12"/>
        <v/>
      </c>
      <c r="AT865" s="37"/>
      <c r="AU865" s="29"/>
      <c r="AV865" s="29" t="b">
        <v>0</v>
      </c>
      <c r="AW865" s="22" t="str">
        <f t="shared" si="13"/>
        <v/>
      </c>
      <c r="AX865" s="7">
        <f>IF(ISBLANK(AT865), 0, VLOOKUP(AT865, 'Price Sheet'!$A$2:$B1015, 2, false))</f>
        <v>0</v>
      </c>
      <c r="AY865" s="33" t="str">
        <f t="shared" si="14"/>
        <v/>
      </c>
      <c r="AZ865" s="37"/>
      <c r="BA865" s="29"/>
      <c r="BB865" s="29" t="b">
        <v>0</v>
      </c>
      <c r="BC865" s="22" t="str">
        <f t="shared" si="15"/>
        <v/>
      </c>
      <c r="BD865" s="7">
        <f>IF(ISBLANK(AZ865), 0, VLOOKUP(AZ865, 'Price Sheet'!$A$2:$B1015, 2, false))</f>
        <v>0</v>
      </c>
      <c r="BE865" s="33" t="str">
        <f t="shared" si="16"/>
        <v/>
      </c>
      <c r="BF865" s="37"/>
      <c r="BG865" s="29"/>
      <c r="BH865" s="29" t="b">
        <v>0</v>
      </c>
      <c r="BI865" s="22" t="str">
        <f t="shared" si="17"/>
        <v/>
      </c>
      <c r="BJ865" s="7">
        <f>IF(ISBLANK(BF865), 0, VLOOKUP(BF865, 'Price Sheet'!$A$2:$B1015, 2, false))</f>
        <v>0</v>
      </c>
      <c r="BK865" s="33" t="str">
        <f t="shared" si="18"/>
        <v/>
      </c>
      <c r="BL865" s="37"/>
      <c r="BM865" s="29"/>
      <c r="BN865" s="29" t="b">
        <v>0</v>
      </c>
      <c r="BO865" s="22" t="str">
        <f t="shared" si="19"/>
        <v/>
      </c>
      <c r="BP865" s="7">
        <f>IF(ISBLANK(BL865), 0, VLOOKUP(BL865, 'Price Sheet'!$A$2:$B1015, 2, false))</f>
        <v>0</v>
      </c>
      <c r="BQ865" s="33" t="str">
        <f t="shared" si="20"/>
        <v/>
      </c>
    </row>
    <row r="866">
      <c r="B866" s="19"/>
      <c r="C866" s="29"/>
      <c r="D866" s="29"/>
      <c r="E866" s="7" t="str">
        <f>IF(ISBLANK(D866), "", VLOOKUP(D866,'Crafting Tables'!$A$2:$B1015, 2, false))</f>
        <v/>
      </c>
      <c r="F866" s="7" t="str">
        <f>IFERROR(IF(E866 = "None", 1, VLOOKUP(C866,General!$A$5:$L$35, SWITCH(E866, "Basic", 8, "Advanced", 10, "Modern", 12), false)),"")</f>
        <v/>
      </c>
      <c r="G866" s="29"/>
      <c r="H866" s="7">
        <f>IFERROR(VLOOKUP(C866, General!$A$5:$L$35, 6, false) * G866 / 1000, 0)</f>
        <v>0</v>
      </c>
      <c r="I866" s="29"/>
      <c r="J866" s="22" t="str">
        <f>IFERROR(I866*VLOOKUP(D866,'Crafting Tables'!$1:$1000, 4, false)*F866,"")</f>
        <v/>
      </c>
      <c r="K866" s="29" t="b">
        <v>0</v>
      </c>
      <c r="L866" s="37"/>
      <c r="M866" s="29"/>
      <c r="N866" s="21" t="str">
        <f t="shared" si="2"/>
        <v/>
      </c>
      <c r="P866" s="37"/>
      <c r="Q866" s="29"/>
      <c r="R866" s="29" t="b">
        <v>0</v>
      </c>
      <c r="S866" s="22" t="str">
        <f t="shared" si="3"/>
        <v/>
      </c>
      <c r="T866" s="7">
        <f>IF(ISBLANK(P866), 0, VLOOKUP(P866, 'Price Sheet'!$A$2:$B1015, 2, false))</f>
        <v>0</v>
      </c>
      <c r="U866" s="33" t="str">
        <f t="shared" si="4"/>
        <v/>
      </c>
      <c r="V866" s="37"/>
      <c r="W866" s="29"/>
      <c r="X866" s="29" t="b">
        <v>0</v>
      </c>
      <c r="Y866" s="22" t="str">
        <f t="shared" si="5"/>
        <v/>
      </c>
      <c r="Z866" s="7">
        <f>IF(ISBLANK(V866), 0, VLOOKUP(V866, 'Price Sheet'!$A$2:$B1015, 2, false))</f>
        <v>0</v>
      </c>
      <c r="AA866" s="33" t="str">
        <f t="shared" si="6"/>
        <v/>
      </c>
      <c r="AB866" s="37"/>
      <c r="AC866" s="29"/>
      <c r="AD866" s="29" t="b">
        <v>0</v>
      </c>
      <c r="AE866" s="22" t="str">
        <f t="shared" si="7"/>
        <v/>
      </c>
      <c r="AF866" s="7">
        <f>IF(ISBLANK(AB866), 0, VLOOKUP(AB866, 'Price Sheet'!$A$2:$B1015, 2, false))</f>
        <v>0</v>
      </c>
      <c r="AG866" s="33" t="str">
        <f t="shared" si="8"/>
        <v/>
      </c>
      <c r="AH866" s="37"/>
      <c r="AI866" s="29"/>
      <c r="AJ866" s="29" t="b">
        <v>0</v>
      </c>
      <c r="AK866" s="22" t="str">
        <f t="shared" si="9"/>
        <v/>
      </c>
      <c r="AL866" s="7">
        <f>IF(ISBLANK(AH866), 0, VLOOKUP(AH866, 'Price Sheet'!$A$2:$B1015, 2, false))</f>
        <v>0</v>
      </c>
      <c r="AM866" s="33" t="str">
        <f t="shared" si="10"/>
        <v/>
      </c>
      <c r="AN866" s="37"/>
      <c r="AO866" s="29"/>
      <c r="AP866" s="29" t="b">
        <v>0</v>
      </c>
      <c r="AQ866" s="22" t="str">
        <f t="shared" si="11"/>
        <v/>
      </c>
      <c r="AR866" s="7">
        <f>IF(ISBLANK(AN866), 0, VLOOKUP(AN866, 'Price Sheet'!$A$2:$B1015, 2, false))</f>
        <v>0</v>
      </c>
      <c r="AS866" s="33" t="str">
        <f t="shared" si="12"/>
        <v/>
      </c>
      <c r="AT866" s="37"/>
      <c r="AU866" s="29"/>
      <c r="AV866" s="29" t="b">
        <v>0</v>
      </c>
      <c r="AW866" s="22" t="str">
        <f t="shared" si="13"/>
        <v/>
      </c>
      <c r="AX866" s="7">
        <f>IF(ISBLANK(AT866), 0, VLOOKUP(AT866, 'Price Sheet'!$A$2:$B1015, 2, false))</f>
        <v>0</v>
      </c>
      <c r="AY866" s="33" t="str">
        <f t="shared" si="14"/>
        <v/>
      </c>
      <c r="AZ866" s="37"/>
      <c r="BA866" s="29"/>
      <c r="BB866" s="29" t="b">
        <v>0</v>
      </c>
      <c r="BC866" s="22" t="str">
        <f t="shared" si="15"/>
        <v/>
      </c>
      <c r="BD866" s="7">
        <f>IF(ISBLANK(AZ866), 0, VLOOKUP(AZ866, 'Price Sheet'!$A$2:$B1015, 2, false))</f>
        <v>0</v>
      </c>
      <c r="BE866" s="33" t="str">
        <f t="shared" si="16"/>
        <v/>
      </c>
      <c r="BF866" s="37"/>
      <c r="BG866" s="29"/>
      <c r="BH866" s="29" t="b">
        <v>0</v>
      </c>
      <c r="BI866" s="22" t="str">
        <f t="shared" si="17"/>
        <v/>
      </c>
      <c r="BJ866" s="7">
        <f>IF(ISBLANK(BF866), 0, VLOOKUP(BF866, 'Price Sheet'!$A$2:$B1015, 2, false))</f>
        <v>0</v>
      </c>
      <c r="BK866" s="33" t="str">
        <f t="shared" si="18"/>
        <v/>
      </c>
      <c r="BL866" s="37"/>
      <c r="BM866" s="29"/>
      <c r="BN866" s="29" t="b">
        <v>0</v>
      </c>
      <c r="BO866" s="22" t="str">
        <f t="shared" si="19"/>
        <v/>
      </c>
      <c r="BP866" s="7">
        <f>IF(ISBLANK(BL866), 0, VLOOKUP(BL866, 'Price Sheet'!$A$2:$B1015, 2, false))</f>
        <v>0</v>
      </c>
      <c r="BQ866" s="33" t="str">
        <f t="shared" si="20"/>
        <v/>
      </c>
    </row>
    <row r="867">
      <c r="B867" s="19"/>
      <c r="C867" s="29"/>
      <c r="D867" s="29"/>
      <c r="E867" s="7" t="str">
        <f>IF(ISBLANK(D867), "", VLOOKUP(D867,'Crafting Tables'!$A$2:$B1015, 2, false))</f>
        <v/>
      </c>
      <c r="F867" s="7" t="str">
        <f>IFERROR(IF(E867 = "None", 1, VLOOKUP(C867,General!$A$5:$L$35, SWITCH(E867, "Basic", 8, "Advanced", 10, "Modern", 12), false)),"")</f>
        <v/>
      </c>
      <c r="G867" s="29"/>
      <c r="H867" s="7">
        <f>IFERROR(VLOOKUP(C867, General!$A$5:$L$35, 6, false) * G867 / 1000, 0)</f>
        <v>0</v>
      </c>
      <c r="I867" s="29"/>
      <c r="J867" s="22" t="str">
        <f>IFERROR(I867*VLOOKUP(D867,'Crafting Tables'!$1:$1000, 4, false)*F867,"")</f>
        <v/>
      </c>
      <c r="K867" s="29" t="b">
        <v>0</v>
      </c>
      <c r="L867" s="37"/>
      <c r="M867" s="29"/>
      <c r="N867" s="21" t="str">
        <f t="shared" si="2"/>
        <v/>
      </c>
      <c r="P867" s="37"/>
      <c r="Q867" s="29"/>
      <c r="R867" s="29" t="b">
        <v>0</v>
      </c>
      <c r="S867" s="22" t="str">
        <f t="shared" si="3"/>
        <v/>
      </c>
      <c r="T867" s="7">
        <f>IF(ISBLANK(P867), 0, VLOOKUP(P867, 'Price Sheet'!$A$2:$B1015, 2, false))</f>
        <v>0</v>
      </c>
      <c r="U867" s="33" t="str">
        <f t="shared" si="4"/>
        <v/>
      </c>
      <c r="V867" s="37"/>
      <c r="W867" s="29"/>
      <c r="X867" s="29" t="b">
        <v>0</v>
      </c>
      <c r="Y867" s="22" t="str">
        <f t="shared" si="5"/>
        <v/>
      </c>
      <c r="Z867" s="7">
        <f>IF(ISBLANK(V867), 0, VLOOKUP(V867, 'Price Sheet'!$A$2:$B1015, 2, false))</f>
        <v>0</v>
      </c>
      <c r="AA867" s="33" t="str">
        <f t="shared" si="6"/>
        <v/>
      </c>
      <c r="AB867" s="37"/>
      <c r="AC867" s="29"/>
      <c r="AD867" s="29" t="b">
        <v>0</v>
      </c>
      <c r="AE867" s="22" t="str">
        <f t="shared" si="7"/>
        <v/>
      </c>
      <c r="AF867" s="7">
        <f>IF(ISBLANK(AB867), 0, VLOOKUP(AB867, 'Price Sheet'!$A$2:$B1015, 2, false))</f>
        <v>0</v>
      </c>
      <c r="AG867" s="33" t="str">
        <f t="shared" si="8"/>
        <v/>
      </c>
      <c r="AH867" s="37"/>
      <c r="AI867" s="29"/>
      <c r="AJ867" s="29" t="b">
        <v>0</v>
      </c>
      <c r="AK867" s="22" t="str">
        <f t="shared" si="9"/>
        <v/>
      </c>
      <c r="AL867" s="7">
        <f>IF(ISBLANK(AH867), 0, VLOOKUP(AH867, 'Price Sheet'!$A$2:$B1015, 2, false))</f>
        <v>0</v>
      </c>
      <c r="AM867" s="33" t="str">
        <f t="shared" si="10"/>
        <v/>
      </c>
      <c r="AN867" s="37"/>
      <c r="AO867" s="29"/>
      <c r="AP867" s="29" t="b">
        <v>0</v>
      </c>
      <c r="AQ867" s="22" t="str">
        <f t="shared" si="11"/>
        <v/>
      </c>
      <c r="AR867" s="7">
        <f>IF(ISBLANK(AN867), 0, VLOOKUP(AN867, 'Price Sheet'!$A$2:$B1015, 2, false))</f>
        <v>0</v>
      </c>
      <c r="AS867" s="33" t="str">
        <f t="shared" si="12"/>
        <v/>
      </c>
      <c r="AT867" s="37"/>
      <c r="AU867" s="29"/>
      <c r="AV867" s="29" t="b">
        <v>0</v>
      </c>
      <c r="AW867" s="22" t="str">
        <f t="shared" si="13"/>
        <v/>
      </c>
      <c r="AX867" s="7">
        <f>IF(ISBLANK(AT867), 0, VLOOKUP(AT867, 'Price Sheet'!$A$2:$B1015, 2, false))</f>
        <v>0</v>
      </c>
      <c r="AY867" s="33" t="str">
        <f t="shared" si="14"/>
        <v/>
      </c>
      <c r="AZ867" s="37"/>
      <c r="BA867" s="29"/>
      <c r="BB867" s="29" t="b">
        <v>0</v>
      </c>
      <c r="BC867" s="22" t="str">
        <f t="shared" si="15"/>
        <v/>
      </c>
      <c r="BD867" s="7">
        <f>IF(ISBLANK(AZ867), 0, VLOOKUP(AZ867, 'Price Sheet'!$A$2:$B1015, 2, false))</f>
        <v>0</v>
      </c>
      <c r="BE867" s="33" t="str">
        <f t="shared" si="16"/>
        <v/>
      </c>
      <c r="BF867" s="37"/>
      <c r="BG867" s="29"/>
      <c r="BH867" s="29" t="b">
        <v>0</v>
      </c>
      <c r="BI867" s="22" t="str">
        <f t="shared" si="17"/>
        <v/>
      </c>
      <c r="BJ867" s="7">
        <f>IF(ISBLANK(BF867), 0, VLOOKUP(BF867, 'Price Sheet'!$A$2:$B1015, 2, false))</f>
        <v>0</v>
      </c>
      <c r="BK867" s="33" t="str">
        <f t="shared" si="18"/>
        <v/>
      </c>
      <c r="BL867" s="37"/>
      <c r="BM867" s="29"/>
      <c r="BN867" s="29" t="b">
        <v>0</v>
      </c>
      <c r="BO867" s="22" t="str">
        <f t="shared" si="19"/>
        <v/>
      </c>
      <c r="BP867" s="7">
        <f>IF(ISBLANK(BL867), 0, VLOOKUP(BL867, 'Price Sheet'!$A$2:$B1015, 2, false))</f>
        <v>0</v>
      </c>
      <c r="BQ867" s="33" t="str">
        <f t="shared" si="20"/>
        <v/>
      </c>
    </row>
    <row r="868">
      <c r="B868" s="19"/>
      <c r="C868" s="29"/>
      <c r="D868" s="29"/>
      <c r="E868" s="7" t="str">
        <f>IF(ISBLANK(D868), "", VLOOKUP(D868,'Crafting Tables'!$A$2:$B1015, 2, false))</f>
        <v/>
      </c>
      <c r="F868" s="7" t="str">
        <f>IFERROR(IF(E868 = "None", 1, VLOOKUP(C868,General!$A$5:$L$35, SWITCH(E868, "Basic", 8, "Advanced", 10, "Modern", 12), false)),"")</f>
        <v/>
      </c>
      <c r="G868" s="29"/>
      <c r="H868" s="7">
        <f>IFERROR(VLOOKUP(C868, General!$A$5:$L$35, 6, false) * G868 / 1000, 0)</f>
        <v>0</v>
      </c>
      <c r="I868" s="29"/>
      <c r="J868" s="22" t="str">
        <f>IFERROR(I868*VLOOKUP(D868,'Crafting Tables'!$1:$1000, 4, false)*F868,"")</f>
        <v/>
      </c>
      <c r="K868" s="29" t="b">
        <v>0</v>
      </c>
      <c r="L868" s="37"/>
      <c r="M868" s="29"/>
      <c r="N868" s="21" t="str">
        <f t="shared" si="2"/>
        <v/>
      </c>
      <c r="P868" s="37"/>
      <c r="Q868" s="29"/>
      <c r="R868" s="29" t="b">
        <v>0</v>
      </c>
      <c r="S868" s="22" t="str">
        <f t="shared" si="3"/>
        <v/>
      </c>
      <c r="T868" s="7">
        <f>IF(ISBLANK(P868), 0, VLOOKUP(P868, 'Price Sheet'!$A$2:$B1015, 2, false))</f>
        <v>0</v>
      </c>
      <c r="U868" s="33" t="str">
        <f t="shared" si="4"/>
        <v/>
      </c>
      <c r="V868" s="37"/>
      <c r="W868" s="29"/>
      <c r="X868" s="29" t="b">
        <v>0</v>
      </c>
      <c r="Y868" s="22" t="str">
        <f t="shared" si="5"/>
        <v/>
      </c>
      <c r="Z868" s="7">
        <f>IF(ISBLANK(V868), 0, VLOOKUP(V868, 'Price Sheet'!$A$2:$B1015, 2, false))</f>
        <v>0</v>
      </c>
      <c r="AA868" s="33" t="str">
        <f t="shared" si="6"/>
        <v/>
      </c>
      <c r="AB868" s="37"/>
      <c r="AC868" s="29"/>
      <c r="AD868" s="29" t="b">
        <v>0</v>
      </c>
      <c r="AE868" s="22" t="str">
        <f t="shared" si="7"/>
        <v/>
      </c>
      <c r="AF868" s="7">
        <f>IF(ISBLANK(AB868), 0, VLOOKUP(AB868, 'Price Sheet'!$A$2:$B1015, 2, false))</f>
        <v>0</v>
      </c>
      <c r="AG868" s="33" t="str">
        <f t="shared" si="8"/>
        <v/>
      </c>
      <c r="AH868" s="37"/>
      <c r="AI868" s="29"/>
      <c r="AJ868" s="29" t="b">
        <v>0</v>
      </c>
      <c r="AK868" s="22" t="str">
        <f t="shared" si="9"/>
        <v/>
      </c>
      <c r="AL868" s="7">
        <f>IF(ISBLANK(AH868), 0, VLOOKUP(AH868, 'Price Sheet'!$A$2:$B1015, 2, false))</f>
        <v>0</v>
      </c>
      <c r="AM868" s="33" t="str">
        <f t="shared" si="10"/>
        <v/>
      </c>
      <c r="AN868" s="37"/>
      <c r="AO868" s="29"/>
      <c r="AP868" s="29" t="b">
        <v>0</v>
      </c>
      <c r="AQ868" s="22" t="str">
        <f t="shared" si="11"/>
        <v/>
      </c>
      <c r="AR868" s="7">
        <f>IF(ISBLANK(AN868), 0, VLOOKUP(AN868, 'Price Sheet'!$A$2:$B1015, 2, false))</f>
        <v>0</v>
      </c>
      <c r="AS868" s="33" t="str">
        <f t="shared" si="12"/>
        <v/>
      </c>
      <c r="AT868" s="37"/>
      <c r="AU868" s="29"/>
      <c r="AV868" s="29" t="b">
        <v>0</v>
      </c>
      <c r="AW868" s="22" t="str">
        <f t="shared" si="13"/>
        <v/>
      </c>
      <c r="AX868" s="7">
        <f>IF(ISBLANK(AT868), 0, VLOOKUP(AT868, 'Price Sheet'!$A$2:$B1015, 2, false))</f>
        <v>0</v>
      </c>
      <c r="AY868" s="33" t="str">
        <f t="shared" si="14"/>
        <v/>
      </c>
      <c r="AZ868" s="37"/>
      <c r="BA868" s="29"/>
      <c r="BB868" s="29" t="b">
        <v>0</v>
      </c>
      <c r="BC868" s="22" t="str">
        <f t="shared" si="15"/>
        <v/>
      </c>
      <c r="BD868" s="7">
        <f>IF(ISBLANK(AZ868), 0, VLOOKUP(AZ868, 'Price Sheet'!$A$2:$B1015, 2, false))</f>
        <v>0</v>
      </c>
      <c r="BE868" s="33" t="str">
        <f t="shared" si="16"/>
        <v/>
      </c>
      <c r="BF868" s="37"/>
      <c r="BG868" s="29"/>
      <c r="BH868" s="29" t="b">
        <v>0</v>
      </c>
      <c r="BI868" s="22" t="str">
        <f t="shared" si="17"/>
        <v/>
      </c>
      <c r="BJ868" s="7">
        <f>IF(ISBLANK(BF868), 0, VLOOKUP(BF868, 'Price Sheet'!$A$2:$B1015, 2, false))</f>
        <v>0</v>
      </c>
      <c r="BK868" s="33" t="str">
        <f t="shared" si="18"/>
        <v/>
      </c>
      <c r="BL868" s="37"/>
      <c r="BM868" s="29"/>
      <c r="BN868" s="29" t="b">
        <v>0</v>
      </c>
      <c r="BO868" s="22" t="str">
        <f t="shared" si="19"/>
        <v/>
      </c>
      <c r="BP868" s="7">
        <f>IF(ISBLANK(BL868), 0, VLOOKUP(BL868, 'Price Sheet'!$A$2:$B1015, 2, false))</f>
        <v>0</v>
      </c>
      <c r="BQ868" s="33" t="str">
        <f t="shared" si="20"/>
        <v/>
      </c>
    </row>
    <row r="869">
      <c r="B869" s="19"/>
      <c r="C869" s="29"/>
      <c r="D869" s="29"/>
      <c r="E869" s="7" t="str">
        <f>IF(ISBLANK(D869), "", VLOOKUP(D869,'Crafting Tables'!$A$2:$B1015, 2, false))</f>
        <v/>
      </c>
      <c r="F869" s="7" t="str">
        <f>IFERROR(IF(E869 = "None", 1, VLOOKUP(C869,General!$A$5:$L$35, SWITCH(E869, "Basic", 8, "Advanced", 10, "Modern", 12), false)),"")</f>
        <v/>
      </c>
      <c r="G869" s="29"/>
      <c r="H869" s="7">
        <f>IFERROR(VLOOKUP(C869, General!$A$5:$L$35, 6, false) * G869 / 1000, 0)</f>
        <v>0</v>
      </c>
      <c r="I869" s="29"/>
      <c r="J869" s="22" t="str">
        <f>IFERROR(I869*VLOOKUP(D869,'Crafting Tables'!$1:$1000, 4, false)*F869,"")</f>
        <v/>
      </c>
      <c r="K869" s="29" t="b">
        <v>0</v>
      </c>
      <c r="L869" s="37"/>
      <c r="M869" s="29"/>
      <c r="N869" s="21" t="str">
        <f t="shared" si="2"/>
        <v/>
      </c>
      <c r="P869" s="37"/>
      <c r="Q869" s="29"/>
      <c r="R869" s="29" t="b">
        <v>0</v>
      </c>
      <c r="S869" s="22" t="str">
        <f t="shared" si="3"/>
        <v/>
      </c>
      <c r="T869" s="7">
        <f>IF(ISBLANK(P869), 0, VLOOKUP(P869, 'Price Sheet'!$A$2:$B1015, 2, false))</f>
        <v>0</v>
      </c>
      <c r="U869" s="33" t="str">
        <f t="shared" si="4"/>
        <v/>
      </c>
      <c r="V869" s="37"/>
      <c r="W869" s="29"/>
      <c r="X869" s="29" t="b">
        <v>0</v>
      </c>
      <c r="Y869" s="22" t="str">
        <f t="shared" si="5"/>
        <v/>
      </c>
      <c r="Z869" s="7">
        <f>IF(ISBLANK(V869), 0, VLOOKUP(V869, 'Price Sheet'!$A$2:$B1015, 2, false))</f>
        <v>0</v>
      </c>
      <c r="AA869" s="33" t="str">
        <f t="shared" si="6"/>
        <v/>
      </c>
      <c r="AB869" s="37"/>
      <c r="AC869" s="29"/>
      <c r="AD869" s="29" t="b">
        <v>0</v>
      </c>
      <c r="AE869" s="22" t="str">
        <f t="shared" si="7"/>
        <v/>
      </c>
      <c r="AF869" s="7">
        <f>IF(ISBLANK(AB869), 0, VLOOKUP(AB869, 'Price Sheet'!$A$2:$B1015, 2, false))</f>
        <v>0</v>
      </c>
      <c r="AG869" s="33" t="str">
        <f t="shared" si="8"/>
        <v/>
      </c>
      <c r="AH869" s="37"/>
      <c r="AI869" s="29"/>
      <c r="AJ869" s="29" t="b">
        <v>0</v>
      </c>
      <c r="AK869" s="22" t="str">
        <f t="shared" si="9"/>
        <v/>
      </c>
      <c r="AL869" s="7">
        <f>IF(ISBLANK(AH869), 0, VLOOKUP(AH869, 'Price Sheet'!$A$2:$B1015, 2, false))</f>
        <v>0</v>
      </c>
      <c r="AM869" s="33" t="str">
        <f t="shared" si="10"/>
        <v/>
      </c>
      <c r="AN869" s="37"/>
      <c r="AO869" s="29"/>
      <c r="AP869" s="29" t="b">
        <v>0</v>
      </c>
      <c r="AQ869" s="22" t="str">
        <f t="shared" si="11"/>
        <v/>
      </c>
      <c r="AR869" s="7">
        <f>IF(ISBLANK(AN869), 0, VLOOKUP(AN869, 'Price Sheet'!$A$2:$B1015, 2, false))</f>
        <v>0</v>
      </c>
      <c r="AS869" s="33" t="str">
        <f t="shared" si="12"/>
        <v/>
      </c>
      <c r="AT869" s="37"/>
      <c r="AU869" s="29"/>
      <c r="AV869" s="29" t="b">
        <v>0</v>
      </c>
      <c r="AW869" s="22" t="str">
        <f t="shared" si="13"/>
        <v/>
      </c>
      <c r="AX869" s="7">
        <f>IF(ISBLANK(AT869), 0, VLOOKUP(AT869, 'Price Sheet'!$A$2:$B1015, 2, false))</f>
        <v>0</v>
      </c>
      <c r="AY869" s="33" t="str">
        <f t="shared" si="14"/>
        <v/>
      </c>
      <c r="AZ869" s="37"/>
      <c r="BA869" s="29"/>
      <c r="BB869" s="29" t="b">
        <v>0</v>
      </c>
      <c r="BC869" s="22" t="str">
        <f t="shared" si="15"/>
        <v/>
      </c>
      <c r="BD869" s="7">
        <f>IF(ISBLANK(AZ869), 0, VLOOKUP(AZ869, 'Price Sheet'!$A$2:$B1015, 2, false))</f>
        <v>0</v>
      </c>
      <c r="BE869" s="33" t="str">
        <f t="shared" si="16"/>
        <v/>
      </c>
      <c r="BF869" s="37"/>
      <c r="BG869" s="29"/>
      <c r="BH869" s="29" t="b">
        <v>0</v>
      </c>
      <c r="BI869" s="22" t="str">
        <f t="shared" si="17"/>
        <v/>
      </c>
      <c r="BJ869" s="7">
        <f>IF(ISBLANK(BF869), 0, VLOOKUP(BF869, 'Price Sheet'!$A$2:$B1015, 2, false))</f>
        <v>0</v>
      </c>
      <c r="BK869" s="33" t="str">
        <f t="shared" si="18"/>
        <v/>
      </c>
      <c r="BL869" s="37"/>
      <c r="BM869" s="29"/>
      <c r="BN869" s="29" t="b">
        <v>0</v>
      </c>
      <c r="BO869" s="22" t="str">
        <f t="shared" si="19"/>
        <v/>
      </c>
      <c r="BP869" s="7">
        <f>IF(ISBLANK(BL869), 0, VLOOKUP(BL869, 'Price Sheet'!$A$2:$B1015, 2, false))</f>
        <v>0</v>
      </c>
      <c r="BQ869" s="33" t="str">
        <f t="shared" si="20"/>
        <v/>
      </c>
    </row>
    <row r="870">
      <c r="B870" s="19"/>
      <c r="C870" s="29"/>
      <c r="D870" s="29"/>
      <c r="E870" s="7" t="str">
        <f>IF(ISBLANK(D870), "", VLOOKUP(D870,'Crafting Tables'!$A$2:$B1015, 2, false))</f>
        <v/>
      </c>
      <c r="F870" s="7" t="str">
        <f>IFERROR(IF(E870 = "None", 1, VLOOKUP(C870,General!$A$5:$L$35, SWITCH(E870, "Basic", 8, "Advanced", 10, "Modern", 12), false)),"")</f>
        <v/>
      </c>
      <c r="G870" s="29"/>
      <c r="H870" s="7">
        <f>IFERROR(VLOOKUP(C870, General!$A$5:$L$35, 6, false) * G870 / 1000, 0)</f>
        <v>0</v>
      </c>
      <c r="I870" s="29"/>
      <c r="J870" s="22" t="str">
        <f>IFERROR(I870*VLOOKUP(D870,'Crafting Tables'!$1:$1000, 4, false)*F870,"")</f>
        <v/>
      </c>
      <c r="K870" s="29" t="b">
        <v>0</v>
      </c>
      <c r="L870" s="37"/>
      <c r="M870" s="29"/>
      <c r="N870" s="21" t="str">
        <f t="shared" si="2"/>
        <v/>
      </c>
      <c r="P870" s="37"/>
      <c r="Q870" s="29"/>
      <c r="R870" s="29" t="b">
        <v>0</v>
      </c>
      <c r="S870" s="22" t="str">
        <f t="shared" si="3"/>
        <v/>
      </c>
      <c r="T870" s="7">
        <f>IF(ISBLANK(P870), 0, VLOOKUP(P870, 'Price Sheet'!$A$2:$B1015, 2, false))</f>
        <v>0</v>
      </c>
      <c r="U870" s="33" t="str">
        <f t="shared" si="4"/>
        <v/>
      </c>
      <c r="V870" s="37"/>
      <c r="W870" s="29"/>
      <c r="X870" s="29" t="b">
        <v>0</v>
      </c>
      <c r="Y870" s="22" t="str">
        <f t="shared" si="5"/>
        <v/>
      </c>
      <c r="Z870" s="7">
        <f>IF(ISBLANK(V870), 0, VLOOKUP(V870, 'Price Sheet'!$A$2:$B1015, 2, false))</f>
        <v>0</v>
      </c>
      <c r="AA870" s="33" t="str">
        <f t="shared" si="6"/>
        <v/>
      </c>
      <c r="AB870" s="37"/>
      <c r="AC870" s="29"/>
      <c r="AD870" s="29" t="b">
        <v>0</v>
      </c>
      <c r="AE870" s="22" t="str">
        <f t="shared" si="7"/>
        <v/>
      </c>
      <c r="AF870" s="7">
        <f>IF(ISBLANK(AB870), 0, VLOOKUP(AB870, 'Price Sheet'!$A$2:$B1015, 2, false))</f>
        <v>0</v>
      </c>
      <c r="AG870" s="33" t="str">
        <f t="shared" si="8"/>
        <v/>
      </c>
      <c r="AH870" s="37"/>
      <c r="AI870" s="29"/>
      <c r="AJ870" s="29" t="b">
        <v>0</v>
      </c>
      <c r="AK870" s="22" t="str">
        <f t="shared" si="9"/>
        <v/>
      </c>
      <c r="AL870" s="7">
        <f>IF(ISBLANK(AH870), 0, VLOOKUP(AH870, 'Price Sheet'!$A$2:$B1015, 2, false))</f>
        <v>0</v>
      </c>
      <c r="AM870" s="33" t="str">
        <f t="shared" si="10"/>
        <v/>
      </c>
      <c r="AN870" s="37"/>
      <c r="AO870" s="29"/>
      <c r="AP870" s="29" t="b">
        <v>0</v>
      </c>
      <c r="AQ870" s="22" t="str">
        <f t="shared" si="11"/>
        <v/>
      </c>
      <c r="AR870" s="7">
        <f>IF(ISBLANK(AN870), 0, VLOOKUP(AN870, 'Price Sheet'!$A$2:$B1015, 2, false))</f>
        <v>0</v>
      </c>
      <c r="AS870" s="33" t="str">
        <f t="shared" si="12"/>
        <v/>
      </c>
      <c r="AT870" s="37"/>
      <c r="AU870" s="29"/>
      <c r="AV870" s="29" t="b">
        <v>0</v>
      </c>
      <c r="AW870" s="22" t="str">
        <f t="shared" si="13"/>
        <v/>
      </c>
      <c r="AX870" s="7">
        <f>IF(ISBLANK(AT870), 0, VLOOKUP(AT870, 'Price Sheet'!$A$2:$B1015, 2, false))</f>
        <v>0</v>
      </c>
      <c r="AY870" s="33" t="str">
        <f t="shared" si="14"/>
        <v/>
      </c>
      <c r="AZ870" s="37"/>
      <c r="BA870" s="29"/>
      <c r="BB870" s="29" t="b">
        <v>0</v>
      </c>
      <c r="BC870" s="22" t="str">
        <f t="shared" si="15"/>
        <v/>
      </c>
      <c r="BD870" s="7">
        <f>IF(ISBLANK(AZ870), 0, VLOOKUP(AZ870, 'Price Sheet'!$A$2:$B1015, 2, false))</f>
        <v>0</v>
      </c>
      <c r="BE870" s="33" t="str">
        <f t="shared" si="16"/>
        <v/>
      </c>
      <c r="BF870" s="37"/>
      <c r="BG870" s="29"/>
      <c r="BH870" s="29" t="b">
        <v>0</v>
      </c>
      <c r="BI870" s="22" t="str">
        <f t="shared" si="17"/>
        <v/>
      </c>
      <c r="BJ870" s="7">
        <f>IF(ISBLANK(BF870), 0, VLOOKUP(BF870, 'Price Sheet'!$A$2:$B1015, 2, false))</f>
        <v>0</v>
      </c>
      <c r="BK870" s="33" t="str">
        <f t="shared" si="18"/>
        <v/>
      </c>
      <c r="BL870" s="37"/>
      <c r="BM870" s="29"/>
      <c r="BN870" s="29" t="b">
        <v>0</v>
      </c>
      <c r="BO870" s="22" t="str">
        <f t="shared" si="19"/>
        <v/>
      </c>
      <c r="BP870" s="7">
        <f>IF(ISBLANK(BL870), 0, VLOOKUP(BL870, 'Price Sheet'!$A$2:$B1015, 2, false))</f>
        <v>0</v>
      </c>
      <c r="BQ870" s="33" t="str">
        <f t="shared" si="20"/>
        <v/>
      </c>
    </row>
    <row r="871">
      <c r="B871" s="19"/>
      <c r="C871" s="29"/>
      <c r="D871" s="29"/>
      <c r="E871" s="7" t="str">
        <f>IF(ISBLANK(D871), "", VLOOKUP(D871,'Crafting Tables'!$A$2:$B1015, 2, false))</f>
        <v/>
      </c>
      <c r="F871" s="7" t="str">
        <f>IFERROR(IF(E871 = "None", 1, VLOOKUP(C871,General!$A$5:$L$35, SWITCH(E871, "Basic", 8, "Advanced", 10, "Modern", 12), false)),"")</f>
        <v/>
      </c>
      <c r="G871" s="29"/>
      <c r="H871" s="7">
        <f>IFERROR(VLOOKUP(C871, General!$A$5:$L$35, 6, false) * G871 / 1000, 0)</f>
        <v>0</v>
      </c>
      <c r="I871" s="29"/>
      <c r="J871" s="22" t="str">
        <f>IFERROR(I871*VLOOKUP(D871,'Crafting Tables'!$1:$1000, 4, false)*F871,"")</f>
        <v/>
      </c>
      <c r="K871" s="29" t="b">
        <v>0</v>
      </c>
      <c r="L871" s="37"/>
      <c r="M871" s="29"/>
      <c r="N871" s="21" t="str">
        <f t="shared" si="2"/>
        <v/>
      </c>
      <c r="P871" s="37"/>
      <c r="Q871" s="29"/>
      <c r="R871" s="29" t="b">
        <v>0</v>
      </c>
      <c r="S871" s="22" t="str">
        <f t="shared" si="3"/>
        <v/>
      </c>
      <c r="T871" s="7">
        <f>IF(ISBLANK(P871), 0, VLOOKUP(P871, 'Price Sheet'!$A$2:$B1015, 2, false))</f>
        <v>0</v>
      </c>
      <c r="U871" s="33" t="str">
        <f t="shared" si="4"/>
        <v/>
      </c>
      <c r="V871" s="37"/>
      <c r="W871" s="29"/>
      <c r="X871" s="29" t="b">
        <v>0</v>
      </c>
      <c r="Y871" s="22" t="str">
        <f t="shared" si="5"/>
        <v/>
      </c>
      <c r="Z871" s="7">
        <f>IF(ISBLANK(V871), 0, VLOOKUP(V871, 'Price Sheet'!$A$2:$B1015, 2, false))</f>
        <v>0</v>
      </c>
      <c r="AA871" s="33" t="str">
        <f t="shared" si="6"/>
        <v/>
      </c>
      <c r="AB871" s="37"/>
      <c r="AC871" s="29"/>
      <c r="AD871" s="29" t="b">
        <v>0</v>
      </c>
      <c r="AE871" s="22" t="str">
        <f t="shared" si="7"/>
        <v/>
      </c>
      <c r="AF871" s="7">
        <f>IF(ISBLANK(AB871), 0, VLOOKUP(AB871, 'Price Sheet'!$A$2:$B1015, 2, false))</f>
        <v>0</v>
      </c>
      <c r="AG871" s="33" t="str">
        <f t="shared" si="8"/>
        <v/>
      </c>
      <c r="AH871" s="37"/>
      <c r="AI871" s="29"/>
      <c r="AJ871" s="29" t="b">
        <v>0</v>
      </c>
      <c r="AK871" s="22" t="str">
        <f t="shared" si="9"/>
        <v/>
      </c>
      <c r="AL871" s="7">
        <f>IF(ISBLANK(AH871), 0, VLOOKUP(AH871, 'Price Sheet'!$A$2:$B1015, 2, false))</f>
        <v>0</v>
      </c>
      <c r="AM871" s="33" t="str">
        <f t="shared" si="10"/>
        <v/>
      </c>
      <c r="AN871" s="37"/>
      <c r="AO871" s="29"/>
      <c r="AP871" s="29" t="b">
        <v>0</v>
      </c>
      <c r="AQ871" s="22" t="str">
        <f t="shared" si="11"/>
        <v/>
      </c>
      <c r="AR871" s="7">
        <f>IF(ISBLANK(AN871), 0, VLOOKUP(AN871, 'Price Sheet'!$A$2:$B1015, 2, false))</f>
        <v>0</v>
      </c>
      <c r="AS871" s="33" t="str">
        <f t="shared" si="12"/>
        <v/>
      </c>
      <c r="AT871" s="37"/>
      <c r="AU871" s="29"/>
      <c r="AV871" s="29" t="b">
        <v>0</v>
      </c>
      <c r="AW871" s="22" t="str">
        <f t="shared" si="13"/>
        <v/>
      </c>
      <c r="AX871" s="7">
        <f>IF(ISBLANK(AT871), 0, VLOOKUP(AT871, 'Price Sheet'!$A$2:$B1015, 2, false))</f>
        <v>0</v>
      </c>
      <c r="AY871" s="33" t="str">
        <f t="shared" si="14"/>
        <v/>
      </c>
      <c r="AZ871" s="37"/>
      <c r="BA871" s="29"/>
      <c r="BB871" s="29" t="b">
        <v>0</v>
      </c>
      <c r="BC871" s="22" t="str">
        <f t="shared" si="15"/>
        <v/>
      </c>
      <c r="BD871" s="7">
        <f>IF(ISBLANK(AZ871), 0, VLOOKUP(AZ871, 'Price Sheet'!$A$2:$B1015, 2, false))</f>
        <v>0</v>
      </c>
      <c r="BE871" s="33" t="str">
        <f t="shared" si="16"/>
        <v/>
      </c>
      <c r="BF871" s="37"/>
      <c r="BG871" s="29"/>
      <c r="BH871" s="29" t="b">
        <v>0</v>
      </c>
      <c r="BI871" s="22" t="str">
        <f t="shared" si="17"/>
        <v/>
      </c>
      <c r="BJ871" s="7">
        <f>IF(ISBLANK(BF871), 0, VLOOKUP(BF871, 'Price Sheet'!$A$2:$B1015, 2, false))</f>
        <v>0</v>
      </c>
      <c r="BK871" s="33" t="str">
        <f t="shared" si="18"/>
        <v/>
      </c>
      <c r="BL871" s="37"/>
      <c r="BM871" s="29"/>
      <c r="BN871" s="29" t="b">
        <v>0</v>
      </c>
      <c r="BO871" s="22" t="str">
        <f t="shared" si="19"/>
        <v/>
      </c>
      <c r="BP871" s="7">
        <f>IF(ISBLANK(BL871), 0, VLOOKUP(BL871, 'Price Sheet'!$A$2:$B1015, 2, false))</f>
        <v>0</v>
      </c>
      <c r="BQ871" s="33" t="str">
        <f t="shared" si="20"/>
        <v/>
      </c>
    </row>
    <row r="872">
      <c r="B872" s="19"/>
      <c r="C872" s="29"/>
      <c r="D872" s="29"/>
      <c r="E872" s="7" t="str">
        <f>IF(ISBLANK(D872), "", VLOOKUP(D872,'Crafting Tables'!$A$2:$B1015, 2, false))</f>
        <v/>
      </c>
      <c r="F872" s="7" t="str">
        <f>IFERROR(IF(E872 = "None", 1, VLOOKUP(C872,General!$A$5:$L$35, SWITCH(E872, "Basic", 8, "Advanced", 10, "Modern", 12), false)),"")</f>
        <v/>
      </c>
      <c r="G872" s="29"/>
      <c r="H872" s="7">
        <f>IFERROR(VLOOKUP(C872, General!$A$5:$L$35, 6, false) * G872 / 1000, 0)</f>
        <v>0</v>
      </c>
      <c r="I872" s="29"/>
      <c r="J872" s="22" t="str">
        <f>IFERROR(I872*VLOOKUP(D872,'Crafting Tables'!$1:$1000, 4, false)*F872,"")</f>
        <v/>
      </c>
      <c r="K872" s="29" t="b">
        <v>0</v>
      </c>
      <c r="L872" s="37"/>
      <c r="M872" s="29"/>
      <c r="N872" s="21" t="str">
        <f t="shared" si="2"/>
        <v/>
      </c>
      <c r="P872" s="37"/>
      <c r="Q872" s="29"/>
      <c r="R872" s="29" t="b">
        <v>0</v>
      </c>
      <c r="S872" s="22" t="str">
        <f t="shared" si="3"/>
        <v/>
      </c>
      <c r="T872" s="7">
        <f>IF(ISBLANK(P872), 0, VLOOKUP(P872, 'Price Sheet'!$A$2:$B1015, 2, false))</f>
        <v>0</v>
      </c>
      <c r="U872" s="33" t="str">
        <f t="shared" si="4"/>
        <v/>
      </c>
      <c r="V872" s="37"/>
      <c r="W872" s="29"/>
      <c r="X872" s="29" t="b">
        <v>0</v>
      </c>
      <c r="Y872" s="22" t="str">
        <f t="shared" si="5"/>
        <v/>
      </c>
      <c r="Z872" s="7">
        <f>IF(ISBLANK(V872), 0, VLOOKUP(V872, 'Price Sheet'!$A$2:$B1015, 2, false))</f>
        <v>0</v>
      </c>
      <c r="AA872" s="33" t="str">
        <f t="shared" si="6"/>
        <v/>
      </c>
      <c r="AB872" s="37"/>
      <c r="AC872" s="29"/>
      <c r="AD872" s="29" t="b">
        <v>0</v>
      </c>
      <c r="AE872" s="22" t="str">
        <f t="shared" si="7"/>
        <v/>
      </c>
      <c r="AF872" s="7">
        <f>IF(ISBLANK(AB872), 0, VLOOKUP(AB872, 'Price Sheet'!$A$2:$B1015, 2, false))</f>
        <v>0</v>
      </c>
      <c r="AG872" s="33" t="str">
        <f t="shared" si="8"/>
        <v/>
      </c>
      <c r="AH872" s="37"/>
      <c r="AI872" s="29"/>
      <c r="AJ872" s="29" t="b">
        <v>0</v>
      </c>
      <c r="AK872" s="22" t="str">
        <f t="shared" si="9"/>
        <v/>
      </c>
      <c r="AL872" s="7">
        <f>IF(ISBLANK(AH872), 0, VLOOKUP(AH872, 'Price Sheet'!$A$2:$B1015, 2, false))</f>
        <v>0</v>
      </c>
      <c r="AM872" s="33" t="str">
        <f t="shared" si="10"/>
        <v/>
      </c>
      <c r="AN872" s="37"/>
      <c r="AO872" s="29"/>
      <c r="AP872" s="29" t="b">
        <v>0</v>
      </c>
      <c r="AQ872" s="22" t="str">
        <f t="shared" si="11"/>
        <v/>
      </c>
      <c r="AR872" s="7">
        <f>IF(ISBLANK(AN872), 0, VLOOKUP(AN872, 'Price Sheet'!$A$2:$B1015, 2, false))</f>
        <v>0</v>
      </c>
      <c r="AS872" s="33" t="str">
        <f t="shared" si="12"/>
        <v/>
      </c>
      <c r="AT872" s="37"/>
      <c r="AU872" s="29"/>
      <c r="AV872" s="29" t="b">
        <v>0</v>
      </c>
      <c r="AW872" s="22" t="str">
        <f t="shared" si="13"/>
        <v/>
      </c>
      <c r="AX872" s="7">
        <f>IF(ISBLANK(AT872), 0, VLOOKUP(AT872, 'Price Sheet'!$A$2:$B1015, 2, false))</f>
        <v>0</v>
      </c>
      <c r="AY872" s="33" t="str">
        <f t="shared" si="14"/>
        <v/>
      </c>
      <c r="AZ872" s="37"/>
      <c r="BA872" s="29"/>
      <c r="BB872" s="29" t="b">
        <v>0</v>
      </c>
      <c r="BC872" s="22" t="str">
        <f t="shared" si="15"/>
        <v/>
      </c>
      <c r="BD872" s="7">
        <f>IF(ISBLANK(AZ872), 0, VLOOKUP(AZ872, 'Price Sheet'!$A$2:$B1015, 2, false))</f>
        <v>0</v>
      </c>
      <c r="BE872" s="33" t="str">
        <f t="shared" si="16"/>
        <v/>
      </c>
      <c r="BF872" s="37"/>
      <c r="BG872" s="29"/>
      <c r="BH872" s="29" t="b">
        <v>0</v>
      </c>
      <c r="BI872" s="22" t="str">
        <f t="shared" si="17"/>
        <v/>
      </c>
      <c r="BJ872" s="7">
        <f>IF(ISBLANK(BF872), 0, VLOOKUP(BF872, 'Price Sheet'!$A$2:$B1015, 2, false))</f>
        <v>0</v>
      </c>
      <c r="BK872" s="33" t="str">
        <f t="shared" si="18"/>
        <v/>
      </c>
      <c r="BL872" s="37"/>
      <c r="BM872" s="29"/>
      <c r="BN872" s="29" t="b">
        <v>0</v>
      </c>
      <c r="BO872" s="22" t="str">
        <f t="shared" si="19"/>
        <v/>
      </c>
      <c r="BP872" s="7">
        <f>IF(ISBLANK(BL872), 0, VLOOKUP(BL872, 'Price Sheet'!$A$2:$B1015, 2, false))</f>
        <v>0</v>
      </c>
      <c r="BQ872" s="33" t="str">
        <f t="shared" si="20"/>
        <v/>
      </c>
    </row>
    <row r="873">
      <c r="B873" s="19"/>
      <c r="C873" s="29"/>
      <c r="D873" s="29"/>
      <c r="E873" s="7" t="str">
        <f>IF(ISBLANK(D873), "", VLOOKUP(D873,'Crafting Tables'!$A$2:$B1015, 2, false))</f>
        <v/>
      </c>
      <c r="F873" s="7" t="str">
        <f>IFERROR(IF(E873 = "None", 1, VLOOKUP(C873,General!$A$5:$L$35, SWITCH(E873, "Basic", 8, "Advanced", 10, "Modern", 12), false)),"")</f>
        <v/>
      </c>
      <c r="G873" s="29"/>
      <c r="H873" s="7">
        <f>IFERROR(VLOOKUP(C873, General!$A$5:$L$35, 6, false) * G873 / 1000, 0)</f>
        <v>0</v>
      </c>
      <c r="I873" s="29"/>
      <c r="J873" s="22" t="str">
        <f>IFERROR(I873*VLOOKUP(D873,'Crafting Tables'!$1:$1000, 4, false)*F873,"")</f>
        <v/>
      </c>
      <c r="K873" s="29" t="b">
        <v>0</v>
      </c>
      <c r="L873" s="37"/>
      <c r="M873" s="29"/>
      <c r="N873" s="21" t="str">
        <f t="shared" si="2"/>
        <v/>
      </c>
      <c r="P873" s="37"/>
      <c r="Q873" s="29"/>
      <c r="R873" s="29" t="b">
        <v>0</v>
      </c>
      <c r="S873" s="22" t="str">
        <f t="shared" si="3"/>
        <v/>
      </c>
      <c r="T873" s="7">
        <f>IF(ISBLANK(P873), 0, VLOOKUP(P873, 'Price Sheet'!$A$2:$B1015, 2, false))</f>
        <v>0</v>
      </c>
      <c r="U873" s="33" t="str">
        <f t="shared" si="4"/>
        <v/>
      </c>
      <c r="V873" s="37"/>
      <c r="W873" s="29"/>
      <c r="X873" s="29" t="b">
        <v>0</v>
      </c>
      <c r="Y873" s="22" t="str">
        <f t="shared" si="5"/>
        <v/>
      </c>
      <c r="Z873" s="7">
        <f>IF(ISBLANK(V873), 0, VLOOKUP(V873, 'Price Sheet'!$A$2:$B1015, 2, false))</f>
        <v>0</v>
      </c>
      <c r="AA873" s="33" t="str">
        <f t="shared" si="6"/>
        <v/>
      </c>
      <c r="AB873" s="37"/>
      <c r="AC873" s="29"/>
      <c r="AD873" s="29" t="b">
        <v>0</v>
      </c>
      <c r="AE873" s="22" t="str">
        <f t="shared" si="7"/>
        <v/>
      </c>
      <c r="AF873" s="7">
        <f>IF(ISBLANK(AB873), 0, VLOOKUP(AB873, 'Price Sheet'!$A$2:$B1015, 2, false))</f>
        <v>0</v>
      </c>
      <c r="AG873" s="33" t="str">
        <f t="shared" si="8"/>
        <v/>
      </c>
      <c r="AH873" s="37"/>
      <c r="AI873" s="29"/>
      <c r="AJ873" s="29" t="b">
        <v>0</v>
      </c>
      <c r="AK873" s="22" t="str">
        <f t="shared" si="9"/>
        <v/>
      </c>
      <c r="AL873" s="7">
        <f>IF(ISBLANK(AH873), 0, VLOOKUP(AH873, 'Price Sheet'!$A$2:$B1015, 2, false))</f>
        <v>0</v>
      </c>
      <c r="AM873" s="33" t="str">
        <f t="shared" si="10"/>
        <v/>
      </c>
      <c r="AN873" s="37"/>
      <c r="AO873" s="29"/>
      <c r="AP873" s="29" t="b">
        <v>0</v>
      </c>
      <c r="AQ873" s="22" t="str">
        <f t="shared" si="11"/>
        <v/>
      </c>
      <c r="AR873" s="7">
        <f>IF(ISBLANK(AN873), 0, VLOOKUP(AN873, 'Price Sheet'!$A$2:$B1015, 2, false))</f>
        <v>0</v>
      </c>
      <c r="AS873" s="33" t="str">
        <f t="shared" si="12"/>
        <v/>
      </c>
      <c r="AT873" s="37"/>
      <c r="AU873" s="29"/>
      <c r="AV873" s="29" t="b">
        <v>0</v>
      </c>
      <c r="AW873" s="22" t="str">
        <f t="shared" si="13"/>
        <v/>
      </c>
      <c r="AX873" s="7">
        <f>IF(ISBLANK(AT873), 0, VLOOKUP(AT873, 'Price Sheet'!$A$2:$B1015, 2, false))</f>
        <v>0</v>
      </c>
      <c r="AY873" s="33" t="str">
        <f t="shared" si="14"/>
        <v/>
      </c>
      <c r="AZ873" s="37"/>
      <c r="BA873" s="29"/>
      <c r="BB873" s="29" t="b">
        <v>0</v>
      </c>
      <c r="BC873" s="22" t="str">
        <f t="shared" si="15"/>
        <v/>
      </c>
      <c r="BD873" s="7">
        <f>IF(ISBLANK(AZ873), 0, VLOOKUP(AZ873, 'Price Sheet'!$A$2:$B1015, 2, false))</f>
        <v>0</v>
      </c>
      <c r="BE873" s="33" t="str">
        <f t="shared" si="16"/>
        <v/>
      </c>
      <c r="BF873" s="37"/>
      <c r="BG873" s="29"/>
      <c r="BH873" s="29" t="b">
        <v>0</v>
      </c>
      <c r="BI873" s="22" t="str">
        <f t="shared" si="17"/>
        <v/>
      </c>
      <c r="BJ873" s="7">
        <f>IF(ISBLANK(BF873), 0, VLOOKUP(BF873, 'Price Sheet'!$A$2:$B1015, 2, false))</f>
        <v>0</v>
      </c>
      <c r="BK873" s="33" t="str">
        <f t="shared" si="18"/>
        <v/>
      </c>
      <c r="BL873" s="37"/>
      <c r="BM873" s="29"/>
      <c r="BN873" s="29" t="b">
        <v>0</v>
      </c>
      <c r="BO873" s="22" t="str">
        <f t="shared" si="19"/>
        <v/>
      </c>
      <c r="BP873" s="7">
        <f>IF(ISBLANK(BL873), 0, VLOOKUP(BL873, 'Price Sheet'!$A$2:$B1015, 2, false))</f>
        <v>0</v>
      </c>
      <c r="BQ873" s="33" t="str">
        <f t="shared" si="20"/>
        <v/>
      </c>
    </row>
    <row r="874">
      <c r="B874" s="19"/>
      <c r="C874" s="29"/>
      <c r="D874" s="29"/>
      <c r="E874" s="7" t="str">
        <f>IF(ISBLANK(D874), "", VLOOKUP(D874,'Crafting Tables'!$A$2:$B1015, 2, false))</f>
        <v/>
      </c>
      <c r="F874" s="7" t="str">
        <f>IFERROR(IF(E874 = "None", 1, VLOOKUP(C874,General!$A$5:$L$35, SWITCH(E874, "Basic", 8, "Advanced", 10, "Modern", 12), false)),"")</f>
        <v/>
      </c>
      <c r="G874" s="29"/>
      <c r="H874" s="7">
        <f>IFERROR(VLOOKUP(C874, General!$A$5:$L$35, 6, false) * G874 / 1000, 0)</f>
        <v>0</v>
      </c>
      <c r="I874" s="29"/>
      <c r="J874" s="22" t="str">
        <f>IFERROR(I874*VLOOKUP(D874,'Crafting Tables'!$1:$1000, 4, false)*F874,"")</f>
        <v/>
      </c>
      <c r="K874" s="29" t="b">
        <v>0</v>
      </c>
      <c r="L874" s="37"/>
      <c r="M874" s="29"/>
      <c r="N874" s="21" t="str">
        <f t="shared" si="2"/>
        <v/>
      </c>
      <c r="P874" s="37"/>
      <c r="Q874" s="29"/>
      <c r="R874" s="29" t="b">
        <v>0</v>
      </c>
      <c r="S874" s="22" t="str">
        <f t="shared" si="3"/>
        <v/>
      </c>
      <c r="T874" s="7">
        <f>IF(ISBLANK(P874), 0, VLOOKUP(P874, 'Price Sheet'!$A$2:$B1015, 2, false))</f>
        <v>0</v>
      </c>
      <c r="U874" s="33" t="str">
        <f t="shared" si="4"/>
        <v/>
      </c>
      <c r="V874" s="37"/>
      <c r="W874" s="29"/>
      <c r="X874" s="29" t="b">
        <v>0</v>
      </c>
      <c r="Y874" s="22" t="str">
        <f t="shared" si="5"/>
        <v/>
      </c>
      <c r="Z874" s="7">
        <f>IF(ISBLANK(V874), 0, VLOOKUP(V874, 'Price Sheet'!$A$2:$B1015, 2, false))</f>
        <v>0</v>
      </c>
      <c r="AA874" s="33" t="str">
        <f t="shared" si="6"/>
        <v/>
      </c>
      <c r="AB874" s="37"/>
      <c r="AC874" s="29"/>
      <c r="AD874" s="29" t="b">
        <v>0</v>
      </c>
      <c r="AE874" s="22" t="str">
        <f t="shared" si="7"/>
        <v/>
      </c>
      <c r="AF874" s="7">
        <f>IF(ISBLANK(AB874), 0, VLOOKUP(AB874, 'Price Sheet'!$A$2:$B1015, 2, false))</f>
        <v>0</v>
      </c>
      <c r="AG874" s="33" t="str">
        <f t="shared" si="8"/>
        <v/>
      </c>
      <c r="AH874" s="37"/>
      <c r="AI874" s="29"/>
      <c r="AJ874" s="29" t="b">
        <v>0</v>
      </c>
      <c r="AK874" s="22" t="str">
        <f t="shared" si="9"/>
        <v/>
      </c>
      <c r="AL874" s="7">
        <f>IF(ISBLANK(AH874), 0, VLOOKUP(AH874, 'Price Sheet'!$A$2:$B1015, 2, false))</f>
        <v>0</v>
      </c>
      <c r="AM874" s="33" t="str">
        <f t="shared" si="10"/>
        <v/>
      </c>
      <c r="AN874" s="37"/>
      <c r="AO874" s="29"/>
      <c r="AP874" s="29" t="b">
        <v>0</v>
      </c>
      <c r="AQ874" s="22" t="str">
        <f t="shared" si="11"/>
        <v/>
      </c>
      <c r="AR874" s="7">
        <f>IF(ISBLANK(AN874), 0, VLOOKUP(AN874, 'Price Sheet'!$A$2:$B1015, 2, false))</f>
        <v>0</v>
      </c>
      <c r="AS874" s="33" t="str">
        <f t="shared" si="12"/>
        <v/>
      </c>
      <c r="AT874" s="37"/>
      <c r="AU874" s="29"/>
      <c r="AV874" s="29" t="b">
        <v>0</v>
      </c>
      <c r="AW874" s="22" t="str">
        <f t="shared" si="13"/>
        <v/>
      </c>
      <c r="AX874" s="7">
        <f>IF(ISBLANK(AT874), 0, VLOOKUP(AT874, 'Price Sheet'!$A$2:$B1015, 2, false))</f>
        <v>0</v>
      </c>
      <c r="AY874" s="33" t="str">
        <f t="shared" si="14"/>
        <v/>
      </c>
      <c r="AZ874" s="37"/>
      <c r="BA874" s="29"/>
      <c r="BB874" s="29" t="b">
        <v>0</v>
      </c>
      <c r="BC874" s="22" t="str">
        <f t="shared" si="15"/>
        <v/>
      </c>
      <c r="BD874" s="7">
        <f>IF(ISBLANK(AZ874), 0, VLOOKUP(AZ874, 'Price Sheet'!$A$2:$B1015, 2, false))</f>
        <v>0</v>
      </c>
      <c r="BE874" s="33" t="str">
        <f t="shared" si="16"/>
        <v/>
      </c>
      <c r="BF874" s="37"/>
      <c r="BG874" s="29"/>
      <c r="BH874" s="29" t="b">
        <v>0</v>
      </c>
      <c r="BI874" s="22" t="str">
        <f t="shared" si="17"/>
        <v/>
      </c>
      <c r="BJ874" s="7">
        <f>IF(ISBLANK(BF874), 0, VLOOKUP(BF874, 'Price Sheet'!$A$2:$B1015, 2, false))</f>
        <v>0</v>
      </c>
      <c r="BK874" s="33" t="str">
        <f t="shared" si="18"/>
        <v/>
      </c>
      <c r="BL874" s="37"/>
      <c r="BM874" s="29"/>
      <c r="BN874" s="29" t="b">
        <v>0</v>
      </c>
      <c r="BO874" s="22" t="str">
        <f t="shared" si="19"/>
        <v/>
      </c>
      <c r="BP874" s="7">
        <f>IF(ISBLANK(BL874), 0, VLOOKUP(BL874, 'Price Sheet'!$A$2:$B1015, 2, false))</f>
        <v>0</v>
      </c>
      <c r="BQ874" s="33" t="str">
        <f t="shared" si="20"/>
        <v/>
      </c>
    </row>
    <row r="875">
      <c r="B875" s="19"/>
      <c r="C875" s="29"/>
      <c r="D875" s="29"/>
      <c r="E875" s="7" t="str">
        <f>IF(ISBLANK(D875), "", VLOOKUP(D875,'Crafting Tables'!$A$2:$B1015, 2, false))</f>
        <v/>
      </c>
      <c r="F875" s="7" t="str">
        <f>IFERROR(IF(E875 = "None", 1, VLOOKUP(C875,General!$A$5:$L$35, SWITCH(E875, "Basic", 8, "Advanced", 10, "Modern", 12), false)),"")</f>
        <v/>
      </c>
      <c r="G875" s="29"/>
      <c r="H875" s="7">
        <f>IFERROR(VLOOKUP(C875, General!$A$5:$L$35, 6, false) * G875 / 1000, 0)</f>
        <v>0</v>
      </c>
      <c r="I875" s="29"/>
      <c r="J875" s="22" t="str">
        <f>IFERROR(I875*VLOOKUP(D875,'Crafting Tables'!$1:$1000, 4, false)*F875,"")</f>
        <v/>
      </c>
      <c r="K875" s="29" t="b">
        <v>0</v>
      </c>
      <c r="L875" s="37"/>
      <c r="M875" s="29"/>
      <c r="N875" s="21" t="str">
        <f t="shared" si="2"/>
        <v/>
      </c>
      <c r="P875" s="37"/>
      <c r="Q875" s="29"/>
      <c r="R875" s="29" t="b">
        <v>0</v>
      </c>
      <c r="S875" s="22" t="str">
        <f t="shared" si="3"/>
        <v/>
      </c>
      <c r="T875" s="7">
        <f>IF(ISBLANK(P875), 0, VLOOKUP(P875, 'Price Sheet'!$A$2:$B1015, 2, false))</f>
        <v>0</v>
      </c>
      <c r="U875" s="33" t="str">
        <f t="shared" si="4"/>
        <v/>
      </c>
      <c r="V875" s="37"/>
      <c r="W875" s="29"/>
      <c r="X875" s="29" t="b">
        <v>0</v>
      </c>
      <c r="Y875" s="22" t="str">
        <f t="shared" si="5"/>
        <v/>
      </c>
      <c r="Z875" s="7">
        <f>IF(ISBLANK(V875), 0, VLOOKUP(V875, 'Price Sheet'!$A$2:$B1015, 2, false))</f>
        <v>0</v>
      </c>
      <c r="AA875" s="33" t="str">
        <f t="shared" si="6"/>
        <v/>
      </c>
      <c r="AB875" s="37"/>
      <c r="AC875" s="29"/>
      <c r="AD875" s="29" t="b">
        <v>0</v>
      </c>
      <c r="AE875" s="22" t="str">
        <f t="shared" si="7"/>
        <v/>
      </c>
      <c r="AF875" s="7">
        <f>IF(ISBLANK(AB875), 0, VLOOKUP(AB875, 'Price Sheet'!$A$2:$B1015, 2, false))</f>
        <v>0</v>
      </c>
      <c r="AG875" s="33" t="str">
        <f t="shared" si="8"/>
        <v/>
      </c>
      <c r="AH875" s="37"/>
      <c r="AI875" s="29"/>
      <c r="AJ875" s="29" t="b">
        <v>0</v>
      </c>
      <c r="AK875" s="22" t="str">
        <f t="shared" si="9"/>
        <v/>
      </c>
      <c r="AL875" s="7">
        <f>IF(ISBLANK(AH875), 0, VLOOKUP(AH875, 'Price Sheet'!$A$2:$B1015, 2, false))</f>
        <v>0</v>
      </c>
      <c r="AM875" s="33" t="str">
        <f t="shared" si="10"/>
        <v/>
      </c>
      <c r="AN875" s="37"/>
      <c r="AO875" s="29"/>
      <c r="AP875" s="29" t="b">
        <v>0</v>
      </c>
      <c r="AQ875" s="22" t="str">
        <f t="shared" si="11"/>
        <v/>
      </c>
      <c r="AR875" s="7">
        <f>IF(ISBLANK(AN875), 0, VLOOKUP(AN875, 'Price Sheet'!$A$2:$B1015, 2, false))</f>
        <v>0</v>
      </c>
      <c r="AS875" s="33" t="str">
        <f t="shared" si="12"/>
        <v/>
      </c>
      <c r="AT875" s="37"/>
      <c r="AU875" s="29"/>
      <c r="AV875" s="29" t="b">
        <v>0</v>
      </c>
      <c r="AW875" s="22" t="str">
        <f t="shared" si="13"/>
        <v/>
      </c>
      <c r="AX875" s="7">
        <f>IF(ISBLANK(AT875), 0, VLOOKUP(AT875, 'Price Sheet'!$A$2:$B1015, 2, false))</f>
        <v>0</v>
      </c>
      <c r="AY875" s="33" t="str">
        <f t="shared" si="14"/>
        <v/>
      </c>
      <c r="AZ875" s="37"/>
      <c r="BA875" s="29"/>
      <c r="BB875" s="29" t="b">
        <v>0</v>
      </c>
      <c r="BC875" s="22" t="str">
        <f t="shared" si="15"/>
        <v/>
      </c>
      <c r="BD875" s="7">
        <f>IF(ISBLANK(AZ875), 0, VLOOKUP(AZ875, 'Price Sheet'!$A$2:$B1015, 2, false))</f>
        <v>0</v>
      </c>
      <c r="BE875" s="33" t="str">
        <f t="shared" si="16"/>
        <v/>
      </c>
      <c r="BF875" s="37"/>
      <c r="BG875" s="29"/>
      <c r="BH875" s="29" t="b">
        <v>0</v>
      </c>
      <c r="BI875" s="22" t="str">
        <f t="shared" si="17"/>
        <v/>
      </c>
      <c r="BJ875" s="7">
        <f>IF(ISBLANK(BF875), 0, VLOOKUP(BF875, 'Price Sheet'!$A$2:$B1015, 2, false))</f>
        <v>0</v>
      </c>
      <c r="BK875" s="33" t="str">
        <f t="shared" si="18"/>
        <v/>
      </c>
      <c r="BL875" s="37"/>
      <c r="BM875" s="29"/>
      <c r="BN875" s="29" t="b">
        <v>0</v>
      </c>
      <c r="BO875" s="22" t="str">
        <f t="shared" si="19"/>
        <v/>
      </c>
      <c r="BP875" s="7">
        <f>IF(ISBLANK(BL875), 0, VLOOKUP(BL875, 'Price Sheet'!$A$2:$B1015, 2, false))</f>
        <v>0</v>
      </c>
      <c r="BQ875" s="33" t="str">
        <f t="shared" si="20"/>
        <v/>
      </c>
    </row>
    <row r="876">
      <c r="B876" s="19"/>
      <c r="C876" s="29"/>
      <c r="D876" s="29"/>
      <c r="E876" s="7" t="str">
        <f>IF(ISBLANK(D876), "", VLOOKUP(D876,'Crafting Tables'!$A$2:$B1015, 2, false))</f>
        <v/>
      </c>
      <c r="F876" s="7" t="str">
        <f>IFERROR(IF(E876 = "None", 1, VLOOKUP(C876,General!$A$5:$L$35, SWITCH(E876, "Basic", 8, "Advanced", 10, "Modern", 12), false)),"")</f>
        <v/>
      </c>
      <c r="G876" s="29"/>
      <c r="H876" s="7">
        <f>IFERROR(VLOOKUP(C876, General!$A$5:$L$35, 6, false) * G876 / 1000, 0)</f>
        <v>0</v>
      </c>
      <c r="I876" s="29"/>
      <c r="J876" s="22" t="str">
        <f>IFERROR(I876*VLOOKUP(D876,'Crafting Tables'!$1:$1000, 4, false)*F876,"")</f>
        <v/>
      </c>
      <c r="K876" s="29" t="b">
        <v>0</v>
      </c>
      <c r="L876" s="37"/>
      <c r="M876" s="29"/>
      <c r="N876" s="21" t="str">
        <f t="shared" si="2"/>
        <v/>
      </c>
      <c r="P876" s="37"/>
      <c r="Q876" s="29"/>
      <c r="R876" s="29" t="b">
        <v>0</v>
      </c>
      <c r="S876" s="22" t="str">
        <f t="shared" si="3"/>
        <v/>
      </c>
      <c r="T876" s="7">
        <f>IF(ISBLANK(P876), 0, VLOOKUP(P876, 'Price Sheet'!$A$2:$B1015, 2, false))</f>
        <v>0</v>
      </c>
      <c r="U876" s="33" t="str">
        <f t="shared" si="4"/>
        <v/>
      </c>
      <c r="V876" s="37"/>
      <c r="W876" s="29"/>
      <c r="X876" s="29" t="b">
        <v>0</v>
      </c>
      <c r="Y876" s="22" t="str">
        <f t="shared" si="5"/>
        <v/>
      </c>
      <c r="Z876" s="7">
        <f>IF(ISBLANK(V876), 0, VLOOKUP(V876, 'Price Sheet'!$A$2:$B1015, 2, false))</f>
        <v>0</v>
      </c>
      <c r="AA876" s="33" t="str">
        <f t="shared" si="6"/>
        <v/>
      </c>
      <c r="AB876" s="37"/>
      <c r="AC876" s="29"/>
      <c r="AD876" s="29" t="b">
        <v>0</v>
      </c>
      <c r="AE876" s="22" t="str">
        <f t="shared" si="7"/>
        <v/>
      </c>
      <c r="AF876" s="7">
        <f>IF(ISBLANK(AB876), 0, VLOOKUP(AB876, 'Price Sheet'!$A$2:$B1015, 2, false))</f>
        <v>0</v>
      </c>
      <c r="AG876" s="33" t="str">
        <f t="shared" si="8"/>
        <v/>
      </c>
      <c r="AH876" s="37"/>
      <c r="AI876" s="29"/>
      <c r="AJ876" s="29" t="b">
        <v>0</v>
      </c>
      <c r="AK876" s="22" t="str">
        <f t="shared" si="9"/>
        <v/>
      </c>
      <c r="AL876" s="7">
        <f>IF(ISBLANK(AH876), 0, VLOOKUP(AH876, 'Price Sheet'!$A$2:$B1015, 2, false))</f>
        <v>0</v>
      </c>
      <c r="AM876" s="33" t="str">
        <f t="shared" si="10"/>
        <v/>
      </c>
      <c r="AN876" s="37"/>
      <c r="AO876" s="29"/>
      <c r="AP876" s="29" t="b">
        <v>0</v>
      </c>
      <c r="AQ876" s="22" t="str">
        <f t="shared" si="11"/>
        <v/>
      </c>
      <c r="AR876" s="7">
        <f>IF(ISBLANK(AN876), 0, VLOOKUP(AN876, 'Price Sheet'!$A$2:$B1015, 2, false))</f>
        <v>0</v>
      </c>
      <c r="AS876" s="33" t="str">
        <f t="shared" si="12"/>
        <v/>
      </c>
      <c r="AT876" s="37"/>
      <c r="AU876" s="29"/>
      <c r="AV876" s="29" t="b">
        <v>0</v>
      </c>
      <c r="AW876" s="22" t="str">
        <f t="shared" si="13"/>
        <v/>
      </c>
      <c r="AX876" s="7">
        <f>IF(ISBLANK(AT876), 0, VLOOKUP(AT876, 'Price Sheet'!$A$2:$B1015, 2, false))</f>
        <v>0</v>
      </c>
      <c r="AY876" s="33" t="str">
        <f t="shared" si="14"/>
        <v/>
      </c>
      <c r="AZ876" s="37"/>
      <c r="BA876" s="29"/>
      <c r="BB876" s="29" t="b">
        <v>0</v>
      </c>
      <c r="BC876" s="22" t="str">
        <f t="shared" si="15"/>
        <v/>
      </c>
      <c r="BD876" s="7">
        <f>IF(ISBLANK(AZ876), 0, VLOOKUP(AZ876, 'Price Sheet'!$A$2:$B1015, 2, false))</f>
        <v>0</v>
      </c>
      <c r="BE876" s="33" t="str">
        <f t="shared" si="16"/>
        <v/>
      </c>
      <c r="BF876" s="37"/>
      <c r="BG876" s="29"/>
      <c r="BH876" s="29" t="b">
        <v>0</v>
      </c>
      <c r="BI876" s="22" t="str">
        <f t="shared" si="17"/>
        <v/>
      </c>
      <c r="BJ876" s="7">
        <f>IF(ISBLANK(BF876), 0, VLOOKUP(BF876, 'Price Sheet'!$A$2:$B1015, 2, false))</f>
        <v>0</v>
      </c>
      <c r="BK876" s="33" t="str">
        <f t="shared" si="18"/>
        <v/>
      </c>
      <c r="BL876" s="37"/>
      <c r="BM876" s="29"/>
      <c r="BN876" s="29" t="b">
        <v>0</v>
      </c>
      <c r="BO876" s="22" t="str">
        <f t="shared" si="19"/>
        <v/>
      </c>
      <c r="BP876" s="7">
        <f>IF(ISBLANK(BL876), 0, VLOOKUP(BL876, 'Price Sheet'!$A$2:$B1015, 2, false))</f>
        <v>0</v>
      </c>
      <c r="BQ876" s="33" t="str">
        <f t="shared" si="20"/>
        <v/>
      </c>
    </row>
    <row r="877">
      <c r="B877" s="19"/>
      <c r="C877" s="29"/>
      <c r="D877" s="29"/>
      <c r="E877" s="7" t="str">
        <f>IF(ISBLANK(D877), "", VLOOKUP(D877,'Crafting Tables'!$A$2:$B1015, 2, false))</f>
        <v/>
      </c>
      <c r="F877" s="7" t="str">
        <f>IFERROR(IF(E877 = "None", 1, VLOOKUP(C877,General!$A$5:$L$35, SWITCH(E877, "Basic", 8, "Advanced", 10, "Modern", 12), false)),"")</f>
        <v/>
      </c>
      <c r="G877" s="29"/>
      <c r="H877" s="7">
        <f>IFERROR(VLOOKUP(C877, General!$A$5:$L$35, 6, false) * G877 / 1000, 0)</f>
        <v>0</v>
      </c>
      <c r="I877" s="29"/>
      <c r="J877" s="22" t="str">
        <f>IFERROR(I877*VLOOKUP(D877,'Crafting Tables'!$1:$1000, 4, false)*F877,"")</f>
        <v/>
      </c>
      <c r="K877" s="29" t="b">
        <v>0</v>
      </c>
      <c r="L877" s="37"/>
      <c r="M877" s="29"/>
      <c r="N877" s="21" t="str">
        <f t="shared" si="2"/>
        <v/>
      </c>
      <c r="P877" s="37"/>
      <c r="Q877" s="29"/>
      <c r="R877" s="29" t="b">
        <v>0</v>
      </c>
      <c r="S877" s="22" t="str">
        <f t="shared" si="3"/>
        <v/>
      </c>
      <c r="T877" s="7">
        <f>IF(ISBLANK(P877), 0, VLOOKUP(P877, 'Price Sheet'!$A$2:$B1015, 2, false))</f>
        <v>0</v>
      </c>
      <c r="U877" s="33" t="str">
        <f t="shared" si="4"/>
        <v/>
      </c>
      <c r="V877" s="37"/>
      <c r="W877" s="29"/>
      <c r="X877" s="29" t="b">
        <v>0</v>
      </c>
      <c r="Y877" s="22" t="str">
        <f t="shared" si="5"/>
        <v/>
      </c>
      <c r="Z877" s="7">
        <f>IF(ISBLANK(V877), 0, VLOOKUP(V877, 'Price Sheet'!$A$2:$B1015, 2, false))</f>
        <v>0</v>
      </c>
      <c r="AA877" s="33" t="str">
        <f t="shared" si="6"/>
        <v/>
      </c>
      <c r="AB877" s="37"/>
      <c r="AC877" s="29"/>
      <c r="AD877" s="29" t="b">
        <v>0</v>
      </c>
      <c r="AE877" s="22" t="str">
        <f t="shared" si="7"/>
        <v/>
      </c>
      <c r="AF877" s="7">
        <f>IF(ISBLANK(AB877), 0, VLOOKUP(AB877, 'Price Sheet'!$A$2:$B1015, 2, false))</f>
        <v>0</v>
      </c>
      <c r="AG877" s="33" t="str">
        <f t="shared" si="8"/>
        <v/>
      </c>
      <c r="AH877" s="37"/>
      <c r="AI877" s="29"/>
      <c r="AJ877" s="29" t="b">
        <v>0</v>
      </c>
      <c r="AK877" s="22" t="str">
        <f t="shared" si="9"/>
        <v/>
      </c>
      <c r="AL877" s="7">
        <f>IF(ISBLANK(AH877), 0, VLOOKUP(AH877, 'Price Sheet'!$A$2:$B1015, 2, false))</f>
        <v>0</v>
      </c>
      <c r="AM877" s="33" t="str">
        <f t="shared" si="10"/>
        <v/>
      </c>
      <c r="AN877" s="37"/>
      <c r="AO877" s="29"/>
      <c r="AP877" s="29" t="b">
        <v>0</v>
      </c>
      <c r="AQ877" s="22" t="str">
        <f t="shared" si="11"/>
        <v/>
      </c>
      <c r="AR877" s="7">
        <f>IF(ISBLANK(AN877), 0, VLOOKUP(AN877, 'Price Sheet'!$A$2:$B1015, 2, false))</f>
        <v>0</v>
      </c>
      <c r="AS877" s="33" t="str">
        <f t="shared" si="12"/>
        <v/>
      </c>
      <c r="AT877" s="37"/>
      <c r="AU877" s="29"/>
      <c r="AV877" s="29" t="b">
        <v>0</v>
      </c>
      <c r="AW877" s="22" t="str">
        <f t="shared" si="13"/>
        <v/>
      </c>
      <c r="AX877" s="7">
        <f>IF(ISBLANK(AT877), 0, VLOOKUP(AT877, 'Price Sheet'!$A$2:$B1015, 2, false))</f>
        <v>0</v>
      </c>
      <c r="AY877" s="33" t="str">
        <f t="shared" si="14"/>
        <v/>
      </c>
      <c r="AZ877" s="37"/>
      <c r="BA877" s="29"/>
      <c r="BB877" s="29" t="b">
        <v>0</v>
      </c>
      <c r="BC877" s="22" t="str">
        <f t="shared" si="15"/>
        <v/>
      </c>
      <c r="BD877" s="7">
        <f>IF(ISBLANK(AZ877), 0, VLOOKUP(AZ877, 'Price Sheet'!$A$2:$B1015, 2, false))</f>
        <v>0</v>
      </c>
      <c r="BE877" s="33" t="str">
        <f t="shared" si="16"/>
        <v/>
      </c>
      <c r="BF877" s="37"/>
      <c r="BG877" s="29"/>
      <c r="BH877" s="29" t="b">
        <v>0</v>
      </c>
      <c r="BI877" s="22" t="str">
        <f t="shared" si="17"/>
        <v/>
      </c>
      <c r="BJ877" s="7">
        <f>IF(ISBLANK(BF877), 0, VLOOKUP(BF877, 'Price Sheet'!$A$2:$B1015, 2, false))</f>
        <v>0</v>
      </c>
      <c r="BK877" s="33" t="str">
        <f t="shared" si="18"/>
        <v/>
      </c>
      <c r="BL877" s="37"/>
      <c r="BM877" s="29"/>
      <c r="BN877" s="29" t="b">
        <v>0</v>
      </c>
      <c r="BO877" s="22" t="str">
        <f t="shared" si="19"/>
        <v/>
      </c>
      <c r="BP877" s="7">
        <f>IF(ISBLANK(BL877), 0, VLOOKUP(BL877, 'Price Sheet'!$A$2:$B1015, 2, false))</f>
        <v>0</v>
      </c>
      <c r="BQ877" s="33" t="str">
        <f t="shared" si="20"/>
        <v/>
      </c>
    </row>
    <row r="878">
      <c r="B878" s="19"/>
      <c r="C878" s="29"/>
      <c r="D878" s="29"/>
      <c r="E878" s="7" t="str">
        <f>IF(ISBLANK(D878), "", VLOOKUP(D878,'Crafting Tables'!$A$2:$B1015, 2, false))</f>
        <v/>
      </c>
      <c r="F878" s="7" t="str">
        <f>IFERROR(IF(E878 = "None", 1, VLOOKUP(C878,General!$A$5:$L$35, SWITCH(E878, "Basic", 8, "Advanced", 10, "Modern", 12), false)),"")</f>
        <v/>
      </c>
      <c r="G878" s="29"/>
      <c r="H878" s="7">
        <f>IFERROR(VLOOKUP(C878, General!$A$5:$L$35, 6, false) * G878 / 1000, 0)</f>
        <v>0</v>
      </c>
      <c r="I878" s="29"/>
      <c r="J878" s="22" t="str">
        <f>IFERROR(I878*VLOOKUP(D878,'Crafting Tables'!$1:$1000, 4, false)*F878,"")</f>
        <v/>
      </c>
      <c r="K878" s="29" t="b">
        <v>0</v>
      </c>
      <c r="L878" s="37"/>
      <c r="M878" s="29"/>
      <c r="N878" s="21" t="str">
        <f t="shared" si="2"/>
        <v/>
      </c>
      <c r="P878" s="37"/>
      <c r="Q878" s="29"/>
      <c r="R878" s="29" t="b">
        <v>0</v>
      </c>
      <c r="S878" s="22" t="str">
        <f t="shared" si="3"/>
        <v/>
      </c>
      <c r="T878" s="7">
        <f>IF(ISBLANK(P878), 0, VLOOKUP(P878, 'Price Sheet'!$A$2:$B1015, 2, false))</f>
        <v>0</v>
      </c>
      <c r="U878" s="33" t="str">
        <f t="shared" si="4"/>
        <v/>
      </c>
      <c r="V878" s="37"/>
      <c r="W878" s="29"/>
      <c r="X878" s="29" t="b">
        <v>0</v>
      </c>
      <c r="Y878" s="22" t="str">
        <f t="shared" si="5"/>
        <v/>
      </c>
      <c r="Z878" s="7">
        <f>IF(ISBLANK(V878), 0, VLOOKUP(V878, 'Price Sheet'!$A$2:$B1015, 2, false))</f>
        <v>0</v>
      </c>
      <c r="AA878" s="33" t="str">
        <f t="shared" si="6"/>
        <v/>
      </c>
      <c r="AB878" s="37"/>
      <c r="AC878" s="29"/>
      <c r="AD878" s="29" t="b">
        <v>0</v>
      </c>
      <c r="AE878" s="22" t="str">
        <f t="shared" si="7"/>
        <v/>
      </c>
      <c r="AF878" s="7">
        <f>IF(ISBLANK(AB878), 0, VLOOKUP(AB878, 'Price Sheet'!$A$2:$B1015, 2, false))</f>
        <v>0</v>
      </c>
      <c r="AG878" s="33" t="str">
        <f t="shared" si="8"/>
        <v/>
      </c>
      <c r="AH878" s="37"/>
      <c r="AI878" s="29"/>
      <c r="AJ878" s="29" t="b">
        <v>0</v>
      </c>
      <c r="AK878" s="22" t="str">
        <f t="shared" si="9"/>
        <v/>
      </c>
      <c r="AL878" s="7">
        <f>IF(ISBLANK(AH878), 0, VLOOKUP(AH878, 'Price Sheet'!$A$2:$B1015, 2, false))</f>
        <v>0</v>
      </c>
      <c r="AM878" s="33" t="str">
        <f t="shared" si="10"/>
        <v/>
      </c>
      <c r="AN878" s="37"/>
      <c r="AO878" s="29"/>
      <c r="AP878" s="29" t="b">
        <v>0</v>
      </c>
      <c r="AQ878" s="22" t="str">
        <f t="shared" si="11"/>
        <v/>
      </c>
      <c r="AR878" s="7">
        <f>IF(ISBLANK(AN878), 0, VLOOKUP(AN878, 'Price Sheet'!$A$2:$B1015, 2, false))</f>
        <v>0</v>
      </c>
      <c r="AS878" s="33" t="str">
        <f t="shared" si="12"/>
        <v/>
      </c>
      <c r="AT878" s="37"/>
      <c r="AU878" s="29"/>
      <c r="AV878" s="29" t="b">
        <v>0</v>
      </c>
      <c r="AW878" s="22" t="str">
        <f t="shared" si="13"/>
        <v/>
      </c>
      <c r="AX878" s="7">
        <f>IF(ISBLANK(AT878), 0, VLOOKUP(AT878, 'Price Sheet'!$A$2:$B1015, 2, false))</f>
        <v>0</v>
      </c>
      <c r="AY878" s="33" t="str">
        <f t="shared" si="14"/>
        <v/>
      </c>
      <c r="AZ878" s="37"/>
      <c r="BA878" s="29"/>
      <c r="BB878" s="29" t="b">
        <v>0</v>
      </c>
      <c r="BC878" s="22" t="str">
        <f t="shared" si="15"/>
        <v/>
      </c>
      <c r="BD878" s="7">
        <f>IF(ISBLANK(AZ878), 0, VLOOKUP(AZ878, 'Price Sheet'!$A$2:$B1015, 2, false))</f>
        <v>0</v>
      </c>
      <c r="BE878" s="33" t="str">
        <f t="shared" si="16"/>
        <v/>
      </c>
      <c r="BF878" s="37"/>
      <c r="BG878" s="29"/>
      <c r="BH878" s="29" t="b">
        <v>0</v>
      </c>
      <c r="BI878" s="22" t="str">
        <f t="shared" si="17"/>
        <v/>
      </c>
      <c r="BJ878" s="7">
        <f>IF(ISBLANK(BF878), 0, VLOOKUP(BF878, 'Price Sheet'!$A$2:$B1015, 2, false))</f>
        <v>0</v>
      </c>
      <c r="BK878" s="33" t="str">
        <f t="shared" si="18"/>
        <v/>
      </c>
      <c r="BL878" s="37"/>
      <c r="BM878" s="29"/>
      <c r="BN878" s="29" t="b">
        <v>0</v>
      </c>
      <c r="BO878" s="22" t="str">
        <f t="shared" si="19"/>
        <v/>
      </c>
      <c r="BP878" s="7">
        <f>IF(ISBLANK(BL878), 0, VLOOKUP(BL878, 'Price Sheet'!$A$2:$B1015, 2, false))</f>
        <v>0</v>
      </c>
      <c r="BQ878" s="33" t="str">
        <f t="shared" si="20"/>
        <v/>
      </c>
    </row>
    <row r="879">
      <c r="B879" s="19"/>
      <c r="C879" s="29"/>
      <c r="D879" s="29"/>
      <c r="E879" s="7" t="str">
        <f>IF(ISBLANK(D879), "", VLOOKUP(D879,'Crafting Tables'!$A$2:$B1015, 2, false))</f>
        <v/>
      </c>
      <c r="F879" s="7" t="str">
        <f>IFERROR(IF(E879 = "None", 1, VLOOKUP(C879,General!$A$5:$L$35, SWITCH(E879, "Basic", 8, "Advanced", 10, "Modern", 12), false)),"")</f>
        <v/>
      </c>
      <c r="G879" s="29"/>
      <c r="H879" s="7">
        <f>IFERROR(VLOOKUP(C879, General!$A$5:$L$35, 6, false) * G879 / 1000, 0)</f>
        <v>0</v>
      </c>
      <c r="I879" s="29"/>
      <c r="J879" s="22" t="str">
        <f>IFERROR(I879*VLOOKUP(D879,'Crafting Tables'!$1:$1000, 4, false)*F879,"")</f>
        <v/>
      </c>
      <c r="K879" s="29" t="b">
        <v>0</v>
      </c>
      <c r="L879" s="37"/>
      <c r="M879" s="29"/>
      <c r="N879" s="21" t="str">
        <f t="shared" si="2"/>
        <v/>
      </c>
      <c r="P879" s="37"/>
      <c r="Q879" s="29"/>
      <c r="R879" s="29" t="b">
        <v>0</v>
      </c>
      <c r="S879" s="22" t="str">
        <f t="shared" si="3"/>
        <v/>
      </c>
      <c r="T879" s="7">
        <f>IF(ISBLANK(P879), 0, VLOOKUP(P879, 'Price Sheet'!$A$2:$B1015, 2, false))</f>
        <v>0</v>
      </c>
      <c r="U879" s="33" t="str">
        <f t="shared" si="4"/>
        <v/>
      </c>
      <c r="V879" s="37"/>
      <c r="W879" s="29"/>
      <c r="X879" s="29" t="b">
        <v>0</v>
      </c>
      <c r="Y879" s="22" t="str">
        <f t="shared" si="5"/>
        <v/>
      </c>
      <c r="Z879" s="7">
        <f>IF(ISBLANK(V879), 0, VLOOKUP(V879, 'Price Sheet'!$A$2:$B1015, 2, false))</f>
        <v>0</v>
      </c>
      <c r="AA879" s="33" t="str">
        <f t="shared" si="6"/>
        <v/>
      </c>
      <c r="AB879" s="37"/>
      <c r="AC879" s="29"/>
      <c r="AD879" s="29" t="b">
        <v>0</v>
      </c>
      <c r="AE879" s="22" t="str">
        <f t="shared" si="7"/>
        <v/>
      </c>
      <c r="AF879" s="7">
        <f>IF(ISBLANK(AB879), 0, VLOOKUP(AB879, 'Price Sheet'!$A$2:$B1015, 2, false))</f>
        <v>0</v>
      </c>
      <c r="AG879" s="33" t="str">
        <f t="shared" si="8"/>
        <v/>
      </c>
      <c r="AH879" s="37"/>
      <c r="AI879" s="29"/>
      <c r="AJ879" s="29" t="b">
        <v>0</v>
      </c>
      <c r="AK879" s="22" t="str">
        <f t="shared" si="9"/>
        <v/>
      </c>
      <c r="AL879" s="7">
        <f>IF(ISBLANK(AH879), 0, VLOOKUP(AH879, 'Price Sheet'!$A$2:$B1015, 2, false))</f>
        <v>0</v>
      </c>
      <c r="AM879" s="33" t="str">
        <f t="shared" si="10"/>
        <v/>
      </c>
      <c r="AN879" s="37"/>
      <c r="AO879" s="29"/>
      <c r="AP879" s="29" t="b">
        <v>0</v>
      </c>
      <c r="AQ879" s="22" t="str">
        <f t="shared" si="11"/>
        <v/>
      </c>
      <c r="AR879" s="7">
        <f>IF(ISBLANK(AN879), 0, VLOOKUP(AN879, 'Price Sheet'!$A$2:$B1015, 2, false))</f>
        <v>0</v>
      </c>
      <c r="AS879" s="33" t="str">
        <f t="shared" si="12"/>
        <v/>
      </c>
      <c r="AT879" s="37"/>
      <c r="AU879" s="29"/>
      <c r="AV879" s="29" t="b">
        <v>0</v>
      </c>
      <c r="AW879" s="22" t="str">
        <f t="shared" si="13"/>
        <v/>
      </c>
      <c r="AX879" s="7">
        <f>IF(ISBLANK(AT879), 0, VLOOKUP(AT879, 'Price Sheet'!$A$2:$B1015, 2, false))</f>
        <v>0</v>
      </c>
      <c r="AY879" s="33" t="str">
        <f t="shared" si="14"/>
        <v/>
      </c>
      <c r="AZ879" s="37"/>
      <c r="BA879" s="29"/>
      <c r="BB879" s="29" t="b">
        <v>0</v>
      </c>
      <c r="BC879" s="22" t="str">
        <f t="shared" si="15"/>
        <v/>
      </c>
      <c r="BD879" s="7">
        <f>IF(ISBLANK(AZ879), 0, VLOOKUP(AZ879, 'Price Sheet'!$A$2:$B1015, 2, false))</f>
        <v>0</v>
      </c>
      <c r="BE879" s="33" t="str">
        <f t="shared" si="16"/>
        <v/>
      </c>
      <c r="BF879" s="37"/>
      <c r="BG879" s="29"/>
      <c r="BH879" s="29" t="b">
        <v>0</v>
      </c>
      <c r="BI879" s="22" t="str">
        <f t="shared" si="17"/>
        <v/>
      </c>
      <c r="BJ879" s="7">
        <f>IF(ISBLANK(BF879), 0, VLOOKUP(BF879, 'Price Sheet'!$A$2:$B1015, 2, false))</f>
        <v>0</v>
      </c>
      <c r="BK879" s="33" t="str">
        <f t="shared" si="18"/>
        <v/>
      </c>
      <c r="BL879" s="37"/>
      <c r="BM879" s="29"/>
      <c r="BN879" s="29" t="b">
        <v>0</v>
      </c>
      <c r="BO879" s="22" t="str">
        <f t="shared" si="19"/>
        <v/>
      </c>
      <c r="BP879" s="7">
        <f>IF(ISBLANK(BL879), 0, VLOOKUP(BL879, 'Price Sheet'!$A$2:$B1015, 2, false))</f>
        <v>0</v>
      </c>
      <c r="BQ879" s="33" t="str">
        <f t="shared" si="20"/>
        <v/>
      </c>
    </row>
    <row r="880">
      <c r="B880" s="19"/>
      <c r="C880" s="29"/>
      <c r="D880" s="29"/>
      <c r="E880" s="7" t="str">
        <f>IF(ISBLANK(D880), "", VLOOKUP(D880,'Crafting Tables'!$A$2:$B1015, 2, false))</f>
        <v/>
      </c>
      <c r="F880" s="7" t="str">
        <f>IFERROR(IF(E880 = "None", 1, VLOOKUP(C880,General!$A$5:$L$35, SWITCH(E880, "Basic", 8, "Advanced", 10, "Modern", 12), false)),"")</f>
        <v/>
      </c>
      <c r="G880" s="29"/>
      <c r="H880" s="7">
        <f>IFERROR(VLOOKUP(C880, General!$A$5:$L$35, 6, false) * G880 / 1000, 0)</f>
        <v>0</v>
      </c>
      <c r="I880" s="29"/>
      <c r="J880" s="22" t="str">
        <f>IFERROR(I880*VLOOKUP(D880,'Crafting Tables'!$1:$1000, 4, false)*F880,"")</f>
        <v/>
      </c>
      <c r="K880" s="29" t="b">
        <v>0</v>
      </c>
      <c r="L880" s="37"/>
      <c r="M880" s="29"/>
      <c r="N880" s="21" t="str">
        <f t="shared" si="2"/>
        <v/>
      </c>
      <c r="P880" s="37"/>
      <c r="Q880" s="29"/>
      <c r="R880" s="29" t="b">
        <v>0</v>
      </c>
      <c r="S880" s="22" t="str">
        <f t="shared" si="3"/>
        <v/>
      </c>
      <c r="T880" s="7">
        <f>IF(ISBLANK(P880), 0, VLOOKUP(P880, 'Price Sheet'!$A$2:$B1015, 2, false))</f>
        <v>0</v>
      </c>
      <c r="U880" s="33" t="str">
        <f t="shared" si="4"/>
        <v/>
      </c>
      <c r="V880" s="37"/>
      <c r="W880" s="29"/>
      <c r="X880" s="29" t="b">
        <v>0</v>
      </c>
      <c r="Y880" s="22" t="str">
        <f t="shared" si="5"/>
        <v/>
      </c>
      <c r="Z880" s="7">
        <f>IF(ISBLANK(V880), 0, VLOOKUP(V880, 'Price Sheet'!$A$2:$B1015, 2, false))</f>
        <v>0</v>
      </c>
      <c r="AA880" s="33" t="str">
        <f t="shared" si="6"/>
        <v/>
      </c>
      <c r="AB880" s="37"/>
      <c r="AC880" s="29"/>
      <c r="AD880" s="29" t="b">
        <v>0</v>
      </c>
      <c r="AE880" s="22" t="str">
        <f t="shared" si="7"/>
        <v/>
      </c>
      <c r="AF880" s="7">
        <f>IF(ISBLANK(AB880), 0, VLOOKUP(AB880, 'Price Sheet'!$A$2:$B1015, 2, false))</f>
        <v>0</v>
      </c>
      <c r="AG880" s="33" t="str">
        <f t="shared" si="8"/>
        <v/>
      </c>
      <c r="AH880" s="37"/>
      <c r="AI880" s="29"/>
      <c r="AJ880" s="29" t="b">
        <v>0</v>
      </c>
      <c r="AK880" s="22" t="str">
        <f t="shared" si="9"/>
        <v/>
      </c>
      <c r="AL880" s="7">
        <f>IF(ISBLANK(AH880), 0, VLOOKUP(AH880, 'Price Sheet'!$A$2:$B1015, 2, false))</f>
        <v>0</v>
      </c>
      <c r="AM880" s="33" t="str">
        <f t="shared" si="10"/>
        <v/>
      </c>
      <c r="AN880" s="37"/>
      <c r="AO880" s="29"/>
      <c r="AP880" s="29" t="b">
        <v>0</v>
      </c>
      <c r="AQ880" s="22" t="str">
        <f t="shared" si="11"/>
        <v/>
      </c>
      <c r="AR880" s="7">
        <f>IF(ISBLANK(AN880), 0, VLOOKUP(AN880, 'Price Sheet'!$A$2:$B1015, 2, false))</f>
        <v>0</v>
      </c>
      <c r="AS880" s="33" t="str">
        <f t="shared" si="12"/>
        <v/>
      </c>
      <c r="AT880" s="37"/>
      <c r="AU880" s="29"/>
      <c r="AV880" s="29" t="b">
        <v>0</v>
      </c>
      <c r="AW880" s="22" t="str">
        <f t="shared" si="13"/>
        <v/>
      </c>
      <c r="AX880" s="7">
        <f>IF(ISBLANK(AT880), 0, VLOOKUP(AT880, 'Price Sheet'!$A$2:$B1015, 2, false))</f>
        <v>0</v>
      </c>
      <c r="AY880" s="33" t="str">
        <f t="shared" si="14"/>
        <v/>
      </c>
      <c r="AZ880" s="37"/>
      <c r="BA880" s="29"/>
      <c r="BB880" s="29" t="b">
        <v>0</v>
      </c>
      <c r="BC880" s="22" t="str">
        <f t="shared" si="15"/>
        <v/>
      </c>
      <c r="BD880" s="7">
        <f>IF(ISBLANK(AZ880), 0, VLOOKUP(AZ880, 'Price Sheet'!$A$2:$B1015, 2, false))</f>
        <v>0</v>
      </c>
      <c r="BE880" s="33" t="str">
        <f t="shared" si="16"/>
        <v/>
      </c>
      <c r="BF880" s="37"/>
      <c r="BG880" s="29"/>
      <c r="BH880" s="29" t="b">
        <v>0</v>
      </c>
      <c r="BI880" s="22" t="str">
        <f t="shared" si="17"/>
        <v/>
      </c>
      <c r="BJ880" s="7">
        <f>IF(ISBLANK(BF880), 0, VLOOKUP(BF880, 'Price Sheet'!$A$2:$B1015, 2, false))</f>
        <v>0</v>
      </c>
      <c r="BK880" s="33" t="str">
        <f t="shared" si="18"/>
        <v/>
      </c>
      <c r="BL880" s="37"/>
      <c r="BM880" s="29"/>
      <c r="BN880" s="29" t="b">
        <v>0</v>
      </c>
      <c r="BO880" s="22" t="str">
        <f t="shared" si="19"/>
        <v/>
      </c>
      <c r="BP880" s="7">
        <f>IF(ISBLANK(BL880), 0, VLOOKUP(BL880, 'Price Sheet'!$A$2:$B1015, 2, false))</f>
        <v>0</v>
      </c>
      <c r="BQ880" s="33" t="str">
        <f t="shared" si="20"/>
        <v/>
      </c>
    </row>
    <row r="881">
      <c r="B881" s="19"/>
      <c r="C881" s="29"/>
      <c r="D881" s="29"/>
      <c r="E881" s="7" t="str">
        <f>IF(ISBLANK(D881), "", VLOOKUP(D881,'Crafting Tables'!$A$2:$B1015, 2, false))</f>
        <v/>
      </c>
      <c r="F881" s="7" t="str">
        <f>IFERROR(IF(E881 = "None", 1, VLOOKUP(C881,General!$A$5:$L$35, SWITCH(E881, "Basic", 8, "Advanced", 10, "Modern", 12), false)),"")</f>
        <v/>
      </c>
      <c r="G881" s="29"/>
      <c r="H881" s="7">
        <f>IFERROR(VLOOKUP(C881, General!$A$5:$L$35, 6, false) * G881 / 1000, 0)</f>
        <v>0</v>
      </c>
      <c r="I881" s="29"/>
      <c r="J881" s="22" t="str">
        <f>IFERROR(I881*VLOOKUP(D881,'Crafting Tables'!$1:$1000, 4, false)*F881,"")</f>
        <v/>
      </c>
      <c r="K881" s="29" t="b">
        <v>0</v>
      </c>
      <c r="L881" s="37"/>
      <c r="M881" s="29"/>
      <c r="N881" s="21" t="str">
        <f t="shared" si="2"/>
        <v/>
      </c>
      <c r="P881" s="37"/>
      <c r="Q881" s="29"/>
      <c r="R881" s="29" t="b">
        <v>0</v>
      </c>
      <c r="S881" s="22" t="str">
        <f t="shared" si="3"/>
        <v/>
      </c>
      <c r="T881" s="7">
        <f>IF(ISBLANK(P881), 0, VLOOKUP(P881, 'Price Sheet'!$A$2:$B1015, 2, false))</f>
        <v>0</v>
      </c>
      <c r="U881" s="33" t="str">
        <f t="shared" si="4"/>
        <v/>
      </c>
      <c r="V881" s="37"/>
      <c r="W881" s="29"/>
      <c r="X881" s="29" t="b">
        <v>0</v>
      </c>
      <c r="Y881" s="22" t="str">
        <f t="shared" si="5"/>
        <v/>
      </c>
      <c r="Z881" s="7">
        <f>IF(ISBLANK(V881), 0, VLOOKUP(V881, 'Price Sheet'!$A$2:$B1015, 2, false))</f>
        <v>0</v>
      </c>
      <c r="AA881" s="33" t="str">
        <f t="shared" si="6"/>
        <v/>
      </c>
      <c r="AB881" s="37"/>
      <c r="AC881" s="29"/>
      <c r="AD881" s="29" t="b">
        <v>0</v>
      </c>
      <c r="AE881" s="22" t="str">
        <f t="shared" si="7"/>
        <v/>
      </c>
      <c r="AF881" s="7">
        <f>IF(ISBLANK(AB881), 0, VLOOKUP(AB881, 'Price Sheet'!$A$2:$B1015, 2, false))</f>
        <v>0</v>
      </c>
      <c r="AG881" s="33" t="str">
        <f t="shared" si="8"/>
        <v/>
      </c>
      <c r="AH881" s="37"/>
      <c r="AI881" s="29"/>
      <c r="AJ881" s="29" t="b">
        <v>0</v>
      </c>
      <c r="AK881" s="22" t="str">
        <f t="shared" si="9"/>
        <v/>
      </c>
      <c r="AL881" s="7">
        <f>IF(ISBLANK(AH881), 0, VLOOKUP(AH881, 'Price Sheet'!$A$2:$B1015, 2, false))</f>
        <v>0</v>
      </c>
      <c r="AM881" s="33" t="str">
        <f t="shared" si="10"/>
        <v/>
      </c>
      <c r="AN881" s="37"/>
      <c r="AO881" s="29"/>
      <c r="AP881" s="29" t="b">
        <v>0</v>
      </c>
      <c r="AQ881" s="22" t="str">
        <f t="shared" si="11"/>
        <v/>
      </c>
      <c r="AR881" s="7">
        <f>IF(ISBLANK(AN881), 0, VLOOKUP(AN881, 'Price Sheet'!$A$2:$B1015, 2, false))</f>
        <v>0</v>
      </c>
      <c r="AS881" s="33" t="str">
        <f t="shared" si="12"/>
        <v/>
      </c>
      <c r="AT881" s="37"/>
      <c r="AU881" s="29"/>
      <c r="AV881" s="29" t="b">
        <v>0</v>
      </c>
      <c r="AW881" s="22" t="str">
        <f t="shared" si="13"/>
        <v/>
      </c>
      <c r="AX881" s="7">
        <f>IF(ISBLANK(AT881), 0, VLOOKUP(AT881, 'Price Sheet'!$A$2:$B1015, 2, false))</f>
        <v>0</v>
      </c>
      <c r="AY881" s="33" t="str">
        <f t="shared" si="14"/>
        <v/>
      </c>
      <c r="AZ881" s="37"/>
      <c r="BA881" s="29"/>
      <c r="BB881" s="29" t="b">
        <v>0</v>
      </c>
      <c r="BC881" s="22" t="str">
        <f t="shared" si="15"/>
        <v/>
      </c>
      <c r="BD881" s="7">
        <f>IF(ISBLANK(AZ881), 0, VLOOKUP(AZ881, 'Price Sheet'!$A$2:$B1015, 2, false))</f>
        <v>0</v>
      </c>
      <c r="BE881" s="33" t="str">
        <f t="shared" si="16"/>
        <v/>
      </c>
      <c r="BF881" s="37"/>
      <c r="BG881" s="29"/>
      <c r="BH881" s="29" t="b">
        <v>0</v>
      </c>
      <c r="BI881" s="22" t="str">
        <f t="shared" si="17"/>
        <v/>
      </c>
      <c r="BJ881" s="7">
        <f>IF(ISBLANK(BF881), 0, VLOOKUP(BF881, 'Price Sheet'!$A$2:$B1015, 2, false))</f>
        <v>0</v>
      </c>
      <c r="BK881" s="33" t="str">
        <f t="shared" si="18"/>
        <v/>
      </c>
      <c r="BL881" s="37"/>
      <c r="BM881" s="29"/>
      <c r="BN881" s="29" t="b">
        <v>0</v>
      </c>
      <c r="BO881" s="22" t="str">
        <f t="shared" si="19"/>
        <v/>
      </c>
      <c r="BP881" s="7">
        <f>IF(ISBLANK(BL881), 0, VLOOKUP(BL881, 'Price Sheet'!$A$2:$B1015, 2, false))</f>
        <v>0</v>
      </c>
      <c r="BQ881" s="33" t="str">
        <f t="shared" si="20"/>
        <v/>
      </c>
    </row>
    <row r="882">
      <c r="B882" s="19"/>
      <c r="C882" s="29"/>
      <c r="D882" s="29"/>
      <c r="E882" s="7" t="str">
        <f>IF(ISBLANK(D882), "", VLOOKUP(D882,'Crafting Tables'!$A$2:$B1015, 2, false))</f>
        <v/>
      </c>
      <c r="F882" s="7" t="str">
        <f>IFERROR(IF(E882 = "None", 1, VLOOKUP(C882,General!$A$5:$L$35, SWITCH(E882, "Basic", 8, "Advanced", 10, "Modern", 12), false)),"")</f>
        <v/>
      </c>
      <c r="G882" s="29"/>
      <c r="H882" s="7">
        <f>IFERROR(VLOOKUP(C882, General!$A$5:$L$35, 6, false) * G882 / 1000, 0)</f>
        <v>0</v>
      </c>
      <c r="I882" s="29"/>
      <c r="J882" s="22" t="str">
        <f>IFERROR(I882*VLOOKUP(D882,'Crafting Tables'!$1:$1000, 4, false)*F882,"")</f>
        <v/>
      </c>
      <c r="K882" s="29" t="b">
        <v>0</v>
      </c>
      <c r="L882" s="37"/>
      <c r="M882" s="29"/>
      <c r="N882" s="21" t="str">
        <f t="shared" si="2"/>
        <v/>
      </c>
      <c r="P882" s="37"/>
      <c r="Q882" s="29"/>
      <c r="R882" s="29" t="b">
        <v>0</v>
      </c>
      <c r="S882" s="22" t="str">
        <f t="shared" si="3"/>
        <v/>
      </c>
      <c r="T882" s="7">
        <f>IF(ISBLANK(P882), 0, VLOOKUP(P882, 'Price Sheet'!$A$2:$B1015, 2, false))</f>
        <v>0</v>
      </c>
      <c r="U882" s="33" t="str">
        <f t="shared" si="4"/>
        <v/>
      </c>
      <c r="V882" s="37"/>
      <c r="W882" s="29"/>
      <c r="X882" s="29" t="b">
        <v>0</v>
      </c>
      <c r="Y882" s="22" t="str">
        <f t="shared" si="5"/>
        <v/>
      </c>
      <c r="Z882" s="7">
        <f>IF(ISBLANK(V882), 0, VLOOKUP(V882, 'Price Sheet'!$A$2:$B1015, 2, false))</f>
        <v>0</v>
      </c>
      <c r="AA882" s="33" t="str">
        <f t="shared" si="6"/>
        <v/>
      </c>
      <c r="AB882" s="37"/>
      <c r="AC882" s="29"/>
      <c r="AD882" s="29" t="b">
        <v>0</v>
      </c>
      <c r="AE882" s="22" t="str">
        <f t="shared" si="7"/>
        <v/>
      </c>
      <c r="AF882" s="7">
        <f>IF(ISBLANK(AB882), 0, VLOOKUP(AB882, 'Price Sheet'!$A$2:$B1015, 2, false))</f>
        <v>0</v>
      </c>
      <c r="AG882" s="33" t="str">
        <f t="shared" si="8"/>
        <v/>
      </c>
      <c r="AH882" s="37"/>
      <c r="AI882" s="29"/>
      <c r="AJ882" s="29" t="b">
        <v>0</v>
      </c>
      <c r="AK882" s="22" t="str">
        <f t="shared" si="9"/>
        <v/>
      </c>
      <c r="AL882" s="7">
        <f>IF(ISBLANK(AH882), 0, VLOOKUP(AH882, 'Price Sheet'!$A$2:$B1015, 2, false))</f>
        <v>0</v>
      </c>
      <c r="AM882" s="33" t="str">
        <f t="shared" si="10"/>
        <v/>
      </c>
      <c r="AN882" s="37"/>
      <c r="AO882" s="29"/>
      <c r="AP882" s="29" t="b">
        <v>0</v>
      </c>
      <c r="AQ882" s="22" t="str">
        <f t="shared" si="11"/>
        <v/>
      </c>
      <c r="AR882" s="7">
        <f>IF(ISBLANK(AN882), 0, VLOOKUP(AN882, 'Price Sheet'!$A$2:$B1015, 2, false))</f>
        <v>0</v>
      </c>
      <c r="AS882" s="33" t="str">
        <f t="shared" si="12"/>
        <v/>
      </c>
      <c r="AT882" s="37"/>
      <c r="AU882" s="29"/>
      <c r="AV882" s="29" t="b">
        <v>0</v>
      </c>
      <c r="AW882" s="22" t="str">
        <f t="shared" si="13"/>
        <v/>
      </c>
      <c r="AX882" s="7">
        <f>IF(ISBLANK(AT882), 0, VLOOKUP(AT882, 'Price Sheet'!$A$2:$B1015, 2, false))</f>
        <v>0</v>
      </c>
      <c r="AY882" s="33" t="str">
        <f t="shared" si="14"/>
        <v/>
      </c>
      <c r="AZ882" s="37"/>
      <c r="BA882" s="29"/>
      <c r="BB882" s="29" t="b">
        <v>0</v>
      </c>
      <c r="BC882" s="22" t="str">
        <f t="shared" si="15"/>
        <v/>
      </c>
      <c r="BD882" s="7">
        <f>IF(ISBLANK(AZ882), 0, VLOOKUP(AZ882, 'Price Sheet'!$A$2:$B1015, 2, false))</f>
        <v>0</v>
      </c>
      <c r="BE882" s="33" t="str">
        <f t="shared" si="16"/>
        <v/>
      </c>
      <c r="BF882" s="37"/>
      <c r="BG882" s="29"/>
      <c r="BH882" s="29" t="b">
        <v>0</v>
      </c>
      <c r="BI882" s="22" t="str">
        <f t="shared" si="17"/>
        <v/>
      </c>
      <c r="BJ882" s="7">
        <f>IF(ISBLANK(BF882), 0, VLOOKUP(BF882, 'Price Sheet'!$A$2:$B1015, 2, false))</f>
        <v>0</v>
      </c>
      <c r="BK882" s="33" t="str">
        <f t="shared" si="18"/>
        <v/>
      </c>
      <c r="BL882" s="37"/>
      <c r="BM882" s="29"/>
      <c r="BN882" s="29" t="b">
        <v>0</v>
      </c>
      <c r="BO882" s="22" t="str">
        <f t="shared" si="19"/>
        <v/>
      </c>
      <c r="BP882" s="7">
        <f>IF(ISBLANK(BL882), 0, VLOOKUP(BL882, 'Price Sheet'!$A$2:$B1015, 2, false))</f>
        <v>0</v>
      </c>
      <c r="BQ882" s="33" t="str">
        <f t="shared" si="20"/>
        <v/>
      </c>
    </row>
    <row r="883">
      <c r="B883" s="19"/>
      <c r="C883" s="29"/>
      <c r="D883" s="29"/>
      <c r="E883" s="7" t="str">
        <f>IF(ISBLANK(D883), "", VLOOKUP(D883,'Crafting Tables'!$A$2:$B1015, 2, false))</f>
        <v/>
      </c>
      <c r="F883" s="7" t="str">
        <f>IFERROR(IF(E883 = "None", 1, VLOOKUP(C883,General!$A$5:$L$35, SWITCH(E883, "Basic", 8, "Advanced", 10, "Modern", 12), false)),"")</f>
        <v/>
      </c>
      <c r="G883" s="29"/>
      <c r="H883" s="7">
        <f>IFERROR(VLOOKUP(C883, General!$A$5:$L$35, 6, false) * G883 / 1000, 0)</f>
        <v>0</v>
      </c>
      <c r="I883" s="29"/>
      <c r="J883" s="22" t="str">
        <f>IFERROR(I883*VLOOKUP(D883,'Crafting Tables'!$1:$1000, 4, false)*F883,"")</f>
        <v/>
      </c>
      <c r="K883" s="29" t="b">
        <v>0</v>
      </c>
      <c r="L883" s="37"/>
      <c r="M883" s="29"/>
      <c r="N883" s="21" t="str">
        <f t="shared" si="2"/>
        <v/>
      </c>
      <c r="P883" s="37"/>
      <c r="Q883" s="29"/>
      <c r="R883" s="29" t="b">
        <v>0</v>
      </c>
      <c r="S883" s="22" t="str">
        <f t="shared" si="3"/>
        <v/>
      </c>
      <c r="T883" s="7">
        <f>IF(ISBLANK(P883), 0, VLOOKUP(P883, 'Price Sheet'!$A$2:$B1015, 2, false))</f>
        <v>0</v>
      </c>
      <c r="U883" s="33" t="str">
        <f t="shared" si="4"/>
        <v/>
      </c>
      <c r="V883" s="37"/>
      <c r="W883" s="29"/>
      <c r="X883" s="29" t="b">
        <v>0</v>
      </c>
      <c r="Y883" s="22" t="str">
        <f t="shared" si="5"/>
        <v/>
      </c>
      <c r="Z883" s="7">
        <f>IF(ISBLANK(V883), 0, VLOOKUP(V883, 'Price Sheet'!$A$2:$B1015, 2, false))</f>
        <v>0</v>
      </c>
      <c r="AA883" s="33" t="str">
        <f t="shared" si="6"/>
        <v/>
      </c>
      <c r="AB883" s="37"/>
      <c r="AC883" s="29"/>
      <c r="AD883" s="29" t="b">
        <v>0</v>
      </c>
      <c r="AE883" s="22" t="str">
        <f t="shared" si="7"/>
        <v/>
      </c>
      <c r="AF883" s="7">
        <f>IF(ISBLANK(AB883), 0, VLOOKUP(AB883, 'Price Sheet'!$A$2:$B1015, 2, false))</f>
        <v>0</v>
      </c>
      <c r="AG883" s="33" t="str">
        <f t="shared" si="8"/>
        <v/>
      </c>
      <c r="AH883" s="37"/>
      <c r="AI883" s="29"/>
      <c r="AJ883" s="29" t="b">
        <v>0</v>
      </c>
      <c r="AK883" s="22" t="str">
        <f t="shared" si="9"/>
        <v/>
      </c>
      <c r="AL883" s="7">
        <f>IF(ISBLANK(AH883), 0, VLOOKUP(AH883, 'Price Sheet'!$A$2:$B1015, 2, false))</f>
        <v>0</v>
      </c>
      <c r="AM883" s="33" t="str">
        <f t="shared" si="10"/>
        <v/>
      </c>
      <c r="AN883" s="37"/>
      <c r="AO883" s="29"/>
      <c r="AP883" s="29" t="b">
        <v>0</v>
      </c>
      <c r="AQ883" s="22" t="str">
        <f t="shared" si="11"/>
        <v/>
      </c>
      <c r="AR883" s="7">
        <f>IF(ISBLANK(AN883), 0, VLOOKUP(AN883, 'Price Sheet'!$A$2:$B1015, 2, false))</f>
        <v>0</v>
      </c>
      <c r="AS883" s="33" t="str">
        <f t="shared" si="12"/>
        <v/>
      </c>
      <c r="AT883" s="37"/>
      <c r="AU883" s="29"/>
      <c r="AV883" s="29" t="b">
        <v>0</v>
      </c>
      <c r="AW883" s="22" t="str">
        <f t="shared" si="13"/>
        <v/>
      </c>
      <c r="AX883" s="7">
        <f>IF(ISBLANK(AT883), 0, VLOOKUP(AT883, 'Price Sheet'!$A$2:$B1015, 2, false))</f>
        <v>0</v>
      </c>
      <c r="AY883" s="33" t="str">
        <f t="shared" si="14"/>
        <v/>
      </c>
      <c r="AZ883" s="37"/>
      <c r="BA883" s="29"/>
      <c r="BB883" s="29" t="b">
        <v>0</v>
      </c>
      <c r="BC883" s="22" t="str">
        <f t="shared" si="15"/>
        <v/>
      </c>
      <c r="BD883" s="7">
        <f>IF(ISBLANK(AZ883), 0, VLOOKUP(AZ883, 'Price Sheet'!$A$2:$B1015, 2, false))</f>
        <v>0</v>
      </c>
      <c r="BE883" s="33" t="str">
        <f t="shared" si="16"/>
        <v/>
      </c>
      <c r="BF883" s="37"/>
      <c r="BG883" s="29"/>
      <c r="BH883" s="29" t="b">
        <v>0</v>
      </c>
      <c r="BI883" s="22" t="str">
        <f t="shared" si="17"/>
        <v/>
      </c>
      <c r="BJ883" s="7">
        <f>IF(ISBLANK(BF883), 0, VLOOKUP(BF883, 'Price Sheet'!$A$2:$B1015, 2, false))</f>
        <v>0</v>
      </c>
      <c r="BK883" s="33" t="str">
        <f t="shared" si="18"/>
        <v/>
      </c>
      <c r="BL883" s="37"/>
      <c r="BM883" s="29"/>
      <c r="BN883" s="29" t="b">
        <v>0</v>
      </c>
      <c r="BO883" s="22" t="str">
        <f t="shared" si="19"/>
        <v/>
      </c>
      <c r="BP883" s="7">
        <f>IF(ISBLANK(BL883), 0, VLOOKUP(BL883, 'Price Sheet'!$A$2:$B1015, 2, false))</f>
        <v>0</v>
      </c>
      <c r="BQ883" s="33" t="str">
        <f t="shared" si="20"/>
        <v/>
      </c>
    </row>
    <row r="884">
      <c r="B884" s="19"/>
      <c r="C884" s="29"/>
      <c r="D884" s="29"/>
      <c r="E884" s="7" t="str">
        <f>IF(ISBLANK(D884), "", VLOOKUP(D884,'Crafting Tables'!$A$2:$B1015, 2, false))</f>
        <v/>
      </c>
      <c r="F884" s="7" t="str">
        <f>IFERROR(IF(E884 = "None", 1, VLOOKUP(C884,General!$A$5:$L$35, SWITCH(E884, "Basic", 8, "Advanced", 10, "Modern", 12), false)),"")</f>
        <v/>
      </c>
      <c r="G884" s="29"/>
      <c r="H884" s="7">
        <f>IFERROR(VLOOKUP(C884, General!$A$5:$L$35, 6, false) * G884 / 1000, 0)</f>
        <v>0</v>
      </c>
      <c r="I884" s="29"/>
      <c r="J884" s="22" t="str">
        <f>IFERROR(I884*VLOOKUP(D884,'Crafting Tables'!$1:$1000, 4, false)*F884,"")</f>
        <v/>
      </c>
      <c r="K884" s="29" t="b">
        <v>0</v>
      </c>
      <c r="L884" s="37"/>
      <c r="M884" s="29"/>
      <c r="N884" s="21" t="str">
        <f t="shared" si="2"/>
        <v/>
      </c>
      <c r="P884" s="37"/>
      <c r="Q884" s="29"/>
      <c r="R884" s="29" t="b">
        <v>0</v>
      </c>
      <c r="S884" s="22" t="str">
        <f t="shared" si="3"/>
        <v/>
      </c>
      <c r="T884" s="7">
        <f>IF(ISBLANK(P884), 0, VLOOKUP(P884, 'Price Sheet'!$A$2:$B1015, 2, false))</f>
        <v>0</v>
      </c>
      <c r="U884" s="33" t="str">
        <f t="shared" si="4"/>
        <v/>
      </c>
      <c r="V884" s="37"/>
      <c r="W884" s="29"/>
      <c r="X884" s="29" t="b">
        <v>0</v>
      </c>
      <c r="Y884" s="22" t="str">
        <f t="shared" si="5"/>
        <v/>
      </c>
      <c r="Z884" s="7">
        <f>IF(ISBLANK(V884), 0, VLOOKUP(V884, 'Price Sheet'!$A$2:$B1015, 2, false))</f>
        <v>0</v>
      </c>
      <c r="AA884" s="33" t="str">
        <f t="shared" si="6"/>
        <v/>
      </c>
      <c r="AB884" s="37"/>
      <c r="AC884" s="29"/>
      <c r="AD884" s="29" t="b">
        <v>0</v>
      </c>
      <c r="AE884" s="22" t="str">
        <f t="shared" si="7"/>
        <v/>
      </c>
      <c r="AF884" s="7">
        <f>IF(ISBLANK(AB884), 0, VLOOKUP(AB884, 'Price Sheet'!$A$2:$B1015, 2, false))</f>
        <v>0</v>
      </c>
      <c r="AG884" s="33" t="str">
        <f t="shared" si="8"/>
        <v/>
      </c>
      <c r="AH884" s="37"/>
      <c r="AI884" s="29"/>
      <c r="AJ884" s="29" t="b">
        <v>0</v>
      </c>
      <c r="AK884" s="22" t="str">
        <f t="shared" si="9"/>
        <v/>
      </c>
      <c r="AL884" s="7">
        <f>IF(ISBLANK(AH884), 0, VLOOKUP(AH884, 'Price Sheet'!$A$2:$B1015, 2, false))</f>
        <v>0</v>
      </c>
      <c r="AM884" s="33" t="str">
        <f t="shared" si="10"/>
        <v/>
      </c>
      <c r="AN884" s="37"/>
      <c r="AO884" s="29"/>
      <c r="AP884" s="29" t="b">
        <v>0</v>
      </c>
      <c r="AQ884" s="22" t="str">
        <f t="shared" si="11"/>
        <v/>
      </c>
      <c r="AR884" s="7">
        <f>IF(ISBLANK(AN884), 0, VLOOKUP(AN884, 'Price Sheet'!$A$2:$B1015, 2, false))</f>
        <v>0</v>
      </c>
      <c r="AS884" s="33" t="str">
        <f t="shared" si="12"/>
        <v/>
      </c>
      <c r="AT884" s="37"/>
      <c r="AU884" s="29"/>
      <c r="AV884" s="29" t="b">
        <v>0</v>
      </c>
      <c r="AW884" s="22" t="str">
        <f t="shared" si="13"/>
        <v/>
      </c>
      <c r="AX884" s="7">
        <f>IF(ISBLANK(AT884), 0, VLOOKUP(AT884, 'Price Sheet'!$A$2:$B1015, 2, false))</f>
        <v>0</v>
      </c>
      <c r="AY884" s="33" t="str">
        <f t="shared" si="14"/>
        <v/>
      </c>
      <c r="AZ884" s="37"/>
      <c r="BA884" s="29"/>
      <c r="BB884" s="29" t="b">
        <v>0</v>
      </c>
      <c r="BC884" s="22" t="str">
        <f t="shared" si="15"/>
        <v/>
      </c>
      <c r="BD884" s="7">
        <f>IF(ISBLANK(AZ884), 0, VLOOKUP(AZ884, 'Price Sheet'!$A$2:$B1015, 2, false))</f>
        <v>0</v>
      </c>
      <c r="BE884" s="33" t="str">
        <f t="shared" si="16"/>
        <v/>
      </c>
      <c r="BF884" s="37"/>
      <c r="BG884" s="29"/>
      <c r="BH884" s="29" t="b">
        <v>0</v>
      </c>
      <c r="BI884" s="22" t="str">
        <f t="shared" si="17"/>
        <v/>
      </c>
      <c r="BJ884" s="7">
        <f>IF(ISBLANK(BF884), 0, VLOOKUP(BF884, 'Price Sheet'!$A$2:$B1015, 2, false))</f>
        <v>0</v>
      </c>
      <c r="BK884" s="33" t="str">
        <f t="shared" si="18"/>
        <v/>
      </c>
      <c r="BL884" s="37"/>
      <c r="BM884" s="29"/>
      <c r="BN884" s="29" t="b">
        <v>0</v>
      </c>
      <c r="BO884" s="22" t="str">
        <f t="shared" si="19"/>
        <v/>
      </c>
      <c r="BP884" s="7">
        <f>IF(ISBLANK(BL884), 0, VLOOKUP(BL884, 'Price Sheet'!$A$2:$B1015, 2, false))</f>
        <v>0</v>
      </c>
      <c r="BQ884" s="33" t="str">
        <f t="shared" si="20"/>
        <v/>
      </c>
    </row>
    <row r="885">
      <c r="B885" s="19"/>
      <c r="C885" s="29"/>
      <c r="D885" s="29"/>
      <c r="E885" s="7" t="str">
        <f>IF(ISBLANK(D885), "", VLOOKUP(D885,'Crafting Tables'!$A$2:$B1015, 2, false))</f>
        <v/>
      </c>
      <c r="F885" s="7" t="str">
        <f>IFERROR(IF(E885 = "None", 1, VLOOKUP(C885,General!$A$5:$L$35, SWITCH(E885, "Basic", 8, "Advanced", 10, "Modern", 12), false)),"")</f>
        <v/>
      </c>
      <c r="G885" s="29"/>
      <c r="H885" s="7">
        <f>IFERROR(VLOOKUP(C885, General!$A$5:$L$35, 6, false) * G885 / 1000, 0)</f>
        <v>0</v>
      </c>
      <c r="I885" s="29"/>
      <c r="J885" s="22" t="str">
        <f>IFERROR(I885*VLOOKUP(D885,'Crafting Tables'!$1:$1000, 4, false)*F885,"")</f>
        <v/>
      </c>
      <c r="K885" s="29" t="b">
        <v>0</v>
      </c>
      <c r="L885" s="37"/>
      <c r="M885" s="29"/>
      <c r="N885" s="21" t="str">
        <f t="shared" si="2"/>
        <v/>
      </c>
      <c r="P885" s="37"/>
      <c r="Q885" s="29"/>
      <c r="R885" s="29" t="b">
        <v>0</v>
      </c>
      <c r="S885" s="22" t="str">
        <f t="shared" si="3"/>
        <v/>
      </c>
      <c r="T885" s="7">
        <f>IF(ISBLANK(P885), 0, VLOOKUP(P885, 'Price Sheet'!$A$2:$B1015, 2, false))</f>
        <v>0</v>
      </c>
      <c r="U885" s="33" t="str">
        <f t="shared" si="4"/>
        <v/>
      </c>
      <c r="V885" s="37"/>
      <c r="W885" s="29"/>
      <c r="X885" s="29" t="b">
        <v>0</v>
      </c>
      <c r="Y885" s="22" t="str">
        <f t="shared" si="5"/>
        <v/>
      </c>
      <c r="Z885" s="7">
        <f>IF(ISBLANK(V885), 0, VLOOKUP(V885, 'Price Sheet'!$A$2:$B1015, 2, false))</f>
        <v>0</v>
      </c>
      <c r="AA885" s="33" t="str">
        <f t="shared" si="6"/>
        <v/>
      </c>
      <c r="AB885" s="37"/>
      <c r="AC885" s="29"/>
      <c r="AD885" s="29" t="b">
        <v>0</v>
      </c>
      <c r="AE885" s="22" t="str">
        <f t="shared" si="7"/>
        <v/>
      </c>
      <c r="AF885" s="7">
        <f>IF(ISBLANK(AB885), 0, VLOOKUP(AB885, 'Price Sheet'!$A$2:$B1015, 2, false))</f>
        <v>0</v>
      </c>
      <c r="AG885" s="33" t="str">
        <f t="shared" si="8"/>
        <v/>
      </c>
      <c r="AH885" s="37"/>
      <c r="AI885" s="29"/>
      <c r="AJ885" s="29" t="b">
        <v>0</v>
      </c>
      <c r="AK885" s="22" t="str">
        <f t="shared" si="9"/>
        <v/>
      </c>
      <c r="AL885" s="7">
        <f>IF(ISBLANK(AH885), 0, VLOOKUP(AH885, 'Price Sheet'!$A$2:$B1015, 2, false))</f>
        <v>0</v>
      </c>
      <c r="AM885" s="33" t="str">
        <f t="shared" si="10"/>
        <v/>
      </c>
      <c r="AN885" s="37"/>
      <c r="AO885" s="29"/>
      <c r="AP885" s="29" t="b">
        <v>0</v>
      </c>
      <c r="AQ885" s="22" t="str">
        <f t="shared" si="11"/>
        <v/>
      </c>
      <c r="AR885" s="7">
        <f>IF(ISBLANK(AN885), 0, VLOOKUP(AN885, 'Price Sheet'!$A$2:$B1015, 2, false))</f>
        <v>0</v>
      </c>
      <c r="AS885" s="33" t="str">
        <f t="shared" si="12"/>
        <v/>
      </c>
      <c r="AT885" s="37"/>
      <c r="AU885" s="29"/>
      <c r="AV885" s="29" t="b">
        <v>0</v>
      </c>
      <c r="AW885" s="22" t="str">
        <f t="shared" si="13"/>
        <v/>
      </c>
      <c r="AX885" s="7">
        <f>IF(ISBLANK(AT885), 0, VLOOKUP(AT885, 'Price Sheet'!$A$2:$B1015, 2, false))</f>
        <v>0</v>
      </c>
      <c r="AY885" s="33" t="str">
        <f t="shared" si="14"/>
        <v/>
      </c>
      <c r="AZ885" s="37"/>
      <c r="BA885" s="29"/>
      <c r="BB885" s="29" t="b">
        <v>0</v>
      </c>
      <c r="BC885" s="22" t="str">
        <f t="shared" si="15"/>
        <v/>
      </c>
      <c r="BD885" s="7">
        <f>IF(ISBLANK(AZ885), 0, VLOOKUP(AZ885, 'Price Sheet'!$A$2:$B1015, 2, false))</f>
        <v>0</v>
      </c>
      <c r="BE885" s="33" t="str">
        <f t="shared" si="16"/>
        <v/>
      </c>
      <c r="BF885" s="37"/>
      <c r="BG885" s="29"/>
      <c r="BH885" s="29" t="b">
        <v>0</v>
      </c>
      <c r="BI885" s="22" t="str">
        <f t="shared" si="17"/>
        <v/>
      </c>
      <c r="BJ885" s="7">
        <f>IF(ISBLANK(BF885), 0, VLOOKUP(BF885, 'Price Sheet'!$A$2:$B1015, 2, false))</f>
        <v>0</v>
      </c>
      <c r="BK885" s="33" t="str">
        <f t="shared" si="18"/>
        <v/>
      </c>
      <c r="BL885" s="37"/>
      <c r="BM885" s="29"/>
      <c r="BN885" s="29" t="b">
        <v>0</v>
      </c>
      <c r="BO885" s="22" t="str">
        <f t="shared" si="19"/>
        <v/>
      </c>
      <c r="BP885" s="7">
        <f>IF(ISBLANK(BL885), 0, VLOOKUP(BL885, 'Price Sheet'!$A$2:$B1015, 2, false))</f>
        <v>0</v>
      </c>
      <c r="BQ885" s="33" t="str">
        <f t="shared" si="20"/>
        <v/>
      </c>
    </row>
    <row r="886">
      <c r="B886" s="19"/>
      <c r="C886" s="29"/>
      <c r="D886" s="29"/>
      <c r="E886" s="7" t="str">
        <f>IF(ISBLANK(D886), "", VLOOKUP(D886,'Crafting Tables'!$A$2:$B1015, 2, false))</f>
        <v/>
      </c>
      <c r="F886" s="7" t="str">
        <f>IFERROR(IF(E886 = "None", 1, VLOOKUP(C886,General!$A$5:$L$35, SWITCH(E886, "Basic", 8, "Advanced", 10, "Modern", 12), false)),"")</f>
        <v/>
      </c>
      <c r="G886" s="29"/>
      <c r="H886" s="7">
        <f>IFERROR(VLOOKUP(C886, General!$A$5:$L$35, 6, false) * G886 / 1000, 0)</f>
        <v>0</v>
      </c>
      <c r="I886" s="29"/>
      <c r="J886" s="22" t="str">
        <f>IFERROR(I886*VLOOKUP(D886,'Crafting Tables'!$1:$1000, 4, false)*F886,"")</f>
        <v/>
      </c>
      <c r="K886" s="29" t="b">
        <v>0</v>
      </c>
      <c r="L886" s="37"/>
      <c r="M886" s="29"/>
      <c r="N886" s="21" t="str">
        <f t="shared" si="2"/>
        <v/>
      </c>
      <c r="P886" s="37"/>
      <c r="Q886" s="29"/>
      <c r="R886" s="29" t="b">
        <v>0</v>
      </c>
      <c r="S886" s="22" t="str">
        <f t="shared" si="3"/>
        <v/>
      </c>
      <c r="T886" s="7">
        <f>IF(ISBLANK(P886), 0, VLOOKUP(P886, 'Price Sheet'!$A$2:$B1015, 2, false))</f>
        <v>0</v>
      </c>
      <c r="U886" s="33" t="str">
        <f t="shared" si="4"/>
        <v/>
      </c>
      <c r="V886" s="37"/>
      <c r="W886" s="29"/>
      <c r="X886" s="29" t="b">
        <v>0</v>
      </c>
      <c r="Y886" s="22" t="str">
        <f t="shared" si="5"/>
        <v/>
      </c>
      <c r="Z886" s="7">
        <f>IF(ISBLANK(V886), 0, VLOOKUP(V886, 'Price Sheet'!$A$2:$B1015, 2, false))</f>
        <v>0</v>
      </c>
      <c r="AA886" s="33" t="str">
        <f t="shared" si="6"/>
        <v/>
      </c>
      <c r="AB886" s="37"/>
      <c r="AC886" s="29"/>
      <c r="AD886" s="29" t="b">
        <v>0</v>
      </c>
      <c r="AE886" s="22" t="str">
        <f t="shared" si="7"/>
        <v/>
      </c>
      <c r="AF886" s="7">
        <f>IF(ISBLANK(AB886), 0, VLOOKUP(AB886, 'Price Sheet'!$A$2:$B1015, 2, false))</f>
        <v>0</v>
      </c>
      <c r="AG886" s="33" t="str">
        <f t="shared" si="8"/>
        <v/>
      </c>
      <c r="AH886" s="37"/>
      <c r="AI886" s="29"/>
      <c r="AJ886" s="29" t="b">
        <v>0</v>
      </c>
      <c r="AK886" s="22" t="str">
        <f t="shared" si="9"/>
        <v/>
      </c>
      <c r="AL886" s="7">
        <f>IF(ISBLANK(AH886), 0, VLOOKUP(AH886, 'Price Sheet'!$A$2:$B1015, 2, false))</f>
        <v>0</v>
      </c>
      <c r="AM886" s="33" t="str">
        <f t="shared" si="10"/>
        <v/>
      </c>
      <c r="AN886" s="37"/>
      <c r="AO886" s="29"/>
      <c r="AP886" s="29" t="b">
        <v>0</v>
      </c>
      <c r="AQ886" s="22" t="str">
        <f t="shared" si="11"/>
        <v/>
      </c>
      <c r="AR886" s="7">
        <f>IF(ISBLANK(AN886), 0, VLOOKUP(AN886, 'Price Sheet'!$A$2:$B1015, 2, false))</f>
        <v>0</v>
      </c>
      <c r="AS886" s="33" t="str">
        <f t="shared" si="12"/>
        <v/>
      </c>
      <c r="AT886" s="37"/>
      <c r="AU886" s="29"/>
      <c r="AV886" s="29" t="b">
        <v>0</v>
      </c>
      <c r="AW886" s="22" t="str">
        <f t="shared" si="13"/>
        <v/>
      </c>
      <c r="AX886" s="7">
        <f>IF(ISBLANK(AT886), 0, VLOOKUP(AT886, 'Price Sheet'!$A$2:$B1015, 2, false))</f>
        <v>0</v>
      </c>
      <c r="AY886" s="33" t="str">
        <f t="shared" si="14"/>
        <v/>
      </c>
      <c r="AZ886" s="37"/>
      <c r="BA886" s="29"/>
      <c r="BB886" s="29" t="b">
        <v>0</v>
      </c>
      <c r="BC886" s="22" t="str">
        <f t="shared" si="15"/>
        <v/>
      </c>
      <c r="BD886" s="7">
        <f>IF(ISBLANK(AZ886), 0, VLOOKUP(AZ886, 'Price Sheet'!$A$2:$B1015, 2, false))</f>
        <v>0</v>
      </c>
      <c r="BE886" s="33" t="str">
        <f t="shared" si="16"/>
        <v/>
      </c>
      <c r="BF886" s="37"/>
      <c r="BG886" s="29"/>
      <c r="BH886" s="29" t="b">
        <v>0</v>
      </c>
      <c r="BI886" s="22" t="str">
        <f t="shared" si="17"/>
        <v/>
      </c>
      <c r="BJ886" s="7">
        <f>IF(ISBLANK(BF886), 0, VLOOKUP(BF886, 'Price Sheet'!$A$2:$B1015, 2, false))</f>
        <v>0</v>
      </c>
      <c r="BK886" s="33" t="str">
        <f t="shared" si="18"/>
        <v/>
      </c>
      <c r="BL886" s="37"/>
      <c r="BM886" s="29"/>
      <c r="BN886" s="29" t="b">
        <v>0</v>
      </c>
      <c r="BO886" s="22" t="str">
        <f t="shared" si="19"/>
        <v/>
      </c>
      <c r="BP886" s="7">
        <f>IF(ISBLANK(BL886), 0, VLOOKUP(BL886, 'Price Sheet'!$A$2:$B1015, 2, false))</f>
        <v>0</v>
      </c>
      <c r="BQ886" s="33" t="str">
        <f t="shared" si="20"/>
        <v/>
      </c>
    </row>
    <row r="887">
      <c r="B887" s="19"/>
      <c r="C887" s="29"/>
      <c r="D887" s="29"/>
      <c r="E887" s="7" t="str">
        <f>IF(ISBLANK(D887), "", VLOOKUP(D887,'Crafting Tables'!$A$2:$B1015, 2, false))</f>
        <v/>
      </c>
      <c r="F887" s="7" t="str">
        <f>IFERROR(IF(E887 = "None", 1, VLOOKUP(C887,General!$A$5:$L$35, SWITCH(E887, "Basic", 8, "Advanced", 10, "Modern", 12), false)),"")</f>
        <v/>
      </c>
      <c r="G887" s="29"/>
      <c r="H887" s="7">
        <f>IFERROR(VLOOKUP(C887, General!$A$5:$L$35, 6, false) * G887 / 1000, 0)</f>
        <v>0</v>
      </c>
      <c r="I887" s="29"/>
      <c r="J887" s="22" t="str">
        <f>IFERROR(I887*VLOOKUP(D887,'Crafting Tables'!$1:$1000, 4, false)*F887,"")</f>
        <v/>
      </c>
      <c r="K887" s="29" t="b">
        <v>0</v>
      </c>
      <c r="L887" s="37"/>
      <c r="M887" s="29"/>
      <c r="N887" s="21" t="str">
        <f t="shared" si="2"/>
        <v/>
      </c>
      <c r="P887" s="37"/>
      <c r="Q887" s="29"/>
      <c r="R887" s="29" t="b">
        <v>0</v>
      </c>
      <c r="S887" s="22" t="str">
        <f t="shared" si="3"/>
        <v/>
      </c>
      <c r="T887" s="7">
        <f>IF(ISBLANK(P887), 0, VLOOKUP(P887, 'Price Sheet'!$A$2:$B1015, 2, false))</f>
        <v>0</v>
      </c>
      <c r="U887" s="33" t="str">
        <f t="shared" si="4"/>
        <v/>
      </c>
      <c r="V887" s="37"/>
      <c r="W887" s="29"/>
      <c r="X887" s="29" t="b">
        <v>0</v>
      </c>
      <c r="Y887" s="22" t="str">
        <f t="shared" si="5"/>
        <v/>
      </c>
      <c r="Z887" s="7">
        <f>IF(ISBLANK(V887), 0, VLOOKUP(V887, 'Price Sheet'!$A$2:$B1015, 2, false))</f>
        <v>0</v>
      </c>
      <c r="AA887" s="33" t="str">
        <f t="shared" si="6"/>
        <v/>
      </c>
      <c r="AB887" s="37"/>
      <c r="AC887" s="29"/>
      <c r="AD887" s="29" t="b">
        <v>0</v>
      </c>
      <c r="AE887" s="22" t="str">
        <f t="shared" si="7"/>
        <v/>
      </c>
      <c r="AF887" s="7">
        <f>IF(ISBLANK(AB887), 0, VLOOKUP(AB887, 'Price Sheet'!$A$2:$B1015, 2, false))</f>
        <v>0</v>
      </c>
      <c r="AG887" s="33" t="str">
        <f t="shared" si="8"/>
        <v/>
      </c>
      <c r="AH887" s="37"/>
      <c r="AI887" s="29"/>
      <c r="AJ887" s="29" t="b">
        <v>0</v>
      </c>
      <c r="AK887" s="22" t="str">
        <f t="shared" si="9"/>
        <v/>
      </c>
      <c r="AL887" s="7">
        <f>IF(ISBLANK(AH887), 0, VLOOKUP(AH887, 'Price Sheet'!$A$2:$B1015, 2, false))</f>
        <v>0</v>
      </c>
      <c r="AM887" s="33" t="str">
        <f t="shared" si="10"/>
        <v/>
      </c>
      <c r="AN887" s="37"/>
      <c r="AO887" s="29"/>
      <c r="AP887" s="29" t="b">
        <v>0</v>
      </c>
      <c r="AQ887" s="22" t="str">
        <f t="shared" si="11"/>
        <v/>
      </c>
      <c r="AR887" s="7">
        <f>IF(ISBLANK(AN887), 0, VLOOKUP(AN887, 'Price Sheet'!$A$2:$B1015, 2, false))</f>
        <v>0</v>
      </c>
      <c r="AS887" s="33" t="str">
        <f t="shared" si="12"/>
        <v/>
      </c>
      <c r="AT887" s="37"/>
      <c r="AU887" s="29"/>
      <c r="AV887" s="29" t="b">
        <v>0</v>
      </c>
      <c r="AW887" s="22" t="str">
        <f t="shared" si="13"/>
        <v/>
      </c>
      <c r="AX887" s="7">
        <f>IF(ISBLANK(AT887), 0, VLOOKUP(AT887, 'Price Sheet'!$A$2:$B1015, 2, false))</f>
        <v>0</v>
      </c>
      <c r="AY887" s="33" t="str">
        <f t="shared" si="14"/>
        <v/>
      </c>
      <c r="AZ887" s="37"/>
      <c r="BA887" s="29"/>
      <c r="BB887" s="29" t="b">
        <v>0</v>
      </c>
      <c r="BC887" s="22" t="str">
        <f t="shared" si="15"/>
        <v/>
      </c>
      <c r="BD887" s="7">
        <f>IF(ISBLANK(AZ887), 0, VLOOKUP(AZ887, 'Price Sheet'!$A$2:$B1015, 2, false))</f>
        <v>0</v>
      </c>
      <c r="BE887" s="33" t="str">
        <f t="shared" si="16"/>
        <v/>
      </c>
      <c r="BF887" s="37"/>
      <c r="BG887" s="29"/>
      <c r="BH887" s="29" t="b">
        <v>0</v>
      </c>
      <c r="BI887" s="22" t="str">
        <f t="shared" si="17"/>
        <v/>
      </c>
      <c r="BJ887" s="7">
        <f>IF(ISBLANK(BF887), 0, VLOOKUP(BF887, 'Price Sheet'!$A$2:$B1015, 2, false))</f>
        <v>0</v>
      </c>
      <c r="BK887" s="33" t="str">
        <f t="shared" si="18"/>
        <v/>
      </c>
      <c r="BL887" s="37"/>
      <c r="BM887" s="29"/>
      <c r="BN887" s="29" t="b">
        <v>0</v>
      </c>
      <c r="BO887" s="22" t="str">
        <f t="shared" si="19"/>
        <v/>
      </c>
      <c r="BP887" s="7">
        <f>IF(ISBLANK(BL887), 0, VLOOKUP(BL887, 'Price Sheet'!$A$2:$B1015, 2, false))</f>
        <v>0</v>
      </c>
      <c r="BQ887" s="33" t="str">
        <f t="shared" si="20"/>
        <v/>
      </c>
    </row>
    <row r="888">
      <c r="B888" s="19"/>
      <c r="C888" s="29"/>
      <c r="D888" s="29"/>
      <c r="E888" s="7" t="str">
        <f>IF(ISBLANK(D888), "", VLOOKUP(D888,'Crafting Tables'!$A$2:$B1015, 2, false))</f>
        <v/>
      </c>
      <c r="F888" s="7" t="str">
        <f>IFERROR(IF(E888 = "None", 1, VLOOKUP(C888,General!$A$5:$L$35, SWITCH(E888, "Basic", 8, "Advanced", 10, "Modern", 12), false)),"")</f>
        <v/>
      </c>
      <c r="G888" s="29"/>
      <c r="H888" s="7">
        <f>IFERROR(VLOOKUP(C888, General!$A$5:$L$35, 6, false) * G888 / 1000, 0)</f>
        <v>0</v>
      </c>
      <c r="I888" s="29"/>
      <c r="J888" s="22" t="str">
        <f>IFERROR(I888*VLOOKUP(D888,'Crafting Tables'!$1:$1000, 4, false)*F888,"")</f>
        <v/>
      </c>
      <c r="K888" s="29" t="b">
        <v>0</v>
      </c>
      <c r="L888" s="37"/>
      <c r="M888" s="29"/>
      <c r="N888" s="21" t="str">
        <f t="shared" si="2"/>
        <v/>
      </c>
      <c r="P888" s="37"/>
      <c r="Q888" s="29"/>
      <c r="R888" s="29" t="b">
        <v>0</v>
      </c>
      <c r="S888" s="22" t="str">
        <f t="shared" si="3"/>
        <v/>
      </c>
      <c r="T888" s="7">
        <f>IF(ISBLANK(P888), 0, VLOOKUP(P888, 'Price Sheet'!$A$2:$B1015, 2, false))</f>
        <v>0</v>
      </c>
      <c r="U888" s="33" t="str">
        <f t="shared" si="4"/>
        <v/>
      </c>
      <c r="V888" s="37"/>
      <c r="W888" s="29"/>
      <c r="X888" s="29" t="b">
        <v>0</v>
      </c>
      <c r="Y888" s="22" t="str">
        <f t="shared" si="5"/>
        <v/>
      </c>
      <c r="Z888" s="7">
        <f>IF(ISBLANK(V888), 0, VLOOKUP(V888, 'Price Sheet'!$A$2:$B1015, 2, false))</f>
        <v>0</v>
      </c>
      <c r="AA888" s="33" t="str">
        <f t="shared" si="6"/>
        <v/>
      </c>
      <c r="AB888" s="37"/>
      <c r="AC888" s="29"/>
      <c r="AD888" s="29" t="b">
        <v>0</v>
      </c>
      <c r="AE888" s="22" t="str">
        <f t="shared" si="7"/>
        <v/>
      </c>
      <c r="AF888" s="7">
        <f>IF(ISBLANK(AB888), 0, VLOOKUP(AB888, 'Price Sheet'!$A$2:$B1015, 2, false))</f>
        <v>0</v>
      </c>
      <c r="AG888" s="33" t="str">
        <f t="shared" si="8"/>
        <v/>
      </c>
      <c r="AH888" s="37"/>
      <c r="AI888" s="29"/>
      <c r="AJ888" s="29" t="b">
        <v>0</v>
      </c>
      <c r="AK888" s="22" t="str">
        <f t="shared" si="9"/>
        <v/>
      </c>
      <c r="AL888" s="7">
        <f>IF(ISBLANK(AH888), 0, VLOOKUP(AH888, 'Price Sheet'!$A$2:$B1015, 2, false))</f>
        <v>0</v>
      </c>
      <c r="AM888" s="33" t="str">
        <f t="shared" si="10"/>
        <v/>
      </c>
      <c r="AN888" s="37"/>
      <c r="AO888" s="29"/>
      <c r="AP888" s="29" t="b">
        <v>0</v>
      </c>
      <c r="AQ888" s="22" t="str">
        <f t="shared" si="11"/>
        <v/>
      </c>
      <c r="AR888" s="7">
        <f>IF(ISBLANK(AN888), 0, VLOOKUP(AN888, 'Price Sheet'!$A$2:$B1015, 2, false))</f>
        <v>0</v>
      </c>
      <c r="AS888" s="33" t="str">
        <f t="shared" si="12"/>
        <v/>
      </c>
      <c r="AT888" s="37"/>
      <c r="AU888" s="29"/>
      <c r="AV888" s="29" t="b">
        <v>0</v>
      </c>
      <c r="AW888" s="22" t="str">
        <f t="shared" si="13"/>
        <v/>
      </c>
      <c r="AX888" s="7">
        <f>IF(ISBLANK(AT888), 0, VLOOKUP(AT888, 'Price Sheet'!$A$2:$B1015, 2, false))</f>
        <v>0</v>
      </c>
      <c r="AY888" s="33" t="str">
        <f t="shared" si="14"/>
        <v/>
      </c>
      <c r="AZ888" s="37"/>
      <c r="BA888" s="29"/>
      <c r="BB888" s="29" t="b">
        <v>0</v>
      </c>
      <c r="BC888" s="22" t="str">
        <f t="shared" si="15"/>
        <v/>
      </c>
      <c r="BD888" s="7">
        <f>IF(ISBLANK(AZ888), 0, VLOOKUP(AZ888, 'Price Sheet'!$A$2:$B1015, 2, false))</f>
        <v>0</v>
      </c>
      <c r="BE888" s="33" t="str">
        <f t="shared" si="16"/>
        <v/>
      </c>
      <c r="BF888" s="37"/>
      <c r="BG888" s="29"/>
      <c r="BH888" s="29" t="b">
        <v>0</v>
      </c>
      <c r="BI888" s="22" t="str">
        <f t="shared" si="17"/>
        <v/>
      </c>
      <c r="BJ888" s="7">
        <f>IF(ISBLANK(BF888), 0, VLOOKUP(BF888, 'Price Sheet'!$A$2:$B1015, 2, false))</f>
        <v>0</v>
      </c>
      <c r="BK888" s="33" t="str">
        <f t="shared" si="18"/>
        <v/>
      </c>
      <c r="BL888" s="37"/>
      <c r="BM888" s="29"/>
      <c r="BN888" s="29" t="b">
        <v>0</v>
      </c>
      <c r="BO888" s="22" t="str">
        <f t="shared" si="19"/>
        <v/>
      </c>
      <c r="BP888" s="7">
        <f>IF(ISBLANK(BL888), 0, VLOOKUP(BL888, 'Price Sheet'!$A$2:$B1015, 2, false))</f>
        <v>0</v>
      </c>
      <c r="BQ888" s="33" t="str">
        <f t="shared" si="20"/>
        <v/>
      </c>
    </row>
    <row r="889">
      <c r="B889" s="19"/>
      <c r="C889" s="29"/>
      <c r="D889" s="29"/>
      <c r="E889" s="7" t="str">
        <f>IF(ISBLANK(D889), "", VLOOKUP(D889,'Crafting Tables'!$A$2:$B1015, 2, false))</f>
        <v/>
      </c>
      <c r="F889" s="7" t="str">
        <f>IFERROR(IF(E889 = "None", 1, VLOOKUP(C889,General!$A$5:$L$35, SWITCH(E889, "Basic", 8, "Advanced", 10, "Modern", 12), false)),"")</f>
        <v/>
      </c>
      <c r="G889" s="29"/>
      <c r="H889" s="7">
        <f>IFERROR(VLOOKUP(C889, General!$A$5:$L$35, 6, false) * G889 / 1000, 0)</f>
        <v>0</v>
      </c>
      <c r="I889" s="29"/>
      <c r="J889" s="22" t="str">
        <f>IFERROR(I889*VLOOKUP(D889,'Crafting Tables'!$1:$1000, 4, false)*F889,"")</f>
        <v/>
      </c>
      <c r="K889" s="29" t="b">
        <v>0</v>
      </c>
      <c r="L889" s="37"/>
      <c r="M889" s="29"/>
      <c r="N889" s="21" t="str">
        <f t="shared" si="2"/>
        <v/>
      </c>
      <c r="P889" s="37"/>
      <c r="Q889" s="29"/>
      <c r="R889" s="29" t="b">
        <v>0</v>
      </c>
      <c r="S889" s="22" t="str">
        <f t="shared" si="3"/>
        <v/>
      </c>
      <c r="T889" s="7">
        <f>IF(ISBLANK(P889), 0, VLOOKUP(P889, 'Price Sheet'!$A$2:$B1015, 2, false))</f>
        <v>0</v>
      </c>
      <c r="U889" s="33" t="str">
        <f t="shared" si="4"/>
        <v/>
      </c>
      <c r="V889" s="37"/>
      <c r="W889" s="29"/>
      <c r="X889" s="29" t="b">
        <v>0</v>
      </c>
      <c r="Y889" s="22" t="str">
        <f t="shared" si="5"/>
        <v/>
      </c>
      <c r="Z889" s="7">
        <f>IF(ISBLANK(V889), 0, VLOOKUP(V889, 'Price Sheet'!$A$2:$B1015, 2, false))</f>
        <v>0</v>
      </c>
      <c r="AA889" s="33" t="str">
        <f t="shared" si="6"/>
        <v/>
      </c>
      <c r="AB889" s="37"/>
      <c r="AC889" s="29"/>
      <c r="AD889" s="29" t="b">
        <v>0</v>
      </c>
      <c r="AE889" s="22" t="str">
        <f t="shared" si="7"/>
        <v/>
      </c>
      <c r="AF889" s="7">
        <f>IF(ISBLANK(AB889), 0, VLOOKUP(AB889, 'Price Sheet'!$A$2:$B1015, 2, false))</f>
        <v>0</v>
      </c>
      <c r="AG889" s="33" t="str">
        <f t="shared" si="8"/>
        <v/>
      </c>
      <c r="AH889" s="37"/>
      <c r="AI889" s="29"/>
      <c r="AJ889" s="29" t="b">
        <v>0</v>
      </c>
      <c r="AK889" s="22" t="str">
        <f t="shared" si="9"/>
        <v/>
      </c>
      <c r="AL889" s="7">
        <f>IF(ISBLANK(AH889), 0, VLOOKUP(AH889, 'Price Sheet'!$A$2:$B1015, 2, false))</f>
        <v>0</v>
      </c>
      <c r="AM889" s="33" t="str">
        <f t="shared" si="10"/>
        <v/>
      </c>
      <c r="AN889" s="37"/>
      <c r="AO889" s="29"/>
      <c r="AP889" s="29" t="b">
        <v>0</v>
      </c>
      <c r="AQ889" s="22" t="str">
        <f t="shared" si="11"/>
        <v/>
      </c>
      <c r="AR889" s="7">
        <f>IF(ISBLANK(AN889), 0, VLOOKUP(AN889, 'Price Sheet'!$A$2:$B1015, 2, false))</f>
        <v>0</v>
      </c>
      <c r="AS889" s="33" t="str">
        <f t="shared" si="12"/>
        <v/>
      </c>
      <c r="AT889" s="37"/>
      <c r="AU889" s="29"/>
      <c r="AV889" s="29" t="b">
        <v>0</v>
      </c>
      <c r="AW889" s="22" t="str">
        <f t="shared" si="13"/>
        <v/>
      </c>
      <c r="AX889" s="7">
        <f>IF(ISBLANK(AT889), 0, VLOOKUP(AT889, 'Price Sheet'!$A$2:$B1015, 2, false))</f>
        <v>0</v>
      </c>
      <c r="AY889" s="33" t="str">
        <f t="shared" si="14"/>
        <v/>
      </c>
      <c r="AZ889" s="37"/>
      <c r="BA889" s="29"/>
      <c r="BB889" s="29" t="b">
        <v>0</v>
      </c>
      <c r="BC889" s="22" t="str">
        <f t="shared" si="15"/>
        <v/>
      </c>
      <c r="BD889" s="7">
        <f>IF(ISBLANK(AZ889), 0, VLOOKUP(AZ889, 'Price Sheet'!$A$2:$B1015, 2, false))</f>
        <v>0</v>
      </c>
      <c r="BE889" s="33" t="str">
        <f t="shared" si="16"/>
        <v/>
      </c>
      <c r="BF889" s="37"/>
      <c r="BG889" s="29"/>
      <c r="BH889" s="29" t="b">
        <v>0</v>
      </c>
      <c r="BI889" s="22" t="str">
        <f t="shared" si="17"/>
        <v/>
      </c>
      <c r="BJ889" s="7">
        <f>IF(ISBLANK(BF889), 0, VLOOKUP(BF889, 'Price Sheet'!$A$2:$B1015, 2, false))</f>
        <v>0</v>
      </c>
      <c r="BK889" s="33" t="str">
        <f t="shared" si="18"/>
        <v/>
      </c>
      <c r="BL889" s="37"/>
      <c r="BM889" s="29"/>
      <c r="BN889" s="29" t="b">
        <v>0</v>
      </c>
      <c r="BO889" s="22" t="str">
        <f t="shared" si="19"/>
        <v/>
      </c>
      <c r="BP889" s="7">
        <f>IF(ISBLANK(BL889), 0, VLOOKUP(BL889, 'Price Sheet'!$A$2:$B1015, 2, false))</f>
        <v>0</v>
      </c>
      <c r="BQ889" s="33" t="str">
        <f t="shared" si="20"/>
        <v/>
      </c>
    </row>
    <row r="890">
      <c r="B890" s="19"/>
      <c r="C890" s="29"/>
      <c r="D890" s="29"/>
      <c r="E890" s="7" t="str">
        <f>IF(ISBLANK(D890), "", VLOOKUP(D890,'Crafting Tables'!$A$2:$B1015, 2, false))</f>
        <v/>
      </c>
      <c r="F890" s="7" t="str">
        <f>IFERROR(IF(E890 = "None", 1, VLOOKUP(C890,General!$A$5:$L$35, SWITCH(E890, "Basic", 8, "Advanced", 10, "Modern", 12), false)),"")</f>
        <v/>
      </c>
      <c r="G890" s="29"/>
      <c r="H890" s="7">
        <f>IFERROR(VLOOKUP(C890, General!$A$5:$L$35, 6, false) * G890 / 1000, 0)</f>
        <v>0</v>
      </c>
      <c r="I890" s="29"/>
      <c r="J890" s="22" t="str">
        <f>IFERROR(I890*VLOOKUP(D890,'Crafting Tables'!$1:$1000, 4, false)*F890,"")</f>
        <v/>
      </c>
      <c r="K890" s="29" t="b">
        <v>0</v>
      </c>
      <c r="L890" s="37"/>
      <c r="M890" s="29"/>
      <c r="N890" s="21" t="str">
        <f t="shared" si="2"/>
        <v/>
      </c>
      <c r="P890" s="37"/>
      <c r="Q890" s="29"/>
      <c r="R890" s="29" t="b">
        <v>0</v>
      </c>
      <c r="S890" s="22" t="str">
        <f t="shared" si="3"/>
        <v/>
      </c>
      <c r="T890" s="7">
        <f>IF(ISBLANK(P890), 0, VLOOKUP(P890, 'Price Sheet'!$A$2:$B1015, 2, false))</f>
        <v>0</v>
      </c>
      <c r="U890" s="33" t="str">
        <f t="shared" si="4"/>
        <v/>
      </c>
      <c r="V890" s="37"/>
      <c r="W890" s="29"/>
      <c r="X890" s="29" t="b">
        <v>0</v>
      </c>
      <c r="Y890" s="22" t="str">
        <f t="shared" si="5"/>
        <v/>
      </c>
      <c r="Z890" s="7">
        <f>IF(ISBLANK(V890), 0, VLOOKUP(V890, 'Price Sheet'!$A$2:$B1015, 2, false))</f>
        <v>0</v>
      </c>
      <c r="AA890" s="33" t="str">
        <f t="shared" si="6"/>
        <v/>
      </c>
      <c r="AB890" s="37"/>
      <c r="AC890" s="29"/>
      <c r="AD890" s="29" t="b">
        <v>0</v>
      </c>
      <c r="AE890" s="22" t="str">
        <f t="shared" si="7"/>
        <v/>
      </c>
      <c r="AF890" s="7">
        <f>IF(ISBLANK(AB890), 0, VLOOKUP(AB890, 'Price Sheet'!$A$2:$B1015, 2, false))</f>
        <v>0</v>
      </c>
      <c r="AG890" s="33" t="str">
        <f t="shared" si="8"/>
        <v/>
      </c>
      <c r="AH890" s="37"/>
      <c r="AI890" s="29"/>
      <c r="AJ890" s="29" t="b">
        <v>0</v>
      </c>
      <c r="AK890" s="22" t="str">
        <f t="shared" si="9"/>
        <v/>
      </c>
      <c r="AL890" s="7">
        <f>IF(ISBLANK(AH890), 0, VLOOKUP(AH890, 'Price Sheet'!$A$2:$B1015, 2, false))</f>
        <v>0</v>
      </c>
      <c r="AM890" s="33" t="str">
        <f t="shared" si="10"/>
        <v/>
      </c>
      <c r="AN890" s="37"/>
      <c r="AO890" s="29"/>
      <c r="AP890" s="29" t="b">
        <v>0</v>
      </c>
      <c r="AQ890" s="22" t="str">
        <f t="shared" si="11"/>
        <v/>
      </c>
      <c r="AR890" s="7">
        <f>IF(ISBLANK(AN890), 0, VLOOKUP(AN890, 'Price Sheet'!$A$2:$B1015, 2, false))</f>
        <v>0</v>
      </c>
      <c r="AS890" s="33" t="str">
        <f t="shared" si="12"/>
        <v/>
      </c>
      <c r="AT890" s="37"/>
      <c r="AU890" s="29"/>
      <c r="AV890" s="29" t="b">
        <v>0</v>
      </c>
      <c r="AW890" s="22" t="str">
        <f t="shared" si="13"/>
        <v/>
      </c>
      <c r="AX890" s="7">
        <f>IF(ISBLANK(AT890), 0, VLOOKUP(AT890, 'Price Sheet'!$A$2:$B1015, 2, false))</f>
        <v>0</v>
      </c>
      <c r="AY890" s="33" t="str">
        <f t="shared" si="14"/>
        <v/>
      </c>
      <c r="AZ890" s="37"/>
      <c r="BA890" s="29"/>
      <c r="BB890" s="29" t="b">
        <v>0</v>
      </c>
      <c r="BC890" s="22" t="str">
        <f t="shared" si="15"/>
        <v/>
      </c>
      <c r="BD890" s="7">
        <f>IF(ISBLANK(AZ890), 0, VLOOKUP(AZ890, 'Price Sheet'!$A$2:$B1015, 2, false))</f>
        <v>0</v>
      </c>
      <c r="BE890" s="33" t="str">
        <f t="shared" si="16"/>
        <v/>
      </c>
      <c r="BF890" s="37"/>
      <c r="BG890" s="29"/>
      <c r="BH890" s="29" t="b">
        <v>0</v>
      </c>
      <c r="BI890" s="22" t="str">
        <f t="shared" si="17"/>
        <v/>
      </c>
      <c r="BJ890" s="7">
        <f>IF(ISBLANK(BF890), 0, VLOOKUP(BF890, 'Price Sheet'!$A$2:$B1015, 2, false))</f>
        <v>0</v>
      </c>
      <c r="BK890" s="33" t="str">
        <f t="shared" si="18"/>
        <v/>
      </c>
      <c r="BL890" s="37"/>
      <c r="BM890" s="29"/>
      <c r="BN890" s="29" t="b">
        <v>0</v>
      </c>
      <c r="BO890" s="22" t="str">
        <f t="shared" si="19"/>
        <v/>
      </c>
      <c r="BP890" s="7">
        <f>IF(ISBLANK(BL890), 0, VLOOKUP(BL890, 'Price Sheet'!$A$2:$B1015, 2, false))</f>
        <v>0</v>
      </c>
      <c r="BQ890" s="33" t="str">
        <f t="shared" si="20"/>
        <v/>
      </c>
    </row>
    <row r="891">
      <c r="B891" s="19"/>
      <c r="C891" s="29"/>
      <c r="D891" s="29"/>
      <c r="E891" s="7" t="str">
        <f>IF(ISBLANK(D891), "", VLOOKUP(D891,'Crafting Tables'!$A$2:$B1015, 2, false))</f>
        <v/>
      </c>
      <c r="F891" s="7" t="str">
        <f>IFERROR(IF(E891 = "None", 1, VLOOKUP(C891,General!$A$5:$L$35, SWITCH(E891, "Basic", 8, "Advanced", 10, "Modern", 12), false)),"")</f>
        <v/>
      </c>
      <c r="G891" s="29"/>
      <c r="H891" s="7">
        <f>IFERROR(VLOOKUP(C891, General!$A$5:$L$35, 6, false) * G891 / 1000, 0)</f>
        <v>0</v>
      </c>
      <c r="I891" s="29"/>
      <c r="J891" s="22" t="str">
        <f>IFERROR(I891*VLOOKUP(D891,'Crafting Tables'!$1:$1000, 4, false)*F891,"")</f>
        <v/>
      </c>
      <c r="K891" s="29" t="b">
        <v>0</v>
      </c>
      <c r="L891" s="37"/>
      <c r="M891" s="29"/>
      <c r="N891" s="21" t="str">
        <f t="shared" si="2"/>
        <v/>
      </c>
      <c r="P891" s="37"/>
      <c r="Q891" s="29"/>
      <c r="R891" s="29" t="b">
        <v>0</v>
      </c>
      <c r="S891" s="22" t="str">
        <f t="shared" si="3"/>
        <v/>
      </c>
      <c r="T891" s="7">
        <f>IF(ISBLANK(P891), 0, VLOOKUP(P891, 'Price Sheet'!$A$2:$B1015, 2, false))</f>
        <v>0</v>
      </c>
      <c r="U891" s="33" t="str">
        <f t="shared" si="4"/>
        <v/>
      </c>
      <c r="V891" s="37"/>
      <c r="W891" s="29"/>
      <c r="X891" s="29" t="b">
        <v>0</v>
      </c>
      <c r="Y891" s="22" t="str">
        <f t="shared" si="5"/>
        <v/>
      </c>
      <c r="Z891" s="7">
        <f>IF(ISBLANK(V891), 0, VLOOKUP(V891, 'Price Sheet'!$A$2:$B1015, 2, false))</f>
        <v>0</v>
      </c>
      <c r="AA891" s="33" t="str">
        <f t="shared" si="6"/>
        <v/>
      </c>
      <c r="AB891" s="37"/>
      <c r="AC891" s="29"/>
      <c r="AD891" s="29" t="b">
        <v>0</v>
      </c>
      <c r="AE891" s="22" t="str">
        <f t="shared" si="7"/>
        <v/>
      </c>
      <c r="AF891" s="7">
        <f>IF(ISBLANK(AB891), 0, VLOOKUP(AB891, 'Price Sheet'!$A$2:$B1015, 2, false))</f>
        <v>0</v>
      </c>
      <c r="AG891" s="33" t="str">
        <f t="shared" si="8"/>
        <v/>
      </c>
      <c r="AH891" s="37"/>
      <c r="AI891" s="29"/>
      <c r="AJ891" s="29" t="b">
        <v>0</v>
      </c>
      <c r="AK891" s="22" t="str">
        <f t="shared" si="9"/>
        <v/>
      </c>
      <c r="AL891" s="7">
        <f>IF(ISBLANK(AH891), 0, VLOOKUP(AH891, 'Price Sheet'!$A$2:$B1015, 2, false))</f>
        <v>0</v>
      </c>
      <c r="AM891" s="33" t="str">
        <f t="shared" si="10"/>
        <v/>
      </c>
      <c r="AN891" s="37"/>
      <c r="AO891" s="29"/>
      <c r="AP891" s="29" t="b">
        <v>0</v>
      </c>
      <c r="AQ891" s="22" t="str">
        <f t="shared" si="11"/>
        <v/>
      </c>
      <c r="AR891" s="7">
        <f>IF(ISBLANK(AN891), 0, VLOOKUP(AN891, 'Price Sheet'!$A$2:$B1015, 2, false))</f>
        <v>0</v>
      </c>
      <c r="AS891" s="33" t="str">
        <f t="shared" si="12"/>
        <v/>
      </c>
      <c r="AT891" s="37"/>
      <c r="AU891" s="29"/>
      <c r="AV891" s="29" t="b">
        <v>0</v>
      </c>
      <c r="AW891" s="22" t="str">
        <f t="shared" si="13"/>
        <v/>
      </c>
      <c r="AX891" s="7">
        <f>IF(ISBLANK(AT891), 0, VLOOKUP(AT891, 'Price Sheet'!$A$2:$B1015, 2, false))</f>
        <v>0</v>
      </c>
      <c r="AY891" s="33" t="str">
        <f t="shared" si="14"/>
        <v/>
      </c>
      <c r="AZ891" s="37"/>
      <c r="BA891" s="29"/>
      <c r="BB891" s="29" t="b">
        <v>0</v>
      </c>
      <c r="BC891" s="22" t="str">
        <f t="shared" si="15"/>
        <v/>
      </c>
      <c r="BD891" s="7">
        <f>IF(ISBLANK(AZ891), 0, VLOOKUP(AZ891, 'Price Sheet'!$A$2:$B1015, 2, false))</f>
        <v>0</v>
      </c>
      <c r="BE891" s="33" t="str">
        <f t="shared" si="16"/>
        <v/>
      </c>
      <c r="BF891" s="37"/>
      <c r="BG891" s="29"/>
      <c r="BH891" s="29" t="b">
        <v>0</v>
      </c>
      <c r="BI891" s="22" t="str">
        <f t="shared" si="17"/>
        <v/>
      </c>
      <c r="BJ891" s="7">
        <f>IF(ISBLANK(BF891), 0, VLOOKUP(BF891, 'Price Sheet'!$A$2:$B1015, 2, false))</f>
        <v>0</v>
      </c>
      <c r="BK891" s="33" t="str">
        <f t="shared" si="18"/>
        <v/>
      </c>
      <c r="BL891" s="37"/>
      <c r="BM891" s="29"/>
      <c r="BN891" s="29" t="b">
        <v>0</v>
      </c>
      <c r="BO891" s="22" t="str">
        <f t="shared" si="19"/>
        <v/>
      </c>
      <c r="BP891" s="7">
        <f>IF(ISBLANK(BL891), 0, VLOOKUP(BL891, 'Price Sheet'!$A$2:$B1015, 2, false))</f>
        <v>0</v>
      </c>
      <c r="BQ891" s="33" t="str">
        <f t="shared" si="20"/>
        <v/>
      </c>
    </row>
    <row r="892">
      <c r="B892" s="19"/>
      <c r="C892" s="29"/>
      <c r="D892" s="29"/>
      <c r="E892" s="7" t="str">
        <f>IF(ISBLANK(D892), "", VLOOKUP(D892,'Crafting Tables'!$A$2:$B1015, 2, false))</f>
        <v/>
      </c>
      <c r="F892" s="7" t="str">
        <f>IFERROR(IF(E892 = "None", 1, VLOOKUP(C892,General!$A$5:$L$35, SWITCH(E892, "Basic", 8, "Advanced", 10, "Modern", 12), false)),"")</f>
        <v/>
      </c>
      <c r="G892" s="29"/>
      <c r="H892" s="7">
        <f>IFERROR(VLOOKUP(C892, General!$A$5:$L$35, 6, false) * G892 / 1000, 0)</f>
        <v>0</v>
      </c>
      <c r="I892" s="29"/>
      <c r="J892" s="22" t="str">
        <f>IFERROR(I892*VLOOKUP(D892,'Crafting Tables'!$1:$1000, 4, false)*F892,"")</f>
        <v/>
      </c>
      <c r="K892" s="29" t="b">
        <v>0</v>
      </c>
      <c r="L892" s="37"/>
      <c r="M892" s="29"/>
      <c r="N892" s="21" t="str">
        <f t="shared" si="2"/>
        <v/>
      </c>
      <c r="P892" s="37"/>
      <c r="Q892" s="29"/>
      <c r="R892" s="29" t="b">
        <v>0</v>
      </c>
      <c r="S892" s="22" t="str">
        <f t="shared" si="3"/>
        <v/>
      </c>
      <c r="T892" s="7">
        <f>IF(ISBLANK(P892), 0, VLOOKUP(P892, 'Price Sheet'!$A$2:$B1015, 2, false))</f>
        <v>0</v>
      </c>
      <c r="U892" s="33" t="str">
        <f t="shared" si="4"/>
        <v/>
      </c>
      <c r="V892" s="37"/>
      <c r="W892" s="29"/>
      <c r="X892" s="29" t="b">
        <v>0</v>
      </c>
      <c r="Y892" s="22" t="str">
        <f t="shared" si="5"/>
        <v/>
      </c>
      <c r="Z892" s="7">
        <f>IF(ISBLANK(V892), 0, VLOOKUP(V892, 'Price Sheet'!$A$2:$B1015, 2, false))</f>
        <v>0</v>
      </c>
      <c r="AA892" s="33" t="str">
        <f t="shared" si="6"/>
        <v/>
      </c>
      <c r="AB892" s="37"/>
      <c r="AC892" s="29"/>
      <c r="AD892" s="29" t="b">
        <v>0</v>
      </c>
      <c r="AE892" s="22" t="str">
        <f t="shared" si="7"/>
        <v/>
      </c>
      <c r="AF892" s="7">
        <f>IF(ISBLANK(AB892), 0, VLOOKUP(AB892, 'Price Sheet'!$A$2:$B1015, 2, false))</f>
        <v>0</v>
      </c>
      <c r="AG892" s="33" t="str">
        <f t="shared" si="8"/>
        <v/>
      </c>
      <c r="AH892" s="37"/>
      <c r="AI892" s="29"/>
      <c r="AJ892" s="29" t="b">
        <v>0</v>
      </c>
      <c r="AK892" s="22" t="str">
        <f t="shared" si="9"/>
        <v/>
      </c>
      <c r="AL892" s="7">
        <f>IF(ISBLANK(AH892), 0, VLOOKUP(AH892, 'Price Sheet'!$A$2:$B1015, 2, false))</f>
        <v>0</v>
      </c>
      <c r="AM892" s="33" t="str">
        <f t="shared" si="10"/>
        <v/>
      </c>
      <c r="AN892" s="37"/>
      <c r="AO892" s="29"/>
      <c r="AP892" s="29" t="b">
        <v>0</v>
      </c>
      <c r="AQ892" s="22" t="str">
        <f t="shared" si="11"/>
        <v/>
      </c>
      <c r="AR892" s="7">
        <f>IF(ISBLANK(AN892), 0, VLOOKUP(AN892, 'Price Sheet'!$A$2:$B1015, 2, false))</f>
        <v>0</v>
      </c>
      <c r="AS892" s="33" t="str">
        <f t="shared" si="12"/>
        <v/>
      </c>
      <c r="AT892" s="37"/>
      <c r="AU892" s="29"/>
      <c r="AV892" s="29" t="b">
        <v>0</v>
      </c>
      <c r="AW892" s="22" t="str">
        <f t="shared" si="13"/>
        <v/>
      </c>
      <c r="AX892" s="7">
        <f>IF(ISBLANK(AT892), 0, VLOOKUP(AT892, 'Price Sheet'!$A$2:$B1015, 2, false))</f>
        <v>0</v>
      </c>
      <c r="AY892" s="33" t="str">
        <f t="shared" si="14"/>
        <v/>
      </c>
      <c r="AZ892" s="37"/>
      <c r="BA892" s="29"/>
      <c r="BB892" s="29" t="b">
        <v>0</v>
      </c>
      <c r="BC892" s="22" t="str">
        <f t="shared" si="15"/>
        <v/>
      </c>
      <c r="BD892" s="7">
        <f>IF(ISBLANK(AZ892), 0, VLOOKUP(AZ892, 'Price Sheet'!$A$2:$B1015, 2, false))</f>
        <v>0</v>
      </c>
      <c r="BE892" s="33" t="str">
        <f t="shared" si="16"/>
        <v/>
      </c>
      <c r="BF892" s="37"/>
      <c r="BG892" s="29"/>
      <c r="BH892" s="29" t="b">
        <v>0</v>
      </c>
      <c r="BI892" s="22" t="str">
        <f t="shared" si="17"/>
        <v/>
      </c>
      <c r="BJ892" s="7">
        <f>IF(ISBLANK(BF892), 0, VLOOKUP(BF892, 'Price Sheet'!$A$2:$B1015, 2, false))</f>
        <v>0</v>
      </c>
      <c r="BK892" s="33" t="str">
        <f t="shared" si="18"/>
        <v/>
      </c>
      <c r="BL892" s="37"/>
      <c r="BM892" s="29"/>
      <c r="BN892" s="29" t="b">
        <v>0</v>
      </c>
      <c r="BO892" s="22" t="str">
        <f t="shared" si="19"/>
        <v/>
      </c>
      <c r="BP892" s="7">
        <f>IF(ISBLANK(BL892), 0, VLOOKUP(BL892, 'Price Sheet'!$A$2:$B1015, 2, false))</f>
        <v>0</v>
      </c>
      <c r="BQ892" s="33" t="str">
        <f t="shared" si="20"/>
        <v/>
      </c>
    </row>
    <row r="893">
      <c r="B893" s="19"/>
      <c r="C893" s="29"/>
      <c r="D893" s="29"/>
      <c r="E893" s="7" t="str">
        <f>IF(ISBLANK(D893), "", VLOOKUP(D893,'Crafting Tables'!$A$2:$B1015, 2, false))</f>
        <v/>
      </c>
      <c r="F893" s="7" t="str">
        <f>IFERROR(IF(E893 = "None", 1, VLOOKUP(C893,General!$A$5:$L$35, SWITCH(E893, "Basic", 8, "Advanced", 10, "Modern", 12), false)),"")</f>
        <v/>
      </c>
      <c r="G893" s="29"/>
      <c r="H893" s="7">
        <f>IFERROR(VLOOKUP(C893, General!$A$5:$L$35, 6, false) * G893 / 1000, 0)</f>
        <v>0</v>
      </c>
      <c r="I893" s="29"/>
      <c r="J893" s="22" t="str">
        <f>IFERROR(I893*VLOOKUP(D893,'Crafting Tables'!$1:$1000, 4, false)*F893,"")</f>
        <v/>
      </c>
      <c r="K893" s="29" t="b">
        <v>0</v>
      </c>
      <c r="L893" s="37"/>
      <c r="M893" s="29"/>
      <c r="N893" s="21" t="str">
        <f t="shared" si="2"/>
        <v/>
      </c>
      <c r="P893" s="37"/>
      <c r="Q893" s="29"/>
      <c r="R893" s="29" t="b">
        <v>0</v>
      </c>
      <c r="S893" s="22" t="str">
        <f t="shared" si="3"/>
        <v/>
      </c>
      <c r="T893" s="7">
        <f>IF(ISBLANK(P893), 0, VLOOKUP(P893, 'Price Sheet'!$A$2:$B1015, 2, false))</f>
        <v>0</v>
      </c>
      <c r="U893" s="33" t="str">
        <f t="shared" si="4"/>
        <v/>
      </c>
      <c r="V893" s="37"/>
      <c r="W893" s="29"/>
      <c r="X893" s="29" t="b">
        <v>0</v>
      </c>
      <c r="Y893" s="22" t="str">
        <f t="shared" si="5"/>
        <v/>
      </c>
      <c r="Z893" s="7">
        <f>IF(ISBLANK(V893), 0, VLOOKUP(V893, 'Price Sheet'!$A$2:$B1015, 2, false))</f>
        <v>0</v>
      </c>
      <c r="AA893" s="33" t="str">
        <f t="shared" si="6"/>
        <v/>
      </c>
      <c r="AB893" s="37"/>
      <c r="AC893" s="29"/>
      <c r="AD893" s="29" t="b">
        <v>0</v>
      </c>
      <c r="AE893" s="22" t="str">
        <f t="shared" si="7"/>
        <v/>
      </c>
      <c r="AF893" s="7">
        <f>IF(ISBLANK(AB893), 0, VLOOKUP(AB893, 'Price Sheet'!$A$2:$B1015, 2, false))</f>
        <v>0</v>
      </c>
      <c r="AG893" s="33" t="str">
        <f t="shared" si="8"/>
        <v/>
      </c>
      <c r="AH893" s="37"/>
      <c r="AI893" s="29"/>
      <c r="AJ893" s="29" t="b">
        <v>0</v>
      </c>
      <c r="AK893" s="22" t="str">
        <f t="shared" si="9"/>
        <v/>
      </c>
      <c r="AL893" s="7">
        <f>IF(ISBLANK(AH893), 0, VLOOKUP(AH893, 'Price Sheet'!$A$2:$B1015, 2, false))</f>
        <v>0</v>
      </c>
      <c r="AM893" s="33" t="str">
        <f t="shared" si="10"/>
        <v/>
      </c>
      <c r="AN893" s="37"/>
      <c r="AO893" s="29"/>
      <c r="AP893" s="29" t="b">
        <v>0</v>
      </c>
      <c r="AQ893" s="22" t="str">
        <f t="shared" si="11"/>
        <v/>
      </c>
      <c r="AR893" s="7">
        <f>IF(ISBLANK(AN893), 0, VLOOKUP(AN893, 'Price Sheet'!$A$2:$B1015, 2, false))</f>
        <v>0</v>
      </c>
      <c r="AS893" s="33" t="str">
        <f t="shared" si="12"/>
        <v/>
      </c>
      <c r="AT893" s="37"/>
      <c r="AU893" s="29"/>
      <c r="AV893" s="29" t="b">
        <v>0</v>
      </c>
      <c r="AW893" s="22" t="str">
        <f t="shared" si="13"/>
        <v/>
      </c>
      <c r="AX893" s="7">
        <f>IF(ISBLANK(AT893), 0, VLOOKUP(AT893, 'Price Sheet'!$A$2:$B1015, 2, false))</f>
        <v>0</v>
      </c>
      <c r="AY893" s="33" t="str">
        <f t="shared" si="14"/>
        <v/>
      </c>
      <c r="AZ893" s="37"/>
      <c r="BA893" s="29"/>
      <c r="BB893" s="29" t="b">
        <v>0</v>
      </c>
      <c r="BC893" s="22" t="str">
        <f t="shared" si="15"/>
        <v/>
      </c>
      <c r="BD893" s="7">
        <f>IF(ISBLANK(AZ893), 0, VLOOKUP(AZ893, 'Price Sheet'!$A$2:$B1015, 2, false))</f>
        <v>0</v>
      </c>
      <c r="BE893" s="33" t="str">
        <f t="shared" si="16"/>
        <v/>
      </c>
      <c r="BF893" s="37"/>
      <c r="BG893" s="29"/>
      <c r="BH893" s="29" t="b">
        <v>0</v>
      </c>
      <c r="BI893" s="22" t="str">
        <f t="shared" si="17"/>
        <v/>
      </c>
      <c r="BJ893" s="7">
        <f>IF(ISBLANK(BF893), 0, VLOOKUP(BF893, 'Price Sheet'!$A$2:$B1015, 2, false))</f>
        <v>0</v>
      </c>
      <c r="BK893" s="33" t="str">
        <f t="shared" si="18"/>
        <v/>
      </c>
      <c r="BL893" s="37"/>
      <c r="BM893" s="29"/>
      <c r="BN893" s="29" t="b">
        <v>0</v>
      </c>
      <c r="BO893" s="22" t="str">
        <f t="shared" si="19"/>
        <v/>
      </c>
      <c r="BP893" s="7">
        <f>IF(ISBLANK(BL893), 0, VLOOKUP(BL893, 'Price Sheet'!$A$2:$B1015, 2, false))</f>
        <v>0</v>
      </c>
      <c r="BQ893" s="33" t="str">
        <f t="shared" si="20"/>
        <v/>
      </c>
    </row>
    <row r="894">
      <c r="B894" s="19"/>
      <c r="C894" s="29"/>
      <c r="D894" s="29"/>
      <c r="E894" s="7" t="str">
        <f>IF(ISBLANK(D894), "", VLOOKUP(D894,'Crafting Tables'!$A$2:$B1015, 2, false))</f>
        <v/>
      </c>
      <c r="F894" s="7" t="str">
        <f>IFERROR(IF(E894 = "None", 1, VLOOKUP(C894,General!$A$5:$L$35, SWITCH(E894, "Basic", 8, "Advanced", 10, "Modern", 12), false)),"")</f>
        <v/>
      </c>
      <c r="G894" s="29"/>
      <c r="H894" s="7">
        <f>IFERROR(VLOOKUP(C894, General!$A$5:$L$35, 6, false) * G894 / 1000, 0)</f>
        <v>0</v>
      </c>
      <c r="I894" s="29"/>
      <c r="J894" s="22" t="str">
        <f>IFERROR(I894*VLOOKUP(D894,'Crafting Tables'!$1:$1000, 4, false)*F894,"")</f>
        <v/>
      </c>
      <c r="K894" s="29" t="b">
        <v>0</v>
      </c>
      <c r="L894" s="37"/>
      <c r="M894" s="29"/>
      <c r="N894" s="21" t="str">
        <f t="shared" si="2"/>
        <v/>
      </c>
      <c r="P894" s="37"/>
      <c r="Q894" s="29"/>
      <c r="R894" s="29" t="b">
        <v>0</v>
      </c>
      <c r="S894" s="22" t="str">
        <f t="shared" si="3"/>
        <v/>
      </c>
      <c r="T894" s="7">
        <f>IF(ISBLANK(P894), 0, VLOOKUP(P894, 'Price Sheet'!$A$2:$B1015, 2, false))</f>
        <v>0</v>
      </c>
      <c r="U894" s="33" t="str">
        <f t="shared" si="4"/>
        <v/>
      </c>
      <c r="V894" s="37"/>
      <c r="W894" s="29"/>
      <c r="X894" s="29" t="b">
        <v>0</v>
      </c>
      <c r="Y894" s="22" t="str">
        <f t="shared" si="5"/>
        <v/>
      </c>
      <c r="Z894" s="7">
        <f>IF(ISBLANK(V894), 0, VLOOKUP(V894, 'Price Sheet'!$A$2:$B1015, 2, false))</f>
        <v>0</v>
      </c>
      <c r="AA894" s="33" t="str">
        <f t="shared" si="6"/>
        <v/>
      </c>
      <c r="AB894" s="37"/>
      <c r="AC894" s="29"/>
      <c r="AD894" s="29" t="b">
        <v>0</v>
      </c>
      <c r="AE894" s="22" t="str">
        <f t="shared" si="7"/>
        <v/>
      </c>
      <c r="AF894" s="7">
        <f>IF(ISBLANK(AB894), 0, VLOOKUP(AB894, 'Price Sheet'!$A$2:$B1015, 2, false))</f>
        <v>0</v>
      </c>
      <c r="AG894" s="33" t="str">
        <f t="shared" si="8"/>
        <v/>
      </c>
      <c r="AH894" s="37"/>
      <c r="AI894" s="29"/>
      <c r="AJ894" s="29" t="b">
        <v>0</v>
      </c>
      <c r="AK894" s="22" t="str">
        <f t="shared" si="9"/>
        <v/>
      </c>
      <c r="AL894" s="7">
        <f>IF(ISBLANK(AH894), 0, VLOOKUP(AH894, 'Price Sheet'!$A$2:$B1015, 2, false))</f>
        <v>0</v>
      </c>
      <c r="AM894" s="33" t="str">
        <f t="shared" si="10"/>
        <v/>
      </c>
      <c r="AN894" s="37"/>
      <c r="AO894" s="29"/>
      <c r="AP894" s="29" t="b">
        <v>0</v>
      </c>
      <c r="AQ894" s="22" t="str">
        <f t="shared" si="11"/>
        <v/>
      </c>
      <c r="AR894" s="7">
        <f>IF(ISBLANK(AN894), 0, VLOOKUP(AN894, 'Price Sheet'!$A$2:$B1015, 2, false))</f>
        <v>0</v>
      </c>
      <c r="AS894" s="33" t="str">
        <f t="shared" si="12"/>
        <v/>
      </c>
      <c r="AT894" s="37"/>
      <c r="AU894" s="29"/>
      <c r="AV894" s="29" t="b">
        <v>0</v>
      </c>
      <c r="AW894" s="22" t="str">
        <f t="shared" si="13"/>
        <v/>
      </c>
      <c r="AX894" s="7">
        <f>IF(ISBLANK(AT894), 0, VLOOKUP(AT894, 'Price Sheet'!$A$2:$B1015, 2, false))</f>
        <v>0</v>
      </c>
      <c r="AY894" s="33" t="str">
        <f t="shared" si="14"/>
        <v/>
      </c>
      <c r="AZ894" s="37"/>
      <c r="BA894" s="29"/>
      <c r="BB894" s="29" t="b">
        <v>0</v>
      </c>
      <c r="BC894" s="22" t="str">
        <f t="shared" si="15"/>
        <v/>
      </c>
      <c r="BD894" s="7">
        <f>IF(ISBLANK(AZ894), 0, VLOOKUP(AZ894, 'Price Sheet'!$A$2:$B1015, 2, false))</f>
        <v>0</v>
      </c>
      <c r="BE894" s="33" t="str">
        <f t="shared" si="16"/>
        <v/>
      </c>
      <c r="BF894" s="37"/>
      <c r="BG894" s="29"/>
      <c r="BH894" s="29" t="b">
        <v>0</v>
      </c>
      <c r="BI894" s="22" t="str">
        <f t="shared" si="17"/>
        <v/>
      </c>
      <c r="BJ894" s="7">
        <f>IF(ISBLANK(BF894), 0, VLOOKUP(BF894, 'Price Sheet'!$A$2:$B1015, 2, false))</f>
        <v>0</v>
      </c>
      <c r="BK894" s="33" t="str">
        <f t="shared" si="18"/>
        <v/>
      </c>
      <c r="BL894" s="37"/>
      <c r="BM894" s="29"/>
      <c r="BN894" s="29" t="b">
        <v>0</v>
      </c>
      <c r="BO894" s="22" t="str">
        <f t="shared" si="19"/>
        <v/>
      </c>
      <c r="BP894" s="7">
        <f>IF(ISBLANK(BL894), 0, VLOOKUP(BL894, 'Price Sheet'!$A$2:$B1015, 2, false))</f>
        <v>0</v>
      </c>
      <c r="BQ894" s="33" t="str">
        <f t="shared" si="20"/>
        <v/>
      </c>
    </row>
    <row r="895">
      <c r="B895" s="19"/>
      <c r="C895" s="29"/>
      <c r="D895" s="29"/>
      <c r="E895" s="7" t="str">
        <f>IF(ISBLANK(D895), "", VLOOKUP(D895,'Crafting Tables'!$A$2:$B1015, 2, false))</f>
        <v/>
      </c>
      <c r="F895" s="7" t="str">
        <f>IFERROR(IF(E895 = "None", 1, VLOOKUP(C895,General!$A$5:$L$35, SWITCH(E895, "Basic", 8, "Advanced", 10, "Modern", 12), false)),"")</f>
        <v/>
      </c>
      <c r="G895" s="29"/>
      <c r="H895" s="7">
        <f>IFERROR(VLOOKUP(C895, General!$A$5:$L$35, 6, false) * G895 / 1000, 0)</f>
        <v>0</v>
      </c>
      <c r="I895" s="29"/>
      <c r="J895" s="22" t="str">
        <f>IFERROR(I895*VLOOKUP(D895,'Crafting Tables'!$1:$1000, 4, false)*F895,"")</f>
        <v/>
      </c>
      <c r="K895" s="29" t="b">
        <v>0</v>
      </c>
      <c r="L895" s="37"/>
      <c r="M895" s="29"/>
      <c r="N895" s="21" t="str">
        <f t="shared" si="2"/>
        <v/>
      </c>
      <c r="P895" s="37"/>
      <c r="Q895" s="29"/>
      <c r="R895" s="29" t="b">
        <v>0</v>
      </c>
      <c r="S895" s="22" t="str">
        <f t="shared" si="3"/>
        <v/>
      </c>
      <c r="T895" s="7">
        <f>IF(ISBLANK(P895), 0, VLOOKUP(P895, 'Price Sheet'!$A$2:$B1015, 2, false))</f>
        <v>0</v>
      </c>
      <c r="U895" s="33" t="str">
        <f t="shared" si="4"/>
        <v/>
      </c>
      <c r="V895" s="37"/>
      <c r="W895" s="29"/>
      <c r="X895" s="29" t="b">
        <v>0</v>
      </c>
      <c r="Y895" s="22" t="str">
        <f t="shared" si="5"/>
        <v/>
      </c>
      <c r="Z895" s="7">
        <f>IF(ISBLANK(V895), 0, VLOOKUP(V895, 'Price Sheet'!$A$2:$B1015, 2, false))</f>
        <v>0</v>
      </c>
      <c r="AA895" s="33" t="str">
        <f t="shared" si="6"/>
        <v/>
      </c>
      <c r="AB895" s="37"/>
      <c r="AC895" s="29"/>
      <c r="AD895" s="29" t="b">
        <v>0</v>
      </c>
      <c r="AE895" s="22" t="str">
        <f t="shared" si="7"/>
        <v/>
      </c>
      <c r="AF895" s="7">
        <f>IF(ISBLANK(AB895), 0, VLOOKUP(AB895, 'Price Sheet'!$A$2:$B1015, 2, false))</f>
        <v>0</v>
      </c>
      <c r="AG895" s="33" t="str">
        <f t="shared" si="8"/>
        <v/>
      </c>
      <c r="AH895" s="37"/>
      <c r="AI895" s="29"/>
      <c r="AJ895" s="29" t="b">
        <v>0</v>
      </c>
      <c r="AK895" s="22" t="str">
        <f t="shared" si="9"/>
        <v/>
      </c>
      <c r="AL895" s="7">
        <f>IF(ISBLANK(AH895), 0, VLOOKUP(AH895, 'Price Sheet'!$A$2:$B1015, 2, false))</f>
        <v>0</v>
      </c>
      <c r="AM895" s="33" t="str">
        <f t="shared" si="10"/>
        <v/>
      </c>
      <c r="AN895" s="37"/>
      <c r="AO895" s="29"/>
      <c r="AP895" s="29" t="b">
        <v>0</v>
      </c>
      <c r="AQ895" s="22" t="str">
        <f t="shared" si="11"/>
        <v/>
      </c>
      <c r="AR895" s="7">
        <f>IF(ISBLANK(AN895), 0, VLOOKUP(AN895, 'Price Sheet'!$A$2:$B1015, 2, false))</f>
        <v>0</v>
      </c>
      <c r="AS895" s="33" t="str">
        <f t="shared" si="12"/>
        <v/>
      </c>
      <c r="AT895" s="37"/>
      <c r="AU895" s="29"/>
      <c r="AV895" s="29" t="b">
        <v>0</v>
      </c>
      <c r="AW895" s="22" t="str">
        <f t="shared" si="13"/>
        <v/>
      </c>
      <c r="AX895" s="7">
        <f>IF(ISBLANK(AT895), 0, VLOOKUP(AT895, 'Price Sheet'!$A$2:$B1015, 2, false))</f>
        <v>0</v>
      </c>
      <c r="AY895" s="33" t="str">
        <f t="shared" si="14"/>
        <v/>
      </c>
      <c r="AZ895" s="37"/>
      <c r="BA895" s="29"/>
      <c r="BB895" s="29" t="b">
        <v>0</v>
      </c>
      <c r="BC895" s="22" t="str">
        <f t="shared" si="15"/>
        <v/>
      </c>
      <c r="BD895" s="7">
        <f>IF(ISBLANK(AZ895), 0, VLOOKUP(AZ895, 'Price Sheet'!$A$2:$B1015, 2, false))</f>
        <v>0</v>
      </c>
      <c r="BE895" s="33" t="str">
        <f t="shared" si="16"/>
        <v/>
      </c>
      <c r="BF895" s="37"/>
      <c r="BG895" s="29"/>
      <c r="BH895" s="29" t="b">
        <v>0</v>
      </c>
      <c r="BI895" s="22" t="str">
        <f t="shared" si="17"/>
        <v/>
      </c>
      <c r="BJ895" s="7">
        <f>IF(ISBLANK(BF895), 0, VLOOKUP(BF895, 'Price Sheet'!$A$2:$B1015, 2, false))</f>
        <v>0</v>
      </c>
      <c r="BK895" s="33" t="str">
        <f t="shared" si="18"/>
        <v/>
      </c>
      <c r="BL895" s="37"/>
      <c r="BM895" s="29"/>
      <c r="BN895" s="29" t="b">
        <v>0</v>
      </c>
      <c r="BO895" s="22" t="str">
        <f t="shared" si="19"/>
        <v/>
      </c>
      <c r="BP895" s="7">
        <f>IF(ISBLANK(BL895), 0, VLOOKUP(BL895, 'Price Sheet'!$A$2:$B1015, 2, false))</f>
        <v>0</v>
      </c>
      <c r="BQ895" s="33" t="str">
        <f t="shared" si="20"/>
        <v/>
      </c>
    </row>
    <row r="896">
      <c r="B896" s="19"/>
      <c r="C896" s="29"/>
      <c r="D896" s="29"/>
      <c r="E896" s="7" t="str">
        <f>IF(ISBLANK(D896), "", VLOOKUP(D896,'Crafting Tables'!$A$2:$B1015, 2, false))</f>
        <v/>
      </c>
      <c r="F896" s="7" t="str">
        <f>IFERROR(IF(E896 = "None", 1, VLOOKUP(C896,General!$A$5:$L$35, SWITCH(E896, "Basic", 8, "Advanced", 10, "Modern", 12), false)),"")</f>
        <v/>
      </c>
      <c r="G896" s="29"/>
      <c r="H896" s="7">
        <f>IFERROR(VLOOKUP(C896, General!$A$5:$L$35, 6, false) * G896 / 1000, 0)</f>
        <v>0</v>
      </c>
      <c r="I896" s="29"/>
      <c r="J896" s="22" t="str">
        <f>IFERROR(I896*VLOOKUP(D896,'Crafting Tables'!$1:$1000, 4, false)*F896,"")</f>
        <v/>
      </c>
      <c r="K896" s="29" t="b">
        <v>0</v>
      </c>
      <c r="L896" s="37"/>
      <c r="M896" s="29"/>
      <c r="N896" s="21" t="str">
        <f t="shared" si="2"/>
        <v/>
      </c>
      <c r="P896" s="37"/>
      <c r="Q896" s="29"/>
      <c r="R896" s="29" t="b">
        <v>0</v>
      </c>
      <c r="S896" s="22" t="str">
        <f t="shared" si="3"/>
        <v/>
      </c>
      <c r="T896" s="7">
        <f>IF(ISBLANK(P896), 0, VLOOKUP(P896, 'Price Sheet'!$A$2:$B1015, 2, false))</f>
        <v>0</v>
      </c>
      <c r="U896" s="33" t="str">
        <f t="shared" si="4"/>
        <v/>
      </c>
      <c r="V896" s="37"/>
      <c r="W896" s="29"/>
      <c r="X896" s="29" t="b">
        <v>0</v>
      </c>
      <c r="Y896" s="22" t="str">
        <f t="shared" si="5"/>
        <v/>
      </c>
      <c r="Z896" s="7">
        <f>IF(ISBLANK(V896), 0, VLOOKUP(V896, 'Price Sheet'!$A$2:$B1015, 2, false))</f>
        <v>0</v>
      </c>
      <c r="AA896" s="33" t="str">
        <f t="shared" si="6"/>
        <v/>
      </c>
      <c r="AB896" s="37"/>
      <c r="AC896" s="29"/>
      <c r="AD896" s="29" t="b">
        <v>0</v>
      </c>
      <c r="AE896" s="22" t="str">
        <f t="shared" si="7"/>
        <v/>
      </c>
      <c r="AF896" s="7">
        <f>IF(ISBLANK(AB896), 0, VLOOKUP(AB896, 'Price Sheet'!$A$2:$B1015, 2, false))</f>
        <v>0</v>
      </c>
      <c r="AG896" s="33" t="str">
        <f t="shared" si="8"/>
        <v/>
      </c>
      <c r="AH896" s="37"/>
      <c r="AI896" s="29"/>
      <c r="AJ896" s="29" t="b">
        <v>0</v>
      </c>
      <c r="AK896" s="22" t="str">
        <f t="shared" si="9"/>
        <v/>
      </c>
      <c r="AL896" s="7">
        <f>IF(ISBLANK(AH896), 0, VLOOKUP(AH896, 'Price Sheet'!$A$2:$B1015, 2, false))</f>
        <v>0</v>
      </c>
      <c r="AM896" s="33" t="str">
        <f t="shared" si="10"/>
        <v/>
      </c>
      <c r="AN896" s="37"/>
      <c r="AO896" s="29"/>
      <c r="AP896" s="29" t="b">
        <v>0</v>
      </c>
      <c r="AQ896" s="22" t="str">
        <f t="shared" si="11"/>
        <v/>
      </c>
      <c r="AR896" s="7">
        <f>IF(ISBLANK(AN896), 0, VLOOKUP(AN896, 'Price Sheet'!$A$2:$B1015, 2, false))</f>
        <v>0</v>
      </c>
      <c r="AS896" s="33" t="str">
        <f t="shared" si="12"/>
        <v/>
      </c>
      <c r="AT896" s="37"/>
      <c r="AU896" s="29"/>
      <c r="AV896" s="29" t="b">
        <v>0</v>
      </c>
      <c r="AW896" s="22" t="str">
        <f t="shared" si="13"/>
        <v/>
      </c>
      <c r="AX896" s="7">
        <f>IF(ISBLANK(AT896), 0, VLOOKUP(AT896, 'Price Sheet'!$A$2:$B1015, 2, false))</f>
        <v>0</v>
      </c>
      <c r="AY896" s="33" t="str">
        <f t="shared" si="14"/>
        <v/>
      </c>
      <c r="AZ896" s="37"/>
      <c r="BA896" s="29"/>
      <c r="BB896" s="29" t="b">
        <v>0</v>
      </c>
      <c r="BC896" s="22" t="str">
        <f t="shared" si="15"/>
        <v/>
      </c>
      <c r="BD896" s="7">
        <f>IF(ISBLANK(AZ896), 0, VLOOKUP(AZ896, 'Price Sheet'!$A$2:$B1015, 2, false))</f>
        <v>0</v>
      </c>
      <c r="BE896" s="33" t="str">
        <f t="shared" si="16"/>
        <v/>
      </c>
      <c r="BF896" s="37"/>
      <c r="BG896" s="29"/>
      <c r="BH896" s="29" t="b">
        <v>0</v>
      </c>
      <c r="BI896" s="22" t="str">
        <f t="shared" si="17"/>
        <v/>
      </c>
      <c r="BJ896" s="7">
        <f>IF(ISBLANK(BF896), 0, VLOOKUP(BF896, 'Price Sheet'!$A$2:$B1015, 2, false))</f>
        <v>0</v>
      </c>
      <c r="BK896" s="33" t="str">
        <f t="shared" si="18"/>
        <v/>
      </c>
      <c r="BL896" s="37"/>
      <c r="BM896" s="29"/>
      <c r="BN896" s="29" t="b">
        <v>0</v>
      </c>
      <c r="BO896" s="22" t="str">
        <f t="shared" si="19"/>
        <v/>
      </c>
      <c r="BP896" s="7">
        <f>IF(ISBLANK(BL896), 0, VLOOKUP(BL896, 'Price Sheet'!$A$2:$B1015, 2, false))</f>
        <v>0</v>
      </c>
      <c r="BQ896" s="33" t="str">
        <f t="shared" si="20"/>
        <v/>
      </c>
    </row>
    <row r="897">
      <c r="B897" s="19"/>
      <c r="C897" s="29"/>
      <c r="D897" s="29"/>
      <c r="E897" s="7" t="str">
        <f>IF(ISBLANK(D897), "", VLOOKUP(D897,'Crafting Tables'!$A$2:$B1015, 2, false))</f>
        <v/>
      </c>
      <c r="F897" s="7" t="str">
        <f>IFERROR(IF(E897 = "None", 1, VLOOKUP(C897,General!$A$5:$L$35, SWITCH(E897, "Basic", 8, "Advanced", 10, "Modern", 12), false)),"")</f>
        <v/>
      </c>
      <c r="G897" s="29"/>
      <c r="H897" s="7">
        <f>IFERROR(VLOOKUP(C897, General!$A$5:$L$35, 6, false) * G897 / 1000, 0)</f>
        <v>0</v>
      </c>
      <c r="I897" s="29"/>
      <c r="J897" s="22" t="str">
        <f>IFERROR(I897*VLOOKUP(D897,'Crafting Tables'!$1:$1000, 4, false)*F897,"")</f>
        <v/>
      </c>
      <c r="K897" s="29" t="b">
        <v>0</v>
      </c>
      <c r="L897" s="37"/>
      <c r="M897" s="29"/>
      <c r="N897" s="21" t="str">
        <f t="shared" si="2"/>
        <v/>
      </c>
      <c r="P897" s="37"/>
      <c r="Q897" s="29"/>
      <c r="R897" s="29" t="b">
        <v>0</v>
      </c>
      <c r="S897" s="22" t="str">
        <f t="shared" si="3"/>
        <v/>
      </c>
      <c r="T897" s="7">
        <f>IF(ISBLANK(P897), 0, VLOOKUP(P897, 'Price Sheet'!$A$2:$B1015, 2, false))</f>
        <v>0</v>
      </c>
      <c r="U897" s="33" t="str">
        <f t="shared" si="4"/>
        <v/>
      </c>
      <c r="V897" s="37"/>
      <c r="W897" s="29"/>
      <c r="X897" s="29" t="b">
        <v>0</v>
      </c>
      <c r="Y897" s="22" t="str">
        <f t="shared" si="5"/>
        <v/>
      </c>
      <c r="Z897" s="7">
        <f>IF(ISBLANK(V897), 0, VLOOKUP(V897, 'Price Sheet'!$A$2:$B1015, 2, false))</f>
        <v>0</v>
      </c>
      <c r="AA897" s="33" t="str">
        <f t="shared" si="6"/>
        <v/>
      </c>
      <c r="AB897" s="37"/>
      <c r="AC897" s="29"/>
      <c r="AD897" s="29" t="b">
        <v>0</v>
      </c>
      <c r="AE897" s="22" t="str">
        <f t="shared" si="7"/>
        <v/>
      </c>
      <c r="AF897" s="7">
        <f>IF(ISBLANK(AB897), 0, VLOOKUP(AB897, 'Price Sheet'!$A$2:$B1015, 2, false))</f>
        <v>0</v>
      </c>
      <c r="AG897" s="33" t="str">
        <f t="shared" si="8"/>
        <v/>
      </c>
      <c r="AH897" s="37"/>
      <c r="AI897" s="29"/>
      <c r="AJ897" s="29" t="b">
        <v>0</v>
      </c>
      <c r="AK897" s="22" t="str">
        <f t="shared" si="9"/>
        <v/>
      </c>
      <c r="AL897" s="7">
        <f>IF(ISBLANK(AH897), 0, VLOOKUP(AH897, 'Price Sheet'!$A$2:$B1015, 2, false))</f>
        <v>0</v>
      </c>
      <c r="AM897" s="33" t="str">
        <f t="shared" si="10"/>
        <v/>
      </c>
      <c r="AN897" s="37"/>
      <c r="AO897" s="29"/>
      <c r="AP897" s="29" t="b">
        <v>0</v>
      </c>
      <c r="AQ897" s="22" t="str">
        <f t="shared" si="11"/>
        <v/>
      </c>
      <c r="AR897" s="7">
        <f>IF(ISBLANK(AN897), 0, VLOOKUP(AN897, 'Price Sheet'!$A$2:$B1015, 2, false))</f>
        <v>0</v>
      </c>
      <c r="AS897" s="33" t="str">
        <f t="shared" si="12"/>
        <v/>
      </c>
      <c r="AT897" s="37"/>
      <c r="AU897" s="29"/>
      <c r="AV897" s="29" t="b">
        <v>0</v>
      </c>
      <c r="AW897" s="22" t="str">
        <f t="shared" si="13"/>
        <v/>
      </c>
      <c r="AX897" s="7">
        <f>IF(ISBLANK(AT897), 0, VLOOKUP(AT897, 'Price Sheet'!$A$2:$B1015, 2, false))</f>
        <v>0</v>
      </c>
      <c r="AY897" s="33" t="str">
        <f t="shared" si="14"/>
        <v/>
      </c>
      <c r="AZ897" s="37"/>
      <c r="BA897" s="29"/>
      <c r="BB897" s="29" t="b">
        <v>0</v>
      </c>
      <c r="BC897" s="22" t="str">
        <f t="shared" si="15"/>
        <v/>
      </c>
      <c r="BD897" s="7">
        <f>IF(ISBLANK(AZ897), 0, VLOOKUP(AZ897, 'Price Sheet'!$A$2:$B1015, 2, false))</f>
        <v>0</v>
      </c>
      <c r="BE897" s="33" t="str">
        <f t="shared" si="16"/>
        <v/>
      </c>
      <c r="BF897" s="37"/>
      <c r="BG897" s="29"/>
      <c r="BH897" s="29" t="b">
        <v>0</v>
      </c>
      <c r="BI897" s="22" t="str">
        <f t="shared" si="17"/>
        <v/>
      </c>
      <c r="BJ897" s="7">
        <f>IF(ISBLANK(BF897), 0, VLOOKUP(BF897, 'Price Sheet'!$A$2:$B1015, 2, false))</f>
        <v>0</v>
      </c>
      <c r="BK897" s="33" t="str">
        <f t="shared" si="18"/>
        <v/>
      </c>
      <c r="BL897" s="37"/>
      <c r="BM897" s="29"/>
      <c r="BN897" s="29" t="b">
        <v>0</v>
      </c>
      <c r="BO897" s="22" t="str">
        <f t="shared" si="19"/>
        <v/>
      </c>
      <c r="BP897" s="7">
        <f>IF(ISBLANK(BL897), 0, VLOOKUP(BL897, 'Price Sheet'!$A$2:$B1015, 2, false))</f>
        <v>0</v>
      </c>
      <c r="BQ897" s="33" t="str">
        <f t="shared" si="20"/>
        <v/>
      </c>
    </row>
    <row r="898">
      <c r="B898" s="19"/>
      <c r="C898" s="29"/>
      <c r="D898" s="29"/>
      <c r="E898" s="7" t="str">
        <f>IF(ISBLANK(D898), "", VLOOKUP(D898,'Crafting Tables'!$A$2:$B1015, 2, false))</f>
        <v/>
      </c>
      <c r="F898" s="7" t="str">
        <f>IFERROR(IF(E898 = "None", 1, VLOOKUP(C898,General!$A$5:$L$35, SWITCH(E898, "Basic", 8, "Advanced", 10, "Modern", 12), false)),"")</f>
        <v/>
      </c>
      <c r="G898" s="29"/>
      <c r="H898" s="7">
        <f>IFERROR(VLOOKUP(C898, General!$A$5:$L$35, 6, false) * G898 / 1000, 0)</f>
        <v>0</v>
      </c>
      <c r="I898" s="29"/>
      <c r="J898" s="22" t="str">
        <f>IFERROR(I898*VLOOKUP(D898,'Crafting Tables'!$1:$1000, 4, false)*F898,"")</f>
        <v/>
      </c>
      <c r="K898" s="29" t="b">
        <v>0</v>
      </c>
      <c r="L898" s="37"/>
      <c r="M898" s="29"/>
      <c r="N898" s="21" t="str">
        <f t="shared" si="2"/>
        <v/>
      </c>
      <c r="P898" s="37"/>
      <c r="Q898" s="29"/>
      <c r="R898" s="29" t="b">
        <v>0</v>
      </c>
      <c r="S898" s="22" t="str">
        <f t="shared" si="3"/>
        <v/>
      </c>
      <c r="T898" s="7">
        <f>IF(ISBLANK(P898), 0, VLOOKUP(P898, 'Price Sheet'!$A$2:$B1015, 2, false))</f>
        <v>0</v>
      </c>
      <c r="U898" s="33" t="str">
        <f t="shared" si="4"/>
        <v/>
      </c>
      <c r="V898" s="37"/>
      <c r="W898" s="29"/>
      <c r="X898" s="29" t="b">
        <v>0</v>
      </c>
      <c r="Y898" s="22" t="str">
        <f t="shared" si="5"/>
        <v/>
      </c>
      <c r="Z898" s="7">
        <f>IF(ISBLANK(V898), 0, VLOOKUP(V898, 'Price Sheet'!$A$2:$B1015, 2, false))</f>
        <v>0</v>
      </c>
      <c r="AA898" s="33" t="str">
        <f t="shared" si="6"/>
        <v/>
      </c>
      <c r="AB898" s="37"/>
      <c r="AC898" s="29"/>
      <c r="AD898" s="29" t="b">
        <v>0</v>
      </c>
      <c r="AE898" s="22" t="str">
        <f t="shared" si="7"/>
        <v/>
      </c>
      <c r="AF898" s="7">
        <f>IF(ISBLANK(AB898), 0, VLOOKUP(AB898, 'Price Sheet'!$A$2:$B1015, 2, false))</f>
        <v>0</v>
      </c>
      <c r="AG898" s="33" t="str">
        <f t="shared" si="8"/>
        <v/>
      </c>
      <c r="AH898" s="37"/>
      <c r="AI898" s="29"/>
      <c r="AJ898" s="29" t="b">
        <v>0</v>
      </c>
      <c r="AK898" s="22" t="str">
        <f t="shared" si="9"/>
        <v/>
      </c>
      <c r="AL898" s="7">
        <f>IF(ISBLANK(AH898), 0, VLOOKUP(AH898, 'Price Sheet'!$A$2:$B1015, 2, false))</f>
        <v>0</v>
      </c>
      <c r="AM898" s="33" t="str">
        <f t="shared" si="10"/>
        <v/>
      </c>
      <c r="AN898" s="37"/>
      <c r="AO898" s="29"/>
      <c r="AP898" s="29" t="b">
        <v>0</v>
      </c>
      <c r="AQ898" s="22" t="str">
        <f t="shared" si="11"/>
        <v/>
      </c>
      <c r="AR898" s="7">
        <f>IF(ISBLANK(AN898), 0, VLOOKUP(AN898, 'Price Sheet'!$A$2:$B1015, 2, false))</f>
        <v>0</v>
      </c>
      <c r="AS898" s="33" t="str">
        <f t="shared" si="12"/>
        <v/>
      </c>
      <c r="AT898" s="37"/>
      <c r="AU898" s="29"/>
      <c r="AV898" s="29" t="b">
        <v>0</v>
      </c>
      <c r="AW898" s="22" t="str">
        <f t="shared" si="13"/>
        <v/>
      </c>
      <c r="AX898" s="7">
        <f>IF(ISBLANK(AT898), 0, VLOOKUP(AT898, 'Price Sheet'!$A$2:$B1015, 2, false))</f>
        <v>0</v>
      </c>
      <c r="AY898" s="33" t="str">
        <f t="shared" si="14"/>
        <v/>
      </c>
      <c r="AZ898" s="37"/>
      <c r="BA898" s="29"/>
      <c r="BB898" s="29" t="b">
        <v>0</v>
      </c>
      <c r="BC898" s="22" t="str">
        <f t="shared" si="15"/>
        <v/>
      </c>
      <c r="BD898" s="7">
        <f>IF(ISBLANK(AZ898), 0, VLOOKUP(AZ898, 'Price Sheet'!$A$2:$B1015, 2, false))</f>
        <v>0</v>
      </c>
      <c r="BE898" s="33" t="str">
        <f t="shared" si="16"/>
        <v/>
      </c>
      <c r="BF898" s="37"/>
      <c r="BG898" s="29"/>
      <c r="BH898" s="29" t="b">
        <v>0</v>
      </c>
      <c r="BI898" s="22" t="str">
        <f t="shared" si="17"/>
        <v/>
      </c>
      <c r="BJ898" s="7">
        <f>IF(ISBLANK(BF898), 0, VLOOKUP(BF898, 'Price Sheet'!$A$2:$B1015, 2, false))</f>
        <v>0</v>
      </c>
      <c r="BK898" s="33" t="str">
        <f t="shared" si="18"/>
        <v/>
      </c>
      <c r="BL898" s="37"/>
      <c r="BM898" s="29"/>
      <c r="BN898" s="29" t="b">
        <v>0</v>
      </c>
      <c r="BO898" s="22" t="str">
        <f t="shared" si="19"/>
        <v/>
      </c>
      <c r="BP898" s="7">
        <f>IF(ISBLANK(BL898), 0, VLOOKUP(BL898, 'Price Sheet'!$A$2:$B1015, 2, false))</f>
        <v>0</v>
      </c>
      <c r="BQ898" s="33" t="str">
        <f t="shared" si="20"/>
        <v/>
      </c>
    </row>
    <row r="899">
      <c r="B899" s="19"/>
      <c r="C899" s="29"/>
      <c r="D899" s="29"/>
      <c r="E899" s="7" t="str">
        <f>IF(ISBLANK(D899), "", VLOOKUP(D899,'Crafting Tables'!$A$2:$B1015, 2, false))</f>
        <v/>
      </c>
      <c r="F899" s="7" t="str">
        <f>IFERROR(IF(E899 = "None", 1, VLOOKUP(C899,General!$A$5:$L$35, SWITCH(E899, "Basic", 8, "Advanced", 10, "Modern", 12), false)),"")</f>
        <v/>
      </c>
      <c r="G899" s="29"/>
      <c r="H899" s="7">
        <f>IFERROR(VLOOKUP(C899, General!$A$5:$L$35, 6, false) * G899 / 1000, 0)</f>
        <v>0</v>
      </c>
      <c r="I899" s="29"/>
      <c r="J899" s="22" t="str">
        <f>IFERROR(I899*VLOOKUP(D899,'Crafting Tables'!$1:$1000, 4, false)*F899,"")</f>
        <v/>
      </c>
      <c r="K899" s="29" t="b">
        <v>0</v>
      </c>
      <c r="L899" s="37"/>
      <c r="M899" s="29"/>
      <c r="N899" s="21" t="str">
        <f t="shared" si="2"/>
        <v/>
      </c>
      <c r="P899" s="37"/>
      <c r="Q899" s="29"/>
      <c r="R899" s="29" t="b">
        <v>0</v>
      </c>
      <c r="S899" s="22" t="str">
        <f t="shared" si="3"/>
        <v/>
      </c>
      <c r="T899" s="7">
        <f>IF(ISBLANK(P899), 0, VLOOKUP(P899, 'Price Sheet'!$A$2:$B1015, 2, false))</f>
        <v>0</v>
      </c>
      <c r="U899" s="33" t="str">
        <f t="shared" si="4"/>
        <v/>
      </c>
      <c r="V899" s="37"/>
      <c r="W899" s="29"/>
      <c r="X899" s="29" t="b">
        <v>0</v>
      </c>
      <c r="Y899" s="22" t="str">
        <f t="shared" si="5"/>
        <v/>
      </c>
      <c r="Z899" s="7">
        <f>IF(ISBLANK(V899), 0, VLOOKUP(V899, 'Price Sheet'!$A$2:$B1015, 2, false))</f>
        <v>0</v>
      </c>
      <c r="AA899" s="33" t="str">
        <f t="shared" si="6"/>
        <v/>
      </c>
      <c r="AB899" s="37"/>
      <c r="AC899" s="29"/>
      <c r="AD899" s="29" t="b">
        <v>0</v>
      </c>
      <c r="AE899" s="22" t="str">
        <f t="shared" si="7"/>
        <v/>
      </c>
      <c r="AF899" s="7">
        <f>IF(ISBLANK(AB899), 0, VLOOKUP(AB899, 'Price Sheet'!$A$2:$B1015, 2, false))</f>
        <v>0</v>
      </c>
      <c r="AG899" s="33" t="str">
        <f t="shared" si="8"/>
        <v/>
      </c>
      <c r="AH899" s="37"/>
      <c r="AI899" s="29"/>
      <c r="AJ899" s="29" t="b">
        <v>0</v>
      </c>
      <c r="AK899" s="22" t="str">
        <f t="shared" si="9"/>
        <v/>
      </c>
      <c r="AL899" s="7">
        <f>IF(ISBLANK(AH899), 0, VLOOKUP(AH899, 'Price Sheet'!$A$2:$B1015, 2, false))</f>
        <v>0</v>
      </c>
      <c r="AM899" s="33" t="str">
        <f t="shared" si="10"/>
        <v/>
      </c>
      <c r="AN899" s="37"/>
      <c r="AO899" s="29"/>
      <c r="AP899" s="29" t="b">
        <v>0</v>
      </c>
      <c r="AQ899" s="22" t="str">
        <f t="shared" si="11"/>
        <v/>
      </c>
      <c r="AR899" s="7">
        <f>IF(ISBLANK(AN899), 0, VLOOKUP(AN899, 'Price Sheet'!$A$2:$B1015, 2, false))</f>
        <v>0</v>
      </c>
      <c r="AS899" s="33" t="str">
        <f t="shared" si="12"/>
        <v/>
      </c>
      <c r="AT899" s="37"/>
      <c r="AU899" s="29"/>
      <c r="AV899" s="29" t="b">
        <v>0</v>
      </c>
      <c r="AW899" s="22" t="str">
        <f t="shared" si="13"/>
        <v/>
      </c>
      <c r="AX899" s="7">
        <f>IF(ISBLANK(AT899), 0, VLOOKUP(AT899, 'Price Sheet'!$A$2:$B1015, 2, false))</f>
        <v>0</v>
      </c>
      <c r="AY899" s="33" t="str">
        <f t="shared" si="14"/>
        <v/>
      </c>
      <c r="AZ899" s="37"/>
      <c r="BA899" s="29"/>
      <c r="BB899" s="29" t="b">
        <v>0</v>
      </c>
      <c r="BC899" s="22" t="str">
        <f t="shared" si="15"/>
        <v/>
      </c>
      <c r="BD899" s="7">
        <f>IF(ISBLANK(AZ899), 0, VLOOKUP(AZ899, 'Price Sheet'!$A$2:$B1015, 2, false))</f>
        <v>0</v>
      </c>
      <c r="BE899" s="33" t="str">
        <f t="shared" si="16"/>
        <v/>
      </c>
      <c r="BF899" s="37"/>
      <c r="BG899" s="29"/>
      <c r="BH899" s="29" t="b">
        <v>0</v>
      </c>
      <c r="BI899" s="22" t="str">
        <f t="shared" si="17"/>
        <v/>
      </c>
      <c r="BJ899" s="7">
        <f>IF(ISBLANK(BF899), 0, VLOOKUP(BF899, 'Price Sheet'!$A$2:$B1015, 2, false))</f>
        <v>0</v>
      </c>
      <c r="BK899" s="33" t="str">
        <f t="shared" si="18"/>
        <v/>
      </c>
      <c r="BL899" s="37"/>
      <c r="BM899" s="29"/>
      <c r="BN899" s="29" t="b">
        <v>0</v>
      </c>
      <c r="BO899" s="22" t="str">
        <f t="shared" si="19"/>
        <v/>
      </c>
      <c r="BP899" s="7">
        <f>IF(ISBLANK(BL899), 0, VLOOKUP(BL899, 'Price Sheet'!$A$2:$B1015, 2, false))</f>
        <v>0</v>
      </c>
      <c r="BQ899" s="33" t="str">
        <f t="shared" si="20"/>
        <v/>
      </c>
    </row>
    <row r="900">
      <c r="B900" s="19"/>
      <c r="C900" s="29"/>
      <c r="D900" s="29"/>
      <c r="E900" s="7" t="str">
        <f>IF(ISBLANK(D900), "", VLOOKUP(D900,'Crafting Tables'!$A$2:$B1015, 2, false))</f>
        <v/>
      </c>
      <c r="F900" s="7" t="str">
        <f>IFERROR(IF(E900 = "None", 1, VLOOKUP(C900,General!$A$5:$L$35, SWITCH(E900, "Basic", 8, "Advanced", 10, "Modern", 12), false)),"")</f>
        <v/>
      </c>
      <c r="G900" s="29"/>
      <c r="H900" s="7">
        <f>IFERROR(VLOOKUP(C900, General!$A$5:$L$35, 6, false) * G900 / 1000, 0)</f>
        <v>0</v>
      </c>
      <c r="I900" s="29"/>
      <c r="J900" s="22" t="str">
        <f>IFERROR(I900*VLOOKUP(D900,'Crafting Tables'!$1:$1000, 4, false)*F900,"")</f>
        <v/>
      </c>
      <c r="K900" s="29" t="b">
        <v>0</v>
      </c>
      <c r="L900" s="37"/>
      <c r="M900" s="29"/>
      <c r="N900" s="21" t="str">
        <f t="shared" si="2"/>
        <v/>
      </c>
      <c r="P900" s="37"/>
      <c r="Q900" s="29"/>
      <c r="R900" s="29" t="b">
        <v>0</v>
      </c>
      <c r="S900" s="22" t="str">
        <f t="shared" si="3"/>
        <v/>
      </c>
      <c r="T900" s="7">
        <f>IF(ISBLANK(P900), 0, VLOOKUP(P900, 'Price Sheet'!$A$2:$B1015, 2, false))</f>
        <v>0</v>
      </c>
      <c r="U900" s="33" t="str">
        <f t="shared" si="4"/>
        <v/>
      </c>
      <c r="V900" s="37"/>
      <c r="W900" s="29"/>
      <c r="X900" s="29" t="b">
        <v>0</v>
      </c>
      <c r="Y900" s="22" t="str">
        <f t="shared" si="5"/>
        <v/>
      </c>
      <c r="Z900" s="7">
        <f>IF(ISBLANK(V900), 0, VLOOKUP(V900, 'Price Sheet'!$A$2:$B1015, 2, false))</f>
        <v>0</v>
      </c>
      <c r="AA900" s="33" t="str">
        <f t="shared" si="6"/>
        <v/>
      </c>
      <c r="AB900" s="37"/>
      <c r="AC900" s="29"/>
      <c r="AD900" s="29" t="b">
        <v>0</v>
      </c>
      <c r="AE900" s="22" t="str">
        <f t="shared" si="7"/>
        <v/>
      </c>
      <c r="AF900" s="7">
        <f>IF(ISBLANK(AB900), 0, VLOOKUP(AB900, 'Price Sheet'!$A$2:$B1015, 2, false))</f>
        <v>0</v>
      </c>
      <c r="AG900" s="33" t="str">
        <f t="shared" si="8"/>
        <v/>
      </c>
      <c r="AH900" s="37"/>
      <c r="AI900" s="29"/>
      <c r="AJ900" s="29" t="b">
        <v>0</v>
      </c>
      <c r="AK900" s="22" t="str">
        <f t="shared" si="9"/>
        <v/>
      </c>
      <c r="AL900" s="7">
        <f>IF(ISBLANK(AH900), 0, VLOOKUP(AH900, 'Price Sheet'!$A$2:$B1015, 2, false))</f>
        <v>0</v>
      </c>
      <c r="AM900" s="33" t="str">
        <f t="shared" si="10"/>
        <v/>
      </c>
      <c r="AN900" s="37"/>
      <c r="AO900" s="29"/>
      <c r="AP900" s="29" t="b">
        <v>0</v>
      </c>
      <c r="AQ900" s="22" t="str">
        <f t="shared" si="11"/>
        <v/>
      </c>
      <c r="AR900" s="7">
        <f>IF(ISBLANK(AN900), 0, VLOOKUP(AN900, 'Price Sheet'!$A$2:$B1015, 2, false))</f>
        <v>0</v>
      </c>
      <c r="AS900" s="33" t="str">
        <f t="shared" si="12"/>
        <v/>
      </c>
      <c r="AT900" s="37"/>
      <c r="AU900" s="29"/>
      <c r="AV900" s="29" t="b">
        <v>0</v>
      </c>
      <c r="AW900" s="22" t="str">
        <f t="shared" si="13"/>
        <v/>
      </c>
      <c r="AX900" s="7">
        <f>IF(ISBLANK(AT900), 0, VLOOKUP(AT900, 'Price Sheet'!$A$2:$B1015, 2, false))</f>
        <v>0</v>
      </c>
      <c r="AY900" s="33" t="str">
        <f t="shared" si="14"/>
        <v/>
      </c>
      <c r="AZ900" s="37"/>
      <c r="BA900" s="29"/>
      <c r="BB900" s="29" t="b">
        <v>0</v>
      </c>
      <c r="BC900" s="22" t="str">
        <f t="shared" si="15"/>
        <v/>
      </c>
      <c r="BD900" s="7">
        <f>IF(ISBLANK(AZ900), 0, VLOOKUP(AZ900, 'Price Sheet'!$A$2:$B1015, 2, false))</f>
        <v>0</v>
      </c>
      <c r="BE900" s="33" t="str">
        <f t="shared" si="16"/>
        <v/>
      </c>
      <c r="BF900" s="37"/>
      <c r="BG900" s="29"/>
      <c r="BH900" s="29" t="b">
        <v>0</v>
      </c>
      <c r="BI900" s="22" t="str">
        <f t="shared" si="17"/>
        <v/>
      </c>
      <c r="BJ900" s="7">
        <f>IF(ISBLANK(BF900), 0, VLOOKUP(BF900, 'Price Sheet'!$A$2:$B1015, 2, false))</f>
        <v>0</v>
      </c>
      <c r="BK900" s="33" t="str">
        <f t="shared" si="18"/>
        <v/>
      </c>
      <c r="BL900" s="37"/>
      <c r="BM900" s="29"/>
      <c r="BN900" s="29" t="b">
        <v>0</v>
      </c>
      <c r="BO900" s="22" t="str">
        <f t="shared" si="19"/>
        <v/>
      </c>
      <c r="BP900" s="7">
        <f>IF(ISBLANK(BL900), 0, VLOOKUP(BL900, 'Price Sheet'!$A$2:$B1015, 2, false))</f>
        <v>0</v>
      </c>
      <c r="BQ900" s="33" t="str">
        <f t="shared" si="20"/>
        <v/>
      </c>
    </row>
    <row r="901">
      <c r="B901" s="19"/>
      <c r="C901" s="29"/>
      <c r="D901" s="29"/>
      <c r="E901" s="7" t="str">
        <f>IF(ISBLANK(D901), "", VLOOKUP(D901,'Crafting Tables'!$A$2:$B1015, 2, false))</f>
        <v/>
      </c>
      <c r="F901" s="7" t="str">
        <f>IFERROR(IF(E901 = "None", 1, VLOOKUP(C901,General!$A$5:$L$35, SWITCH(E901, "Basic", 8, "Advanced", 10, "Modern", 12), false)),"")</f>
        <v/>
      </c>
      <c r="G901" s="29"/>
      <c r="H901" s="7">
        <f>IFERROR(VLOOKUP(C901, General!$A$5:$L$35, 6, false) * G901 / 1000, 0)</f>
        <v>0</v>
      </c>
      <c r="I901" s="29"/>
      <c r="J901" s="22" t="str">
        <f>IFERROR(I901*VLOOKUP(D901,'Crafting Tables'!$1:$1000, 4, false)*F901,"")</f>
        <v/>
      </c>
      <c r="K901" s="29" t="b">
        <v>0</v>
      </c>
      <c r="L901" s="37"/>
      <c r="M901" s="29"/>
      <c r="N901" s="21" t="str">
        <f t="shared" si="2"/>
        <v/>
      </c>
      <c r="P901" s="37"/>
      <c r="Q901" s="29"/>
      <c r="R901" s="29" t="b">
        <v>0</v>
      </c>
      <c r="S901" s="22" t="str">
        <f t="shared" si="3"/>
        <v/>
      </c>
      <c r="T901" s="7">
        <f>IF(ISBLANK(P901), 0, VLOOKUP(P901, 'Price Sheet'!$A$2:$B1015, 2, false))</f>
        <v>0</v>
      </c>
      <c r="U901" s="33" t="str">
        <f t="shared" si="4"/>
        <v/>
      </c>
      <c r="V901" s="37"/>
      <c r="W901" s="29"/>
      <c r="X901" s="29" t="b">
        <v>0</v>
      </c>
      <c r="Y901" s="22" t="str">
        <f t="shared" si="5"/>
        <v/>
      </c>
      <c r="Z901" s="7">
        <f>IF(ISBLANK(V901), 0, VLOOKUP(V901, 'Price Sheet'!$A$2:$B1015, 2, false))</f>
        <v>0</v>
      </c>
      <c r="AA901" s="33" t="str">
        <f t="shared" si="6"/>
        <v/>
      </c>
      <c r="AB901" s="37"/>
      <c r="AC901" s="29"/>
      <c r="AD901" s="29" t="b">
        <v>0</v>
      </c>
      <c r="AE901" s="22" t="str">
        <f t="shared" si="7"/>
        <v/>
      </c>
      <c r="AF901" s="7">
        <f>IF(ISBLANK(AB901), 0, VLOOKUP(AB901, 'Price Sheet'!$A$2:$B1015, 2, false))</f>
        <v>0</v>
      </c>
      <c r="AG901" s="33" t="str">
        <f t="shared" si="8"/>
        <v/>
      </c>
      <c r="AH901" s="37"/>
      <c r="AI901" s="29"/>
      <c r="AJ901" s="29" t="b">
        <v>0</v>
      </c>
      <c r="AK901" s="22" t="str">
        <f t="shared" si="9"/>
        <v/>
      </c>
      <c r="AL901" s="7">
        <f>IF(ISBLANK(AH901), 0, VLOOKUP(AH901, 'Price Sheet'!$A$2:$B1015, 2, false))</f>
        <v>0</v>
      </c>
      <c r="AM901" s="33" t="str">
        <f t="shared" si="10"/>
        <v/>
      </c>
      <c r="AN901" s="37"/>
      <c r="AO901" s="29"/>
      <c r="AP901" s="29" t="b">
        <v>0</v>
      </c>
      <c r="AQ901" s="22" t="str">
        <f t="shared" si="11"/>
        <v/>
      </c>
      <c r="AR901" s="7">
        <f>IF(ISBLANK(AN901), 0, VLOOKUP(AN901, 'Price Sheet'!$A$2:$B1015, 2, false))</f>
        <v>0</v>
      </c>
      <c r="AS901" s="33" t="str">
        <f t="shared" si="12"/>
        <v/>
      </c>
      <c r="AT901" s="37"/>
      <c r="AU901" s="29"/>
      <c r="AV901" s="29" t="b">
        <v>0</v>
      </c>
      <c r="AW901" s="22" t="str">
        <f t="shared" si="13"/>
        <v/>
      </c>
      <c r="AX901" s="7">
        <f>IF(ISBLANK(AT901), 0, VLOOKUP(AT901, 'Price Sheet'!$A$2:$B1015, 2, false))</f>
        <v>0</v>
      </c>
      <c r="AY901" s="33" t="str">
        <f t="shared" si="14"/>
        <v/>
      </c>
      <c r="AZ901" s="37"/>
      <c r="BA901" s="29"/>
      <c r="BB901" s="29" t="b">
        <v>0</v>
      </c>
      <c r="BC901" s="22" t="str">
        <f t="shared" si="15"/>
        <v/>
      </c>
      <c r="BD901" s="7">
        <f>IF(ISBLANK(AZ901), 0, VLOOKUP(AZ901, 'Price Sheet'!$A$2:$B1015, 2, false))</f>
        <v>0</v>
      </c>
      <c r="BE901" s="33" t="str">
        <f t="shared" si="16"/>
        <v/>
      </c>
      <c r="BF901" s="37"/>
      <c r="BG901" s="29"/>
      <c r="BH901" s="29" t="b">
        <v>0</v>
      </c>
      <c r="BI901" s="22" t="str">
        <f t="shared" si="17"/>
        <v/>
      </c>
      <c r="BJ901" s="7">
        <f>IF(ISBLANK(BF901), 0, VLOOKUP(BF901, 'Price Sheet'!$A$2:$B1015, 2, false))</f>
        <v>0</v>
      </c>
      <c r="BK901" s="33" t="str">
        <f t="shared" si="18"/>
        <v/>
      </c>
      <c r="BL901" s="37"/>
      <c r="BM901" s="29"/>
      <c r="BN901" s="29" t="b">
        <v>0</v>
      </c>
      <c r="BO901" s="22" t="str">
        <f t="shared" si="19"/>
        <v/>
      </c>
      <c r="BP901" s="7">
        <f>IF(ISBLANK(BL901), 0, VLOOKUP(BL901, 'Price Sheet'!$A$2:$B1015, 2, false))</f>
        <v>0</v>
      </c>
      <c r="BQ901" s="33" t="str">
        <f t="shared" si="20"/>
        <v/>
      </c>
    </row>
    <row r="902">
      <c r="B902" s="19"/>
      <c r="C902" s="29"/>
      <c r="D902" s="29"/>
      <c r="E902" s="7" t="str">
        <f>IF(ISBLANK(D902), "", VLOOKUP(D902,'Crafting Tables'!$A$2:$B1015, 2, false))</f>
        <v/>
      </c>
      <c r="F902" s="7" t="str">
        <f>IFERROR(IF(E902 = "None", 1, VLOOKUP(C902,General!$A$5:$L$35, SWITCH(E902, "Basic", 8, "Advanced", 10, "Modern", 12), false)),"")</f>
        <v/>
      </c>
      <c r="G902" s="29"/>
      <c r="H902" s="7">
        <f>IFERROR(VLOOKUP(C902, General!$A$5:$L$35, 6, false) * G902 / 1000, 0)</f>
        <v>0</v>
      </c>
      <c r="I902" s="29"/>
      <c r="J902" s="22" t="str">
        <f>IFERROR(I902*VLOOKUP(D902,'Crafting Tables'!$1:$1000, 4, false)*F902,"")</f>
        <v/>
      </c>
      <c r="K902" s="29" t="b">
        <v>0</v>
      </c>
      <c r="L902" s="37"/>
      <c r="M902" s="29"/>
      <c r="N902" s="21" t="str">
        <f t="shared" si="2"/>
        <v/>
      </c>
      <c r="P902" s="37"/>
      <c r="Q902" s="29"/>
      <c r="R902" s="29" t="b">
        <v>0</v>
      </c>
      <c r="S902" s="22" t="str">
        <f t="shared" si="3"/>
        <v/>
      </c>
      <c r="T902" s="7">
        <f>IF(ISBLANK(P902), 0, VLOOKUP(P902, 'Price Sheet'!$A$2:$B1015, 2, false))</f>
        <v>0</v>
      </c>
      <c r="U902" s="33" t="str">
        <f t="shared" si="4"/>
        <v/>
      </c>
      <c r="V902" s="37"/>
      <c r="W902" s="29"/>
      <c r="X902" s="29" t="b">
        <v>0</v>
      </c>
      <c r="Y902" s="22" t="str">
        <f t="shared" si="5"/>
        <v/>
      </c>
      <c r="Z902" s="7">
        <f>IF(ISBLANK(V902), 0, VLOOKUP(V902, 'Price Sheet'!$A$2:$B1015, 2, false))</f>
        <v>0</v>
      </c>
      <c r="AA902" s="33" t="str">
        <f t="shared" si="6"/>
        <v/>
      </c>
      <c r="AB902" s="37"/>
      <c r="AC902" s="29"/>
      <c r="AD902" s="29" t="b">
        <v>0</v>
      </c>
      <c r="AE902" s="22" t="str">
        <f t="shared" si="7"/>
        <v/>
      </c>
      <c r="AF902" s="7">
        <f>IF(ISBLANK(AB902), 0, VLOOKUP(AB902, 'Price Sheet'!$A$2:$B1015, 2, false))</f>
        <v>0</v>
      </c>
      <c r="AG902" s="33" t="str">
        <f t="shared" si="8"/>
        <v/>
      </c>
      <c r="AH902" s="37"/>
      <c r="AI902" s="29"/>
      <c r="AJ902" s="29" t="b">
        <v>0</v>
      </c>
      <c r="AK902" s="22" t="str">
        <f t="shared" si="9"/>
        <v/>
      </c>
      <c r="AL902" s="7">
        <f>IF(ISBLANK(AH902), 0, VLOOKUP(AH902, 'Price Sheet'!$A$2:$B1015, 2, false))</f>
        <v>0</v>
      </c>
      <c r="AM902" s="33" t="str">
        <f t="shared" si="10"/>
        <v/>
      </c>
      <c r="AN902" s="37"/>
      <c r="AO902" s="29"/>
      <c r="AP902" s="29" t="b">
        <v>0</v>
      </c>
      <c r="AQ902" s="22" t="str">
        <f t="shared" si="11"/>
        <v/>
      </c>
      <c r="AR902" s="7">
        <f>IF(ISBLANK(AN902), 0, VLOOKUP(AN902, 'Price Sheet'!$A$2:$B1015, 2, false))</f>
        <v>0</v>
      </c>
      <c r="AS902" s="33" t="str">
        <f t="shared" si="12"/>
        <v/>
      </c>
      <c r="AT902" s="37"/>
      <c r="AU902" s="29"/>
      <c r="AV902" s="29" t="b">
        <v>0</v>
      </c>
      <c r="AW902" s="22" t="str">
        <f t="shared" si="13"/>
        <v/>
      </c>
      <c r="AX902" s="7">
        <f>IF(ISBLANK(AT902), 0, VLOOKUP(AT902, 'Price Sheet'!$A$2:$B1015, 2, false))</f>
        <v>0</v>
      </c>
      <c r="AY902" s="33" t="str">
        <f t="shared" si="14"/>
        <v/>
      </c>
      <c r="AZ902" s="37"/>
      <c r="BA902" s="29"/>
      <c r="BB902" s="29" t="b">
        <v>0</v>
      </c>
      <c r="BC902" s="22" t="str">
        <f t="shared" si="15"/>
        <v/>
      </c>
      <c r="BD902" s="7">
        <f>IF(ISBLANK(AZ902), 0, VLOOKUP(AZ902, 'Price Sheet'!$A$2:$B1015, 2, false))</f>
        <v>0</v>
      </c>
      <c r="BE902" s="33" t="str">
        <f t="shared" si="16"/>
        <v/>
      </c>
      <c r="BF902" s="37"/>
      <c r="BG902" s="29"/>
      <c r="BH902" s="29" t="b">
        <v>0</v>
      </c>
      <c r="BI902" s="22" t="str">
        <f t="shared" si="17"/>
        <v/>
      </c>
      <c r="BJ902" s="7">
        <f>IF(ISBLANK(BF902), 0, VLOOKUP(BF902, 'Price Sheet'!$A$2:$B1015, 2, false))</f>
        <v>0</v>
      </c>
      <c r="BK902" s="33" t="str">
        <f t="shared" si="18"/>
        <v/>
      </c>
      <c r="BL902" s="37"/>
      <c r="BM902" s="29"/>
      <c r="BN902" s="29" t="b">
        <v>0</v>
      </c>
      <c r="BO902" s="22" t="str">
        <f t="shared" si="19"/>
        <v/>
      </c>
      <c r="BP902" s="7">
        <f>IF(ISBLANK(BL902), 0, VLOOKUP(BL902, 'Price Sheet'!$A$2:$B1015, 2, false))</f>
        <v>0</v>
      </c>
      <c r="BQ902" s="33" t="str">
        <f t="shared" si="20"/>
        <v/>
      </c>
    </row>
    <row r="903">
      <c r="B903" s="19"/>
      <c r="C903" s="29"/>
      <c r="D903" s="29"/>
      <c r="E903" s="7" t="str">
        <f>IF(ISBLANK(D903), "", VLOOKUP(D903,'Crafting Tables'!$A$2:$B1015, 2, false))</f>
        <v/>
      </c>
      <c r="F903" s="7" t="str">
        <f>IFERROR(IF(E903 = "None", 1, VLOOKUP(C903,General!$A$5:$L$35, SWITCH(E903, "Basic", 8, "Advanced", 10, "Modern", 12), false)),"")</f>
        <v/>
      </c>
      <c r="G903" s="29"/>
      <c r="H903" s="7">
        <f>IFERROR(VLOOKUP(C903, General!$A$5:$L$35, 6, false) * G903 / 1000, 0)</f>
        <v>0</v>
      </c>
      <c r="I903" s="29"/>
      <c r="J903" s="22" t="str">
        <f>IFERROR(I903*VLOOKUP(D903,'Crafting Tables'!$1:$1000, 4, false)*F903,"")</f>
        <v/>
      </c>
      <c r="K903" s="29" t="b">
        <v>0</v>
      </c>
      <c r="L903" s="37"/>
      <c r="M903" s="29"/>
      <c r="N903" s="21" t="str">
        <f t="shared" si="2"/>
        <v/>
      </c>
      <c r="P903" s="37"/>
      <c r="Q903" s="29"/>
      <c r="R903" s="29" t="b">
        <v>0</v>
      </c>
      <c r="S903" s="22" t="str">
        <f t="shared" si="3"/>
        <v/>
      </c>
      <c r="T903" s="7">
        <f>IF(ISBLANK(P903), 0, VLOOKUP(P903, 'Price Sheet'!$A$2:$B1015, 2, false))</f>
        <v>0</v>
      </c>
      <c r="U903" s="33" t="str">
        <f t="shared" si="4"/>
        <v/>
      </c>
      <c r="V903" s="37"/>
      <c r="W903" s="29"/>
      <c r="X903" s="29" t="b">
        <v>0</v>
      </c>
      <c r="Y903" s="22" t="str">
        <f t="shared" si="5"/>
        <v/>
      </c>
      <c r="Z903" s="7">
        <f>IF(ISBLANK(V903), 0, VLOOKUP(V903, 'Price Sheet'!$A$2:$B1015, 2, false))</f>
        <v>0</v>
      </c>
      <c r="AA903" s="33" t="str">
        <f t="shared" si="6"/>
        <v/>
      </c>
      <c r="AB903" s="37"/>
      <c r="AC903" s="29"/>
      <c r="AD903" s="29" t="b">
        <v>0</v>
      </c>
      <c r="AE903" s="22" t="str">
        <f t="shared" si="7"/>
        <v/>
      </c>
      <c r="AF903" s="7">
        <f>IF(ISBLANK(AB903), 0, VLOOKUP(AB903, 'Price Sheet'!$A$2:$B1015, 2, false))</f>
        <v>0</v>
      </c>
      <c r="AG903" s="33" t="str">
        <f t="shared" si="8"/>
        <v/>
      </c>
      <c r="AH903" s="37"/>
      <c r="AI903" s="29"/>
      <c r="AJ903" s="29" t="b">
        <v>0</v>
      </c>
      <c r="AK903" s="22" t="str">
        <f t="shared" si="9"/>
        <v/>
      </c>
      <c r="AL903" s="7">
        <f>IF(ISBLANK(AH903), 0, VLOOKUP(AH903, 'Price Sheet'!$A$2:$B1015, 2, false))</f>
        <v>0</v>
      </c>
      <c r="AM903" s="33" t="str">
        <f t="shared" si="10"/>
        <v/>
      </c>
      <c r="AN903" s="37"/>
      <c r="AO903" s="29"/>
      <c r="AP903" s="29" t="b">
        <v>0</v>
      </c>
      <c r="AQ903" s="22" t="str">
        <f t="shared" si="11"/>
        <v/>
      </c>
      <c r="AR903" s="7">
        <f>IF(ISBLANK(AN903), 0, VLOOKUP(AN903, 'Price Sheet'!$A$2:$B1015, 2, false))</f>
        <v>0</v>
      </c>
      <c r="AS903" s="33" t="str">
        <f t="shared" si="12"/>
        <v/>
      </c>
      <c r="AT903" s="37"/>
      <c r="AU903" s="29"/>
      <c r="AV903" s="29" t="b">
        <v>0</v>
      </c>
      <c r="AW903" s="22" t="str">
        <f t="shared" si="13"/>
        <v/>
      </c>
      <c r="AX903" s="7">
        <f>IF(ISBLANK(AT903), 0, VLOOKUP(AT903, 'Price Sheet'!$A$2:$B1015, 2, false))</f>
        <v>0</v>
      </c>
      <c r="AY903" s="33" t="str">
        <f t="shared" si="14"/>
        <v/>
      </c>
      <c r="AZ903" s="37"/>
      <c r="BA903" s="29"/>
      <c r="BB903" s="29" t="b">
        <v>0</v>
      </c>
      <c r="BC903" s="22" t="str">
        <f t="shared" si="15"/>
        <v/>
      </c>
      <c r="BD903" s="7">
        <f>IF(ISBLANK(AZ903), 0, VLOOKUP(AZ903, 'Price Sheet'!$A$2:$B1015, 2, false))</f>
        <v>0</v>
      </c>
      <c r="BE903" s="33" t="str">
        <f t="shared" si="16"/>
        <v/>
      </c>
      <c r="BF903" s="37"/>
      <c r="BG903" s="29"/>
      <c r="BH903" s="29" t="b">
        <v>0</v>
      </c>
      <c r="BI903" s="22" t="str">
        <f t="shared" si="17"/>
        <v/>
      </c>
      <c r="BJ903" s="7">
        <f>IF(ISBLANK(BF903), 0, VLOOKUP(BF903, 'Price Sheet'!$A$2:$B1015, 2, false))</f>
        <v>0</v>
      </c>
      <c r="BK903" s="33" t="str">
        <f t="shared" si="18"/>
        <v/>
      </c>
      <c r="BL903" s="37"/>
      <c r="BM903" s="29"/>
      <c r="BN903" s="29" t="b">
        <v>0</v>
      </c>
      <c r="BO903" s="22" t="str">
        <f t="shared" si="19"/>
        <v/>
      </c>
      <c r="BP903" s="7">
        <f>IF(ISBLANK(BL903), 0, VLOOKUP(BL903, 'Price Sheet'!$A$2:$B1015, 2, false))</f>
        <v>0</v>
      </c>
      <c r="BQ903" s="33" t="str">
        <f t="shared" si="20"/>
        <v/>
      </c>
    </row>
    <row r="904">
      <c r="B904" s="19"/>
      <c r="C904" s="29"/>
      <c r="D904" s="29"/>
      <c r="E904" s="7" t="str">
        <f>IF(ISBLANK(D904), "", VLOOKUP(D904,'Crafting Tables'!$A$2:$B1015, 2, false))</f>
        <v/>
      </c>
      <c r="F904" s="7" t="str">
        <f>IFERROR(IF(E904 = "None", 1, VLOOKUP(C904,General!$A$5:$L$35, SWITCH(E904, "Basic", 8, "Advanced", 10, "Modern", 12), false)),"")</f>
        <v/>
      </c>
      <c r="G904" s="29"/>
      <c r="H904" s="7">
        <f>IFERROR(VLOOKUP(C904, General!$A$5:$L$35, 6, false) * G904 / 1000, 0)</f>
        <v>0</v>
      </c>
      <c r="I904" s="29"/>
      <c r="J904" s="22" t="str">
        <f>IFERROR(I904*VLOOKUP(D904,'Crafting Tables'!$1:$1000, 4, false)*F904,"")</f>
        <v/>
      </c>
      <c r="K904" s="29" t="b">
        <v>0</v>
      </c>
      <c r="L904" s="37"/>
      <c r="M904" s="29"/>
      <c r="N904" s="21" t="str">
        <f t="shared" si="2"/>
        <v/>
      </c>
      <c r="P904" s="37"/>
      <c r="Q904" s="29"/>
      <c r="R904" s="29" t="b">
        <v>0</v>
      </c>
      <c r="S904" s="22" t="str">
        <f t="shared" si="3"/>
        <v/>
      </c>
      <c r="T904" s="7">
        <f>IF(ISBLANK(P904), 0, VLOOKUP(P904, 'Price Sheet'!$A$2:$B1015, 2, false))</f>
        <v>0</v>
      </c>
      <c r="U904" s="33" t="str">
        <f t="shared" si="4"/>
        <v/>
      </c>
      <c r="V904" s="37"/>
      <c r="W904" s="29"/>
      <c r="X904" s="29" t="b">
        <v>0</v>
      </c>
      <c r="Y904" s="22" t="str">
        <f t="shared" si="5"/>
        <v/>
      </c>
      <c r="Z904" s="7">
        <f>IF(ISBLANK(V904), 0, VLOOKUP(V904, 'Price Sheet'!$A$2:$B1015, 2, false))</f>
        <v>0</v>
      </c>
      <c r="AA904" s="33" t="str">
        <f t="shared" si="6"/>
        <v/>
      </c>
      <c r="AB904" s="37"/>
      <c r="AC904" s="29"/>
      <c r="AD904" s="29" t="b">
        <v>0</v>
      </c>
      <c r="AE904" s="22" t="str">
        <f t="shared" si="7"/>
        <v/>
      </c>
      <c r="AF904" s="7">
        <f>IF(ISBLANK(AB904), 0, VLOOKUP(AB904, 'Price Sheet'!$A$2:$B1015, 2, false))</f>
        <v>0</v>
      </c>
      <c r="AG904" s="33" t="str">
        <f t="shared" si="8"/>
        <v/>
      </c>
      <c r="AH904" s="37"/>
      <c r="AI904" s="29"/>
      <c r="AJ904" s="29" t="b">
        <v>0</v>
      </c>
      <c r="AK904" s="22" t="str">
        <f t="shared" si="9"/>
        <v/>
      </c>
      <c r="AL904" s="7">
        <f>IF(ISBLANK(AH904), 0, VLOOKUP(AH904, 'Price Sheet'!$A$2:$B1015, 2, false))</f>
        <v>0</v>
      </c>
      <c r="AM904" s="33" t="str">
        <f t="shared" si="10"/>
        <v/>
      </c>
      <c r="AN904" s="37"/>
      <c r="AO904" s="29"/>
      <c r="AP904" s="29" t="b">
        <v>0</v>
      </c>
      <c r="AQ904" s="22" t="str">
        <f t="shared" si="11"/>
        <v/>
      </c>
      <c r="AR904" s="7">
        <f>IF(ISBLANK(AN904), 0, VLOOKUP(AN904, 'Price Sheet'!$A$2:$B1015, 2, false))</f>
        <v>0</v>
      </c>
      <c r="AS904" s="33" t="str">
        <f t="shared" si="12"/>
        <v/>
      </c>
      <c r="AT904" s="37"/>
      <c r="AU904" s="29"/>
      <c r="AV904" s="29" t="b">
        <v>0</v>
      </c>
      <c r="AW904" s="22" t="str">
        <f t="shared" si="13"/>
        <v/>
      </c>
      <c r="AX904" s="7">
        <f>IF(ISBLANK(AT904), 0, VLOOKUP(AT904, 'Price Sheet'!$A$2:$B1015, 2, false))</f>
        <v>0</v>
      </c>
      <c r="AY904" s="33" t="str">
        <f t="shared" si="14"/>
        <v/>
      </c>
      <c r="AZ904" s="37"/>
      <c r="BA904" s="29"/>
      <c r="BB904" s="29" t="b">
        <v>0</v>
      </c>
      <c r="BC904" s="22" t="str">
        <f t="shared" si="15"/>
        <v/>
      </c>
      <c r="BD904" s="7">
        <f>IF(ISBLANK(AZ904), 0, VLOOKUP(AZ904, 'Price Sheet'!$A$2:$B1015, 2, false))</f>
        <v>0</v>
      </c>
      <c r="BE904" s="33" t="str">
        <f t="shared" si="16"/>
        <v/>
      </c>
      <c r="BF904" s="37"/>
      <c r="BG904" s="29"/>
      <c r="BH904" s="29" t="b">
        <v>0</v>
      </c>
      <c r="BI904" s="22" t="str">
        <f t="shared" si="17"/>
        <v/>
      </c>
      <c r="BJ904" s="7">
        <f>IF(ISBLANK(BF904), 0, VLOOKUP(BF904, 'Price Sheet'!$A$2:$B1015, 2, false))</f>
        <v>0</v>
      </c>
      <c r="BK904" s="33" t="str">
        <f t="shared" si="18"/>
        <v/>
      </c>
      <c r="BL904" s="37"/>
      <c r="BM904" s="29"/>
      <c r="BN904" s="29" t="b">
        <v>0</v>
      </c>
      <c r="BO904" s="22" t="str">
        <f t="shared" si="19"/>
        <v/>
      </c>
      <c r="BP904" s="7">
        <f>IF(ISBLANK(BL904), 0, VLOOKUP(BL904, 'Price Sheet'!$A$2:$B1015, 2, false))</f>
        <v>0</v>
      </c>
      <c r="BQ904" s="33" t="str">
        <f t="shared" si="20"/>
        <v/>
      </c>
    </row>
    <row r="905">
      <c r="B905" s="19"/>
      <c r="C905" s="29"/>
      <c r="D905" s="29"/>
      <c r="E905" s="7" t="str">
        <f>IF(ISBLANK(D905), "", VLOOKUP(D905,'Crafting Tables'!$A$2:$B1015, 2, false))</f>
        <v/>
      </c>
      <c r="F905" s="7" t="str">
        <f>IFERROR(IF(E905 = "None", 1, VLOOKUP(C905,General!$A$5:$L$35, SWITCH(E905, "Basic", 8, "Advanced", 10, "Modern", 12), false)),"")</f>
        <v/>
      </c>
      <c r="G905" s="29"/>
      <c r="H905" s="7">
        <f>IFERROR(VLOOKUP(C905, General!$A$5:$L$35, 6, false) * G905 / 1000, 0)</f>
        <v>0</v>
      </c>
      <c r="I905" s="29"/>
      <c r="J905" s="22" t="str">
        <f>IFERROR(I905*VLOOKUP(D905,'Crafting Tables'!$1:$1000, 4, false)*F905,"")</f>
        <v/>
      </c>
      <c r="K905" s="29" t="b">
        <v>0</v>
      </c>
      <c r="L905" s="37"/>
      <c r="M905" s="29"/>
      <c r="N905" s="21" t="str">
        <f t="shared" si="2"/>
        <v/>
      </c>
      <c r="P905" s="37"/>
      <c r="Q905" s="29"/>
      <c r="R905" s="29" t="b">
        <v>0</v>
      </c>
      <c r="S905" s="22" t="str">
        <f t="shared" si="3"/>
        <v/>
      </c>
      <c r="T905" s="7">
        <f>IF(ISBLANK(P905), 0, VLOOKUP(P905, 'Price Sheet'!$A$2:$B1015, 2, false))</f>
        <v>0</v>
      </c>
      <c r="U905" s="33" t="str">
        <f t="shared" si="4"/>
        <v/>
      </c>
      <c r="V905" s="37"/>
      <c r="W905" s="29"/>
      <c r="X905" s="29" t="b">
        <v>0</v>
      </c>
      <c r="Y905" s="22" t="str">
        <f t="shared" si="5"/>
        <v/>
      </c>
      <c r="Z905" s="7">
        <f>IF(ISBLANK(V905), 0, VLOOKUP(V905, 'Price Sheet'!$A$2:$B1015, 2, false))</f>
        <v>0</v>
      </c>
      <c r="AA905" s="33" t="str">
        <f t="shared" si="6"/>
        <v/>
      </c>
      <c r="AB905" s="37"/>
      <c r="AC905" s="29"/>
      <c r="AD905" s="29" t="b">
        <v>0</v>
      </c>
      <c r="AE905" s="22" t="str">
        <f t="shared" si="7"/>
        <v/>
      </c>
      <c r="AF905" s="7">
        <f>IF(ISBLANK(AB905), 0, VLOOKUP(AB905, 'Price Sheet'!$A$2:$B1015, 2, false))</f>
        <v>0</v>
      </c>
      <c r="AG905" s="33" t="str">
        <f t="shared" si="8"/>
        <v/>
      </c>
      <c r="AH905" s="37"/>
      <c r="AI905" s="29"/>
      <c r="AJ905" s="29" t="b">
        <v>0</v>
      </c>
      <c r="AK905" s="22" t="str">
        <f t="shared" si="9"/>
        <v/>
      </c>
      <c r="AL905" s="7">
        <f>IF(ISBLANK(AH905), 0, VLOOKUP(AH905, 'Price Sheet'!$A$2:$B1015, 2, false))</f>
        <v>0</v>
      </c>
      <c r="AM905" s="33" t="str">
        <f t="shared" si="10"/>
        <v/>
      </c>
      <c r="AN905" s="37"/>
      <c r="AO905" s="29"/>
      <c r="AP905" s="29" t="b">
        <v>0</v>
      </c>
      <c r="AQ905" s="22" t="str">
        <f t="shared" si="11"/>
        <v/>
      </c>
      <c r="AR905" s="7">
        <f>IF(ISBLANK(AN905), 0, VLOOKUP(AN905, 'Price Sheet'!$A$2:$B1015, 2, false))</f>
        <v>0</v>
      </c>
      <c r="AS905" s="33" t="str">
        <f t="shared" si="12"/>
        <v/>
      </c>
      <c r="AT905" s="37"/>
      <c r="AU905" s="29"/>
      <c r="AV905" s="29" t="b">
        <v>0</v>
      </c>
      <c r="AW905" s="22" t="str">
        <f t="shared" si="13"/>
        <v/>
      </c>
      <c r="AX905" s="7">
        <f>IF(ISBLANK(AT905), 0, VLOOKUP(AT905, 'Price Sheet'!$A$2:$B1015, 2, false))</f>
        <v>0</v>
      </c>
      <c r="AY905" s="33" t="str">
        <f t="shared" si="14"/>
        <v/>
      </c>
      <c r="AZ905" s="37"/>
      <c r="BA905" s="29"/>
      <c r="BB905" s="29" t="b">
        <v>0</v>
      </c>
      <c r="BC905" s="22" t="str">
        <f t="shared" si="15"/>
        <v/>
      </c>
      <c r="BD905" s="7">
        <f>IF(ISBLANK(AZ905), 0, VLOOKUP(AZ905, 'Price Sheet'!$A$2:$B1015, 2, false))</f>
        <v>0</v>
      </c>
      <c r="BE905" s="33" t="str">
        <f t="shared" si="16"/>
        <v/>
      </c>
      <c r="BF905" s="37"/>
      <c r="BG905" s="29"/>
      <c r="BH905" s="29" t="b">
        <v>0</v>
      </c>
      <c r="BI905" s="22" t="str">
        <f t="shared" si="17"/>
        <v/>
      </c>
      <c r="BJ905" s="7">
        <f>IF(ISBLANK(BF905), 0, VLOOKUP(BF905, 'Price Sheet'!$A$2:$B1015, 2, false))</f>
        <v>0</v>
      </c>
      <c r="BK905" s="33" t="str">
        <f t="shared" si="18"/>
        <v/>
      </c>
      <c r="BL905" s="37"/>
      <c r="BM905" s="29"/>
      <c r="BN905" s="29" t="b">
        <v>0</v>
      </c>
      <c r="BO905" s="22" t="str">
        <f t="shared" si="19"/>
        <v/>
      </c>
      <c r="BP905" s="7">
        <f>IF(ISBLANK(BL905), 0, VLOOKUP(BL905, 'Price Sheet'!$A$2:$B1015, 2, false))</f>
        <v>0</v>
      </c>
      <c r="BQ905" s="33" t="str">
        <f t="shared" si="20"/>
        <v/>
      </c>
    </row>
    <row r="906">
      <c r="B906" s="19"/>
      <c r="C906" s="29"/>
      <c r="D906" s="29"/>
      <c r="E906" s="7" t="str">
        <f>IF(ISBLANK(D906), "", VLOOKUP(D906,'Crafting Tables'!$A$2:$B1015, 2, false))</f>
        <v/>
      </c>
      <c r="F906" s="7" t="str">
        <f>IFERROR(IF(E906 = "None", 1, VLOOKUP(C906,General!$A$5:$L$35, SWITCH(E906, "Basic", 8, "Advanced", 10, "Modern", 12), false)),"")</f>
        <v/>
      </c>
      <c r="G906" s="29"/>
      <c r="H906" s="7">
        <f>IFERROR(VLOOKUP(C906, General!$A$5:$L$35, 6, false) * G906 / 1000, 0)</f>
        <v>0</v>
      </c>
      <c r="I906" s="29"/>
      <c r="J906" s="22" t="str">
        <f>IFERROR(I906*VLOOKUP(D906,'Crafting Tables'!$1:$1000, 4, false)*F906,"")</f>
        <v/>
      </c>
      <c r="K906" s="29" t="b">
        <v>0</v>
      </c>
      <c r="L906" s="37"/>
      <c r="M906" s="29"/>
      <c r="N906" s="21" t="str">
        <f t="shared" si="2"/>
        <v/>
      </c>
      <c r="P906" s="37"/>
      <c r="Q906" s="29"/>
      <c r="R906" s="29" t="b">
        <v>0</v>
      </c>
      <c r="S906" s="22" t="str">
        <f t="shared" si="3"/>
        <v/>
      </c>
      <c r="T906" s="7">
        <f>IF(ISBLANK(P906), 0, VLOOKUP(P906, 'Price Sheet'!$A$2:$B1015, 2, false))</f>
        <v>0</v>
      </c>
      <c r="U906" s="33" t="str">
        <f t="shared" si="4"/>
        <v/>
      </c>
      <c r="V906" s="37"/>
      <c r="W906" s="29"/>
      <c r="X906" s="29" t="b">
        <v>0</v>
      </c>
      <c r="Y906" s="22" t="str">
        <f t="shared" si="5"/>
        <v/>
      </c>
      <c r="Z906" s="7">
        <f>IF(ISBLANK(V906), 0, VLOOKUP(V906, 'Price Sheet'!$A$2:$B1015, 2, false))</f>
        <v>0</v>
      </c>
      <c r="AA906" s="33" t="str">
        <f t="shared" si="6"/>
        <v/>
      </c>
      <c r="AB906" s="37"/>
      <c r="AC906" s="29"/>
      <c r="AD906" s="29" t="b">
        <v>0</v>
      </c>
      <c r="AE906" s="22" t="str">
        <f t="shared" si="7"/>
        <v/>
      </c>
      <c r="AF906" s="7">
        <f>IF(ISBLANK(AB906), 0, VLOOKUP(AB906, 'Price Sheet'!$A$2:$B1015, 2, false))</f>
        <v>0</v>
      </c>
      <c r="AG906" s="33" t="str">
        <f t="shared" si="8"/>
        <v/>
      </c>
      <c r="AH906" s="37"/>
      <c r="AI906" s="29"/>
      <c r="AJ906" s="29" t="b">
        <v>0</v>
      </c>
      <c r="AK906" s="22" t="str">
        <f t="shared" si="9"/>
        <v/>
      </c>
      <c r="AL906" s="7">
        <f>IF(ISBLANK(AH906), 0, VLOOKUP(AH906, 'Price Sheet'!$A$2:$B1015, 2, false))</f>
        <v>0</v>
      </c>
      <c r="AM906" s="33" t="str">
        <f t="shared" si="10"/>
        <v/>
      </c>
      <c r="AN906" s="37"/>
      <c r="AO906" s="29"/>
      <c r="AP906" s="29" t="b">
        <v>0</v>
      </c>
      <c r="AQ906" s="22" t="str">
        <f t="shared" si="11"/>
        <v/>
      </c>
      <c r="AR906" s="7">
        <f>IF(ISBLANK(AN906), 0, VLOOKUP(AN906, 'Price Sheet'!$A$2:$B1015, 2, false))</f>
        <v>0</v>
      </c>
      <c r="AS906" s="33" t="str">
        <f t="shared" si="12"/>
        <v/>
      </c>
      <c r="AT906" s="37"/>
      <c r="AU906" s="29"/>
      <c r="AV906" s="29" t="b">
        <v>0</v>
      </c>
      <c r="AW906" s="22" t="str">
        <f t="shared" si="13"/>
        <v/>
      </c>
      <c r="AX906" s="7">
        <f>IF(ISBLANK(AT906), 0, VLOOKUP(AT906, 'Price Sheet'!$A$2:$B1015, 2, false))</f>
        <v>0</v>
      </c>
      <c r="AY906" s="33" t="str">
        <f t="shared" si="14"/>
        <v/>
      </c>
      <c r="AZ906" s="37"/>
      <c r="BA906" s="29"/>
      <c r="BB906" s="29" t="b">
        <v>0</v>
      </c>
      <c r="BC906" s="22" t="str">
        <f t="shared" si="15"/>
        <v/>
      </c>
      <c r="BD906" s="7">
        <f>IF(ISBLANK(AZ906), 0, VLOOKUP(AZ906, 'Price Sheet'!$A$2:$B1015, 2, false))</f>
        <v>0</v>
      </c>
      <c r="BE906" s="33" t="str">
        <f t="shared" si="16"/>
        <v/>
      </c>
      <c r="BF906" s="37"/>
      <c r="BG906" s="29"/>
      <c r="BH906" s="29" t="b">
        <v>0</v>
      </c>
      <c r="BI906" s="22" t="str">
        <f t="shared" si="17"/>
        <v/>
      </c>
      <c r="BJ906" s="7">
        <f>IF(ISBLANK(BF906), 0, VLOOKUP(BF906, 'Price Sheet'!$A$2:$B1015, 2, false))</f>
        <v>0</v>
      </c>
      <c r="BK906" s="33" t="str">
        <f t="shared" si="18"/>
        <v/>
      </c>
      <c r="BL906" s="37"/>
      <c r="BM906" s="29"/>
      <c r="BN906" s="29" t="b">
        <v>0</v>
      </c>
      <c r="BO906" s="22" t="str">
        <f t="shared" si="19"/>
        <v/>
      </c>
      <c r="BP906" s="7">
        <f>IF(ISBLANK(BL906), 0, VLOOKUP(BL906, 'Price Sheet'!$A$2:$B1015, 2, false))</f>
        <v>0</v>
      </c>
      <c r="BQ906" s="33" t="str">
        <f t="shared" si="20"/>
        <v/>
      </c>
    </row>
    <row r="907">
      <c r="B907" s="19"/>
      <c r="C907" s="29"/>
      <c r="D907" s="29"/>
      <c r="E907" s="7" t="str">
        <f>IF(ISBLANK(D907), "", VLOOKUP(D907,'Crafting Tables'!$A$2:$B1015, 2, false))</f>
        <v/>
      </c>
      <c r="F907" s="7" t="str">
        <f>IFERROR(IF(E907 = "None", 1, VLOOKUP(C907,General!$A$5:$L$35, SWITCH(E907, "Basic", 8, "Advanced", 10, "Modern", 12), false)),"")</f>
        <v/>
      </c>
      <c r="G907" s="29"/>
      <c r="H907" s="7">
        <f>IFERROR(VLOOKUP(C907, General!$A$5:$L$35, 6, false) * G907 / 1000, 0)</f>
        <v>0</v>
      </c>
      <c r="I907" s="29"/>
      <c r="J907" s="22" t="str">
        <f>IFERROR(I907*VLOOKUP(D907,'Crafting Tables'!$1:$1000, 4, false)*F907,"")</f>
        <v/>
      </c>
      <c r="K907" s="29" t="b">
        <v>0</v>
      </c>
      <c r="L907" s="37"/>
      <c r="M907" s="29"/>
      <c r="N907" s="21" t="str">
        <f t="shared" si="2"/>
        <v/>
      </c>
      <c r="P907" s="37"/>
      <c r="Q907" s="29"/>
      <c r="R907" s="29" t="b">
        <v>0</v>
      </c>
      <c r="S907" s="22" t="str">
        <f t="shared" si="3"/>
        <v/>
      </c>
      <c r="T907" s="7">
        <f>IF(ISBLANK(P907), 0, VLOOKUP(P907, 'Price Sheet'!$A$2:$B1015, 2, false))</f>
        <v>0</v>
      </c>
      <c r="U907" s="33" t="str">
        <f t="shared" si="4"/>
        <v/>
      </c>
      <c r="V907" s="37"/>
      <c r="W907" s="29"/>
      <c r="X907" s="29" t="b">
        <v>0</v>
      </c>
      <c r="Y907" s="22" t="str">
        <f t="shared" si="5"/>
        <v/>
      </c>
      <c r="Z907" s="7">
        <f>IF(ISBLANK(V907), 0, VLOOKUP(V907, 'Price Sheet'!$A$2:$B1015, 2, false))</f>
        <v>0</v>
      </c>
      <c r="AA907" s="33" t="str">
        <f t="shared" si="6"/>
        <v/>
      </c>
      <c r="AB907" s="37"/>
      <c r="AC907" s="29"/>
      <c r="AD907" s="29" t="b">
        <v>0</v>
      </c>
      <c r="AE907" s="22" t="str">
        <f t="shared" si="7"/>
        <v/>
      </c>
      <c r="AF907" s="7">
        <f>IF(ISBLANK(AB907), 0, VLOOKUP(AB907, 'Price Sheet'!$A$2:$B1015, 2, false))</f>
        <v>0</v>
      </c>
      <c r="AG907" s="33" t="str">
        <f t="shared" si="8"/>
        <v/>
      </c>
      <c r="AH907" s="37"/>
      <c r="AI907" s="29"/>
      <c r="AJ907" s="29" t="b">
        <v>0</v>
      </c>
      <c r="AK907" s="22" t="str">
        <f t="shared" si="9"/>
        <v/>
      </c>
      <c r="AL907" s="7">
        <f>IF(ISBLANK(AH907), 0, VLOOKUP(AH907, 'Price Sheet'!$A$2:$B1015, 2, false))</f>
        <v>0</v>
      </c>
      <c r="AM907" s="33" t="str">
        <f t="shared" si="10"/>
        <v/>
      </c>
      <c r="AN907" s="37"/>
      <c r="AO907" s="29"/>
      <c r="AP907" s="29" t="b">
        <v>0</v>
      </c>
      <c r="AQ907" s="22" t="str">
        <f t="shared" si="11"/>
        <v/>
      </c>
      <c r="AR907" s="7">
        <f>IF(ISBLANK(AN907), 0, VLOOKUP(AN907, 'Price Sheet'!$A$2:$B1015, 2, false))</f>
        <v>0</v>
      </c>
      <c r="AS907" s="33" t="str">
        <f t="shared" si="12"/>
        <v/>
      </c>
      <c r="AT907" s="37"/>
      <c r="AU907" s="29"/>
      <c r="AV907" s="29" t="b">
        <v>0</v>
      </c>
      <c r="AW907" s="22" t="str">
        <f t="shared" si="13"/>
        <v/>
      </c>
      <c r="AX907" s="7">
        <f>IF(ISBLANK(AT907), 0, VLOOKUP(AT907, 'Price Sheet'!$A$2:$B1015, 2, false))</f>
        <v>0</v>
      </c>
      <c r="AY907" s="33" t="str">
        <f t="shared" si="14"/>
        <v/>
      </c>
      <c r="AZ907" s="37"/>
      <c r="BA907" s="29"/>
      <c r="BB907" s="29" t="b">
        <v>0</v>
      </c>
      <c r="BC907" s="22" t="str">
        <f t="shared" si="15"/>
        <v/>
      </c>
      <c r="BD907" s="7">
        <f>IF(ISBLANK(AZ907), 0, VLOOKUP(AZ907, 'Price Sheet'!$A$2:$B1015, 2, false))</f>
        <v>0</v>
      </c>
      <c r="BE907" s="33" t="str">
        <f t="shared" si="16"/>
        <v/>
      </c>
      <c r="BF907" s="37"/>
      <c r="BG907" s="29"/>
      <c r="BH907" s="29" t="b">
        <v>0</v>
      </c>
      <c r="BI907" s="22" t="str">
        <f t="shared" si="17"/>
        <v/>
      </c>
      <c r="BJ907" s="7">
        <f>IF(ISBLANK(BF907), 0, VLOOKUP(BF907, 'Price Sheet'!$A$2:$B1015, 2, false))</f>
        <v>0</v>
      </c>
      <c r="BK907" s="33" t="str">
        <f t="shared" si="18"/>
        <v/>
      </c>
      <c r="BL907" s="37"/>
      <c r="BM907" s="29"/>
      <c r="BN907" s="29" t="b">
        <v>0</v>
      </c>
      <c r="BO907" s="22" t="str">
        <f t="shared" si="19"/>
        <v/>
      </c>
      <c r="BP907" s="7">
        <f>IF(ISBLANK(BL907), 0, VLOOKUP(BL907, 'Price Sheet'!$A$2:$B1015, 2, false))</f>
        <v>0</v>
      </c>
      <c r="BQ907" s="33" t="str">
        <f t="shared" si="20"/>
        <v/>
      </c>
    </row>
    <row r="908">
      <c r="B908" s="19"/>
      <c r="C908" s="29"/>
      <c r="D908" s="29"/>
      <c r="E908" s="7" t="str">
        <f>IF(ISBLANK(D908), "", VLOOKUP(D908,'Crafting Tables'!$A$2:$B1015, 2, false))</f>
        <v/>
      </c>
      <c r="F908" s="7" t="str">
        <f>IFERROR(IF(E908 = "None", 1, VLOOKUP(C908,General!$A$5:$L$35, SWITCH(E908, "Basic", 8, "Advanced", 10, "Modern", 12), false)),"")</f>
        <v/>
      </c>
      <c r="G908" s="29"/>
      <c r="H908" s="7">
        <f>IFERROR(VLOOKUP(C908, General!$A$5:$L$35, 6, false) * G908 / 1000, 0)</f>
        <v>0</v>
      </c>
      <c r="I908" s="29"/>
      <c r="J908" s="22" t="str">
        <f>IFERROR(I908*VLOOKUP(D908,'Crafting Tables'!$1:$1000, 4, false)*F908,"")</f>
        <v/>
      </c>
      <c r="K908" s="29" t="b">
        <v>0</v>
      </c>
      <c r="L908" s="37"/>
      <c r="M908" s="29"/>
      <c r="N908" s="21" t="str">
        <f t="shared" si="2"/>
        <v/>
      </c>
      <c r="P908" s="37"/>
      <c r="Q908" s="29"/>
      <c r="R908" s="29" t="b">
        <v>0</v>
      </c>
      <c r="S908" s="22" t="str">
        <f t="shared" si="3"/>
        <v/>
      </c>
      <c r="T908" s="7">
        <f>IF(ISBLANK(P908), 0, VLOOKUP(P908, 'Price Sheet'!$A$2:$B1015, 2, false))</f>
        <v>0</v>
      </c>
      <c r="U908" s="33" t="str">
        <f t="shared" si="4"/>
        <v/>
      </c>
      <c r="V908" s="37"/>
      <c r="W908" s="29"/>
      <c r="X908" s="29" t="b">
        <v>0</v>
      </c>
      <c r="Y908" s="22" t="str">
        <f t="shared" si="5"/>
        <v/>
      </c>
      <c r="Z908" s="7">
        <f>IF(ISBLANK(V908), 0, VLOOKUP(V908, 'Price Sheet'!$A$2:$B1015, 2, false))</f>
        <v>0</v>
      </c>
      <c r="AA908" s="33" t="str">
        <f t="shared" si="6"/>
        <v/>
      </c>
      <c r="AB908" s="37"/>
      <c r="AC908" s="29"/>
      <c r="AD908" s="29" t="b">
        <v>0</v>
      </c>
      <c r="AE908" s="22" t="str">
        <f t="shared" si="7"/>
        <v/>
      </c>
      <c r="AF908" s="7">
        <f>IF(ISBLANK(AB908), 0, VLOOKUP(AB908, 'Price Sheet'!$A$2:$B1015, 2, false))</f>
        <v>0</v>
      </c>
      <c r="AG908" s="33" t="str">
        <f t="shared" si="8"/>
        <v/>
      </c>
      <c r="AH908" s="37"/>
      <c r="AI908" s="29"/>
      <c r="AJ908" s="29" t="b">
        <v>0</v>
      </c>
      <c r="AK908" s="22" t="str">
        <f t="shared" si="9"/>
        <v/>
      </c>
      <c r="AL908" s="7">
        <f>IF(ISBLANK(AH908), 0, VLOOKUP(AH908, 'Price Sheet'!$A$2:$B1015, 2, false))</f>
        <v>0</v>
      </c>
      <c r="AM908" s="33" t="str">
        <f t="shared" si="10"/>
        <v/>
      </c>
      <c r="AN908" s="37"/>
      <c r="AO908" s="29"/>
      <c r="AP908" s="29" t="b">
        <v>0</v>
      </c>
      <c r="AQ908" s="22" t="str">
        <f t="shared" si="11"/>
        <v/>
      </c>
      <c r="AR908" s="7">
        <f>IF(ISBLANK(AN908), 0, VLOOKUP(AN908, 'Price Sheet'!$A$2:$B1015, 2, false))</f>
        <v>0</v>
      </c>
      <c r="AS908" s="33" t="str">
        <f t="shared" si="12"/>
        <v/>
      </c>
      <c r="AT908" s="37"/>
      <c r="AU908" s="29"/>
      <c r="AV908" s="29" t="b">
        <v>0</v>
      </c>
      <c r="AW908" s="22" t="str">
        <f t="shared" si="13"/>
        <v/>
      </c>
      <c r="AX908" s="7">
        <f>IF(ISBLANK(AT908), 0, VLOOKUP(AT908, 'Price Sheet'!$A$2:$B1015, 2, false))</f>
        <v>0</v>
      </c>
      <c r="AY908" s="33" t="str">
        <f t="shared" si="14"/>
        <v/>
      </c>
      <c r="AZ908" s="37"/>
      <c r="BA908" s="29"/>
      <c r="BB908" s="29" t="b">
        <v>0</v>
      </c>
      <c r="BC908" s="22" t="str">
        <f t="shared" si="15"/>
        <v/>
      </c>
      <c r="BD908" s="7">
        <f>IF(ISBLANK(AZ908), 0, VLOOKUP(AZ908, 'Price Sheet'!$A$2:$B1015, 2, false))</f>
        <v>0</v>
      </c>
      <c r="BE908" s="33" t="str">
        <f t="shared" si="16"/>
        <v/>
      </c>
      <c r="BF908" s="37"/>
      <c r="BG908" s="29"/>
      <c r="BH908" s="29" t="b">
        <v>0</v>
      </c>
      <c r="BI908" s="22" t="str">
        <f t="shared" si="17"/>
        <v/>
      </c>
      <c r="BJ908" s="7">
        <f>IF(ISBLANK(BF908), 0, VLOOKUP(BF908, 'Price Sheet'!$A$2:$B1015, 2, false))</f>
        <v>0</v>
      </c>
      <c r="BK908" s="33" t="str">
        <f t="shared" si="18"/>
        <v/>
      </c>
      <c r="BL908" s="37"/>
      <c r="BM908" s="29"/>
      <c r="BN908" s="29" t="b">
        <v>0</v>
      </c>
      <c r="BO908" s="22" t="str">
        <f t="shared" si="19"/>
        <v/>
      </c>
      <c r="BP908" s="7">
        <f>IF(ISBLANK(BL908), 0, VLOOKUP(BL908, 'Price Sheet'!$A$2:$B1015, 2, false))</f>
        <v>0</v>
      </c>
      <c r="BQ908" s="33" t="str">
        <f t="shared" si="20"/>
        <v/>
      </c>
    </row>
    <row r="909">
      <c r="B909" s="19"/>
      <c r="C909" s="29"/>
      <c r="D909" s="29"/>
      <c r="E909" s="7" t="str">
        <f>IF(ISBLANK(D909), "", VLOOKUP(D909,'Crafting Tables'!$A$2:$B1015, 2, false))</f>
        <v/>
      </c>
      <c r="F909" s="7" t="str">
        <f>IFERROR(IF(E909 = "None", 1, VLOOKUP(C909,General!$A$5:$L$35, SWITCH(E909, "Basic", 8, "Advanced", 10, "Modern", 12), false)),"")</f>
        <v/>
      </c>
      <c r="G909" s="29"/>
      <c r="H909" s="7">
        <f>IFERROR(VLOOKUP(C909, General!$A$5:$L$35, 6, false) * G909 / 1000, 0)</f>
        <v>0</v>
      </c>
      <c r="I909" s="29"/>
      <c r="J909" s="22" t="str">
        <f>IFERROR(I909*VLOOKUP(D909,'Crafting Tables'!$1:$1000, 4, false)*F909,"")</f>
        <v/>
      </c>
      <c r="K909" s="29" t="b">
        <v>0</v>
      </c>
      <c r="L909" s="37"/>
      <c r="M909" s="29"/>
      <c r="N909" s="21" t="str">
        <f t="shared" si="2"/>
        <v/>
      </c>
      <c r="P909" s="37"/>
      <c r="Q909" s="29"/>
      <c r="R909" s="29" t="b">
        <v>0</v>
      </c>
      <c r="S909" s="22" t="str">
        <f t="shared" si="3"/>
        <v/>
      </c>
      <c r="T909" s="7">
        <f>IF(ISBLANK(P909), 0, VLOOKUP(P909, 'Price Sheet'!$A$2:$B1015, 2, false))</f>
        <v>0</v>
      </c>
      <c r="U909" s="33" t="str">
        <f t="shared" si="4"/>
        <v/>
      </c>
      <c r="V909" s="37"/>
      <c r="W909" s="29"/>
      <c r="X909" s="29" t="b">
        <v>0</v>
      </c>
      <c r="Y909" s="22" t="str">
        <f t="shared" si="5"/>
        <v/>
      </c>
      <c r="Z909" s="7">
        <f>IF(ISBLANK(V909), 0, VLOOKUP(V909, 'Price Sheet'!$A$2:$B1015, 2, false))</f>
        <v>0</v>
      </c>
      <c r="AA909" s="33" t="str">
        <f t="shared" si="6"/>
        <v/>
      </c>
      <c r="AB909" s="37"/>
      <c r="AC909" s="29"/>
      <c r="AD909" s="29" t="b">
        <v>0</v>
      </c>
      <c r="AE909" s="22" t="str">
        <f t="shared" si="7"/>
        <v/>
      </c>
      <c r="AF909" s="7">
        <f>IF(ISBLANK(AB909), 0, VLOOKUP(AB909, 'Price Sheet'!$A$2:$B1015, 2, false))</f>
        <v>0</v>
      </c>
      <c r="AG909" s="33" t="str">
        <f t="shared" si="8"/>
        <v/>
      </c>
      <c r="AH909" s="37"/>
      <c r="AI909" s="29"/>
      <c r="AJ909" s="29" t="b">
        <v>0</v>
      </c>
      <c r="AK909" s="22" t="str">
        <f t="shared" si="9"/>
        <v/>
      </c>
      <c r="AL909" s="7">
        <f>IF(ISBLANK(AH909), 0, VLOOKUP(AH909, 'Price Sheet'!$A$2:$B1015, 2, false))</f>
        <v>0</v>
      </c>
      <c r="AM909" s="33" t="str">
        <f t="shared" si="10"/>
        <v/>
      </c>
      <c r="AN909" s="37"/>
      <c r="AO909" s="29"/>
      <c r="AP909" s="29" t="b">
        <v>0</v>
      </c>
      <c r="AQ909" s="22" t="str">
        <f t="shared" si="11"/>
        <v/>
      </c>
      <c r="AR909" s="7">
        <f>IF(ISBLANK(AN909), 0, VLOOKUP(AN909, 'Price Sheet'!$A$2:$B1015, 2, false))</f>
        <v>0</v>
      </c>
      <c r="AS909" s="33" t="str">
        <f t="shared" si="12"/>
        <v/>
      </c>
      <c r="AT909" s="37"/>
      <c r="AU909" s="29"/>
      <c r="AV909" s="29" t="b">
        <v>0</v>
      </c>
      <c r="AW909" s="22" t="str">
        <f t="shared" si="13"/>
        <v/>
      </c>
      <c r="AX909" s="7">
        <f>IF(ISBLANK(AT909), 0, VLOOKUP(AT909, 'Price Sheet'!$A$2:$B1015, 2, false))</f>
        <v>0</v>
      </c>
      <c r="AY909" s="33" t="str">
        <f t="shared" si="14"/>
        <v/>
      </c>
      <c r="AZ909" s="37"/>
      <c r="BA909" s="29"/>
      <c r="BB909" s="29" t="b">
        <v>0</v>
      </c>
      <c r="BC909" s="22" t="str">
        <f t="shared" si="15"/>
        <v/>
      </c>
      <c r="BD909" s="7">
        <f>IF(ISBLANK(AZ909), 0, VLOOKUP(AZ909, 'Price Sheet'!$A$2:$B1015, 2, false))</f>
        <v>0</v>
      </c>
      <c r="BE909" s="33" t="str">
        <f t="shared" si="16"/>
        <v/>
      </c>
      <c r="BF909" s="37"/>
      <c r="BG909" s="29"/>
      <c r="BH909" s="29" t="b">
        <v>0</v>
      </c>
      <c r="BI909" s="22" t="str">
        <f t="shared" si="17"/>
        <v/>
      </c>
      <c r="BJ909" s="7">
        <f>IF(ISBLANK(BF909), 0, VLOOKUP(BF909, 'Price Sheet'!$A$2:$B1015, 2, false))</f>
        <v>0</v>
      </c>
      <c r="BK909" s="33" t="str">
        <f t="shared" si="18"/>
        <v/>
      </c>
      <c r="BL909" s="37"/>
      <c r="BM909" s="29"/>
      <c r="BN909" s="29" t="b">
        <v>0</v>
      </c>
      <c r="BO909" s="22" t="str">
        <f t="shared" si="19"/>
        <v/>
      </c>
      <c r="BP909" s="7">
        <f>IF(ISBLANK(BL909), 0, VLOOKUP(BL909, 'Price Sheet'!$A$2:$B1015, 2, false))</f>
        <v>0</v>
      </c>
      <c r="BQ909" s="33" t="str">
        <f t="shared" si="20"/>
        <v/>
      </c>
    </row>
    <row r="910">
      <c r="B910" s="19"/>
      <c r="C910" s="29"/>
      <c r="D910" s="29"/>
      <c r="E910" s="7" t="str">
        <f>IF(ISBLANK(D910), "", VLOOKUP(D910,'Crafting Tables'!$A$2:$B1015, 2, false))</f>
        <v/>
      </c>
      <c r="F910" s="7" t="str">
        <f>IFERROR(IF(E910 = "None", 1, VLOOKUP(C910,General!$A$5:$L$35, SWITCH(E910, "Basic", 8, "Advanced", 10, "Modern", 12), false)),"")</f>
        <v/>
      </c>
      <c r="G910" s="29"/>
      <c r="H910" s="7">
        <f>IFERROR(VLOOKUP(C910, General!$A$5:$L$35, 6, false) * G910 / 1000, 0)</f>
        <v>0</v>
      </c>
      <c r="I910" s="29"/>
      <c r="J910" s="22" t="str">
        <f>IFERROR(I910*VLOOKUP(D910,'Crafting Tables'!$1:$1000, 4, false)*F910,"")</f>
        <v/>
      </c>
      <c r="K910" s="29" t="b">
        <v>0</v>
      </c>
      <c r="L910" s="37"/>
      <c r="M910" s="29"/>
      <c r="N910" s="21" t="str">
        <f t="shared" si="2"/>
        <v/>
      </c>
      <c r="P910" s="37"/>
      <c r="Q910" s="29"/>
      <c r="R910" s="29" t="b">
        <v>0</v>
      </c>
      <c r="S910" s="22" t="str">
        <f t="shared" si="3"/>
        <v/>
      </c>
      <c r="T910" s="7">
        <f>IF(ISBLANK(P910), 0, VLOOKUP(P910, 'Price Sheet'!$A$2:$B1015, 2, false))</f>
        <v>0</v>
      </c>
      <c r="U910" s="33" t="str">
        <f t="shared" si="4"/>
        <v/>
      </c>
      <c r="V910" s="37"/>
      <c r="W910" s="29"/>
      <c r="X910" s="29" t="b">
        <v>0</v>
      </c>
      <c r="Y910" s="22" t="str">
        <f t="shared" si="5"/>
        <v/>
      </c>
      <c r="Z910" s="7">
        <f>IF(ISBLANK(V910), 0, VLOOKUP(V910, 'Price Sheet'!$A$2:$B1015, 2, false))</f>
        <v>0</v>
      </c>
      <c r="AA910" s="33" t="str">
        <f t="shared" si="6"/>
        <v/>
      </c>
      <c r="AB910" s="37"/>
      <c r="AC910" s="29"/>
      <c r="AD910" s="29" t="b">
        <v>0</v>
      </c>
      <c r="AE910" s="22" t="str">
        <f t="shared" si="7"/>
        <v/>
      </c>
      <c r="AF910" s="7">
        <f>IF(ISBLANK(AB910), 0, VLOOKUP(AB910, 'Price Sheet'!$A$2:$B1015, 2, false))</f>
        <v>0</v>
      </c>
      <c r="AG910" s="33" t="str">
        <f t="shared" si="8"/>
        <v/>
      </c>
      <c r="AH910" s="37"/>
      <c r="AI910" s="29"/>
      <c r="AJ910" s="29" t="b">
        <v>0</v>
      </c>
      <c r="AK910" s="22" t="str">
        <f t="shared" si="9"/>
        <v/>
      </c>
      <c r="AL910" s="7">
        <f>IF(ISBLANK(AH910), 0, VLOOKUP(AH910, 'Price Sheet'!$A$2:$B1015, 2, false))</f>
        <v>0</v>
      </c>
      <c r="AM910" s="33" t="str">
        <f t="shared" si="10"/>
        <v/>
      </c>
      <c r="AN910" s="37"/>
      <c r="AO910" s="29"/>
      <c r="AP910" s="29" t="b">
        <v>0</v>
      </c>
      <c r="AQ910" s="22" t="str">
        <f t="shared" si="11"/>
        <v/>
      </c>
      <c r="AR910" s="7">
        <f>IF(ISBLANK(AN910), 0, VLOOKUP(AN910, 'Price Sheet'!$A$2:$B1015, 2, false))</f>
        <v>0</v>
      </c>
      <c r="AS910" s="33" t="str">
        <f t="shared" si="12"/>
        <v/>
      </c>
      <c r="AT910" s="37"/>
      <c r="AU910" s="29"/>
      <c r="AV910" s="29" t="b">
        <v>0</v>
      </c>
      <c r="AW910" s="22" t="str">
        <f t="shared" si="13"/>
        <v/>
      </c>
      <c r="AX910" s="7">
        <f>IF(ISBLANK(AT910), 0, VLOOKUP(AT910, 'Price Sheet'!$A$2:$B1015, 2, false))</f>
        <v>0</v>
      </c>
      <c r="AY910" s="33" t="str">
        <f t="shared" si="14"/>
        <v/>
      </c>
      <c r="AZ910" s="37"/>
      <c r="BA910" s="29"/>
      <c r="BB910" s="29" t="b">
        <v>0</v>
      </c>
      <c r="BC910" s="22" t="str">
        <f t="shared" si="15"/>
        <v/>
      </c>
      <c r="BD910" s="7">
        <f>IF(ISBLANK(AZ910), 0, VLOOKUP(AZ910, 'Price Sheet'!$A$2:$B1015, 2, false))</f>
        <v>0</v>
      </c>
      <c r="BE910" s="33" t="str">
        <f t="shared" si="16"/>
        <v/>
      </c>
      <c r="BF910" s="37"/>
      <c r="BG910" s="29"/>
      <c r="BH910" s="29" t="b">
        <v>0</v>
      </c>
      <c r="BI910" s="22" t="str">
        <f t="shared" si="17"/>
        <v/>
      </c>
      <c r="BJ910" s="7">
        <f>IF(ISBLANK(BF910), 0, VLOOKUP(BF910, 'Price Sheet'!$A$2:$B1015, 2, false))</f>
        <v>0</v>
      </c>
      <c r="BK910" s="33" t="str">
        <f t="shared" si="18"/>
        <v/>
      </c>
      <c r="BL910" s="37"/>
      <c r="BM910" s="29"/>
      <c r="BN910" s="29" t="b">
        <v>0</v>
      </c>
      <c r="BO910" s="22" t="str">
        <f t="shared" si="19"/>
        <v/>
      </c>
      <c r="BP910" s="7">
        <f>IF(ISBLANK(BL910), 0, VLOOKUP(BL910, 'Price Sheet'!$A$2:$B1015, 2, false))</f>
        <v>0</v>
      </c>
      <c r="BQ910" s="33" t="str">
        <f t="shared" si="20"/>
        <v/>
      </c>
    </row>
    <row r="911">
      <c r="B911" s="19"/>
      <c r="C911" s="29"/>
      <c r="D911" s="29"/>
      <c r="E911" s="7" t="str">
        <f>IF(ISBLANK(D911), "", VLOOKUP(D911,'Crafting Tables'!$A$2:$B1015, 2, false))</f>
        <v/>
      </c>
      <c r="F911" s="7" t="str">
        <f>IFERROR(IF(E911 = "None", 1, VLOOKUP(C911,General!$A$5:$L$35, SWITCH(E911, "Basic", 8, "Advanced", 10, "Modern", 12), false)),"")</f>
        <v/>
      </c>
      <c r="G911" s="29"/>
      <c r="H911" s="7">
        <f>IFERROR(VLOOKUP(C911, General!$A$5:$L$35, 6, false) * G911 / 1000, 0)</f>
        <v>0</v>
      </c>
      <c r="I911" s="29"/>
      <c r="J911" s="22" t="str">
        <f>IFERROR(I911*VLOOKUP(D911,'Crafting Tables'!$1:$1000, 4, false)*F911,"")</f>
        <v/>
      </c>
      <c r="K911" s="29" t="b">
        <v>0</v>
      </c>
      <c r="L911" s="37"/>
      <c r="M911" s="29"/>
      <c r="N911" s="21" t="str">
        <f t="shared" si="2"/>
        <v/>
      </c>
      <c r="P911" s="37"/>
      <c r="Q911" s="29"/>
      <c r="R911" s="29" t="b">
        <v>0</v>
      </c>
      <c r="S911" s="22" t="str">
        <f t="shared" si="3"/>
        <v/>
      </c>
      <c r="T911" s="7">
        <f>IF(ISBLANK(P911), 0, VLOOKUP(P911, 'Price Sheet'!$A$2:$B1015, 2, false))</f>
        <v>0</v>
      </c>
      <c r="U911" s="33" t="str">
        <f t="shared" si="4"/>
        <v/>
      </c>
      <c r="V911" s="37"/>
      <c r="W911" s="29"/>
      <c r="X911" s="29" t="b">
        <v>0</v>
      </c>
      <c r="Y911" s="22" t="str">
        <f t="shared" si="5"/>
        <v/>
      </c>
      <c r="Z911" s="7">
        <f>IF(ISBLANK(V911), 0, VLOOKUP(V911, 'Price Sheet'!$A$2:$B1015, 2, false))</f>
        <v>0</v>
      </c>
      <c r="AA911" s="33" t="str">
        <f t="shared" si="6"/>
        <v/>
      </c>
      <c r="AB911" s="37"/>
      <c r="AC911" s="29"/>
      <c r="AD911" s="29" t="b">
        <v>0</v>
      </c>
      <c r="AE911" s="22" t="str">
        <f t="shared" si="7"/>
        <v/>
      </c>
      <c r="AF911" s="7">
        <f>IF(ISBLANK(AB911), 0, VLOOKUP(AB911, 'Price Sheet'!$A$2:$B1015, 2, false))</f>
        <v>0</v>
      </c>
      <c r="AG911" s="33" t="str">
        <f t="shared" si="8"/>
        <v/>
      </c>
      <c r="AH911" s="37"/>
      <c r="AI911" s="29"/>
      <c r="AJ911" s="29" t="b">
        <v>0</v>
      </c>
      <c r="AK911" s="22" t="str">
        <f t="shared" si="9"/>
        <v/>
      </c>
      <c r="AL911" s="7">
        <f>IF(ISBLANK(AH911), 0, VLOOKUP(AH911, 'Price Sheet'!$A$2:$B1015, 2, false))</f>
        <v>0</v>
      </c>
      <c r="AM911" s="33" t="str">
        <f t="shared" si="10"/>
        <v/>
      </c>
      <c r="AN911" s="37"/>
      <c r="AO911" s="29"/>
      <c r="AP911" s="29" t="b">
        <v>0</v>
      </c>
      <c r="AQ911" s="22" t="str">
        <f t="shared" si="11"/>
        <v/>
      </c>
      <c r="AR911" s="7">
        <f>IF(ISBLANK(AN911), 0, VLOOKUP(AN911, 'Price Sheet'!$A$2:$B1015, 2, false))</f>
        <v>0</v>
      </c>
      <c r="AS911" s="33" t="str">
        <f t="shared" si="12"/>
        <v/>
      </c>
      <c r="AT911" s="37"/>
      <c r="AU911" s="29"/>
      <c r="AV911" s="29" t="b">
        <v>0</v>
      </c>
      <c r="AW911" s="22" t="str">
        <f t="shared" si="13"/>
        <v/>
      </c>
      <c r="AX911" s="7">
        <f>IF(ISBLANK(AT911), 0, VLOOKUP(AT911, 'Price Sheet'!$A$2:$B1015, 2, false))</f>
        <v>0</v>
      </c>
      <c r="AY911" s="33" t="str">
        <f t="shared" si="14"/>
        <v/>
      </c>
      <c r="AZ911" s="37"/>
      <c r="BA911" s="29"/>
      <c r="BB911" s="29" t="b">
        <v>0</v>
      </c>
      <c r="BC911" s="22" t="str">
        <f t="shared" si="15"/>
        <v/>
      </c>
      <c r="BD911" s="7">
        <f>IF(ISBLANK(AZ911), 0, VLOOKUP(AZ911, 'Price Sheet'!$A$2:$B1015, 2, false))</f>
        <v>0</v>
      </c>
      <c r="BE911" s="33" t="str">
        <f t="shared" si="16"/>
        <v/>
      </c>
      <c r="BF911" s="37"/>
      <c r="BG911" s="29"/>
      <c r="BH911" s="29" t="b">
        <v>0</v>
      </c>
      <c r="BI911" s="22" t="str">
        <f t="shared" si="17"/>
        <v/>
      </c>
      <c r="BJ911" s="7">
        <f>IF(ISBLANK(BF911), 0, VLOOKUP(BF911, 'Price Sheet'!$A$2:$B1015, 2, false))</f>
        <v>0</v>
      </c>
      <c r="BK911" s="33" t="str">
        <f t="shared" si="18"/>
        <v/>
      </c>
      <c r="BL911" s="37"/>
      <c r="BM911" s="29"/>
      <c r="BN911" s="29" t="b">
        <v>0</v>
      </c>
      <c r="BO911" s="22" t="str">
        <f t="shared" si="19"/>
        <v/>
      </c>
      <c r="BP911" s="7">
        <f>IF(ISBLANK(BL911), 0, VLOOKUP(BL911, 'Price Sheet'!$A$2:$B1015, 2, false))</f>
        <v>0</v>
      </c>
      <c r="BQ911" s="33" t="str">
        <f t="shared" si="20"/>
        <v/>
      </c>
    </row>
    <row r="912">
      <c r="B912" s="19"/>
      <c r="C912" s="29"/>
      <c r="D912" s="29"/>
      <c r="E912" s="7" t="str">
        <f>IF(ISBLANK(D912), "", VLOOKUP(D912,'Crafting Tables'!$A$2:$B1015, 2, false))</f>
        <v/>
      </c>
      <c r="F912" s="7" t="str">
        <f>IFERROR(IF(E912 = "None", 1, VLOOKUP(C912,General!$A$5:$L$35, SWITCH(E912, "Basic", 8, "Advanced", 10, "Modern", 12), false)),"")</f>
        <v/>
      </c>
      <c r="G912" s="29"/>
      <c r="H912" s="7">
        <f>IFERROR(VLOOKUP(C912, General!$A$5:$L$35, 6, false) * G912 / 1000, 0)</f>
        <v>0</v>
      </c>
      <c r="I912" s="29"/>
      <c r="J912" s="22" t="str">
        <f>IFERROR(I912*VLOOKUP(D912,'Crafting Tables'!$1:$1000, 4, false)*F912,"")</f>
        <v/>
      </c>
      <c r="K912" s="29" t="b">
        <v>0</v>
      </c>
      <c r="L912" s="37"/>
      <c r="M912" s="29"/>
      <c r="N912" s="21" t="str">
        <f t="shared" si="2"/>
        <v/>
      </c>
      <c r="P912" s="37"/>
      <c r="Q912" s="29"/>
      <c r="R912" s="29" t="b">
        <v>0</v>
      </c>
      <c r="S912" s="22" t="str">
        <f t="shared" si="3"/>
        <v/>
      </c>
      <c r="T912" s="7">
        <f>IF(ISBLANK(P912), 0, VLOOKUP(P912, 'Price Sheet'!$A$2:$B1015, 2, false))</f>
        <v>0</v>
      </c>
      <c r="U912" s="33" t="str">
        <f t="shared" si="4"/>
        <v/>
      </c>
      <c r="V912" s="37"/>
      <c r="W912" s="29"/>
      <c r="X912" s="29" t="b">
        <v>0</v>
      </c>
      <c r="Y912" s="22" t="str">
        <f t="shared" si="5"/>
        <v/>
      </c>
      <c r="Z912" s="7">
        <f>IF(ISBLANK(V912), 0, VLOOKUP(V912, 'Price Sheet'!$A$2:$B1015, 2, false))</f>
        <v>0</v>
      </c>
      <c r="AA912" s="33" t="str">
        <f t="shared" si="6"/>
        <v/>
      </c>
      <c r="AB912" s="37"/>
      <c r="AC912" s="29"/>
      <c r="AD912" s="29" t="b">
        <v>0</v>
      </c>
      <c r="AE912" s="22" t="str">
        <f t="shared" si="7"/>
        <v/>
      </c>
      <c r="AF912" s="7">
        <f>IF(ISBLANK(AB912), 0, VLOOKUP(AB912, 'Price Sheet'!$A$2:$B1015, 2, false))</f>
        <v>0</v>
      </c>
      <c r="AG912" s="33" t="str">
        <f t="shared" si="8"/>
        <v/>
      </c>
      <c r="AH912" s="37"/>
      <c r="AI912" s="29"/>
      <c r="AJ912" s="29" t="b">
        <v>0</v>
      </c>
      <c r="AK912" s="22" t="str">
        <f t="shared" si="9"/>
        <v/>
      </c>
      <c r="AL912" s="7">
        <f>IF(ISBLANK(AH912), 0, VLOOKUP(AH912, 'Price Sheet'!$A$2:$B1015, 2, false))</f>
        <v>0</v>
      </c>
      <c r="AM912" s="33" t="str">
        <f t="shared" si="10"/>
        <v/>
      </c>
      <c r="AN912" s="37"/>
      <c r="AO912" s="29"/>
      <c r="AP912" s="29" t="b">
        <v>0</v>
      </c>
      <c r="AQ912" s="22" t="str">
        <f t="shared" si="11"/>
        <v/>
      </c>
      <c r="AR912" s="7">
        <f>IF(ISBLANK(AN912), 0, VLOOKUP(AN912, 'Price Sheet'!$A$2:$B1015, 2, false))</f>
        <v>0</v>
      </c>
      <c r="AS912" s="33" t="str">
        <f t="shared" si="12"/>
        <v/>
      </c>
      <c r="AT912" s="37"/>
      <c r="AU912" s="29"/>
      <c r="AV912" s="29" t="b">
        <v>0</v>
      </c>
      <c r="AW912" s="22" t="str">
        <f t="shared" si="13"/>
        <v/>
      </c>
      <c r="AX912" s="7">
        <f>IF(ISBLANK(AT912), 0, VLOOKUP(AT912, 'Price Sheet'!$A$2:$B1015, 2, false))</f>
        <v>0</v>
      </c>
      <c r="AY912" s="33" t="str">
        <f t="shared" si="14"/>
        <v/>
      </c>
      <c r="AZ912" s="37"/>
      <c r="BA912" s="29"/>
      <c r="BB912" s="29" t="b">
        <v>0</v>
      </c>
      <c r="BC912" s="22" t="str">
        <f t="shared" si="15"/>
        <v/>
      </c>
      <c r="BD912" s="7">
        <f>IF(ISBLANK(AZ912), 0, VLOOKUP(AZ912, 'Price Sheet'!$A$2:$B1015, 2, false))</f>
        <v>0</v>
      </c>
      <c r="BE912" s="33" t="str">
        <f t="shared" si="16"/>
        <v/>
      </c>
      <c r="BF912" s="37"/>
      <c r="BG912" s="29"/>
      <c r="BH912" s="29" t="b">
        <v>0</v>
      </c>
      <c r="BI912" s="22" t="str">
        <f t="shared" si="17"/>
        <v/>
      </c>
      <c r="BJ912" s="7">
        <f>IF(ISBLANK(BF912), 0, VLOOKUP(BF912, 'Price Sheet'!$A$2:$B1015, 2, false))</f>
        <v>0</v>
      </c>
      <c r="BK912" s="33" t="str">
        <f t="shared" si="18"/>
        <v/>
      </c>
      <c r="BL912" s="37"/>
      <c r="BM912" s="29"/>
      <c r="BN912" s="29" t="b">
        <v>0</v>
      </c>
      <c r="BO912" s="22" t="str">
        <f t="shared" si="19"/>
        <v/>
      </c>
      <c r="BP912" s="7">
        <f>IF(ISBLANK(BL912), 0, VLOOKUP(BL912, 'Price Sheet'!$A$2:$B1015, 2, false))</f>
        <v>0</v>
      </c>
      <c r="BQ912" s="33" t="str">
        <f t="shared" si="20"/>
        <v/>
      </c>
    </row>
    <row r="913">
      <c r="B913" s="19"/>
      <c r="C913" s="29"/>
      <c r="D913" s="29"/>
      <c r="E913" s="7" t="str">
        <f>IF(ISBLANK(D913), "", VLOOKUP(D913,'Crafting Tables'!$A$2:$B1015, 2, false))</f>
        <v/>
      </c>
      <c r="F913" s="7" t="str">
        <f>IFERROR(IF(E913 = "None", 1, VLOOKUP(C913,General!$A$5:$L$35, SWITCH(E913, "Basic", 8, "Advanced", 10, "Modern", 12), false)),"")</f>
        <v/>
      </c>
      <c r="G913" s="29"/>
      <c r="H913" s="7">
        <f>IFERROR(VLOOKUP(C913, General!$A$5:$L$35, 6, false) * G913 / 1000, 0)</f>
        <v>0</v>
      </c>
      <c r="I913" s="29"/>
      <c r="J913" s="22" t="str">
        <f>IFERROR(I913*VLOOKUP(D913,'Crafting Tables'!$1:$1000, 4, false)*F913,"")</f>
        <v/>
      </c>
      <c r="K913" s="29" t="b">
        <v>0</v>
      </c>
      <c r="L913" s="37"/>
      <c r="M913" s="29"/>
      <c r="N913" s="21" t="str">
        <f t="shared" si="2"/>
        <v/>
      </c>
      <c r="P913" s="37"/>
      <c r="Q913" s="29"/>
      <c r="R913" s="29" t="b">
        <v>0</v>
      </c>
      <c r="S913" s="22" t="str">
        <f t="shared" si="3"/>
        <v/>
      </c>
      <c r="T913" s="7">
        <f>IF(ISBLANK(P913), 0, VLOOKUP(P913, 'Price Sheet'!$A$2:$B1015, 2, false))</f>
        <v>0</v>
      </c>
      <c r="U913" s="33" t="str">
        <f t="shared" si="4"/>
        <v/>
      </c>
      <c r="V913" s="37"/>
      <c r="W913" s="29"/>
      <c r="X913" s="29" t="b">
        <v>0</v>
      </c>
      <c r="Y913" s="22" t="str">
        <f t="shared" si="5"/>
        <v/>
      </c>
      <c r="Z913" s="7">
        <f>IF(ISBLANK(V913), 0, VLOOKUP(V913, 'Price Sheet'!$A$2:$B1015, 2, false))</f>
        <v>0</v>
      </c>
      <c r="AA913" s="33" t="str">
        <f t="shared" si="6"/>
        <v/>
      </c>
      <c r="AB913" s="37"/>
      <c r="AC913" s="29"/>
      <c r="AD913" s="29" t="b">
        <v>0</v>
      </c>
      <c r="AE913" s="22" t="str">
        <f t="shared" si="7"/>
        <v/>
      </c>
      <c r="AF913" s="7">
        <f>IF(ISBLANK(AB913), 0, VLOOKUP(AB913, 'Price Sheet'!$A$2:$B1015, 2, false))</f>
        <v>0</v>
      </c>
      <c r="AG913" s="33" t="str">
        <f t="shared" si="8"/>
        <v/>
      </c>
      <c r="AH913" s="37"/>
      <c r="AI913" s="29"/>
      <c r="AJ913" s="29" t="b">
        <v>0</v>
      </c>
      <c r="AK913" s="22" t="str">
        <f t="shared" si="9"/>
        <v/>
      </c>
      <c r="AL913" s="7">
        <f>IF(ISBLANK(AH913), 0, VLOOKUP(AH913, 'Price Sheet'!$A$2:$B1015, 2, false))</f>
        <v>0</v>
      </c>
      <c r="AM913" s="33" t="str">
        <f t="shared" si="10"/>
        <v/>
      </c>
      <c r="AN913" s="37"/>
      <c r="AO913" s="29"/>
      <c r="AP913" s="29" t="b">
        <v>0</v>
      </c>
      <c r="AQ913" s="22" t="str">
        <f t="shared" si="11"/>
        <v/>
      </c>
      <c r="AR913" s="7">
        <f>IF(ISBLANK(AN913), 0, VLOOKUP(AN913, 'Price Sheet'!$A$2:$B1015, 2, false))</f>
        <v>0</v>
      </c>
      <c r="AS913" s="33" t="str">
        <f t="shared" si="12"/>
        <v/>
      </c>
      <c r="AT913" s="37"/>
      <c r="AU913" s="29"/>
      <c r="AV913" s="29" t="b">
        <v>0</v>
      </c>
      <c r="AW913" s="22" t="str">
        <f t="shared" si="13"/>
        <v/>
      </c>
      <c r="AX913" s="7">
        <f>IF(ISBLANK(AT913), 0, VLOOKUP(AT913, 'Price Sheet'!$A$2:$B1015, 2, false))</f>
        <v>0</v>
      </c>
      <c r="AY913" s="33" t="str">
        <f t="shared" si="14"/>
        <v/>
      </c>
      <c r="AZ913" s="37"/>
      <c r="BA913" s="29"/>
      <c r="BB913" s="29" t="b">
        <v>0</v>
      </c>
      <c r="BC913" s="22" t="str">
        <f t="shared" si="15"/>
        <v/>
      </c>
      <c r="BD913" s="7">
        <f>IF(ISBLANK(AZ913), 0, VLOOKUP(AZ913, 'Price Sheet'!$A$2:$B1015, 2, false))</f>
        <v>0</v>
      </c>
      <c r="BE913" s="33" t="str">
        <f t="shared" si="16"/>
        <v/>
      </c>
      <c r="BF913" s="37"/>
      <c r="BG913" s="29"/>
      <c r="BH913" s="29" t="b">
        <v>0</v>
      </c>
      <c r="BI913" s="22" t="str">
        <f t="shared" si="17"/>
        <v/>
      </c>
      <c r="BJ913" s="7">
        <f>IF(ISBLANK(BF913), 0, VLOOKUP(BF913, 'Price Sheet'!$A$2:$B1015, 2, false))</f>
        <v>0</v>
      </c>
      <c r="BK913" s="33" t="str">
        <f t="shared" si="18"/>
        <v/>
      </c>
      <c r="BL913" s="37"/>
      <c r="BM913" s="29"/>
      <c r="BN913" s="29" t="b">
        <v>0</v>
      </c>
      <c r="BO913" s="22" t="str">
        <f t="shared" si="19"/>
        <v/>
      </c>
      <c r="BP913" s="7">
        <f>IF(ISBLANK(BL913), 0, VLOOKUP(BL913, 'Price Sheet'!$A$2:$B1015, 2, false))</f>
        <v>0</v>
      </c>
      <c r="BQ913" s="33" t="str">
        <f t="shared" si="20"/>
        <v/>
      </c>
    </row>
    <row r="914">
      <c r="B914" s="19"/>
      <c r="C914" s="29"/>
      <c r="D914" s="29"/>
      <c r="E914" s="7" t="str">
        <f>IF(ISBLANK(D914), "", VLOOKUP(D914,'Crafting Tables'!$A$2:$B1015, 2, false))</f>
        <v/>
      </c>
      <c r="F914" s="7" t="str">
        <f>IFERROR(IF(E914 = "None", 1, VLOOKUP(C914,General!$A$5:$L$35, SWITCH(E914, "Basic", 8, "Advanced", 10, "Modern", 12), false)),"")</f>
        <v/>
      </c>
      <c r="G914" s="29"/>
      <c r="H914" s="7">
        <f>IFERROR(VLOOKUP(C914, General!$A$5:$L$35, 6, false) * G914 / 1000, 0)</f>
        <v>0</v>
      </c>
      <c r="I914" s="29"/>
      <c r="J914" s="22" t="str">
        <f>IFERROR(I914*VLOOKUP(D914,'Crafting Tables'!$1:$1000, 4, false)*F914,"")</f>
        <v/>
      </c>
      <c r="K914" s="29" t="b">
        <v>0</v>
      </c>
      <c r="L914" s="37"/>
      <c r="M914" s="29"/>
      <c r="N914" s="21" t="str">
        <f t="shared" si="2"/>
        <v/>
      </c>
      <c r="P914" s="37"/>
      <c r="Q914" s="29"/>
      <c r="R914" s="29" t="b">
        <v>0</v>
      </c>
      <c r="S914" s="22" t="str">
        <f t="shared" si="3"/>
        <v/>
      </c>
      <c r="T914" s="7">
        <f>IF(ISBLANK(P914), 0, VLOOKUP(P914, 'Price Sheet'!$A$2:$B1015, 2, false))</f>
        <v>0</v>
      </c>
      <c r="U914" s="33" t="str">
        <f t="shared" si="4"/>
        <v/>
      </c>
      <c r="V914" s="37"/>
      <c r="W914" s="29"/>
      <c r="X914" s="29" t="b">
        <v>0</v>
      </c>
      <c r="Y914" s="22" t="str">
        <f t="shared" si="5"/>
        <v/>
      </c>
      <c r="Z914" s="7">
        <f>IF(ISBLANK(V914), 0, VLOOKUP(V914, 'Price Sheet'!$A$2:$B1015, 2, false))</f>
        <v>0</v>
      </c>
      <c r="AA914" s="33" t="str">
        <f t="shared" si="6"/>
        <v/>
      </c>
      <c r="AB914" s="37"/>
      <c r="AC914" s="29"/>
      <c r="AD914" s="29" t="b">
        <v>0</v>
      </c>
      <c r="AE914" s="22" t="str">
        <f t="shared" si="7"/>
        <v/>
      </c>
      <c r="AF914" s="7">
        <f>IF(ISBLANK(AB914), 0, VLOOKUP(AB914, 'Price Sheet'!$A$2:$B1015, 2, false))</f>
        <v>0</v>
      </c>
      <c r="AG914" s="33" t="str">
        <f t="shared" si="8"/>
        <v/>
      </c>
      <c r="AH914" s="37"/>
      <c r="AI914" s="29"/>
      <c r="AJ914" s="29" t="b">
        <v>0</v>
      </c>
      <c r="AK914" s="22" t="str">
        <f t="shared" si="9"/>
        <v/>
      </c>
      <c r="AL914" s="7">
        <f>IF(ISBLANK(AH914), 0, VLOOKUP(AH914, 'Price Sheet'!$A$2:$B1015, 2, false))</f>
        <v>0</v>
      </c>
      <c r="AM914" s="33" t="str">
        <f t="shared" si="10"/>
        <v/>
      </c>
      <c r="AN914" s="37"/>
      <c r="AO914" s="29"/>
      <c r="AP914" s="29" t="b">
        <v>0</v>
      </c>
      <c r="AQ914" s="22" t="str">
        <f t="shared" si="11"/>
        <v/>
      </c>
      <c r="AR914" s="7">
        <f>IF(ISBLANK(AN914), 0, VLOOKUP(AN914, 'Price Sheet'!$A$2:$B1015, 2, false))</f>
        <v>0</v>
      </c>
      <c r="AS914" s="33" t="str">
        <f t="shared" si="12"/>
        <v/>
      </c>
      <c r="AT914" s="37"/>
      <c r="AU914" s="29"/>
      <c r="AV914" s="29" t="b">
        <v>0</v>
      </c>
      <c r="AW914" s="22" t="str">
        <f t="shared" si="13"/>
        <v/>
      </c>
      <c r="AX914" s="7">
        <f>IF(ISBLANK(AT914), 0, VLOOKUP(AT914, 'Price Sheet'!$A$2:$B1015, 2, false))</f>
        <v>0</v>
      </c>
      <c r="AY914" s="33" t="str">
        <f t="shared" si="14"/>
        <v/>
      </c>
      <c r="AZ914" s="37"/>
      <c r="BA914" s="29"/>
      <c r="BB914" s="29" t="b">
        <v>0</v>
      </c>
      <c r="BC914" s="22" t="str">
        <f t="shared" si="15"/>
        <v/>
      </c>
      <c r="BD914" s="7">
        <f>IF(ISBLANK(AZ914), 0, VLOOKUP(AZ914, 'Price Sheet'!$A$2:$B1015, 2, false))</f>
        <v>0</v>
      </c>
      <c r="BE914" s="33" t="str">
        <f t="shared" si="16"/>
        <v/>
      </c>
      <c r="BF914" s="37"/>
      <c r="BG914" s="29"/>
      <c r="BH914" s="29" t="b">
        <v>0</v>
      </c>
      <c r="BI914" s="22" t="str">
        <f t="shared" si="17"/>
        <v/>
      </c>
      <c r="BJ914" s="7">
        <f>IF(ISBLANK(BF914), 0, VLOOKUP(BF914, 'Price Sheet'!$A$2:$B1015, 2, false))</f>
        <v>0</v>
      </c>
      <c r="BK914" s="33" t="str">
        <f t="shared" si="18"/>
        <v/>
      </c>
      <c r="BL914" s="37"/>
      <c r="BM914" s="29"/>
      <c r="BN914" s="29" t="b">
        <v>0</v>
      </c>
      <c r="BO914" s="22" t="str">
        <f t="shared" si="19"/>
        <v/>
      </c>
      <c r="BP914" s="7">
        <f>IF(ISBLANK(BL914), 0, VLOOKUP(BL914, 'Price Sheet'!$A$2:$B1015, 2, false))</f>
        <v>0</v>
      </c>
      <c r="BQ914" s="33" t="str">
        <f t="shared" si="20"/>
        <v/>
      </c>
    </row>
    <row r="915">
      <c r="B915" s="19"/>
      <c r="C915" s="29"/>
      <c r="D915" s="29"/>
      <c r="E915" s="7" t="str">
        <f>IF(ISBLANK(D915), "", VLOOKUP(D915,'Crafting Tables'!$A$2:$B1015, 2, false))</f>
        <v/>
      </c>
      <c r="F915" s="7" t="str">
        <f>IFERROR(IF(E915 = "None", 1, VLOOKUP(C915,General!$A$5:$L$35, SWITCH(E915, "Basic", 8, "Advanced", 10, "Modern", 12), false)),"")</f>
        <v/>
      </c>
      <c r="G915" s="29"/>
      <c r="H915" s="7">
        <f>IFERROR(VLOOKUP(C915, General!$A$5:$L$35, 6, false) * G915 / 1000, 0)</f>
        <v>0</v>
      </c>
      <c r="I915" s="29"/>
      <c r="J915" s="22" t="str">
        <f>IFERROR(I915*VLOOKUP(D915,'Crafting Tables'!$1:$1000, 4, false)*F915,"")</f>
        <v/>
      </c>
      <c r="K915" s="29" t="b">
        <v>0</v>
      </c>
      <c r="L915" s="37"/>
      <c r="M915" s="29"/>
      <c r="N915" s="21" t="str">
        <f t="shared" si="2"/>
        <v/>
      </c>
      <c r="P915" s="37"/>
      <c r="Q915" s="29"/>
      <c r="R915" s="29" t="b">
        <v>0</v>
      </c>
      <c r="S915" s="22" t="str">
        <f t="shared" si="3"/>
        <v/>
      </c>
      <c r="T915" s="7">
        <f>IF(ISBLANK(P915), 0, VLOOKUP(P915, 'Price Sheet'!$A$2:$B1015, 2, false))</f>
        <v>0</v>
      </c>
      <c r="U915" s="33" t="str">
        <f t="shared" si="4"/>
        <v/>
      </c>
      <c r="V915" s="37"/>
      <c r="W915" s="29"/>
      <c r="X915" s="29" t="b">
        <v>0</v>
      </c>
      <c r="Y915" s="22" t="str">
        <f t="shared" si="5"/>
        <v/>
      </c>
      <c r="Z915" s="7">
        <f>IF(ISBLANK(V915), 0, VLOOKUP(V915, 'Price Sheet'!$A$2:$B1015, 2, false))</f>
        <v>0</v>
      </c>
      <c r="AA915" s="33" t="str">
        <f t="shared" si="6"/>
        <v/>
      </c>
      <c r="AB915" s="37"/>
      <c r="AC915" s="29"/>
      <c r="AD915" s="29" t="b">
        <v>0</v>
      </c>
      <c r="AE915" s="22" t="str">
        <f t="shared" si="7"/>
        <v/>
      </c>
      <c r="AF915" s="7">
        <f>IF(ISBLANK(AB915), 0, VLOOKUP(AB915, 'Price Sheet'!$A$2:$B1015, 2, false))</f>
        <v>0</v>
      </c>
      <c r="AG915" s="33" t="str">
        <f t="shared" si="8"/>
        <v/>
      </c>
      <c r="AH915" s="37"/>
      <c r="AI915" s="29"/>
      <c r="AJ915" s="29" t="b">
        <v>0</v>
      </c>
      <c r="AK915" s="22" t="str">
        <f t="shared" si="9"/>
        <v/>
      </c>
      <c r="AL915" s="7">
        <f>IF(ISBLANK(AH915), 0, VLOOKUP(AH915, 'Price Sheet'!$A$2:$B1015, 2, false))</f>
        <v>0</v>
      </c>
      <c r="AM915" s="33" t="str">
        <f t="shared" si="10"/>
        <v/>
      </c>
      <c r="AN915" s="37"/>
      <c r="AO915" s="29"/>
      <c r="AP915" s="29" t="b">
        <v>0</v>
      </c>
      <c r="AQ915" s="22" t="str">
        <f t="shared" si="11"/>
        <v/>
      </c>
      <c r="AR915" s="7">
        <f>IF(ISBLANK(AN915), 0, VLOOKUP(AN915, 'Price Sheet'!$A$2:$B1015, 2, false))</f>
        <v>0</v>
      </c>
      <c r="AS915" s="33" t="str">
        <f t="shared" si="12"/>
        <v/>
      </c>
      <c r="AT915" s="37"/>
      <c r="AU915" s="29"/>
      <c r="AV915" s="29" t="b">
        <v>0</v>
      </c>
      <c r="AW915" s="22" t="str">
        <f t="shared" si="13"/>
        <v/>
      </c>
      <c r="AX915" s="7">
        <f>IF(ISBLANK(AT915), 0, VLOOKUP(AT915, 'Price Sheet'!$A$2:$B1015, 2, false))</f>
        <v>0</v>
      </c>
      <c r="AY915" s="33" t="str">
        <f t="shared" si="14"/>
        <v/>
      </c>
      <c r="AZ915" s="37"/>
      <c r="BA915" s="29"/>
      <c r="BB915" s="29" t="b">
        <v>0</v>
      </c>
      <c r="BC915" s="22" t="str">
        <f t="shared" si="15"/>
        <v/>
      </c>
      <c r="BD915" s="7">
        <f>IF(ISBLANK(AZ915), 0, VLOOKUP(AZ915, 'Price Sheet'!$A$2:$B1015, 2, false))</f>
        <v>0</v>
      </c>
      <c r="BE915" s="33" t="str">
        <f t="shared" si="16"/>
        <v/>
      </c>
      <c r="BF915" s="37"/>
      <c r="BG915" s="29"/>
      <c r="BH915" s="29" t="b">
        <v>0</v>
      </c>
      <c r="BI915" s="22" t="str">
        <f t="shared" si="17"/>
        <v/>
      </c>
      <c r="BJ915" s="7">
        <f>IF(ISBLANK(BF915), 0, VLOOKUP(BF915, 'Price Sheet'!$A$2:$B1015, 2, false))</f>
        <v>0</v>
      </c>
      <c r="BK915" s="33" t="str">
        <f t="shared" si="18"/>
        <v/>
      </c>
      <c r="BL915" s="37"/>
      <c r="BM915" s="29"/>
      <c r="BN915" s="29" t="b">
        <v>0</v>
      </c>
      <c r="BO915" s="22" t="str">
        <f t="shared" si="19"/>
        <v/>
      </c>
      <c r="BP915" s="7">
        <f>IF(ISBLANK(BL915), 0, VLOOKUP(BL915, 'Price Sheet'!$A$2:$B1015, 2, false))</f>
        <v>0</v>
      </c>
      <c r="BQ915" s="33" t="str">
        <f t="shared" si="20"/>
        <v/>
      </c>
    </row>
    <row r="916">
      <c r="B916" s="19"/>
      <c r="C916" s="29"/>
      <c r="D916" s="29"/>
      <c r="E916" s="7" t="str">
        <f>IF(ISBLANK(D916), "", VLOOKUP(D916,'Crafting Tables'!$A$2:$B1015, 2, false))</f>
        <v/>
      </c>
      <c r="F916" s="7" t="str">
        <f>IFERROR(IF(E916 = "None", 1, VLOOKUP(C916,General!$A$5:$L$35, SWITCH(E916, "Basic", 8, "Advanced", 10, "Modern", 12), false)),"")</f>
        <v/>
      </c>
      <c r="G916" s="29"/>
      <c r="H916" s="7">
        <f>IFERROR(VLOOKUP(C916, General!$A$5:$L$35, 6, false) * G916 / 1000, 0)</f>
        <v>0</v>
      </c>
      <c r="I916" s="29"/>
      <c r="J916" s="22" t="str">
        <f>IFERROR(I916*VLOOKUP(D916,'Crafting Tables'!$1:$1000, 4, false)*F916,"")</f>
        <v/>
      </c>
      <c r="K916" s="29" t="b">
        <v>0</v>
      </c>
      <c r="L916" s="37"/>
      <c r="M916" s="29"/>
      <c r="N916" s="21" t="str">
        <f t="shared" si="2"/>
        <v/>
      </c>
      <c r="P916" s="37"/>
      <c r="Q916" s="29"/>
      <c r="R916" s="29" t="b">
        <v>0</v>
      </c>
      <c r="S916" s="22" t="str">
        <f t="shared" si="3"/>
        <v/>
      </c>
      <c r="T916" s="7">
        <f>IF(ISBLANK(P916), 0, VLOOKUP(P916, 'Price Sheet'!$A$2:$B1015, 2, false))</f>
        <v>0</v>
      </c>
      <c r="U916" s="33" t="str">
        <f t="shared" si="4"/>
        <v/>
      </c>
      <c r="V916" s="37"/>
      <c r="W916" s="29"/>
      <c r="X916" s="29" t="b">
        <v>0</v>
      </c>
      <c r="Y916" s="22" t="str">
        <f t="shared" si="5"/>
        <v/>
      </c>
      <c r="Z916" s="7">
        <f>IF(ISBLANK(V916), 0, VLOOKUP(V916, 'Price Sheet'!$A$2:$B1015, 2, false))</f>
        <v>0</v>
      </c>
      <c r="AA916" s="33" t="str">
        <f t="shared" si="6"/>
        <v/>
      </c>
      <c r="AB916" s="37"/>
      <c r="AC916" s="29"/>
      <c r="AD916" s="29" t="b">
        <v>0</v>
      </c>
      <c r="AE916" s="22" t="str">
        <f t="shared" si="7"/>
        <v/>
      </c>
      <c r="AF916" s="7">
        <f>IF(ISBLANK(AB916), 0, VLOOKUP(AB916, 'Price Sheet'!$A$2:$B1015, 2, false))</f>
        <v>0</v>
      </c>
      <c r="AG916" s="33" t="str">
        <f t="shared" si="8"/>
        <v/>
      </c>
      <c r="AH916" s="37"/>
      <c r="AI916" s="29"/>
      <c r="AJ916" s="29" t="b">
        <v>0</v>
      </c>
      <c r="AK916" s="22" t="str">
        <f t="shared" si="9"/>
        <v/>
      </c>
      <c r="AL916" s="7">
        <f>IF(ISBLANK(AH916), 0, VLOOKUP(AH916, 'Price Sheet'!$A$2:$B1015, 2, false))</f>
        <v>0</v>
      </c>
      <c r="AM916" s="33" t="str">
        <f t="shared" si="10"/>
        <v/>
      </c>
      <c r="AN916" s="37"/>
      <c r="AO916" s="29"/>
      <c r="AP916" s="29" t="b">
        <v>0</v>
      </c>
      <c r="AQ916" s="22" t="str">
        <f t="shared" si="11"/>
        <v/>
      </c>
      <c r="AR916" s="7">
        <f>IF(ISBLANK(AN916), 0, VLOOKUP(AN916, 'Price Sheet'!$A$2:$B1015, 2, false))</f>
        <v>0</v>
      </c>
      <c r="AS916" s="33" t="str">
        <f t="shared" si="12"/>
        <v/>
      </c>
      <c r="AT916" s="37"/>
      <c r="AU916" s="29"/>
      <c r="AV916" s="29" t="b">
        <v>0</v>
      </c>
      <c r="AW916" s="22" t="str">
        <f t="shared" si="13"/>
        <v/>
      </c>
      <c r="AX916" s="7">
        <f>IF(ISBLANK(AT916), 0, VLOOKUP(AT916, 'Price Sheet'!$A$2:$B1015, 2, false))</f>
        <v>0</v>
      </c>
      <c r="AY916" s="33" t="str">
        <f t="shared" si="14"/>
        <v/>
      </c>
      <c r="AZ916" s="37"/>
      <c r="BA916" s="29"/>
      <c r="BB916" s="29" t="b">
        <v>0</v>
      </c>
      <c r="BC916" s="22" t="str">
        <f t="shared" si="15"/>
        <v/>
      </c>
      <c r="BD916" s="7">
        <f>IF(ISBLANK(AZ916), 0, VLOOKUP(AZ916, 'Price Sheet'!$A$2:$B1015, 2, false))</f>
        <v>0</v>
      </c>
      <c r="BE916" s="33" t="str">
        <f t="shared" si="16"/>
        <v/>
      </c>
      <c r="BF916" s="37"/>
      <c r="BG916" s="29"/>
      <c r="BH916" s="29" t="b">
        <v>0</v>
      </c>
      <c r="BI916" s="22" t="str">
        <f t="shared" si="17"/>
        <v/>
      </c>
      <c r="BJ916" s="7">
        <f>IF(ISBLANK(BF916), 0, VLOOKUP(BF916, 'Price Sheet'!$A$2:$B1015, 2, false))</f>
        <v>0</v>
      </c>
      <c r="BK916" s="33" t="str">
        <f t="shared" si="18"/>
        <v/>
      </c>
      <c r="BL916" s="37"/>
      <c r="BM916" s="29"/>
      <c r="BN916" s="29" t="b">
        <v>0</v>
      </c>
      <c r="BO916" s="22" t="str">
        <f t="shared" si="19"/>
        <v/>
      </c>
      <c r="BP916" s="7">
        <f>IF(ISBLANK(BL916), 0, VLOOKUP(BL916, 'Price Sheet'!$A$2:$B1015, 2, false))</f>
        <v>0</v>
      </c>
      <c r="BQ916" s="33" t="str">
        <f t="shared" si="20"/>
        <v/>
      </c>
    </row>
    <row r="917">
      <c r="B917" s="19"/>
      <c r="C917" s="29"/>
      <c r="D917" s="29"/>
      <c r="E917" s="7" t="str">
        <f>IF(ISBLANK(D917), "", VLOOKUP(D917,'Crafting Tables'!$A$2:$B1015, 2, false))</f>
        <v/>
      </c>
      <c r="F917" s="7" t="str">
        <f>IFERROR(IF(E917 = "None", 1, VLOOKUP(C917,General!$A$5:$L$35, SWITCH(E917, "Basic", 8, "Advanced", 10, "Modern", 12), false)),"")</f>
        <v/>
      </c>
      <c r="G917" s="29"/>
      <c r="H917" s="7">
        <f>IFERROR(VLOOKUP(C917, General!$A$5:$L$35, 6, false) * G917 / 1000, 0)</f>
        <v>0</v>
      </c>
      <c r="I917" s="29"/>
      <c r="J917" s="22" t="str">
        <f>IFERROR(I917*VLOOKUP(D917,'Crafting Tables'!$1:$1000, 4, false)*F917,"")</f>
        <v/>
      </c>
      <c r="K917" s="29" t="b">
        <v>0</v>
      </c>
      <c r="L917" s="37"/>
      <c r="M917" s="29"/>
      <c r="N917" s="21" t="str">
        <f t="shared" si="2"/>
        <v/>
      </c>
      <c r="P917" s="37"/>
      <c r="Q917" s="29"/>
      <c r="R917" s="29" t="b">
        <v>0</v>
      </c>
      <c r="S917" s="22" t="str">
        <f t="shared" si="3"/>
        <v/>
      </c>
      <c r="T917" s="7">
        <f>IF(ISBLANK(P917), 0, VLOOKUP(P917, 'Price Sheet'!$A$2:$B1015, 2, false))</f>
        <v>0</v>
      </c>
      <c r="U917" s="33" t="str">
        <f t="shared" si="4"/>
        <v/>
      </c>
      <c r="V917" s="37"/>
      <c r="W917" s="29"/>
      <c r="X917" s="29" t="b">
        <v>0</v>
      </c>
      <c r="Y917" s="22" t="str">
        <f t="shared" si="5"/>
        <v/>
      </c>
      <c r="Z917" s="7">
        <f>IF(ISBLANK(V917), 0, VLOOKUP(V917, 'Price Sheet'!$A$2:$B1015, 2, false))</f>
        <v>0</v>
      </c>
      <c r="AA917" s="33" t="str">
        <f t="shared" si="6"/>
        <v/>
      </c>
      <c r="AB917" s="37"/>
      <c r="AC917" s="29"/>
      <c r="AD917" s="29" t="b">
        <v>0</v>
      </c>
      <c r="AE917" s="22" t="str">
        <f t="shared" si="7"/>
        <v/>
      </c>
      <c r="AF917" s="7">
        <f>IF(ISBLANK(AB917), 0, VLOOKUP(AB917, 'Price Sheet'!$A$2:$B1015, 2, false))</f>
        <v>0</v>
      </c>
      <c r="AG917" s="33" t="str">
        <f t="shared" si="8"/>
        <v/>
      </c>
      <c r="AH917" s="37"/>
      <c r="AI917" s="29"/>
      <c r="AJ917" s="29" t="b">
        <v>0</v>
      </c>
      <c r="AK917" s="22" t="str">
        <f t="shared" si="9"/>
        <v/>
      </c>
      <c r="AL917" s="7">
        <f>IF(ISBLANK(AH917), 0, VLOOKUP(AH917, 'Price Sheet'!$A$2:$B1015, 2, false))</f>
        <v>0</v>
      </c>
      <c r="AM917" s="33" t="str">
        <f t="shared" si="10"/>
        <v/>
      </c>
      <c r="AN917" s="37"/>
      <c r="AO917" s="29"/>
      <c r="AP917" s="29" t="b">
        <v>0</v>
      </c>
      <c r="AQ917" s="22" t="str">
        <f t="shared" si="11"/>
        <v/>
      </c>
      <c r="AR917" s="7">
        <f>IF(ISBLANK(AN917), 0, VLOOKUP(AN917, 'Price Sheet'!$A$2:$B1015, 2, false))</f>
        <v>0</v>
      </c>
      <c r="AS917" s="33" t="str">
        <f t="shared" si="12"/>
        <v/>
      </c>
      <c r="AT917" s="37"/>
      <c r="AU917" s="29"/>
      <c r="AV917" s="29" t="b">
        <v>0</v>
      </c>
      <c r="AW917" s="22" t="str">
        <f t="shared" si="13"/>
        <v/>
      </c>
      <c r="AX917" s="7">
        <f>IF(ISBLANK(AT917), 0, VLOOKUP(AT917, 'Price Sheet'!$A$2:$B1015, 2, false))</f>
        <v>0</v>
      </c>
      <c r="AY917" s="33" t="str">
        <f t="shared" si="14"/>
        <v/>
      </c>
      <c r="AZ917" s="37"/>
      <c r="BA917" s="29"/>
      <c r="BB917" s="29" t="b">
        <v>0</v>
      </c>
      <c r="BC917" s="22" t="str">
        <f t="shared" si="15"/>
        <v/>
      </c>
      <c r="BD917" s="7">
        <f>IF(ISBLANK(AZ917), 0, VLOOKUP(AZ917, 'Price Sheet'!$A$2:$B1015, 2, false))</f>
        <v>0</v>
      </c>
      <c r="BE917" s="33" t="str">
        <f t="shared" si="16"/>
        <v/>
      </c>
      <c r="BF917" s="37"/>
      <c r="BG917" s="29"/>
      <c r="BH917" s="29" t="b">
        <v>0</v>
      </c>
      <c r="BI917" s="22" t="str">
        <f t="shared" si="17"/>
        <v/>
      </c>
      <c r="BJ917" s="7">
        <f>IF(ISBLANK(BF917), 0, VLOOKUP(BF917, 'Price Sheet'!$A$2:$B1015, 2, false))</f>
        <v>0</v>
      </c>
      <c r="BK917" s="33" t="str">
        <f t="shared" si="18"/>
        <v/>
      </c>
      <c r="BL917" s="37"/>
      <c r="BM917" s="29"/>
      <c r="BN917" s="29" t="b">
        <v>0</v>
      </c>
      <c r="BO917" s="22" t="str">
        <f t="shared" si="19"/>
        <v/>
      </c>
      <c r="BP917" s="7">
        <f>IF(ISBLANK(BL917), 0, VLOOKUP(BL917, 'Price Sheet'!$A$2:$B1015, 2, false))</f>
        <v>0</v>
      </c>
      <c r="BQ917" s="33" t="str">
        <f t="shared" si="20"/>
        <v/>
      </c>
    </row>
    <row r="918">
      <c r="B918" s="19"/>
      <c r="C918" s="29"/>
      <c r="D918" s="29"/>
      <c r="E918" s="7" t="str">
        <f>IF(ISBLANK(D918), "", VLOOKUP(D918,'Crafting Tables'!$A$2:$B1015, 2, false))</f>
        <v/>
      </c>
      <c r="F918" s="7" t="str">
        <f>IFERROR(IF(E918 = "None", 1, VLOOKUP(C918,General!$A$5:$L$35, SWITCH(E918, "Basic", 8, "Advanced", 10, "Modern", 12), false)),"")</f>
        <v/>
      </c>
      <c r="G918" s="29"/>
      <c r="H918" s="7">
        <f>IFERROR(VLOOKUP(C918, General!$A$5:$L$35, 6, false) * G918 / 1000, 0)</f>
        <v>0</v>
      </c>
      <c r="I918" s="29"/>
      <c r="J918" s="22" t="str">
        <f>IFERROR(I918*VLOOKUP(D918,'Crafting Tables'!$1:$1000, 4, false)*F918,"")</f>
        <v/>
      </c>
      <c r="K918" s="29" t="b">
        <v>0</v>
      </c>
      <c r="L918" s="37"/>
      <c r="M918" s="29"/>
      <c r="N918" s="21" t="str">
        <f t="shared" si="2"/>
        <v/>
      </c>
      <c r="P918" s="37"/>
      <c r="Q918" s="29"/>
      <c r="R918" s="29" t="b">
        <v>0</v>
      </c>
      <c r="S918" s="22" t="str">
        <f t="shared" si="3"/>
        <v/>
      </c>
      <c r="T918" s="7">
        <f>IF(ISBLANK(P918), 0, VLOOKUP(P918, 'Price Sheet'!$A$2:$B1015, 2, false))</f>
        <v>0</v>
      </c>
      <c r="U918" s="33" t="str">
        <f t="shared" si="4"/>
        <v/>
      </c>
      <c r="V918" s="37"/>
      <c r="W918" s="29"/>
      <c r="X918" s="29" t="b">
        <v>0</v>
      </c>
      <c r="Y918" s="22" t="str">
        <f t="shared" si="5"/>
        <v/>
      </c>
      <c r="Z918" s="7">
        <f>IF(ISBLANK(V918), 0, VLOOKUP(V918, 'Price Sheet'!$A$2:$B1015, 2, false))</f>
        <v>0</v>
      </c>
      <c r="AA918" s="33" t="str">
        <f t="shared" si="6"/>
        <v/>
      </c>
      <c r="AB918" s="37"/>
      <c r="AC918" s="29"/>
      <c r="AD918" s="29" t="b">
        <v>0</v>
      </c>
      <c r="AE918" s="22" t="str">
        <f t="shared" si="7"/>
        <v/>
      </c>
      <c r="AF918" s="7">
        <f>IF(ISBLANK(AB918), 0, VLOOKUP(AB918, 'Price Sheet'!$A$2:$B1015, 2, false))</f>
        <v>0</v>
      </c>
      <c r="AG918" s="33" t="str">
        <f t="shared" si="8"/>
        <v/>
      </c>
      <c r="AH918" s="37"/>
      <c r="AI918" s="29"/>
      <c r="AJ918" s="29" t="b">
        <v>0</v>
      </c>
      <c r="AK918" s="22" t="str">
        <f t="shared" si="9"/>
        <v/>
      </c>
      <c r="AL918" s="7">
        <f>IF(ISBLANK(AH918), 0, VLOOKUP(AH918, 'Price Sheet'!$A$2:$B1015, 2, false))</f>
        <v>0</v>
      </c>
      <c r="AM918" s="33" t="str">
        <f t="shared" si="10"/>
        <v/>
      </c>
      <c r="AN918" s="37"/>
      <c r="AO918" s="29"/>
      <c r="AP918" s="29" t="b">
        <v>0</v>
      </c>
      <c r="AQ918" s="22" t="str">
        <f t="shared" si="11"/>
        <v/>
      </c>
      <c r="AR918" s="7">
        <f>IF(ISBLANK(AN918), 0, VLOOKUP(AN918, 'Price Sheet'!$A$2:$B1015, 2, false))</f>
        <v>0</v>
      </c>
      <c r="AS918" s="33" t="str">
        <f t="shared" si="12"/>
        <v/>
      </c>
      <c r="AT918" s="37"/>
      <c r="AU918" s="29"/>
      <c r="AV918" s="29" t="b">
        <v>0</v>
      </c>
      <c r="AW918" s="22" t="str">
        <f t="shared" si="13"/>
        <v/>
      </c>
      <c r="AX918" s="7">
        <f>IF(ISBLANK(AT918), 0, VLOOKUP(AT918, 'Price Sheet'!$A$2:$B1015, 2, false))</f>
        <v>0</v>
      </c>
      <c r="AY918" s="33" t="str">
        <f t="shared" si="14"/>
        <v/>
      </c>
      <c r="AZ918" s="37"/>
      <c r="BA918" s="29"/>
      <c r="BB918" s="29" t="b">
        <v>0</v>
      </c>
      <c r="BC918" s="22" t="str">
        <f t="shared" si="15"/>
        <v/>
      </c>
      <c r="BD918" s="7">
        <f>IF(ISBLANK(AZ918), 0, VLOOKUP(AZ918, 'Price Sheet'!$A$2:$B1015, 2, false))</f>
        <v>0</v>
      </c>
      <c r="BE918" s="33" t="str">
        <f t="shared" si="16"/>
        <v/>
      </c>
      <c r="BF918" s="37"/>
      <c r="BG918" s="29"/>
      <c r="BH918" s="29" t="b">
        <v>0</v>
      </c>
      <c r="BI918" s="22" t="str">
        <f t="shared" si="17"/>
        <v/>
      </c>
      <c r="BJ918" s="7">
        <f>IF(ISBLANK(BF918), 0, VLOOKUP(BF918, 'Price Sheet'!$A$2:$B1015, 2, false))</f>
        <v>0</v>
      </c>
      <c r="BK918" s="33" t="str">
        <f t="shared" si="18"/>
        <v/>
      </c>
      <c r="BL918" s="37"/>
      <c r="BM918" s="29"/>
      <c r="BN918" s="29" t="b">
        <v>0</v>
      </c>
      <c r="BO918" s="22" t="str">
        <f t="shared" si="19"/>
        <v/>
      </c>
      <c r="BP918" s="7">
        <f>IF(ISBLANK(BL918), 0, VLOOKUP(BL918, 'Price Sheet'!$A$2:$B1015, 2, false))</f>
        <v>0</v>
      </c>
      <c r="BQ918" s="33" t="str">
        <f t="shared" si="20"/>
        <v/>
      </c>
    </row>
    <row r="919">
      <c r="B919" s="19"/>
      <c r="C919" s="29"/>
      <c r="D919" s="29"/>
      <c r="E919" s="7" t="str">
        <f>IF(ISBLANK(D919), "", VLOOKUP(D919,'Crafting Tables'!$A$2:$B1015, 2, false))</f>
        <v/>
      </c>
      <c r="F919" s="7" t="str">
        <f>IFERROR(IF(E919 = "None", 1, VLOOKUP(C919,General!$A$5:$L$35, SWITCH(E919, "Basic", 8, "Advanced", 10, "Modern", 12), false)),"")</f>
        <v/>
      </c>
      <c r="G919" s="29"/>
      <c r="H919" s="7">
        <f>IFERROR(VLOOKUP(C919, General!$A$5:$L$35, 6, false) * G919 / 1000, 0)</f>
        <v>0</v>
      </c>
      <c r="I919" s="29"/>
      <c r="J919" s="22" t="str">
        <f>IFERROR(I919*VLOOKUP(D919,'Crafting Tables'!$1:$1000, 4, false)*F919,"")</f>
        <v/>
      </c>
      <c r="K919" s="29" t="b">
        <v>0</v>
      </c>
      <c r="L919" s="37"/>
      <c r="M919" s="29"/>
      <c r="N919" s="21" t="str">
        <f t="shared" si="2"/>
        <v/>
      </c>
      <c r="P919" s="37"/>
      <c r="Q919" s="29"/>
      <c r="R919" s="29" t="b">
        <v>0</v>
      </c>
      <c r="S919" s="22" t="str">
        <f t="shared" si="3"/>
        <v/>
      </c>
      <c r="T919" s="7">
        <f>IF(ISBLANK(P919), 0, VLOOKUP(P919, 'Price Sheet'!$A$2:$B1015, 2, false))</f>
        <v>0</v>
      </c>
      <c r="U919" s="33" t="str">
        <f t="shared" si="4"/>
        <v/>
      </c>
      <c r="V919" s="37"/>
      <c r="W919" s="29"/>
      <c r="X919" s="29" t="b">
        <v>0</v>
      </c>
      <c r="Y919" s="22" t="str">
        <f t="shared" si="5"/>
        <v/>
      </c>
      <c r="Z919" s="7">
        <f>IF(ISBLANK(V919), 0, VLOOKUP(V919, 'Price Sheet'!$A$2:$B1015, 2, false))</f>
        <v>0</v>
      </c>
      <c r="AA919" s="33" t="str">
        <f t="shared" si="6"/>
        <v/>
      </c>
      <c r="AB919" s="37"/>
      <c r="AC919" s="29"/>
      <c r="AD919" s="29" t="b">
        <v>0</v>
      </c>
      <c r="AE919" s="22" t="str">
        <f t="shared" si="7"/>
        <v/>
      </c>
      <c r="AF919" s="7">
        <f>IF(ISBLANK(AB919), 0, VLOOKUP(AB919, 'Price Sheet'!$A$2:$B1015, 2, false))</f>
        <v>0</v>
      </c>
      <c r="AG919" s="33" t="str">
        <f t="shared" si="8"/>
        <v/>
      </c>
      <c r="AH919" s="37"/>
      <c r="AI919" s="29"/>
      <c r="AJ919" s="29" t="b">
        <v>0</v>
      </c>
      <c r="AK919" s="22" t="str">
        <f t="shared" si="9"/>
        <v/>
      </c>
      <c r="AL919" s="7">
        <f>IF(ISBLANK(AH919), 0, VLOOKUP(AH919, 'Price Sheet'!$A$2:$B1015, 2, false))</f>
        <v>0</v>
      </c>
      <c r="AM919" s="33" t="str">
        <f t="shared" si="10"/>
        <v/>
      </c>
      <c r="AN919" s="37"/>
      <c r="AO919" s="29"/>
      <c r="AP919" s="29" t="b">
        <v>0</v>
      </c>
      <c r="AQ919" s="22" t="str">
        <f t="shared" si="11"/>
        <v/>
      </c>
      <c r="AR919" s="7">
        <f>IF(ISBLANK(AN919), 0, VLOOKUP(AN919, 'Price Sheet'!$A$2:$B1015, 2, false))</f>
        <v>0</v>
      </c>
      <c r="AS919" s="33" t="str">
        <f t="shared" si="12"/>
        <v/>
      </c>
      <c r="AT919" s="37"/>
      <c r="AU919" s="29"/>
      <c r="AV919" s="29" t="b">
        <v>0</v>
      </c>
      <c r="AW919" s="22" t="str">
        <f t="shared" si="13"/>
        <v/>
      </c>
      <c r="AX919" s="7">
        <f>IF(ISBLANK(AT919), 0, VLOOKUP(AT919, 'Price Sheet'!$A$2:$B1015, 2, false))</f>
        <v>0</v>
      </c>
      <c r="AY919" s="33" t="str">
        <f t="shared" si="14"/>
        <v/>
      </c>
      <c r="AZ919" s="37"/>
      <c r="BA919" s="29"/>
      <c r="BB919" s="29" t="b">
        <v>0</v>
      </c>
      <c r="BC919" s="22" t="str">
        <f t="shared" si="15"/>
        <v/>
      </c>
      <c r="BD919" s="7">
        <f>IF(ISBLANK(AZ919), 0, VLOOKUP(AZ919, 'Price Sheet'!$A$2:$B1015, 2, false))</f>
        <v>0</v>
      </c>
      <c r="BE919" s="33" t="str">
        <f t="shared" si="16"/>
        <v/>
      </c>
      <c r="BF919" s="37"/>
      <c r="BG919" s="29"/>
      <c r="BH919" s="29" t="b">
        <v>0</v>
      </c>
      <c r="BI919" s="22" t="str">
        <f t="shared" si="17"/>
        <v/>
      </c>
      <c r="BJ919" s="7">
        <f>IF(ISBLANK(BF919), 0, VLOOKUP(BF919, 'Price Sheet'!$A$2:$B1015, 2, false))</f>
        <v>0</v>
      </c>
      <c r="BK919" s="33" t="str">
        <f t="shared" si="18"/>
        <v/>
      </c>
      <c r="BL919" s="37"/>
      <c r="BM919" s="29"/>
      <c r="BN919" s="29" t="b">
        <v>0</v>
      </c>
      <c r="BO919" s="22" t="str">
        <f t="shared" si="19"/>
        <v/>
      </c>
      <c r="BP919" s="7">
        <f>IF(ISBLANK(BL919), 0, VLOOKUP(BL919, 'Price Sheet'!$A$2:$B1015, 2, false))</f>
        <v>0</v>
      </c>
      <c r="BQ919" s="33" t="str">
        <f t="shared" si="20"/>
        <v/>
      </c>
    </row>
    <row r="920">
      <c r="B920" s="19"/>
      <c r="C920" s="29"/>
      <c r="D920" s="29"/>
      <c r="E920" s="7" t="str">
        <f>IF(ISBLANK(D920), "", VLOOKUP(D920,'Crafting Tables'!$A$2:$B1015, 2, false))</f>
        <v/>
      </c>
      <c r="F920" s="7" t="str">
        <f>IFERROR(IF(E920 = "None", 1, VLOOKUP(C920,General!$A$5:$L$35, SWITCH(E920, "Basic", 8, "Advanced", 10, "Modern", 12), false)),"")</f>
        <v/>
      </c>
      <c r="G920" s="29"/>
      <c r="H920" s="7">
        <f>IFERROR(VLOOKUP(C920, General!$A$5:$L$35, 6, false) * G920 / 1000, 0)</f>
        <v>0</v>
      </c>
      <c r="I920" s="29"/>
      <c r="J920" s="22" t="str">
        <f>IFERROR(I920*VLOOKUP(D920,'Crafting Tables'!$1:$1000, 4, false)*F920,"")</f>
        <v/>
      </c>
      <c r="K920" s="29" t="b">
        <v>0</v>
      </c>
      <c r="L920" s="37"/>
      <c r="M920" s="29"/>
      <c r="N920" s="21" t="str">
        <f t="shared" si="2"/>
        <v/>
      </c>
      <c r="P920" s="37"/>
      <c r="Q920" s="29"/>
      <c r="R920" s="29" t="b">
        <v>0</v>
      </c>
      <c r="S920" s="22" t="str">
        <f t="shared" si="3"/>
        <v/>
      </c>
      <c r="T920" s="7">
        <f>IF(ISBLANK(P920), 0, VLOOKUP(P920, 'Price Sheet'!$A$2:$B1015, 2, false))</f>
        <v>0</v>
      </c>
      <c r="U920" s="33" t="str">
        <f t="shared" si="4"/>
        <v/>
      </c>
      <c r="V920" s="37"/>
      <c r="W920" s="29"/>
      <c r="X920" s="29" t="b">
        <v>0</v>
      </c>
      <c r="Y920" s="22" t="str">
        <f t="shared" si="5"/>
        <v/>
      </c>
      <c r="Z920" s="7">
        <f>IF(ISBLANK(V920), 0, VLOOKUP(V920, 'Price Sheet'!$A$2:$B1015, 2, false))</f>
        <v>0</v>
      </c>
      <c r="AA920" s="33" t="str">
        <f t="shared" si="6"/>
        <v/>
      </c>
      <c r="AB920" s="37"/>
      <c r="AC920" s="29"/>
      <c r="AD920" s="29" t="b">
        <v>0</v>
      </c>
      <c r="AE920" s="22" t="str">
        <f t="shared" si="7"/>
        <v/>
      </c>
      <c r="AF920" s="7">
        <f>IF(ISBLANK(AB920), 0, VLOOKUP(AB920, 'Price Sheet'!$A$2:$B1015, 2, false))</f>
        <v>0</v>
      </c>
      <c r="AG920" s="33" t="str">
        <f t="shared" si="8"/>
        <v/>
      </c>
      <c r="AH920" s="37"/>
      <c r="AI920" s="29"/>
      <c r="AJ920" s="29" t="b">
        <v>0</v>
      </c>
      <c r="AK920" s="22" t="str">
        <f t="shared" si="9"/>
        <v/>
      </c>
      <c r="AL920" s="7">
        <f>IF(ISBLANK(AH920), 0, VLOOKUP(AH920, 'Price Sheet'!$A$2:$B1015, 2, false))</f>
        <v>0</v>
      </c>
      <c r="AM920" s="33" t="str">
        <f t="shared" si="10"/>
        <v/>
      </c>
      <c r="AN920" s="37"/>
      <c r="AO920" s="29"/>
      <c r="AP920" s="29" t="b">
        <v>0</v>
      </c>
      <c r="AQ920" s="22" t="str">
        <f t="shared" si="11"/>
        <v/>
      </c>
      <c r="AR920" s="7">
        <f>IF(ISBLANK(AN920), 0, VLOOKUP(AN920, 'Price Sheet'!$A$2:$B1015, 2, false))</f>
        <v>0</v>
      </c>
      <c r="AS920" s="33" t="str">
        <f t="shared" si="12"/>
        <v/>
      </c>
      <c r="AT920" s="37"/>
      <c r="AU920" s="29"/>
      <c r="AV920" s="29" t="b">
        <v>0</v>
      </c>
      <c r="AW920" s="22" t="str">
        <f t="shared" si="13"/>
        <v/>
      </c>
      <c r="AX920" s="7">
        <f>IF(ISBLANK(AT920), 0, VLOOKUP(AT920, 'Price Sheet'!$A$2:$B1015, 2, false))</f>
        <v>0</v>
      </c>
      <c r="AY920" s="33" t="str">
        <f t="shared" si="14"/>
        <v/>
      </c>
      <c r="AZ920" s="37"/>
      <c r="BA920" s="29"/>
      <c r="BB920" s="29" t="b">
        <v>0</v>
      </c>
      <c r="BC920" s="22" t="str">
        <f t="shared" si="15"/>
        <v/>
      </c>
      <c r="BD920" s="7">
        <f>IF(ISBLANK(AZ920), 0, VLOOKUP(AZ920, 'Price Sheet'!$A$2:$B1015, 2, false))</f>
        <v>0</v>
      </c>
      <c r="BE920" s="33" t="str">
        <f t="shared" si="16"/>
        <v/>
      </c>
      <c r="BF920" s="37"/>
      <c r="BG920" s="29"/>
      <c r="BH920" s="29" t="b">
        <v>0</v>
      </c>
      <c r="BI920" s="22" t="str">
        <f t="shared" si="17"/>
        <v/>
      </c>
      <c r="BJ920" s="7">
        <f>IF(ISBLANK(BF920), 0, VLOOKUP(BF920, 'Price Sheet'!$A$2:$B1015, 2, false))</f>
        <v>0</v>
      </c>
      <c r="BK920" s="33" t="str">
        <f t="shared" si="18"/>
        <v/>
      </c>
      <c r="BL920" s="37"/>
      <c r="BM920" s="29"/>
      <c r="BN920" s="29" t="b">
        <v>0</v>
      </c>
      <c r="BO920" s="22" t="str">
        <f t="shared" si="19"/>
        <v/>
      </c>
      <c r="BP920" s="7">
        <f>IF(ISBLANK(BL920), 0, VLOOKUP(BL920, 'Price Sheet'!$A$2:$B1015, 2, false))</f>
        <v>0</v>
      </c>
      <c r="BQ920" s="33" t="str">
        <f t="shared" si="20"/>
        <v/>
      </c>
    </row>
    <row r="921">
      <c r="B921" s="19"/>
      <c r="C921" s="29"/>
      <c r="D921" s="29"/>
      <c r="E921" s="7" t="str">
        <f>IF(ISBLANK(D921), "", VLOOKUP(D921,'Crafting Tables'!$A$2:$B1015, 2, false))</f>
        <v/>
      </c>
      <c r="F921" s="7" t="str">
        <f>IFERROR(IF(E921 = "None", 1, VLOOKUP(C921,General!$A$5:$L$35, SWITCH(E921, "Basic", 8, "Advanced", 10, "Modern", 12), false)),"")</f>
        <v/>
      </c>
      <c r="G921" s="29"/>
      <c r="H921" s="7">
        <f>IFERROR(VLOOKUP(C921, General!$A$5:$L$35, 6, false) * G921 / 1000, 0)</f>
        <v>0</v>
      </c>
      <c r="I921" s="29"/>
      <c r="J921" s="22" t="str">
        <f>IFERROR(I921*VLOOKUP(D921,'Crafting Tables'!$1:$1000, 4, false)*F921,"")</f>
        <v/>
      </c>
      <c r="K921" s="29" t="b">
        <v>0</v>
      </c>
      <c r="L921" s="37"/>
      <c r="M921" s="29"/>
      <c r="N921" s="21" t="str">
        <f t="shared" si="2"/>
        <v/>
      </c>
      <c r="P921" s="37"/>
      <c r="Q921" s="29"/>
      <c r="R921" s="29" t="b">
        <v>0</v>
      </c>
      <c r="S921" s="22" t="str">
        <f t="shared" si="3"/>
        <v/>
      </c>
      <c r="T921" s="7">
        <f>IF(ISBLANK(P921), 0, VLOOKUP(P921, 'Price Sheet'!$A$2:$B1015, 2, false))</f>
        <v>0</v>
      </c>
      <c r="U921" s="33" t="str">
        <f t="shared" si="4"/>
        <v/>
      </c>
      <c r="V921" s="37"/>
      <c r="W921" s="29"/>
      <c r="X921" s="29" t="b">
        <v>0</v>
      </c>
      <c r="Y921" s="22" t="str">
        <f t="shared" si="5"/>
        <v/>
      </c>
      <c r="Z921" s="7">
        <f>IF(ISBLANK(V921), 0, VLOOKUP(V921, 'Price Sheet'!$A$2:$B1015, 2, false))</f>
        <v>0</v>
      </c>
      <c r="AA921" s="33" t="str">
        <f t="shared" si="6"/>
        <v/>
      </c>
      <c r="AB921" s="37"/>
      <c r="AC921" s="29"/>
      <c r="AD921" s="29" t="b">
        <v>0</v>
      </c>
      <c r="AE921" s="22" t="str">
        <f t="shared" si="7"/>
        <v/>
      </c>
      <c r="AF921" s="7">
        <f>IF(ISBLANK(AB921), 0, VLOOKUP(AB921, 'Price Sheet'!$A$2:$B1015, 2, false))</f>
        <v>0</v>
      </c>
      <c r="AG921" s="33" t="str">
        <f t="shared" si="8"/>
        <v/>
      </c>
      <c r="AH921" s="37"/>
      <c r="AI921" s="29"/>
      <c r="AJ921" s="29" t="b">
        <v>0</v>
      </c>
      <c r="AK921" s="22" t="str">
        <f t="shared" si="9"/>
        <v/>
      </c>
      <c r="AL921" s="7">
        <f>IF(ISBLANK(AH921), 0, VLOOKUP(AH921, 'Price Sheet'!$A$2:$B1015, 2, false))</f>
        <v>0</v>
      </c>
      <c r="AM921" s="33" t="str">
        <f t="shared" si="10"/>
        <v/>
      </c>
      <c r="AN921" s="37"/>
      <c r="AO921" s="29"/>
      <c r="AP921" s="29" t="b">
        <v>0</v>
      </c>
      <c r="AQ921" s="22" t="str">
        <f t="shared" si="11"/>
        <v/>
      </c>
      <c r="AR921" s="7">
        <f>IF(ISBLANK(AN921), 0, VLOOKUP(AN921, 'Price Sheet'!$A$2:$B1015, 2, false))</f>
        <v>0</v>
      </c>
      <c r="AS921" s="33" t="str">
        <f t="shared" si="12"/>
        <v/>
      </c>
      <c r="AT921" s="37"/>
      <c r="AU921" s="29"/>
      <c r="AV921" s="29" t="b">
        <v>0</v>
      </c>
      <c r="AW921" s="22" t="str">
        <f t="shared" si="13"/>
        <v/>
      </c>
      <c r="AX921" s="7">
        <f>IF(ISBLANK(AT921), 0, VLOOKUP(AT921, 'Price Sheet'!$A$2:$B1015, 2, false))</f>
        <v>0</v>
      </c>
      <c r="AY921" s="33" t="str">
        <f t="shared" si="14"/>
        <v/>
      </c>
      <c r="AZ921" s="37"/>
      <c r="BA921" s="29"/>
      <c r="BB921" s="29" t="b">
        <v>0</v>
      </c>
      <c r="BC921" s="22" t="str">
        <f t="shared" si="15"/>
        <v/>
      </c>
      <c r="BD921" s="7">
        <f>IF(ISBLANK(AZ921), 0, VLOOKUP(AZ921, 'Price Sheet'!$A$2:$B1015, 2, false))</f>
        <v>0</v>
      </c>
      <c r="BE921" s="33" t="str">
        <f t="shared" si="16"/>
        <v/>
      </c>
      <c r="BF921" s="37"/>
      <c r="BG921" s="29"/>
      <c r="BH921" s="29" t="b">
        <v>0</v>
      </c>
      <c r="BI921" s="22" t="str">
        <f t="shared" si="17"/>
        <v/>
      </c>
      <c r="BJ921" s="7">
        <f>IF(ISBLANK(BF921), 0, VLOOKUP(BF921, 'Price Sheet'!$A$2:$B1015, 2, false))</f>
        <v>0</v>
      </c>
      <c r="BK921" s="33" t="str">
        <f t="shared" si="18"/>
        <v/>
      </c>
      <c r="BL921" s="37"/>
      <c r="BM921" s="29"/>
      <c r="BN921" s="29" t="b">
        <v>0</v>
      </c>
      <c r="BO921" s="22" t="str">
        <f t="shared" si="19"/>
        <v/>
      </c>
      <c r="BP921" s="7">
        <f>IF(ISBLANK(BL921), 0, VLOOKUP(BL921, 'Price Sheet'!$A$2:$B1015, 2, false))</f>
        <v>0</v>
      </c>
      <c r="BQ921" s="33" t="str">
        <f t="shared" si="20"/>
        <v/>
      </c>
    </row>
    <row r="922">
      <c r="B922" s="19"/>
      <c r="C922" s="29"/>
      <c r="D922" s="29"/>
      <c r="E922" s="7" t="str">
        <f>IF(ISBLANK(D922), "", VLOOKUP(D922,'Crafting Tables'!$A$2:$B1015, 2, false))</f>
        <v/>
      </c>
      <c r="F922" s="7" t="str">
        <f>IFERROR(IF(E922 = "None", 1, VLOOKUP(C922,General!$A$5:$L$35, SWITCH(E922, "Basic", 8, "Advanced", 10, "Modern", 12), false)),"")</f>
        <v/>
      </c>
      <c r="G922" s="29"/>
      <c r="H922" s="7">
        <f>IFERROR(VLOOKUP(C922, General!$A$5:$L$35, 6, false) * G922 / 1000, 0)</f>
        <v>0</v>
      </c>
      <c r="I922" s="29"/>
      <c r="J922" s="22" t="str">
        <f>IFERROR(I922*VLOOKUP(D922,'Crafting Tables'!$1:$1000, 4, false)*F922,"")</f>
        <v/>
      </c>
      <c r="K922" s="29" t="b">
        <v>0</v>
      </c>
      <c r="L922" s="37"/>
      <c r="M922" s="29"/>
      <c r="N922" s="21" t="str">
        <f t="shared" si="2"/>
        <v/>
      </c>
      <c r="P922" s="37"/>
      <c r="Q922" s="29"/>
      <c r="R922" s="29" t="b">
        <v>0</v>
      </c>
      <c r="S922" s="22" t="str">
        <f t="shared" si="3"/>
        <v/>
      </c>
      <c r="T922" s="7">
        <f>IF(ISBLANK(P922), 0, VLOOKUP(P922, 'Price Sheet'!$A$2:$B1015, 2, false))</f>
        <v>0</v>
      </c>
      <c r="U922" s="33" t="str">
        <f t="shared" si="4"/>
        <v/>
      </c>
      <c r="V922" s="37"/>
      <c r="W922" s="29"/>
      <c r="X922" s="29" t="b">
        <v>0</v>
      </c>
      <c r="Y922" s="22" t="str">
        <f t="shared" si="5"/>
        <v/>
      </c>
      <c r="Z922" s="7">
        <f>IF(ISBLANK(V922), 0, VLOOKUP(V922, 'Price Sheet'!$A$2:$B1015, 2, false))</f>
        <v>0</v>
      </c>
      <c r="AA922" s="33" t="str">
        <f t="shared" si="6"/>
        <v/>
      </c>
      <c r="AB922" s="37"/>
      <c r="AC922" s="29"/>
      <c r="AD922" s="29" t="b">
        <v>0</v>
      </c>
      <c r="AE922" s="22" t="str">
        <f t="shared" si="7"/>
        <v/>
      </c>
      <c r="AF922" s="7">
        <f>IF(ISBLANK(AB922), 0, VLOOKUP(AB922, 'Price Sheet'!$A$2:$B1015, 2, false))</f>
        <v>0</v>
      </c>
      <c r="AG922" s="33" t="str">
        <f t="shared" si="8"/>
        <v/>
      </c>
      <c r="AH922" s="37"/>
      <c r="AI922" s="29"/>
      <c r="AJ922" s="29" t="b">
        <v>0</v>
      </c>
      <c r="AK922" s="22" t="str">
        <f t="shared" si="9"/>
        <v/>
      </c>
      <c r="AL922" s="7">
        <f>IF(ISBLANK(AH922), 0, VLOOKUP(AH922, 'Price Sheet'!$A$2:$B1015, 2, false))</f>
        <v>0</v>
      </c>
      <c r="AM922" s="33" t="str">
        <f t="shared" si="10"/>
        <v/>
      </c>
      <c r="AN922" s="37"/>
      <c r="AO922" s="29"/>
      <c r="AP922" s="29" t="b">
        <v>0</v>
      </c>
      <c r="AQ922" s="22" t="str">
        <f t="shared" si="11"/>
        <v/>
      </c>
      <c r="AR922" s="7">
        <f>IF(ISBLANK(AN922), 0, VLOOKUP(AN922, 'Price Sheet'!$A$2:$B1015, 2, false))</f>
        <v>0</v>
      </c>
      <c r="AS922" s="33" t="str">
        <f t="shared" si="12"/>
        <v/>
      </c>
      <c r="AT922" s="37"/>
      <c r="AU922" s="29"/>
      <c r="AV922" s="29" t="b">
        <v>0</v>
      </c>
      <c r="AW922" s="22" t="str">
        <f t="shared" si="13"/>
        <v/>
      </c>
      <c r="AX922" s="7">
        <f>IF(ISBLANK(AT922), 0, VLOOKUP(AT922, 'Price Sheet'!$A$2:$B1015, 2, false))</f>
        <v>0</v>
      </c>
      <c r="AY922" s="33" t="str">
        <f t="shared" si="14"/>
        <v/>
      </c>
      <c r="AZ922" s="37"/>
      <c r="BA922" s="29"/>
      <c r="BB922" s="29" t="b">
        <v>0</v>
      </c>
      <c r="BC922" s="22" t="str">
        <f t="shared" si="15"/>
        <v/>
      </c>
      <c r="BD922" s="7">
        <f>IF(ISBLANK(AZ922), 0, VLOOKUP(AZ922, 'Price Sheet'!$A$2:$B1015, 2, false))</f>
        <v>0</v>
      </c>
      <c r="BE922" s="33" t="str">
        <f t="shared" si="16"/>
        <v/>
      </c>
      <c r="BF922" s="37"/>
      <c r="BG922" s="29"/>
      <c r="BH922" s="29" t="b">
        <v>0</v>
      </c>
      <c r="BI922" s="22" t="str">
        <f t="shared" si="17"/>
        <v/>
      </c>
      <c r="BJ922" s="7">
        <f>IF(ISBLANK(BF922), 0, VLOOKUP(BF922, 'Price Sheet'!$A$2:$B1015, 2, false))</f>
        <v>0</v>
      </c>
      <c r="BK922" s="33" t="str">
        <f t="shared" si="18"/>
        <v/>
      </c>
      <c r="BL922" s="37"/>
      <c r="BM922" s="29"/>
      <c r="BN922" s="29" t="b">
        <v>0</v>
      </c>
      <c r="BO922" s="22" t="str">
        <f t="shared" si="19"/>
        <v/>
      </c>
      <c r="BP922" s="7">
        <f>IF(ISBLANK(BL922), 0, VLOOKUP(BL922, 'Price Sheet'!$A$2:$B1015, 2, false))</f>
        <v>0</v>
      </c>
      <c r="BQ922" s="33" t="str">
        <f t="shared" si="20"/>
        <v/>
      </c>
    </row>
    <row r="923">
      <c r="B923" s="19"/>
      <c r="C923" s="29"/>
      <c r="D923" s="29"/>
      <c r="E923" s="7" t="str">
        <f>IF(ISBLANK(D923), "", VLOOKUP(D923,'Crafting Tables'!$A$2:$B1015, 2, false))</f>
        <v/>
      </c>
      <c r="F923" s="7" t="str">
        <f>IFERROR(IF(E923 = "None", 1, VLOOKUP(C923,General!$A$5:$L$35, SWITCH(E923, "Basic", 8, "Advanced", 10, "Modern", 12), false)),"")</f>
        <v/>
      </c>
      <c r="G923" s="29"/>
      <c r="H923" s="7">
        <f>IFERROR(VLOOKUP(C923, General!$A$5:$L$35, 6, false) * G923 / 1000, 0)</f>
        <v>0</v>
      </c>
      <c r="I923" s="29"/>
      <c r="J923" s="22" t="str">
        <f>IFERROR(I923*VLOOKUP(D923,'Crafting Tables'!$1:$1000, 4, false)*F923,"")</f>
        <v/>
      </c>
      <c r="K923" s="29" t="b">
        <v>0</v>
      </c>
      <c r="L923" s="37"/>
      <c r="M923" s="29"/>
      <c r="N923" s="21" t="str">
        <f t="shared" si="2"/>
        <v/>
      </c>
      <c r="P923" s="37"/>
      <c r="Q923" s="29"/>
      <c r="R923" s="29" t="b">
        <v>0</v>
      </c>
      <c r="S923" s="22" t="str">
        <f t="shared" si="3"/>
        <v/>
      </c>
      <c r="T923" s="7">
        <f>IF(ISBLANK(P923), 0, VLOOKUP(P923, 'Price Sheet'!$A$2:$B1015, 2, false))</f>
        <v>0</v>
      </c>
      <c r="U923" s="33" t="str">
        <f t="shared" si="4"/>
        <v/>
      </c>
      <c r="V923" s="37"/>
      <c r="W923" s="29"/>
      <c r="X923" s="29" t="b">
        <v>0</v>
      </c>
      <c r="Y923" s="22" t="str">
        <f t="shared" si="5"/>
        <v/>
      </c>
      <c r="Z923" s="7">
        <f>IF(ISBLANK(V923), 0, VLOOKUP(V923, 'Price Sheet'!$A$2:$B1015, 2, false))</f>
        <v>0</v>
      </c>
      <c r="AA923" s="33" t="str">
        <f t="shared" si="6"/>
        <v/>
      </c>
      <c r="AB923" s="37"/>
      <c r="AC923" s="29"/>
      <c r="AD923" s="29" t="b">
        <v>0</v>
      </c>
      <c r="AE923" s="22" t="str">
        <f t="shared" si="7"/>
        <v/>
      </c>
      <c r="AF923" s="7">
        <f>IF(ISBLANK(AB923), 0, VLOOKUP(AB923, 'Price Sheet'!$A$2:$B1015, 2, false))</f>
        <v>0</v>
      </c>
      <c r="AG923" s="33" t="str">
        <f t="shared" si="8"/>
        <v/>
      </c>
      <c r="AH923" s="37"/>
      <c r="AI923" s="29"/>
      <c r="AJ923" s="29" t="b">
        <v>0</v>
      </c>
      <c r="AK923" s="22" t="str">
        <f t="shared" si="9"/>
        <v/>
      </c>
      <c r="AL923" s="7">
        <f>IF(ISBLANK(AH923), 0, VLOOKUP(AH923, 'Price Sheet'!$A$2:$B1015, 2, false))</f>
        <v>0</v>
      </c>
      <c r="AM923" s="33" t="str">
        <f t="shared" si="10"/>
        <v/>
      </c>
      <c r="AN923" s="37"/>
      <c r="AO923" s="29"/>
      <c r="AP923" s="29" t="b">
        <v>0</v>
      </c>
      <c r="AQ923" s="22" t="str">
        <f t="shared" si="11"/>
        <v/>
      </c>
      <c r="AR923" s="7">
        <f>IF(ISBLANK(AN923), 0, VLOOKUP(AN923, 'Price Sheet'!$A$2:$B1015, 2, false))</f>
        <v>0</v>
      </c>
      <c r="AS923" s="33" t="str">
        <f t="shared" si="12"/>
        <v/>
      </c>
      <c r="AT923" s="37"/>
      <c r="AU923" s="29"/>
      <c r="AV923" s="29" t="b">
        <v>0</v>
      </c>
      <c r="AW923" s="22" t="str">
        <f t="shared" si="13"/>
        <v/>
      </c>
      <c r="AX923" s="7">
        <f>IF(ISBLANK(AT923), 0, VLOOKUP(AT923, 'Price Sheet'!$A$2:$B1015, 2, false))</f>
        <v>0</v>
      </c>
      <c r="AY923" s="33" t="str">
        <f t="shared" si="14"/>
        <v/>
      </c>
      <c r="AZ923" s="37"/>
      <c r="BA923" s="29"/>
      <c r="BB923" s="29" t="b">
        <v>0</v>
      </c>
      <c r="BC923" s="22" t="str">
        <f t="shared" si="15"/>
        <v/>
      </c>
      <c r="BD923" s="7">
        <f>IF(ISBLANK(AZ923), 0, VLOOKUP(AZ923, 'Price Sheet'!$A$2:$B1015, 2, false))</f>
        <v>0</v>
      </c>
      <c r="BE923" s="33" t="str">
        <f t="shared" si="16"/>
        <v/>
      </c>
      <c r="BF923" s="37"/>
      <c r="BG923" s="29"/>
      <c r="BH923" s="29" t="b">
        <v>0</v>
      </c>
      <c r="BI923" s="22" t="str">
        <f t="shared" si="17"/>
        <v/>
      </c>
      <c r="BJ923" s="7">
        <f>IF(ISBLANK(BF923), 0, VLOOKUP(BF923, 'Price Sheet'!$A$2:$B1015, 2, false))</f>
        <v>0</v>
      </c>
      <c r="BK923" s="33" t="str">
        <f t="shared" si="18"/>
        <v/>
      </c>
      <c r="BL923" s="37"/>
      <c r="BM923" s="29"/>
      <c r="BN923" s="29" t="b">
        <v>0</v>
      </c>
      <c r="BO923" s="22" t="str">
        <f t="shared" si="19"/>
        <v/>
      </c>
      <c r="BP923" s="7">
        <f>IF(ISBLANK(BL923), 0, VLOOKUP(BL923, 'Price Sheet'!$A$2:$B1015, 2, false))</f>
        <v>0</v>
      </c>
      <c r="BQ923" s="33" t="str">
        <f t="shared" si="20"/>
        <v/>
      </c>
    </row>
    <row r="924">
      <c r="B924" s="19"/>
      <c r="C924" s="29"/>
      <c r="D924" s="29"/>
      <c r="E924" s="7" t="str">
        <f>IF(ISBLANK(D924), "", VLOOKUP(D924,'Crafting Tables'!$A$2:$B1015, 2, false))</f>
        <v/>
      </c>
      <c r="F924" s="7" t="str">
        <f>IFERROR(IF(E924 = "None", 1, VLOOKUP(C924,General!$A$5:$L$35, SWITCH(E924, "Basic", 8, "Advanced", 10, "Modern", 12), false)),"")</f>
        <v/>
      </c>
      <c r="G924" s="29"/>
      <c r="H924" s="7">
        <f>IFERROR(VLOOKUP(C924, General!$A$5:$L$35, 6, false) * G924 / 1000, 0)</f>
        <v>0</v>
      </c>
      <c r="I924" s="29"/>
      <c r="J924" s="22" t="str">
        <f>IFERROR(I924*VLOOKUP(D924,'Crafting Tables'!$1:$1000, 4, false)*F924,"")</f>
        <v/>
      </c>
      <c r="K924" s="29" t="b">
        <v>0</v>
      </c>
      <c r="L924" s="37"/>
      <c r="M924" s="29"/>
      <c r="N924" s="21" t="str">
        <f t="shared" si="2"/>
        <v/>
      </c>
      <c r="P924" s="37"/>
      <c r="Q924" s="29"/>
      <c r="R924" s="29" t="b">
        <v>0</v>
      </c>
      <c r="S924" s="22" t="str">
        <f t="shared" si="3"/>
        <v/>
      </c>
      <c r="T924" s="7">
        <f>IF(ISBLANK(P924), 0, VLOOKUP(P924, 'Price Sheet'!$A$2:$B1015, 2, false))</f>
        <v>0</v>
      </c>
      <c r="U924" s="33" t="str">
        <f t="shared" si="4"/>
        <v/>
      </c>
      <c r="V924" s="37"/>
      <c r="W924" s="29"/>
      <c r="X924" s="29" t="b">
        <v>0</v>
      </c>
      <c r="Y924" s="22" t="str">
        <f t="shared" si="5"/>
        <v/>
      </c>
      <c r="Z924" s="7">
        <f>IF(ISBLANK(V924), 0, VLOOKUP(V924, 'Price Sheet'!$A$2:$B1015, 2, false))</f>
        <v>0</v>
      </c>
      <c r="AA924" s="33" t="str">
        <f t="shared" si="6"/>
        <v/>
      </c>
      <c r="AB924" s="37"/>
      <c r="AC924" s="29"/>
      <c r="AD924" s="29" t="b">
        <v>0</v>
      </c>
      <c r="AE924" s="22" t="str">
        <f t="shared" si="7"/>
        <v/>
      </c>
      <c r="AF924" s="7">
        <f>IF(ISBLANK(AB924), 0, VLOOKUP(AB924, 'Price Sheet'!$A$2:$B1015, 2, false))</f>
        <v>0</v>
      </c>
      <c r="AG924" s="33" t="str">
        <f t="shared" si="8"/>
        <v/>
      </c>
      <c r="AH924" s="37"/>
      <c r="AI924" s="29"/>
      <c r="AJ924" s="29" t="b">
        <v>0</v>
      </c>
      <c r="AK924" s="22" t="str">
        <f t="shared" si="9"/>
        <v/>
      </c>
      <c r="AL924" s="7">
        <f>IF(ISBLANK(AH924), 0, VLOOKUP(AH924, 'Price Sheet'!$A$2:$B1015, 2, false))</f>
        <v>0</v>
      </c>
      <c r="AM924" s="33" t="str">
        <f t="shared" si="10"/>
        <v/>
      </c>
      <c r="AN924" s="37"/>
      <c r="AO924" s="29"/>
      <c r="AP924" s="29" t="b">
        <v>0</v>
      </c>
      <c r="AQ924" s="22" t="str">
        <f t="shared" si="11"/>
        <v/>
      </c>
      <c r="AR924" s="7">
        <f>IF(ISBLANK(AN924), 0, VLOOKUP(AN924, 'Price Sheet'!$A$2:$B1015, 2, false))</f>
        <v>0</v>
      </c>
      <c r="AS924" s="33" t="str">
        <f t="shared" si="12"/>
        <v/>
      </c>
      <c r="AT924" s="37"/>
      <c r="AU924" s="29"/>
      <c r="AV924" s="29" t="b">
        <v>0</v>
      </c>
      <c r="AW924" s="22" t="str">
        <f t="shared" si="13"/>
        <v/>
      </c>
      <c r="AX924" s="7">
        <f>IF(ISBLANK(AT924), 0, VLOOKUP(AT924, 'Price Sheet'!$A$2:$B1015, 2, false))</f>
        <v>0</v>
      </c>
      <c r="AY924" s="33" t="str">
        <f t="shared" si="14"/>
        <v/>
      </c>
      <c r="AZ924" s="37"/>
      <c r="BA924" s="29"/>
      <c r="BB924" s="29" t="b">
        <v>0</v>
      </c>
      <c r="BC924" s="22" t="str">
        <f t="shared" si="15"/>
        <v/>
      </c>
      <c r="BD924" s="7">
        <f>IF(ISBLANK(AZ924), 0, VLOOKUP(AZ924, 'Price Sheet'!$A$2:$B1015, 2, false))</f>
        <v>0</v>
      </c>
      <c r="BE924" s="33" t="str">
        <f t="shared" si="16"/>
        <v/>
      </c>
      <c r="BF924" s="37"/>
      <c r="BG924" s="29"/>
      <c r="BH924" s="29" t="b">
        <v>0</v>
      </c>
      <c r="BI924" s="22" t="str">
        <f t="shared" si="17"/>
        <v/>
      </c>
      <c r="BJ924" s="7">
        <f>IF(ISBLANK(BF924), 0, VLOOKUP(BF924, 'Price Sheet'!$A$2:$B1015, 2, false))</f>
        <v>0</v>
      </c>
      <c r="BK924" s="33" t="str">
        <f t="shared" si="18"/>
        <v/>
      </c>
      <c r="BL924" s="37"/>
      <c r="BM924" s="29"/>
      <c r="BN924" s="29" t="b">
        <v>0</v>
      </c>
      <c r="BO924" s="22" t="str">
        <f t="shared" si="19"/>
        <v/>
      </c>
      <c r="BP924" s="7">
        <f>IF(ISBLANK(BL924), 0, VLOOKUP(BL924, 'Price Sheet'!$A$2:$B1015, 2, false))</f>
        <v>0</v>
      </c>
      <c r="BQ924" s="33" t="str">
        <f t="shared" si="20"/>
        <v/>
      </c>
    </row>
    <row r="925">
      <c r="B925" s="19"/>
      <c r="C925" s="29"/>
      <c r="D925" s="29"/>
      <c r="E925" s="7" t="str">
        <f>IF(ISBLANK(D925), "", VLOOKUP(D925,'Crafting Tables'!$A$2:$B1015, 2, false))</f>
        <v/>
      </c>
      <c r="F925" s="7" t="str">
        <f>IFERROR(IF(E925 = "None", 1, VLOOKUP(C925,General!$A$5:$L$35, SWITCH(E925, "Basic", 8, "Advanced", 10, "Modern", 12), false)),"")</f>
        <v/>
      </c>
      <c r="G925" s="29"/>
      <c r="H925" s="7">
        <f>IFERROR(VLOOKUP(C925, General!$A$5:$L$35, 6, false) * G925 / 1000, 0)</f>
        <v>0</v>
      </c>
      <c r="I925" s="29"/>
      <c r="J925" s="22" t="str">
        <f>IFERROR(I925*VLOOKUP(D925,'Crafting Tables'!$1:$1000, 4, false)*F925,"")</f>
        <v/>
      </c>
      <c r="K925" s="29" t="b">
        <v>0</v>
      </c>
      <c r="L925" s="37"/>
      <c r="M925" s="29"/>
      <c r="N925" s="21" t="str">
        <f t="shared" si="2"/>
        <v/>
      </c>
      <c r="P925" s="37"/>
      <c r="Q925" s="29"/>
      <c r="R925" s="29" t="b">
        <v>0</v>
      </c>
      <c r="S925" s="22" t="str">
        <f t="shared" si="3"/>
        <v/>
      </c>
      <c r="T925" s="7">
        <f>IF(ISBLANK(P925), 0, VLOOKUP(P925, 'Price Sheet'!$A$2:$B1015, 2, false))</f>
        <v>0</v>
      </c>
      <c r="U925" s="33" t="str">
        <f t="shared" si="4"/>
        <v/>
      </c>
      <c r="V925" s="37"/>
      <c r="W925" s="29"/>
      <c r="X925" s="29" t="b">
        <v>0</v>
      </c>
      <c r="Y925" s="22" t="str">
        <f t="shared" si="5"/>
        <v/>
      </c>
      <c r="Z925" s="7">
        <f>IF(ISBLANK(V925), 0, VLOOKUP(V925, 'Price Sheet'!$A$2:$B1015, 2, false))</f>
        <v>0</v>
      </c>
      <c r="AA925" s="33" t="str">
        <f t="shared" si="6"/>
        <v/>
      </c>
      <c r="AB925" s="37"/>
      <c r="AC925" s="29"/>
      <c r="AD925" s="29" t="b">
        <v>0</v>
      </c>
      <c r="AE925" s="22" t="str">
        <f t="shared" si="7"/>
        <v/>
      </c>
      <c r="AF925" s="7">
        <f>IF(ISBLANK(AB925), 0, VLOOKUP(AB925, 'Price Sheet'!$A$2:$B1015, 2, false))</f>
        <v>0</v>
      </c>
      <c r="AG925" s="33" t="str">
        <f t="shared" si="8"/>
        <v/>
      </c>
      <c r="AH925" s="37"/>
      <c r="AI925" s="29"/>
      <c r="AJ925" s="29" t="b">
        <v>0</v>
      </c>
      <c r="AK925" s="22" t="str">
        <f t="shared" si="9"/>
        <v/>
      </c>
      <c r="AL925" s="7">
        <f>IF(ISBLANK(AH925), 0, VLOOKUP(AH925, 'Price Sheet'!$A$2:$B1015, 2, false))</f>
        <v>0</v>
      </c>
      <c r="AM925" s="33" t="str">
        <f t="shared" si="10"/>
        <v/>
      </c>
      <c r="AN925" s="37"/>
      <c r="AO925" s="29"/>
      <c r="AP925" s="29" t="b">
        <v>0</v>
      </c>
      <c r="AQ925" s="22" t="str">
        <f t="shared" si="11"/>
        <v/>
      </c>
      <c r="AR925" s="7">
        <f>IF(ISBLANK(AN925), 0, VLOOKUP(AN925, 'Price Sheet'!$A$2:$B1015, 2, false))</f>
        <v>0</v>
      </c>
      <c r="AS925" s="33" t="str">
        <f t="shared" si="12"/>
        <v/>
      </c>
      <c r="AT925" s="37"/>
      <c r="AU925" s="29"/>
      <c r="AV925" s="29" t="b">
        <v>0</v>
      </c>
      <c r="AW925" s="22" t="str">
        <f t="shared" si="13"/>
        <v/>
      </c>
      <c r="AX925" s="7">
        <f>IF(ISBLANK(AT925), 0, VLOOKUP(AT925, 'Price Sheet'!$A$2:$B1015, 2, false))</f>
        <v>0</v>
      </c>
      <c r="AY925" s="33" t="str">
        <f t="shared" si="14"/>
        <v/>
      </c>
      <c r="AZ925" s="37"/>
      <c r="BA925" s="29"/>
      <c r="BB925" s="29" t="b">
        <v>0</v>
      </c>
      <c r="BC925" s="22" t="str">
        <f t="shared" si="15"/>
        <v/>
      </c>
      <c r="BD925" s="7">
        <f>IF(ISBLANK(AZ925), 0, VLOOKUP(AZ925, 'Price Sheet'!$A$2:$B1015, 2, false))</f>
        <v>0</v>
      </c>
      <c r="BE925" s="33" t="str">
        <f t="shared" si="16"/>
        <v/>
      </c>
      <c r="BF925" s="37"/>
      <c r="BG925" s="29"/>
      <c r="BH925" s="29" t="b">
        <v>0</v>
      </c>
      <c r="BI925" s="22" t="str">
        <f t="shared" si="17"/>
        <v/>
      </c>
      <c r="BJ925" s="7">
        <f>IF(ISBLANK(BF925), 0, VLOOKUP(BF925, 'Price Sheet'!$A$2:$B1015, 2, false))</f>
        <v>0</v>
      </c>
      <c r="BK925" s="33" t="str">
        <f t="shared" si="18"/>
        <v/>
      </c>
      <c r="BL925" s="37"/>
      <c r="BM925" s="29"/>
      <c r="BN925" s="29" t="b">
        <v>0</v>
      </c>
      <c r="BO925" s="22" t="str">
        <f t="shared" si="19"/>
        <v/>
      </c>
      <c r="BP925" s="7">
        <f>IF(ISBLANK(BL925), 0, VLOOKUP(BL925, 'Price Sheet'!$A$2:$B1015, 2, false))</f>
        <v>0</v>
      </c>
      <c r="BQ925" s="33" t="str">
        <f t="shared" si="20"/>
        <v/>
      </c>
    </row>
    <row r="926">
      <c r="B926" s="19"/>
      <c r="C926" s="29"/>
      <c r="D926" s="29"/>
      <c r="E926" s="7" t="str">
        <f>IF(ISBLANK(D926), "", VLOOKUP(D926,'Crafting Tables'!$A$2:$B1015, 2, false))</f>
        <v/>
      </c>
      <c r="F926" s="7" t="str">
        <f>IFERROR(IF(E926 = "None", 1, VLOOKUP(C926,General!$A$5:$L$35, SWITCH(E926, "Basic", 8, "Advanced", 10, "Modern", 12), false)),"")</f>
        <v/>
      </c>
      <c r="G926" s="29"/>
      <c r="H926" s="7">
        <f>IFERROR(VLOOKUP(C926, General!$A$5:$L$35, 6, false) * G926 / 1000, 0)</f>
        <v>0</v>
      </c>
      <c r="I926" s="29"/>
      <c r="J926" s="22" t="str">
        <f>IFERROR(I926*VLOOKUP(D926,'Crafting Tables'!$1:$1000, 4, false)*F926,"")</f>
        <v/>
      </c>
      <c r="K926" s="29" t="b">
        <v>0</v>
      </c>
      <c r="L926" s="37"/>
      <c r="M926" s="29"/>
      <c r="N926" s="21" t="str">
        <f t="shared" si="2"/>
        <v/>
      </c>
      <c r="P926" s="37"/>
      <c r="Q926" s="29"/>
      <c r="R926" s="29" t="b">
        <v>0</v>
      </c>
      <c r="S926" s="22" t="str">
        <f t="shared" si="3"/>
        <v/>
      </c>
      <c r="T926" s="7">
        <f>IF(ISBLANK(P926), 0, VLOOKUP(P926, 'Price Sheet'!$A$2:$B1015, 2, false))</f>
        <v>0</v>
      </c>
      <c r="U926" s="33" t="str">
        <f t="shared" si="4"/>
        <v/>
      </c>
      <c r="V926" s="37"/>
      <c r="W926" s="29"/>
      <c r="X926" s="29" t="b">
        <v>0</v>
      </c>
      <c r="Y926" s="22" t="str">
        <f t="shared" si="5"/>
        <v/>
      </c>
      <c r="Z926" s="7">
        <f>IF(ISBLANK(V926), 0, VLOOKUP(V926, 'Price Sheet'!$A$2:$B1015, 2, false))</f>
        <v>0</v>
      </c>
      <c r="AA926" s="33" t="str">
        <f t="shared" si="6"/>
        <v/>
      </c>
      <c r="AB926" s="37"/>
      <c r="AC926" s="29"/>
      <c r="AD926" s="29" t="b">
        <v>0</v>
      </c>
      <c r="AE926" s="22" t="str">
        <f t="shared" si="7"/>
        <v/>
      </c>
      <c r="AF926" s="7">
        <f>IF(ISBLANK(AB926), 0, VLOOKUP(AB926, 'Price Sheet'!$A$2:$B1015, 2, false))</f>
        <v>0</v>
      </c>
      <c r="AG926" s="33" t="str">
        <f t="shared" si="8"/>
        <v/>
      </c>
      <c r="AH926" s="37"/>
      <c r="AI926" s="29"/>
      <c r="AJ926" s="29" t="b">
        <v>0</v>
      </c>
      <c r="AK926" s="22" t="str">
        <f t="shared" si="9"/>
        <v/>
      </c>
      <c r="AL926" s="7">
        <f>IF(ISBLANK(AH926), 0, VLOOKUP(AH926, 'Price Sheet'!$A$2:$B1015, 2, false))</f>
        <v>0</v>
      </c>
      <c r="AM926" s="33" t="str">
        <f t="shared" si="10"/>
        <v/>
      </c>
      <c r="AN926" s="37"/>
      <c r="AO926" s="29"/>
      <c r="AP926" s="29" t="b">
        <v>0</v>
      </c>
      <c r="AQ926" s="22" t="str">
        <f t="shared" si="11"/>
        <v/>
      </c>
      <c r="AR926" s="7">
        <f>IF(ISBLANK(AN926), 0, VLOOKUP(AN926, 'Price Sheet'!$A$2:$B1015, 2, false))</f>
        <v>0</v>
      </c>
      <c r="AS926" s="33" t="str">
        <f t="shared" si="12"/>
        <v/>
      </c>
      <c r="AT926" s="37"/>
      <c r="AU926" s="29"/>
      <c r="AV926" s="29" t="b">
        <v>0</v>
      </c>
      <c r="AW926" s="22" t="str">
        <f t="shared" si="13"/>
        <v/>
      </c>
      <c r="AX926" s="7">
        <f>IF(ISBLANK(AT926), 0, VLOOKUP(AT926, 'Price Sheet'!$A$2:$B1015, 2, false))</f>
        <v>0</v>
      </c>
      <c r="AY926" s="33" t="str">
        <f t="shared" si="14"/>
        <v/>
      </c>
      <c r="AZ926" s="37"/>
      <c r="BA926" s="29"/>
      <c r="BB926" s="29" t="b">
        <v>0</v>
      </c>
      <c r="BC926" s="22" t="str">
        <f t="shared" si="15"/>
        <v/>
      </c>
      <c r="BD926" s="7">
        <f>IF(ISBLANK(AZ926), 0, VLOOKUP(AZ926, 'Price Sheet'!$A$2:$B1015, 2, false))</f>
        <v>0</v>
      </c>
      <c r="BE926" s="33" t="str">
        <f t="shared" si="16"/>
        <v/>
      </c>
      <c r="BF926" s="37"/>
      <c r="BG926" s="29"/>
      <c r="BH926" s="29" t="b">
        <v>0</v>
      </c>
      <c r="BI926" s="22" t="str">
        <f t="shared" si="17"/>
        <v/>
      </c>
      <c r="BJ926" s="7">
        <f>IF(ISBLANK(BF926), 0, VLOOKUP(BF926, 'Price Sheet'!$A$2:$B1015, 2, false))</f>
        <v>0</v>
      </c>
      <c r="BK926" s="33" t="str">
        <f t="shared" si="18"/>
        <v/>
      </c>
      <c r="BL926" s="37"/>
      <c r="BM926" s="29"/>
      <c r="BN926" s="29" t="b">
        <v>0</v>
      </c>
      <c r="BO926" s="22" t="str">
        <f t="shared" si="19"/>
        <v/>
      </c>
      <c r="BP926" s="7">
        <f>IF(ISBLANK(BL926), 0, VLOOKUP(BL926, 'Price Sheet'!$A$2:$B1015, 2, false))</f>
        <v>0</v>
      </c>
      <c r="BQ926" s="33" t="str">
        <f t="shared" si="20"/>
        <v/>
      </c>
    </row>
    <row r="927">
      <c r="B927" s="19"/>
      <c r="C927" s="29"/>
      <c r="D927" s="29"/>
      <c r="E927" s="7" t="str">
        <f>IF(ISBLANK(D927), "", VLOOKUP(D927,'Crafting Tables'!$A$2:$B1015, 2, false))</f>
        <v/>
      </c>
      <c r="F927" s="7" t="str">
        <f>IFERROR(IF(E927 = "None", 1, VLOOKUP(C927,General!$A$5:$L$35, SWITCH(E927, "Basic", 8, "Advanced", 10, "Modern", 12), false)),"")</f>
        <v/>
      </c>
      <c r="G927" s="29"/>
      <c r="H927" s="7">
        <f>IFERROR(VLOOKUP(C927, General!$A$5:$L$35, 6, false) * G927 / 1000, 0)</f>
        <v>0</v>
      </c>
      <c r="I927" s="29"/>
      <c r="J927" s="22" t="str">
        <f>IFERROR(I927*VLOOKUP(D927,'Crafting Tables'!$1:$1000, 4, false)*F927,"")</f>
        <v/>
      </c>
      <c r="K927" s="29" t="b">
        <v>0</v>
      </c>
      <c r="L927" s="37"/>
      <c r="M927" s="29"/>
      <c r="N927" s="21" t="str">
        <f t="shared" si="2"/>
        <v/>
      </c>
      <c r="P927" s="37"/>
      <c r="Q927" s="29"/>
      <c r="R927" s="29" t="b">
        <v>0</v>
      </c>
      <c r="S927" s="22" t="str">
        <f t="shared" si="3"/>
        <v/>
      </c>
      <c r="T927" s="7">
        <f>IF(ISBLANK(P927), 0, VLOOKUP(P927, 'Price Sheet'!$A$2:$B1015, 2, false))</f>
        <v>0</v>
      </c>
      <c r="U927" s="33" t="str">
        <f t="shared" si="4"/>
        <v/>
      </c>
      <c r="V927" s="37"/>
      <c r="W927" s="29"/>
      <c r="X927" s="29" t="b">
        <v>0</v>
      </c>
      <c r="Y927" s="22" t="str">
        <f t="shared" si="5"/>
        <v/>
      </c>
      <c r="Z927" s="7">
        <f>IF(ISBLANK(V927), 0, VLOOKUP(V927, 'Price Sheet'!$A$2:$B1015, 2, false))</f>
        <v>0</v>
      </c>
      <c r="AA927" s="33" t="str">
        <f t="shared" si="6"/>
        <v/>
      </c>
      <c r="AB927" s="37"/>
      <c r="AC927" s="29"/>
      <c r="AD927" s="29" t="b">
        <v>0</v>
      </c>
      <c r="AE927" s="22" t="str">
        <f t="shared" si="7"/>
        <v/>
      </c>
      <c r="AF927" s="7">
        <f>IF(ISBLANK(AB927), 0, VLOOKUP(AB927, 'Price Sheet'!$A$2:$B1015, 2, false))</f>
        <v>0</v>
      </c>
      <c r="AG927" s="33" t="str">
        <f t="shared" si="8"/>
        <v/>
      </c>
      <c r="AH927" s="37"/>
      <c r="AI927" s="29"/>
      <c r="AJ927" s="29" t="b">
        <v>0</v>
      </c>
      <c r="AK927" s="22" t="str">
        <f t="shared" si="9"/>
        <v/>
      </c>
      <c r="AL927" s="7">
        <f>IF(ISBLANK(AH927), 0, VLOOKUP(AH927, 'Price Sheet'!$A$2:$B1015, 2, false))</f>
        <v>0</v>
      </c>
      <c r="AM927" s="33" t="str">
        <f t="shared" si="10"/>
        <v/>
      </c>
      <c r="AN927" s="37"/>
      <c r="AO927" s="29"/>
      <c r="AP927" s="29" t="b">
        <v>0</v>
      </c>
      <c r="AQ927" s="22" t="str">
        <f t="shared" si="11"/>
        <v/>
      </c>
      <c r="AR927" s="7">
        <f>IF(ISBLANK(AN927), 0, VLOOKUP(AN927, 'Price Sheet'!$A$2:$B1015, 2, false))</f>
        <v>0</v>
      </c>
      <c r="AS927" s="33" t="str">
        <f t="shared" si="12"/>
        <v/>
      </c>
      <c r="AT927" s="37"/>
      <c r="AU927" s="29"/>
      <c r="AV927" s="29" t="b">
        <v>0</v>
      </c>
      <c r="AW927" s="22" t="str">
        <f t="shared" si="13"/>
        <v/>
      </c>
      <c r="AX927" s="7">
        <f>IF(ISBLANK(AT927), 0, VLOOKUP(AT927, 'Price Sheet'!$A$2:$B1015, 2, false))</f>
        <v>0</v>
      </c>
      <c r="AY927" s="33" t="str">
        <f t="shared" si="14"/>
        <v/>
      </c>
      <c r="AZ927" s="37"/>
      <c r="BA927" s="29"/>
      <c r="BB927" s="29" t="b">
        <v>0</v>
      </c>
      <c r="BC927" s="22" t="str">
        <f t="shared" si="15"/>
        <v/>
      </c>
      <c r="BD927" s="7">
        <f>IF(ISBLANK(AZ927), 0, VLOOKUP(AZ927, 'Price Sheet'!$A$2:$B1015, 2, false))</f>
        <v>0</v>
      </c>
      <c r="BE927" s="33" t="str">
        <f t="shared" si="16"/>
        <v/>
      </c>
      <c r="BF927" s="37"/>
      <c r="BG927" s="29"/>
      <c r="BH927" s="29" t="b">
        <v>0</v>
      </c>
      <c r="BI927" s="22" t="str">
        <f t="shared" si="17"/>
        <v/>
      </c>
      <c r="BJ927" s="7">
        <f>IF(ISBLANK(BF927), 0, VLOOKUP(BF927, 'Price Sheet'!$A$2:$B1015, 2, false))</f>
        <v>0</v>
      </c>
      <c r="BK927" s="33" t="str">
        <f t="shared" si="18"/>
        <v/>
      </c>
      <c r="BL927" s="37"/>
      <c r="BM927" s="29"/>
      <c r="BN927" s="29" t="b">
        <v>0</v>
      </c>
      <c r="BO927" s="22" t="str">
        <f t="shared" si="19"/>
        <v/>
      </c>
      <c r="BP927" s="7">
        <f>IF(ISBLANK(BL927), 0, VLOOKUP(BL927, 'Price Sheet'!$A$2:$B1015, 2, false))</f>
        <v>0</v>
      </c>
      <c r="BQ927" s="33" t="str">
        <f t="shared" si="20"/>
        <v/>
      </c>
    </row>
    <row r="928">
      <c r="B928" s="19"/>
      <c r="C928" s="29"/>
      <c r="D928" s="29"/>
      <c r="E928" s="7" t="str">
        <f>IF(ISBLANK(D928), "", VLOOKUP(D928,'Crafting Tables'!$A$2:$B1015, 2, false))</f>
        <v/>
      </c>
      <c r="F928" s="7" t="str">
        <f>IFERROR(IF(E928 = "None", 1, VLOOKUP(C928,General!$A$5:$L$35, SWITCH(E928, "Basic", 8, "Advanced", 10, "Modern", 12), false)),"")</f>
        <v/>
      </c>
      <c r="G928" s="29"/>
      <c r="H928" s="7">
        <f>IFERROR(VLOOKUP(C928, General!$A$5:$L$35, 6, false) * G928 / 1000, 0)</f>
        <v>0</v>
      </c>
      <c r="I928" s="29"/>
      <c r="J928" s="22" t="str">
        <f>IFERROR(I928*VLOOKUP(D928,'Crafting Tables'!$1:$1000, 4, false)*F928,"")</f>
        <v/>
      </c>
      <c r="K928" s="29" t="b">
        <v>0</v>
      </c>
      <c r="L928" s="37"/>
      <c r="M928" s="29"/>
      <c r="N928" s="21" t="str">
        <f t="shared" si="2"/>
        <v/>
      </c>
      <c r="P928" s="37"/>
      <c r="Q928" s="29"/>
      <c r="R928" s="29" t="b">
        <v>0</v>
      </c>
      <c r="S928" s="22" t="str">
        <f t="shared" si="3"/>
        <v/>
      </c>
      <c r="T928" s="7">
        <f>IF(ISBLANK(P928), 0, VLOOKUP(P928, 'Price Sheet'!$A$2:$B1015, 2, false))</f>
        <v>0</v>
      </c>
      <c r="U928" s="33" t="str">
        <f t="shared" si="4"/>
        <v/>
      </c>
      <c r="V928" s="37"/>
      <c r="W928" s="29"/>
      <c r="X928" s="29" t="b">
        <v>0</v>
      </c>
      <c r="Y928" s="22" t="str">
        <f t="shared" si="5"/>
        <v/>
      </c>
      <c r="Z928" s="7">
        <f>IF(ISBLANK(V928), 0, VLOOKUP(V928, 'Price Sheet'!$A$2:$B1015, 2, false))</f>
        <v>0</v>
      </c>
      <c r="AA928" s="33" t="str">
        <f t="shared" si="6"/>
        <v/>
      </c>
      <c r="AB928" s="37"/>
      <c r="AC928" s="29"/>
      <c r="AD928" s="29" t="b">
        <v>0</v>
      </c>
      <c r="AE928" s="22" t="str">
        <f t="shared" si="7"/>
        <v/>
      </c>
      <c r="AF928" s="7">
        <f>IF(ISBLANK(AB928), 0, VLOOKUP(AB928, 'Price Sheet'!$A$2:$B1015, 2, false))</f>
        <v>0</v>
      </c>
      <c r="AG928" s="33" t="str">
        <f t="shared" si="8"/>
        <v/>
      </c>
      <c r="AH928" s="37"/>
      <c r="AI928" s="29"/>
      <c r="AJ928" s="29" t="b">
        <v>0</v>
      </c>
      <c r="AK928" s="22" t="str">
        <f t="shared" si="9"/>
        <v/>
      </c>
      <c r="AL928" s="7">
        <f>IF(ISBLANK(AH928), 0, VLOOKUP(AH928, 'Price Sheet'!$A$2:$B1015, 2, false))</f>
        <v>0</v>
      </c>
      <c r="AM928" s="33" t="str">
        <f t="shared" si="10"/>
        <v/>
      </c>
      <c r="AN928" s="37"/>
      <c r="AO928" s="29"/>
      <c r="AP928" s="29" t="b">
        <v>0</v>
      </c>
      <c r="AQ928" s="22" t="str">
        <f t="shared" si="11"/>
        <v/>
      </c>
      <c r="AR928" s="7">
        <f>IF(ISBLANK(AN928), 0, VLOOKUP(AN928, 'Price Sheet'!$A$2:$B1015, 2, false))</f>
        <v>0</v>
      </c>
      <c r="AS928" s="33" t="str">
        <f t="shared" si="12"/>
        <v/>
      </c>
      <c r="AT928" s="37"/>
      <c r="AU928" s="29"/>
      <c r="AV928" s="29" t="b">
        <v>0</v>
      </c>
      <c r="AW928" s="22" t="str">
        <f t="shared" si="13"/>
        <v/>
      </c>
      <c r="AX928" s="7">
        <f>IF(ISBLANK(AT928), 0, VLOOKUP(AT928, 'Price Sheet'!$A$2:$B1015, 2, false))</f>
        <v>0</v>
      </c>
      <c r="AY928" s="33" t="str">
        <f t="shared" si="14"/>
        <v/>
      </c>
      <c r="AZ928" s="37"/>
      <c r="BA928" s="29"/>
      <c r="BB928" s="29" t="b">
        <v>0</v>
      </c>
      <c r="BC928" s="22" t="str">
        <f t="shared" si="15"/>
        <v/>
      </c>
      <c r="BD928" s="7">
        <f>IF(ISBLANK(AZ928), 0, VLOOKUP(AZ928, 'Price Sheet'!$A$2:$B1015, 2, false))</f>
        <v>0</v>
      </c>
      <c r="BE928" s="33" t="str">
        <f t="shared" si="16"/>
        <v/>
      </c>
      <c r="BF928" s="37"/>
      <c r="BG928" s="29"/>
      <c r="BH928" s="29" t="b">
        <v>0</v>
      </c>
      <c r="BI928" s="22" t="str">
        <f t="shared" si="17"/>
        <v/>
      </c>
      <c r="BJ928" s="7">
        <f>IF(ISBLANK(BF928), 0, VLOOKUP(BF928, 'Price Sheet'!$A$2:$B1015, 2, false))</f>
        <v>0</v>
      </c>
      <c r="BK928" s="33" t="str">
        <f t="shared" si="18"/>
        <v/>
      </c>
      <c r="BL928" s="37"/>
      <c r="BM928" s="29"/>
      <c r="BN928" s="29" t="b">
        <v>0</v>
      </c>
      <c r="BO928" s="22" t="str">
        <f t="shared" si="19"/>
        <v/>
      </c>
      <c r="BP928" s="7">
        <f>IF(ISBLANK(BL928), 0, VLOOKUP(BL928, 'Price Sheet'!$A$2:$B1015, 2, false))</f>
        <v>0</v>
      </c>
      <c r="BQ928" s="33" t="str">
        <f t="shared" si="20"/>
        <v/>
      </c>
    </row>
    <row r="929">
      <c r="B929" s="19"/>
      <c r="C929" s="29"/>
      <c r="D929" s="29"/>
      <c r="E929" s="7" t="str">
        <f>IF(ISBLANK(D929), "", VLOOKUP(D929,'Crafting Tables'!$A$2:$B1015, 2, false))</f>
        <v/>
      </c>
      <c r="F929" s="7" t="str">
        <f>IFERROR(IF(E929 = "None", 1, VLOOKUP(C929,General!$A$5:$L$35, SWITCH(E929, "Basic", 8, "Advanced", 10, "Modern", 12), false)),"")</f>
        <v/>
      </c>
      <c r="G929" s="29"/>
      <c r="H929" s="7">
        <f>IFERROR(VLOOKUP(C929, General!$A$5:$L$35, 6, false) * G929 / 1000, 0)</f>
        <v>0</v>
      </c>
      <c r="I929" s="29"/>
      <c r="J929" s="22" t="str">
        <f>IFERROR(I929*VLOOKUP(D929,'Crafting Tables'!$1:$1000, 4, false)*F929,"")</f>
        <v/>
      </c>
      <c r="K929" s="29" t="b">
        <v>0</v>
      </c>
      <c r="L929" s="37"/>
      <c r="M929" s="29"/>
      <c r="N929" s="21" t="str">
        <f t="shared" si="2"/>
        <v/>
      </c>
      <c r="P929" s="37"/>
      <c r="Q929" s="29"/>
      <c r="R929" s="29" t="b">
        <v>0</v>
      </c>
      <c r="S929" s="22" t="str">
        <f t="shared" si="3"/>
        <v/>
      </c>
      <c r="T929" s="7">
        <f>IF(ISBLANK(P929), 0, VLOOKUP(P929, 'Price Sheet'!$A$2:$B1015, 2, false))</f>
        <v>0</v>
      </c>
      <c r="U929" s="33" t="str">
        <f t="shared" si="4"/>
        <v/>
      </c>
      <c r="V929" s="37"/>
      <c r="W929" s="29"/>
      <c r="X929" s="29" t="b">
        <v>0</v>
      </c>
      <c r="Y929" s="22" t="str">
        <f t="shared" si="5"/>
        <v/>
      </c>
      <c r="Z929" s="7">
        <f>IF(ISBLANK(V929), 0, VLOOKUP(V929, 'Price Sheet'!$A$2:$B1015, 2, false))</f>
        <v>0</v>
      </c>
      <c r="AA929" s="33" t="str">
        <f t="shared" si="6"/>
        <v/>
      </c>
      <c r="AB929" s="37"/>
      <c r="AC929" s="29"/>
      <c r="AD929" s="29" t="b">
        <v>0</v>
      </c>
      <c r="AE929" s="22" t="str">
        <f t="shared" si="7"/>
        <v/>
      </c>
      <c r="AF929" s="7">
        <f>IF(ISBLANK(AB929), 0, VLOOKUP(AB929, 'Price Sheet'!$A$2:$B1015, 2, false))</f>
        <v>0</v>
      </c>
      <c r="AG929" s="33" t="str">
        <f t="shared" si="8"/>
        <v/>
      </c>
      <c r="AH929" s="37"/>
      <c r="AI929" s="29"/>
      <c r="AJ929" s="29" t="b">
        <v>0</v>
      </c>
      <c r="AK929" s="22" t="str">
        <f t="shared" si="9"/>
        <v/>
      </c>
      <c r="AL929" s="7">
        <f>IF(ISBLANK(AH929), 0, VLOOKUP(AH929, 'Price Sheet'!$A$2:$B1015, 2, false))</f>
        <v>0</v>
      </c>
      <c r="AM929" s="33" t="str">
        <f t="shared" si="10"/>
        <v/>
      </c>
      <c r="AN929" s="37"/>
      <c r="AO929" s="29"/>
      <c r="AP929" s="29" t="b">
        <v>0</v>
      </c>
      <c r="AQ929" s="22" t="str">
        <f t="shared" si="11"/>
        <v/>
      </c>
      <c r="AR929" s="7">
        <f>IF(ISBLANK(AN929), 0, VLOOKUP(AN929, 'Price Sheet'!$A$2:$B1015, 2, false))</f>
        <v>0</v>
      </c>
      <c r="AS929" s="33" t="str">
        <f t="shared" si="12"/>
        <v/>
      </c>
      <c r="AT929" s="37"/>
      <c r="AU929" s="29"/>
      <c r="AV929" s="29" t="b">
        <v>0</v>
      </c>
      <c r="AW929" s="22" t="str">
        <f t="shared" si="13"/>
        <v/>
      </c>
      <c r="AX929" s="7">
        <f>IF(ISBLANK(AT929), 0, VLOOKUP(AT929, 'Price Sheet'!$A$2:$B1015, 2, false))</f>
        <v>0</v>
      </c>
      <c r="AY929" s="33" t="str">
        <f t="shared" si="14"/>
        <v/>
      </c>
      <c r="AZ929" s="37"/>
      <c r="BA929" s="29"/>
      <c r="BB929" s="29" t="b">
        <v>0</v>
      </c>
      <c r="BC929" s="22" t="str">
        <f t="shared" si="15"/>
        <v/>
      </c>
      <c r="BD929" s="7">
        <f>IF(ISBLANK(AZ929), 0, VLOOKUP(AZ929, 'Price Sheet'!$A$2:$B1015, 2, false))</f>
        <v>0</v>
      </c>
      <c r="BE929" s="33" t="str">
        <f t="shared" si="16"/>
        <v/>
      </c>
      <c r="BF929" s="37"/>
      <c r="BG929" s="29"/>
      <c r="BH929" s="29" t="b">
        <v>0</v>
      </c>
      <c r="BI929" s="22" t="str">
        <f t="shared" si="17"/>
        <v/>
      </c>
      <c r="BJ929" s="7">
        <f>IF(ISBLANK(BF929), 0, VLOOKUP(BF929, 'Price Sheet'!$A$2:$B1015, 2, false))</f>
        <v>0</v>
      </c>
      <c r="BK929" s="33" t="str">
        <f t="shared" si="18"/>
        <v/>
      </c>
      <c r="BL929" s="37"/>
      <c r="BM929" s="29"/>
      <c r="BN929" s="29" t="b">
        <v>0</v>
      </c>
      <c r="BO929" s="22" t="str">
        <f t="shared" si="19"/>
        <v/>
      </c>
      <c r="BP929" s="7">
        <f>IF(ISBLANK(BL929), 0, VLOOKUP(BL929, 'Price Sheet'!$A$2:$B1015, 2, false))</f>
        <v>0</v>
      </c>
      <c r="BQ929" s="33" t="str">
        <f t="shared" si="20"/>
        <v/>
      </c>
    </row>
    <row r="930">
      <c r="B930" s="19"/>
      <c r="C930" s="29"/>
      <c r="D930" s="29"/>
      <c r="E930" s="7" t="str">
        <f>IF(ISBLANK(D930), "", VLOOKUP(D930,'Crafting Tables'!$A$2:$B1015, 2, false))</f>
        <v/>
      </c>
      <c r="F930" s="7" t="str">
        <f>IFERROR(IF(E930 = "None", 1, VLOOKUP(C930,General!$A$5:$L$35, SWITCH(E930, "Basic", 8, "Advanced", 10, "Modern", 12), false)),"")</f>
        <v/>
      </c>
      <c r="G930" s="29"/>
      <c r="H930" s="7">
        <f>IFERROR(VLOOKUP(C930, General!$A$5:$L$35, 6, false) * G930 / 1000, 0)</f>
        <v>0</v>
      </c>
      <c r="I930" s="29"/>
      <c r="J930" s="22" t="str">
        <f>IFERROR(I930*VLOOKUP(D930,'Crafting Tables'!$1:$1000, 4, false)*F930,"")</f>
        <v/>
      </c>
      <c r="K930" s="29" t="b">
        <v>0</v>
      </c>
      <c r="L930" s="37"/>
      <c r="M930" s="29"/>
      <c r="N930" s="21" t="str">
        <f t="shared" si="2"/>
        <v/>
      </c>
      <c r="P930" s="37"/>
      <c r="Q930" s="29"/>
      <c r="R930" s="29" t="b">
        <v>0</v>
      </c>
      <c r="S930" s="22" t="str">
        <f t="shared" si="3"/>
        <v/>
      </c>
      <c r="T930" s="7">
        <f>IF(ISBLANK(P930), 0, VLOOKUP(P930, 'Price Sheet'!$A$2:$B1015, 2, false))</f>
        <v>0</v>
      </c>
      <c r="U930" s="33" t="str">
        <f t="shared" si="4"/>
        <v/>
      </c>
      <c r="V930" s="37"/>
      <c r="W930" s="29"/>
      <c r="X930" s="29" t="b">
        <v>0</v>
      </c>
      <c r="Y930" s="22" t="str">
        <f t="shared" si="5"/>
        <v/>
      </c>
      <c r="Z930" s="7">
        <f>IF(ISBLANK(V930), 0, VLOOKUP(V930, 'Price Sheet'!$A$2:$B1015, 2, false))</f>
        <v>0</v>
      </c>
      <c r="AA930" s="33" t="str">
        <f t="shared" si="6"/>
        <v/>
      </c>
      <c r="AB930" s="37"/>
      <c r="AC930" s="29"/>
      <c r="AD930" s="29" t="b">
        <v>0</v>
      </c>
      <c r="AE930" s="22" t="str">
        <f t="shared" si="7"/>
        <v/>
      </c>
      <c r="AF930" s="7">
        <f>IF(ISBLANK(AB930), 0, VLOOKUP(AB930, 'Price Sheet'!$A$2:$B1015, 2, false))</f>
        <v>0</v>
      </c>
      <c r="AG930" s="33" t="str">
        <f t="shared" si="8"/>
        <v/>
      </c>
      <c r="AH930" s="37"/>
      <c r="AI930" s="29"/>
      <c r="AJ930" s="29" t="b">
        <v>0</v>
      </c>
      <c r="AK930" s="22" t="str">
        <f t="shared" si="9"/>
        <v/>
      </c>
      <c r="AL930" s="7">
        <f>IF(ISBLANK(AH930), 0, VLOOKUP(AH930, 'Price Sheet'!$A$2:$B1015, 2, false))</f>
        <v>0</v>
      </c>
      <c r="AM930" s="33" t="str">
        <f t="shared" si="10"/>
        <v/>
      </c>
      <c r="AN930" s="37"/>
      <c r="AO930" s="29"/>
      <c r="AP930" s="29" t="b">
        <v>0</v>
      </c>
      <c r="AQ930" s="22" t="str">
        <f t="shared" si="11"/>
        <v/>
      </c>
      <c r="AR930" s="7">
        <f>IF(ISBLANK(AN930), 0, VLOOKUP(AN930, 'Price Sheet'!$A$2:$B1015, 2, false))</f>
        <v>0</v>
      </c>
      <c r="AS930" s="33" t="str">
        <f t="shared" si="12"/>
        <v/>
      </c>
      <c r="AT930" s="37"/>
      <c r="AU930" s="29"/>
      <c r="AV930" s="29" t="b">
        <v>0</v>
      </c>
      <c r="AW930" s="22" t="str">
        <f t="shared" si="13"/>
        <v/>
      </c>
      <c r="AX930" s="7">
        <f>IF(ISBLANK(AT930), 0, VLOOKUP(AT930, 'Price Sheet'!$A$2:$B1015, 2, false))</f>
        <v>0</v>
      </c>
      <c r="AY930" s="33" t="str">
        <f t="shared" si="14"/>
        <v/>
      </c>
      <c r="AZ930" s="37"/>
      <c r="BA930" s="29"/>
      <c r="BB930" s="29" t="b">
        <v>0</v>
      </c>
      <c r="BC930" s="22" t="str">
        <f t="shared" si="15"/>
        <v/>
      </c>
      <c r="BD930" s="7">
        <f>IF(ISBLANK(AZ930), 0, VLOOKUP(AZ930, 'Price Sheet'!$A$2:$B1015, 2, false))</f>
        <v>0</v>
      </c>
      <c r="BE930" s="33" t="str">
        <f t="shared" si="16"/>
        <v/>
      </c>
      <c r="BF930" s="37"/>
      <c r="BG930" s="29"/>
      <c r="BH930" s="29" t="b">
        <v>0</v>
      </c>
      <c r="BI930" s="22" t="str">
        <f t="shared" si="17"/>
        <v/>
      </c>
      <c r="BJ930" s="7">
        <f>IF(ISBLANK(BF930), 0, VLOOKUP(BF930, 'Price Sheet'!$A$2:$B1015, 2, false))</f>
        <v>0</v>
      </c>
      <c r="BK930" s="33" t="str">
        <f t="shared" si="18"/>
        <v/>
      </c>
      <c r="BL930" s="37"/>
      <c r="BM930" s="29"/>
      <c r="BN930" s="29" t="b">
        <v>0</v>
      </c>
      <c r="BO930" s="22" t="str">
        <f t="shared" si="19"/>
        <v/>
      </c>
      <c r="BP930" s="7">
        <f>IF(ISBLANK(BL930), 0, VLOOKUP(BL930, 'Price Sheet'!$A$2:$B1015, 2, false))</f>
        <v>0</v>
      </c>
      <c r="BQ930" s="33" t="str">
        <f t="shared" si="20"/>
        <v/>
      </c>
    </row>
    <row r="931">
      <c r="B931" s="19"/>
      <c r="C931" s="29"/>
      <c r="D931" s="29"/>
      <c r="E931" s="7" t="str">
        <f>IF(ISBLANK(D931), "", VLOOKUP(D931,'Crafting Tables'!$A$2:$B1015, 2, false))</f>
        <v/>
      </c>
      <c r="F931" s="7" t="str">
        <f>IFERROR(IF(E931 = "None", 1, VLOOKUP(C931,General!$A$5:$L$35, SWITCH(E931, "Basic", 8, "Advanced", 10, "Modern", 12), false)),"")</f>
        <v/>
      </c>
      <c r="G931" s="29"/>
      <c r="H931" s="7">
        <f>IFERROR(VLOOKUP(C931, General!$A$5:$L$35, 6, false) * G931 / 1000, 0)</f>
        <v>0</v>
      </c>
      <c r="I931" s="29"/>
      <c r="J931" s="22" t="str">
        <f>IFERROR(I931*VLOOKUP(D931,'Crafting Tables'!$1:$1000, 4, false)*F931,"")</f>
        <v/>
      </c>
      <c r="K931" s="29" t="b">
        <v>0</v>
      </c>
      <c r="L931" s="37"/>
      <c r="M931" s="29"/>
      <c r="N931" s="21" t="str">
        <f t="shared" si="2"/>
        <v/>
      </c>
      <c r="P931" s="37"/>
      <c r="Q931" s="29"/>
      <c r="R931" s="29" t="b">
        <v>0</v>
      </c>
      <c r="S931" s="22" t="str">
        <f t="shared" si="3"/>
        <v/>
      </c>
      <c r="T931" s="7">
        <f>IF(ISBLANK(P931), 0, VLOOKUP(P931, 'Price Sheet'!$A$2:$B1015, 2, false))</f>
        <v>0</v>
      </c>
      <c r="U931" s="33" t="str">
        <f t="shared" si="4"/>
        <v/>
      </c>
      <c r="V931" s="37"/>
      <c r="W931" s="29"/>
      <c r="X931" s="29" t="b">
        <v>0</v>
      </c>
      <c r="Y931" s="22" t="str">
        <f t="shared" si="5"/>
        <v/>
      </c>
      <c r="Z931" s="7">
        <f>IF(ISBLANK(V931), 0, VLOOKUP(V931, 'Price Sheet'!$A$2:$B1015, 2, false))</f>
        <v>0</v>
      </c>
      <c r="AA931" s="33" t="str">
        <f t="shared" si="6"/>
        <v/>
      </c>
      <c r="AB931" s="37"/>
      <c r="AC931" s="29"/>
      <c r="AD931" s="29" t="b">
        <v>0</v>
      </c>
      <c r="AE931" s="22" t="str">
        <f t="shared" si="7"/>
        <v/>
      </c>
      <c r="AF931" s="7">
        <f>IF(ISBLANK(AB931), 0, VLOOKUP(AB931, 'Price Sheet'!$A$2:$B1015, 2, false))</f>
        <v>0</v>
      </c>
      <c r="AG931" s="33" t="str">
        <f t="shared" si="8"/>
        <v/>
      </c>
      <c r="AH931" s="37"/>
      <c r="AI931" s="29"/>
      <c r="AJ931" s="29" t="b">
        <v>0</v>
      </c>
      <c r="AK931" s="22" t="str">
        <f t="shared" si="9"/>
        <v/>
      </c>
      <c r="AL931" s="7">
        <f>IF(ISBLANK(AH931), 0, VLOOKUP(AH931, 'Price Sheet'!$A$2:$B1015, 2, false))</f>
        <v>0</v>
      </c>
      <c r="AM931" s="33" t="str">
        <f t="shared" si="10"/>
        <v/>
      </c>
      <c r="AN931" s="37"/>
      <c r="AO931" s="29"/>
      <c r="AP931" s="29" t="b">
        <v>0</v>
      </c>
      <c r="AQ931" s="22" t="str">
        <f t="shared" si="11"/>
        <v/>
      </c>
      <c r="AR931" s="7">
        <f>IF(ISBLANK(AN931), 0, VLOOKUP(AN931, 'Price Sheet'!$A$2:$B1015, 2, false))</f>
        <v>0</v>
      </c>
      <c r="AS931" s="33" t="str">
        <f t="shared" si="12"/>
        <v/>
      </c>
      <c r="AT931" s="37"/>
      <c r="AU931" s="29"/>
      <c r="AV931" s="29" t="b">
        <v>0</v>
      </c>
      <c r="AW931" s="22" t="str">
        <f t="shared" si="13"/>
        <v/>
      </c>
      <c r="AX931" s="7">
        <f>IF(ISBLANK(AT931), 0, VLOOKUP(AT931, 'Price Sheet'!$A$2:$B1015, 2, false))</f>
        <v>0</v>
      </c>
      <c r="AY931" s="33" t="str">
        <f t="shared" si="14"/>
        <v/>
      </c>
      <c r="AZ931" s="37"/>
      <c r="BA931" s="29"/>
      <c r="BB931" s="29" t="b">
        <v>0</v>
      </c>
      <c r="BC931" s="22" t="str">
        <f t="shared" si="15"/>
        <v/>
      </c>
      <c r="BD931" s="7">
        <f>IF(ISBLANK(AZ931), 0, VLOOKUP(AZ931, 'Price Sheet'!$A$2:$B1015, 2, false))</f>
        <v>0</v>
      </c>
      <c r="BE931" s="33" t="str">
        <f t="shared" si="16"/>
        <v/>
      </c>
      <c r="BF931" s="37"/>
      <c r="BG931" s="29"/>
      <c r="BH931" s="29" t="b">
        <v>0</v>
      </c>
      <c r="BI931" s="22" t="str">
        <f t="shared" si="17"/>
        <v/>
      </c>
      <c r="BJ931" s="7">
        <f>IF(ISBLANK(BF931), 0, VLOOKUP(BF931, 'Price Sheet'!$A$2:$B1015, 2, false))</f>
        <v>0</v>
      </c>
      <c r="BK931" s="33" t="str">
        <f t="shared" si="18"/>
        <v/>
      </c>
      <c r="BL931" s="37"/>
      <c r="BM931" s="29"/>
      <c r="BN931" s="29" t="b">
        <v>0</v>
      </c>
      <c r="BO931" s="22" t="str">
        <f t="shared" si="19"/>
        <v/>
      </c>
      <c r="BP931" s="7">
        <f>IF(ISBLANK(BL931), 0, VLOOKUP(BL931, 'Price Sheet'!$A$2:$B1015, 2, false))</f>
        <v>0</v>
      </c>
      <c r="BQ931" s="33" t="str">
        <f t="shared" si="20"/>
        <v/>
      </c>
    </row>
    <row r="932">
      <c r="B932" s="19"/>
      <c r="C932" s="29"/>
      <c r="D932" s="29"/>
      <c r="E932" s="7" t="str">
        <f>IF(ISBLANK(D932), "", VLOOKUP(D932,'Crafting Tables'!$A$2:$B1015, 2, false))</f>
        <v/>
      </c>
      <c r="F932" s="7" t="str">
        <f>IFERROR(IF(E932 = "None", 1, VLOOKUP(C932,General!$A$5:$L$35, SWITCH(E932, "Basic", 8, "Advanced", 10, "Modern", 12), false)),"")</f>
        <v/>
      </c>
      <c r="G932" s="29"/>
      <c r="H932" s="7">
        <f>IFERROR(VLOOKUP(C932, General!$A$5:$L$35, 6, false) * G932 / 1000, 0)</f>
        <v>0</v>
      </c>
      <c r="I932" s="29"/>
      <c r="J932" s="22" t="str">
        <f>IFERROR(I932*VLOOKUP(D932,'Crafting Tables'!$1:$1000, 4, false)*F932,"")</f>
        <v/>
      </c>
      <c r="K932" s="29" t="b">
        <v>0</v>
      </c>
      <c r="L932" s="37"/>
      <c r="M932" s="29"/>
      <c r="N932" s="21" t="str">
        <f t="shared" si="2"/>
        <v/>
      </c>
      <c r="P932" s="37"/>
      <c r="Q932" s="29"/>
      <c r="R932" s="29" t="b">
        <v>0</v>
      </c>
      <c r="S932" s="22" t="str">
        <f t="shared" si="3"/>
        <v/>
      </c>
      <c r="T932" s="7">
        <f>IF(ISBLANK(P932), 0, VLOOKUP(P932, 'Price Sheet'!$A$2:$B1015, 2, false))</f>
        <v>0</v>
      </c>
      <c r="U932" s="33" t="str">
        <f t="shared" si="4"/>
        <v/>
      </c>
      <c r="V932" s="37"/>
      <c r="W932" s="29"/>
      <c r="X932" s="29" t="b">
        <v>0</v>
      </c>
      <c r="Y932" s="22" t="str">
        <f t="shared" si="5"/>
        <v/>
      </c>
      <c r="Z932" s="7">
        <f>IF(ISBLANK(V932), 0, VLOOKUP(V932, 'Price Sheet'!$A$2:$B1015, 2, false))</f>
        <v>0</v>
      </c>
      <c r="AA932" s="33" t="str">
        <f t="shared" si="6"/>
        <v/>
      </c>
      <c r="AB932" s="37"/>
      <c r="AC932" s="29"/>
      <c r="AD932" s="29" t="b">
        <v>0</v>
      </c>
      <c r="AE932" s="22" t="str">
        <f t="shared" si="7"/>
        <v/>
      </c>
      <c r="AF932" s="7">
        <f>IF(ISBLANK(AB932), 0, VLOOKUP(AB932, 'Price Sheet'!$A$2:$B1015, 2, false))</f>
        <v>0</v>
      </c>
      <c r="AG932" s="33" t="str">
        <f t="shared" si="8"/>
        <v/>
      </c>
      <c r="AH932" s="37"/>
      <c r="AI932" s="29"/>
      <c r="AJ932" s="29" t="b">
        <v>0</v>
      </c>
      <c r="AK932" s="22" t="str">
        <f t="shared" si="9"/>
        <v/>
      </c>
      <c r="AL932" s="7">
        <f>IF(ISBLANK(AH932), 0, VLOOKUP(AH932, 'Price Sheet'!$A$2:$B1015, 2, false))</f>
        <v>0</v>
      </c>
      <c r="AM932" s="33" t="str">
        <f t="shared" si="10"/>
        <v/>
      </c>
      <c r="AN932" s="37"/>
      <c r="AO932" s="29"/>
      <c r="AP932" s="29" t="b">
        <v>0</v>
      </c>
      <c r="AQ932" s="22" t="str">
        <f t="shared" si="11"/>
        <v/>
      </c>
      <c r="AR932" s="7">
        <f>IF(ISBLANK(AN932), 0, VLOOKUP(AN932, 'Price Sheet'!$A$2:$B1015, 2, false))</f>
        <v>0</v>
      </c>
      <c r="AS932" s="33" t="str">
        <f t="shared" si="12"/>
        <v/>
      </c>
      <c r="AT932" s="37"/>
      <c r="AU932" s="29"/>
      <c r="AV932" s="29" t="b">
        <v>0</v>
      </c>
      <c r="AW932" s="22" t="str">
        <f t="shared" si="13"/>
        <v/>
      </c>
      <c r="AX932" s="7">
        <f>IF(ISBLANK(AT932), 0, VLOOKUP(AT932, 'Price Sheet'!$A$2:$B1015, 2, false))</f>
        <v>0</v>
      </c>
      <c r="AY932" s="33" t="str">
        <f t="shared" si="14"/>
        <v/>
      </c>
      <c r="AZ932" s="37"/>
      <c r="BA932" s="29"/>
      <c r="BB932" s="29" t="b">
        <v>0</v>
      </c>
      <c r="BC932" s="22" t="str">
        <f t="shared" si="15"/>
        <v/>
      </c>
      <c r="BD932" s="7">
        <f>IF(ISBLANK(AZ932), 0, VLOOKUP(AZ932, 'Price Sheet'!$A$2:$B1015, 2, false))</f>
        <v>0</v>
      </c>
      <c r="BE932" s="33" t="str">
        <f t="shared" si="16"/>
        <v/>
      </c>
      <c r="BF932" s="37"/>
      <c r="BG932" s="29"/>
      <c r="BH932" s="29" t="b">
        <v>0</v>
      </c>
      <c r="BI932" s="22" t="str">
        <f t="shared" si="17"/>
        <v/>
      </c>
      <c r="BJ932" s="7">
        <f>IF(ISBLANK(BF932), 0, VLOOKUP(BF932, 'Price Sheet'!$A$2:$B1015, 2, false))</f>
        <v>0</v>
      </c>
      <c r="BK932" s="33" t="str">
        <f t="shared" si="18"/>
        <v/>
      </c>
      <c r="BL932" s="37"/>
      <c r="BM932" s="29"/>
      <c r="BN932" s="29" t="b">
        <v>0</v>
      </c>
      <c r="BO932" s="22" t="str">
        <f t="shared" si="19"/>
        <v/>
      </c>
      <c r="BP932" s="7">
        <f>IF(ISBLANK(BL932), 0, VLOOKUP(BL932, 'Price Sheet'!$A$2:$B1015, 2, false))</f>
        <v>0</v>
      </c>
      <c r="BQ932" s="33" t="str">
        <f t="shared" si="20"/>
        <v/>
      </c>
    </row>
    <row r="933">
      <c r="B933" s="19"/>
      <c r="C933" s="29"/>
      <c r="D933" s="29"/>
      <c r="E933" s="7" t="str">
        <f>IF(ISBLANK(D933), "", VLOOKUP(D933,'Crafting Tables'!$A$2:$B1015, 2, false))</f>
        <v/>
      </c>
      <c r="F933" s="7" t="str">
        <f>IFERROR(IF(E933 = "None", 1, VLOOKUP(C933,General!$A$5:$L$35, SWITCH(E933, "Basic", 8, "Advanced", 10, "Modern", 12), false)),"")</f>
        <v/>
      </c>
      <c r="G933" s="29"/>
      <c r="H933" s="7">
        <f>IFERROR(VLOOKUP(C933, General!$A$5:$L$35, 6, false) * G933 / 1000, 0)</f>
        <v>0</v>
      </c>
      <c r="I933" s="29"/>
      <c r="J933" s="22" t="str">
        <f>IFERROR(I933*VLOOKUP(D933,'Crafting Tables'!$1:$1000, 4, false)*F933,"")</f>
        <v/>
      </c>
      <c r="K933" s="29" t="b">
        <v>0</v>
      </c>
      <c r="L933" s="37"/>
      <c r="M933" s="29"/>
      <c r="N933" s="21" t="str">
        <f t="shared" si="2"/>
        <v/>
      </c>
      <c r="P933" s="37"/>
      <c r="Q933" s="29"/>
      <c r="R933" s="29" t="b">
        <v>0</v>
      </c>
      <c r="S933" s="22" t="str">
        <f t="shared" si="3"/>
        <v/>
      </c>
      <c r="T933" s="7">
        <f>IF(ISBLANK(P933), 0, VLOOKUP(P933, 'Price Sheet'!$A$2:$B1015, 2, false))</f>
        <v>0</v>
      </c>
      <c r="U933" s="33" t="str">
        <f t="shared" si="4"/>
        <v/>
      </c>
      <c r="V933" s="37"/>
      <c r="W933" s="29"/>
      <c r="X933" s="29" t="b">
        <v>0</v>
      </c>
      <c r="Y933" s="22" t="str">
        <f t="shared" si="5"/>
        <v/>
      </c>
      <c r="Z933" s="7">
        <f>IF(ISBLANK(V933), 0, VLOOKUP(V933, 'Price Sheet'!$A$2:$B1015, 2, false))</f>
        <v>0</v>
      </c>
      <c r="AA933" s="33" t="str">
        <f t="shared" si="6"/>
        <v/>
      </c>
      <c r="AB933" s="37"/>
      <c r="AC933" s="29"/>
      <c r="AD933" s="29" t="b">
        <v>0</v>
      </c>
      <c r="AE933" s="22" t="str">
        <f t="shared" si="7"/>
        <v/>
      </c>
      <c r="AF933" s="7">
        <f>IF(ISBLANK(AB933), 0, VLOOKUP(AB933, 'Price Sheet'!$A$2:$B1015, 2, false))</f>
        <v>0</v>
      </c>
      <c r="AG933" s="33" t="str">
        <f t="shared" si="8"/>
        <v/>
      </c>
      <c r="AH933" s="37"/>
      <c r="AI933" s="29"/>
      <c r="AJ933" s="29" t="b">
        <v>0</v>
      </c>
      <c r="AK933" s="22" t="str">
        <f t="shared" si="9"/>
        <v/>
      </c>
      <c r="AL933" s="7">
        <f>IF(ISBLANK(AH933), 0, VLOOKUP(AH933, 'Price Sheet'!$A$2:$B1015, 2, false))</f>
        <v>0</v>
      </c>
      <c r="AM933" s="33" t="str">
        <f t="shared" si="10"/>
        <v/>
      </c>
      <c r="AN933" s="37"/>
      <c r="AO933" s="29"/>
      <c r="AP933" s="29" t="b">
        <v>0</v>
      </c>
      <c r="AQ933" s="22" t="str">
        <f t="shared" si="11"/>
        <v/>
      </c>
      <c r="AR933" s="7">
        <f>IF(ISBLANK(AN933), 0, VLOOKUP(AN933, 'Price Sheet'!$A$2:$B1015, 2, false))</f>
        <v>0</v>
      </c>
      <c r="AS933" s="33" t="str">
        <f t="shared" si="12"/>
        <v/>
      </c>
      <c r="AT933" s="37"/>
      <c r="AU933" s="29"/>
      <c r="AV933" s="29" t="b">
        <v>0</v>
      </c>
      <c r="AW933" s="22" t="str">
        <f t="shared" si="13"/>
        <v/>
      </c>
      <c r="AX933" s="7">
        <f>IF(ISBLANK(AT933), 0, VLOOKUP(AT933, 'Price Sheet'!$A$2:$B1015, 2, false))</f>
        <v>0</v>
      </c>
      <c r="AY933" s="33" t="str">
        <f t="shared" si="14"/>
        <v/>
      </c>
      <c r="AZ933" s="37"/>
      <c r="BA933" s="29"/>
      <c r="BB933" s="29" t="b">
        <v>0</v>
      </c>
      <c r="BC933" s="22" t="str">
        <f t="shared" si="15"/>
        <v/>
      </c>
      <c r="BD933" s="7">
        <f>IF(ISBLANK(AZ933), 0, VLOOKUP(AZ933, 'Price Sheet'!$A$2:$B1015, 2, false))</f>
        <v>0</v>
      </c>
      <c r="BE933" s="33" t="str">
        <f t="shared" si="16"/>
        <v/>
      </c>
      <c r="BF933" s="37"/>
      <c r="BG933" s="29"/>
      <c r="BH933" s="29" t="b">
        <v>0</v>
      </c>
      <c r="BI933" s="22" t="str">
        <f t="shared" si="17"/>
        <v/>
      </c>
      <c r="BJ933" s="7">
        <f>IF(ISBLANK(BF933), 0, VLOOKUP(BF933, 'Price Sheet'!$A$2:$B1015, 2, false))</f>
        <v>0</v>
      </c>
      <c r="BK933" s="33" t="str">
        <f t="shared" si="18"/>
        <v/>
      </c>
      <c r="BL933" s="37"/>
      <c r="BM933" s="29"/>
      <c r="BN933" s="29" t="b">
        <v>0</v>
      </c>
      <c r="BO933" s="22" t="str">
        <f t="shared" si="19"/>
        <v/>
      </c>
      <c r="BP933" s="7">
        <f>IF(ISBLANK(BL933), 0, VLOOKUP(BL933, 'Price Sheet'!$A$2:$B1015, 2, false))</f>
        <v>0</v>
      </c>
      <c r="BQ933" s="33" t="str">
        <f t="shared" si="20"/>
        <v/>
      </c>
    </row>
    <row r="934">
      <c r="B934" s="19"/>
      <c r="C934" s="29"/>
      <c r="D934" s="29"/>
      <c r="E934" s="7" t="str">
        <f>IF(ISBLANK(D934), "", VLOOKUP(D934,'Crafting Tables'!$A$2:$B1015, 2, false))</f>
        <v/>
      </c>
      <c r="F934" s="7" t="str">
        <f>IFERROR(IF(E934 = "None", 1, VLOOKUP(C934,General!$A$5:$L$35, SWITCH(E934, "Basic", 8, "Advanced", 10, "Modern", 12), false)),"")</f>
        <v/>
      </c>
      <c r="G934" s="29"/>
      <c r="H934" s="7">
        <f>IFERROR(VLOOKUP(C934, General!$A$5:$L$35, 6, false) * G934 / 1000, 0)</f>
        <v>0</v>
      </c>
      <c r="I934" s="29"/>
      <c r="J934" s="22" t="str">
        <f>IFERROR(I934*VLOOKUP(D934,'Crafting Tables'!$1:$1000, 4, false)*F934,"")</f>
        <v/>
      </c>
      <c r="K934" s="29" t="b">
        <v>0</v>
      </c>
      <c r="L934" s="37"/>
      <c r="M934" s="29"/>
      <c r="N934" s="21" t="str">
        <f t="shared" si="2"/>
        <v/>
      </c>
      <c r="P934" s="37"/>
      <c r="Q934" s="29"/>
      <c r="R934" s="29" t="b">
        <v>0</v>
      </c>
      <c r="S934" s="22" t="str">
        <f t="shared" si="3"/>
        <v/>
      </c>
      <c r="T934" s="7">
        <f>IF(ISBLANK(P934), 0, VLOOKUP(P934, 'Price Sheet'!$A$2:$B1015, 2, false))</f>
        <v>0</v>
      </c>
      <c r="U934" s="33" t="str">
        <f t="shared" si="4"/>
        <v/>
      </c>
      <c r="V934" s="37"/>
      <c r="W934" s="29"/>
      <c r="X934" s="29" t="b">
        <v>0</v>
      </c>
      <c r="Y934" s="22" t="str">
        <f t="shared" si="5"/>
        <v/>
      </c>
      <c r="Z934" s="7">
        <f>IF(ISBLANK(V934), 0, VLOOKUP(V934, 'Price Sheet'!$A$2:$B1015, 2, false))</f>
        <v>0</v>
      </c>
      <c r="AA934" s="33" t="str">
        <f t="shared" si="6"/>
        <v/>
      </c>
      <c r="AB934" s="37"/>
      <c r="AC934" s="29"/>
      <c r="AD934" s="29" t="b">
        <v>0</v>
      </c>
      <c r="AE934" s="22" t="str">
        <f t="shared" si="7"/>
        <v/>
      </c>
      <c r="AF934" s="7">
        <f>IF(ISBLANK(AB934), 0, VLOOKUP(AB934, 'Price Sheet'!$A$2:$B1015, 2, false))</f>
        <v>0</v>
      </c>
      <c r="AG934" s="33" t="str">
        <f t="shared" si="8"/>
        <v/>
      </c>
      <c r="AH934" s="37"/>
      <c r="AI934" s="29"/>
      <c r="AJ934" s="29" t="b">
        <v>0</v>
      </c>
      <c r="AK934" s="22" t="str">
        <f t="shared" si="9"/>
        <v/>
      </c>
      <c r="AL934" s="7">
        <f>IF(ISBLANK(AH934), 0, VLOOKUP(AH934, 'Price Sheet'!$A$2:$B1015, 2, false))</f>
        <v>0</v>
      </c>
      <c r="AM934" s="33" t="str">
        <f t="shared" si="10"/>
        <v/>
      </c>
      <c r="AN934" s="37"/>
      <c r="AO934" s="29"/>
      <c r="AP934" s="29" t="b">
        <v>0</v>
      </c>
      <c r="AQ934" s="22" t="str">
        <f t="shared" si="11"/>
        <v/>
      </c>
      <c r="AR934" s="7">
        <f>IF(ISBLANK(AN934), 0, VLOOKUP(AN934, 'Price Sheet'!$A$2:$B1015, 2, false))</f>
        <v>0</v>
      </c>
      <c r="AS934" s="33" t="str">
        <f t="shared" si="12"/>
        <v/>
      </c>
      <c r="AT934" s="37"/>
      <c r="AU934" s="29"/>
      <c r="AV934" s="29" t="b">
        <v>0</v>
      </c>
      <c r="AW934" s="22" t="str">
        <f t="shared" si="13"/>
        <v/>
      </c>
      <c r="AX934" s="7">
        <f>IF(ISBLANK(AT934), 0, VLOOKUP(AT934, 'Price Sheet'!$A$2:$B1015, 2, false))</f>
        <v>0</v>
      </c>
      <c r="AY934" s="33" t="str">
        <f t="shared" si="14"/>
        <v/>
      </c>
      <c r="AZ934" s="37"/>
      <c r="BA934" s="29"/>
      <c r="BB934" s="29" t="b">
        <v>0</v>
      </c>
      <c r="BC934" s="22" t="str">
        <f t="shared" si="15"/>
        <v/>
      </c>
      <c r="BD934" s="7">
        <f>IF(ISBLANK(AZ934), 0, VLOOKUP(AZ934, 'Price Sheet'!$A$2:$B1015, 2, false))</f>
        <v>0</v>
      </c>
      <c r="BE934" s="33" t="str">
        <f t="shared" si="16"/>
        <v/>
      </c>
      <c r="BF934" s="37"/>
      <c r="BG934" s="29"/>
      <c r="BH934" s="29" t="b">
        <v>0</v>
      </c>
      <c r="BI934" s="22" t="str">
        <f t="shared" si="17"/>
        <v/>
      </c>
      <c r="BJ934" s="7">
        <f>IF(ISBLANK(BF934), 0, VLOOKUP(BF934, 'Price Sheet'!$A$2:$B1015, 2, false))</f>
        <v>0</v>
      </c>
      <c r="BK934" s="33" t="str">
        <f t="shared" si="18"/>
        <v/>
      </c>
      <c r="BL934" s="37"/>
      <c r="BM934" s="29"/>
      <c r="BN934" s="29" t="b">
        <v>0</v>
      </c>
      <c r="BO934" s="22" t="str">
        <f t="shared" si="19"/>
        <v/>
      </c>
      <c r="BP934" s="7">
        <f>IF(ISBLANK(BL934), 0, VLOOKUP(BL934, 'Price Sheet'!$A$2:$B1015, 2, false))</f>
        <v>0</v>
      </c>
      <c r="BQ934" s="33" t="str">
        <f t="shared" si="20"/>
        <v/>
      </c>
    </row>
    <row r="935">
      <c r="B935" s="19"/>
      <c r="C935" s="29"/>
      <c r="D935" s="29"/>
      <c r="E935" s="7" t="str">
        <f>IF(ISBLANK(D935), "", VLOOKUP(D935,'Crafting Tables'!$A$2:$B1015, 2, false))</f>
        <v/>
      </c>
      <c r="F935" s="7" t="str">
        <f>IFERROR(IF(E935 = "None", 1, VLOOKUP(C935,General!$A$5:$L$35, SWITCH(E935, "Basic", 8, "Advanced", 10, "Modern", 12), false)),"")</f>
        <v/>
      </c>
      <c r="G935" s="29"/>
      <c r="H935" s="7">
        <f>IFERROR(VLOOKUP(C935, General!$A$5:$L$35, 6, false) * G935 / 1000, 0)</f>
        <v>0</v>
      </c>
      <c r="I935" s="29"/>
      <c r="J935" s="22" t="str">
        <f>IFERROR(I935*VLOOKUP(D935,'Crafting Tables'!$1:$1000, 4, false)*F935,"")</f>
        <v/>
      </c>
      <c r="K935" s="29" t="b">
        <v>0</v>
      </c>
      <c r="L935" s="37"/>
      <c r="M935" s="29"/>
      <c r="N935" s="21" t="str">
        <f t="shared" si="2"/>
        <v/>
      </c>
      <c r="P935" s="37"/>
      <c r="Q935" s="29"/>
      <c r="R935" s="29" t="b">
        <v>0</v>
      </c>
      <c r="S935" s="22" t="str">
        <f t="shared" si="3"/>
        <v/>
      </c>
      <c r="T935" s="7">
        <f>IF(ISBLANK(P935), 0, VLOOKUP(P935, 'Price Sheet'!$A$2:$B1015, 2, false))</f>
        <v>0</v>
      </c>
      <c r="U935" s="33" t="str">
        <f t="shared" si="4"/>
        <v/>
      </c>
      <c r="V935" s="37"/>
      <c r="W935" s="29"/>
      <c r="X935" s="29" t="b">
        <v>0</v>
      </c>
      <c r="Y935" s="22" t="str">
        <f t="shared" si="5"/>
        <v/>
      </c>
      <c r="Z935" s="7">
        <f>IF(ISBLANK(V935), 0, VLOOKUP(V935, 'Price Sheet'!$A$2:$B1015, 2, false))</f>
        <v>0</v>
      </c>
      <c r="AA935" s="33" t="str">
        <f t="shared" si="6"/>
        <v/>
      </c>
      <c r="AB935" s="37"/>
      <c r="AC935" s="29"/>
      <c r="AD935" s="29" t="b">
        <v>0</v>
      </c>
      <c r="AE935" s="22" t="str">
        <f t="shared" si="7"/>
        <v/>
      </c>
      <c r="AF935" s="7">
        <f>IF(ISBLANK(AB935), 0, VLOOKUP(AB935, 'Price Sheet'!$A$2:$B1015, 2, false))</f>
        <v>0</v>
      </c>
      <c r="AG935" s="33" t="str">
        <f t="shared" si="8"/>
        <v/>
      </c>
      <c r="AH935" s="37"/>
      <c r="AI935" s="29"/>
      <c r="AJ935" s="29" t="b">
        <v>0</v>
      </c>
      <c r="AK935" s="22" t="str">
        <f t="shared" si="9"/>
        <v/>
      </c>
      <c r="AL935" s="7">
        <f>IF(ISBLANK(AH935), 0, VLOOKUP(AH935, 'Price Sheet'!$A$2:$B1015, 2, false))</f>
        <v>0</v>
      </c>
      <c r="AM935" s="33" t="str">
        <f t="shared" si="10"/>
        <v/>
      </c>
      <c r="AN935" s="37"/>
      <c r="AO935" s="29"/>
      <c r="AP935" s="29" t="b">
        <v>0</v>
      </c>
      <c r="AQ935" s="22" t="str">
        <f t="shared" si="11"/>
        <v/>
      </c>
      <c r="AR935" s="7">
        <f>IF(ISBLANK(AN935), 0, VLOOKUP(AN935, 'Price Sheet'!$A$2:$B1015, 2, false))</f>
        <v>0</v>
      </c>
      <c r="AS935" s="33" t="str">
        <f t="shared" si="12"/>
        <v/>
      </c>
      <c r="AT935" s="37"/>
      <c r="AU935" s="29"/>
      <c r="AV935" s="29" t="b">
        <v>0</v>
      </c>
      <c r="AW935" s="22" t="str">
        <f t="shared" si="13"/>
        <v/>
      </c>
      <c r="AX935" s="7">
        <f>IF(ISBLANK(AT935), 0, VLOOKUP(AT935, 'Price Sheet'!$A$2:$B1015, 2, false))</f>
        <v>0</v>
      </c>
      <c r="AY935" s="33" t="str">
        <f t="shared" si="14"/>
        <v/>
      </c>
      <c r="AZ935" s="37"/>
      <c r="BA935" s="29"/>
      <c r="BB935" s="29" t="b">
        <v>0</v>
      </c>
      <c r="BC935" s="22" t="str">
        <f t="shared" si="15"/>
        <v/>
      </c>
      <c r="BD935" s="7">
        <f>IF(ISBLANK(AZ935), 0, VLOOKUP(AZ935, 'Price Sheet'!$A$2:$B1015, 2, false))</f>
        <v>0</v>
      </c>
      <c r="BE935" s="33" t="str">
        <f t="shared" si="16"/>
        <v/>
      </c>
      <c r="BF935" s="37"/>
      <c r="BG935" s="29"/>
      <c r="BH935" s="29" t="b">
        <v>0</v>
      </c>
      <c r="BI935" s="22" t="str">
        <f t="shared" si="17"/>
        <v/>
      </c>
      <c r="BJ935" s="7">
        <f>IF(ISBLANK(BF935), 0, VLOOKUP(BF935, 'Price Sheet'!$A$2:$B1015, 2, false))</f>
        <v>0</v>
      </c>
      <c r="BK935" s="33" t="str">
        <f t="shared" si="18"/>
        <v/>
      </c>
      <c r="BL935" s="37"/>
      <c r="BM935" s="29"/>
      <c r="BN935" s="29" t="b">
        <v>0</v>
      </c>
      <c r="BO935" s="22" t="str">
        <f t="shared" si="19"/>
        <v/>
      </c>
      <c r="BP935" s="7">
        <f>IF(ISBLANK(BL935), 0, VLOOKUP(BL935, 'Price Sheet'!$A$2:$B1015, 2, false))</f>
        <v>0</v>
      </c>
      <c r="BQ935" s="33" t="str">
        <f t="shared" si="20"/>
        <v/>
      </c>
    </row>
    <row r="936">
      <c r="B936" s="19"/>
      <c r="C936" s="29"/>
      <c r="D936" s="29"/>
      <c r="E936" s="7" t="str">
        <f>IF(ISBLANK(D936), "", VLOOKUP(D936,'Crafting Tables'!$A$2:$B1015, 2, false))</f>
        <v/>
      </c>
      <c r="F936" s="7" t="str">
        <f>IFERROR(IF(E936 = "None", 1, VLOOKUP(C936,General!$A$5:$L$35, SWITCH(E936, "Basic", 8, "Advanced", 10, "Modern", 12), false)),"")</f>
        <v/>
      </c>
      <c r="G936" s="29"/>
      <c r="H936" s="7">
        <f>IFERROR(VLOOKUP(C936, General!$A$5:$L$35, 6, false) * G936 / 1000, 0)</f>
        <v>0</v>
      </c>
      <c r="I936" s="29"/>
      <c r="J936" s="22" t="str">
        <f>IFERROR(I936*VLOOKUP(D936,'Crafting Tables'!$1:$1000, 4, false)*F936,"")</f>
        <v/>
      </c>
      <c r="K936" s="29" t="b">
        <v>0</v>
      </c>
      <c r="L936" s="37"/>
      <c r="M936" s="29"/>
      <c r="N936" s="21" t="str">
        <f t="shared" si="2"/>
        <v/>
      </c>
      <c r="P936" s="37"/>
      <c r="Q936" s="29"/>
      <c r="R936" s="29" t="b">
        <v>0</v>
      </c>
      <c r="S936" s="22" t="str">
        <f t="shared" si="3"/>
        <v/>
      </c>
      <c r="T936" s="7">
        <f>IF(ISBLANK(P936), 0, VLOOKUP(P936, 'Price Sheet'!$A$2:$B1015, 2, false))</f>
        <v>0</v>
      </c>
      <c r="U936" s="33" t="str">
        <f t="shared" si="4"/>
        <v/>
      </c>
      <c r="V936" s="37"/>
      <c r="W936" s="29"/>
      <c r="X936" s="29" t="b">
        <v>0</v>
      </c>
      <c r="Y936" s="22" t="str">
        <f t="shared" si="5"/>
        <v/>
      </c>
      <c r="Z936" s="7">
        <f>IF(ISBLANK(V936), 0, VLOOKUP(V936, 'Price Sheet'!$A$2:$B1015, 2, false))</f>
        <v>0</v>
      </c>
      <c r="AA936" s="33" t="str">
        <f t="shared" si="6"/>
        <v/>
      </c>
      <c r="AB936" s="37"/>
      <c r="AC936" s="29"/>
      <c r="AD936" s="29" t="b">
        <v>0</v>
      </c>
      <c r="AE936" s="22" t="str">
        <f t="shared" si="7"/>
        <v/>
      </c>
      <c r="AF936" s="7">
        <f>IF(ISBLANK(AB936), 0, VLOOKUP(AB936, 'Price Sheet'!$A$2:$B1015, 2, false))</f>
        <v>0</v>
      </c>
      <c r="AG936" s="33" t="str">
        <f t="shared" si="8"/>
        <v/>
      </c>
      <c r="AH936" s="37"/>
      <c r="AI936" s="29"/>
      <c r="AJ936" s="29" t="b">
        <v>0</v>
      </c>
      <c r="AK936" s="22" t="str">
        <f t="shared" si="9"/>
        <v/>
      </c>
      <c r="AL936" s="7">
        <f>IF(ISBLANK(AH936), 0, VLOOKUP(AH936, 'Price Sheet'!$A$2:$B1015, 2, false))</f>
        <v>0</v>
      </c>
      <c r="AM936" s="33" t="str">
        <f t="shared" si="10"/>
        <v/>
      </c>
      <c r="AN936" s="37"/>
      <c r="AO936" s="29"/>
      <c r="AP936" s="29" t="b">
        <v>0</v>
      </c>
      <c r="AQ936" s="22" t="str">
        <f t="shared" si="11"/>
        <v/>
      </c>
      <c r="AR936" s="7">
        <f>IF(ISBLANK(AN936), 0, VLOOKUP(AN936, 'Price Sheet'!$A$2:$B1015, 2, false))</f>
        <v>0</v>
      </c>
      <c r="AS936" s="33" t="str">
        <f t="shared" si="12"/>
        <v/>
      </c>
      <c r="AT936" s="37"/>
      <c r="AU936" s="29"/>
      <c r="AV936" s="29" t="b">
        <v>0</v>
      </c>
      <c r="AW936" s="22" t="str">
        <f t="shared" si="13"/>
        <v/>
      </c>
      <c r="AX936" s="7">
        <f>IF(ISBLANK(AT936), 0, VLOOKUP(AT936, 'Price Sheet'!$A$2:$B1015, 2, false))</f>
        <v>0</v>
      </c>
      <c r="AY936" s="33" t="str">
        <f t="shared" si="14"/>
        <v/>
      </c>
      <c r="AZ936" s="37"/>
      <c r="BA936" s="29"/>
      <c r="BB936" s="29" t="b">
        <v>0</v>
      </c>
      <c r="BC936" s="22" t="str">
        <f t="shared" si="15"/>
        <v/>
      </c>
      <c r="BD936" s="7">
        <f>IF(ISBLANK(AZ936), 0, VLOOKUP(AZ936, 'Price Sheet'!$A$2:$B1015, 2, false))</f>
        <v>0</v>
      </c>
      <c r="BE936" s="33" t="str">
        <f t="shared" si="16"/>
        <v/>
      </c>
      <c r="BF936" s="37"/>
      <c r="BG936" s="29"/>
      <c r="BH936" s="29" t="b">
        <v>0</v>
      </c>
      <c r="BI936" s="22" t="str">
        <f t="shared" si="17"/>
        <v/>
      </c>
      <c r="BJ936" s="7">
        <f>IF(ISBLANK(BF936), 0, VLOOKUP(BF936, 'Price Sheet'!$A$2:$B1015, 2, false))</f>
        <v>0</v>
      </c>
      <c r="BK936" s="33" t="str">
        <f t="shared" si="18"/>
        <v/>
      </c>
      <c r="BL936" s="37"/>
      <c r="BM936" s="29"/>
      <c r="BN936" s="29" t="b">
        <v>0</v>
      </c>
      <c r="BO936" s="22" t="str">
        <f t="shared" si="19"/>
        <v/>
      </c>
      <c r="BP936" s="7">
        <f>IF(ISBLANK(BL936), 0, VLOOKUP(BL936, 'Price Sheet'!$A$2:$B1015, 2, false))</f>
        <v>0</v>
      </c>
      <c r="BQ936" s="33" t="str">
        <f t="shared" si="20"/>
        <v/>
      </c>
    </row>
    <row r="937">
      <c r="B937" s="19"/>
      <c r="C937" s="29"/>
      <c r="D937" s="29"/>
      <c r="E937" s="7" t="str">
        <f>IF(ISBLANK(D937), "", VLOOKUP(D937,'Crafting Tables'!$A$2:$B1015, 2, false))</f>
        <v/>
      </c>
      <c r="F937" s="7" t="str">
        <f>IFERROR(IF(E937 = "None", 1, VLOOKUP(C937,General!$A$5:$L$35, SWITCH(E937, "Basic", 8, "Advanced", 10, "Modern", 12), false)),"")</f>
        <v/>
      </c>
      <c r="G937" s="29"/>
      <c r="H937" s="7">
        <f>IFERROR(VLOOKUP(C937, General!$A$5:$L$35, 6, false) * G937 / 1000, 0)</f>
        <v>0</v>
      </c>
      <c r="I937" s="29"/>
      <c r="J937" s="22" t="str">
        <f>IFERROR(I937*VLOOKUP(D937,'Crafting Tables'!$1:$1000, 4, false)*F937,"")</f>
        <v/>
      </c>
      <c r="K937" s="29" t="b">
        <v>0</v>
      </c>
      <c r="L937" s="37"/>
      <c r="M937" s="29"/>
      <c r="N937" s="21" t="str">
        <f t="shared" si="2"/>
        <v/>
      </c>
      <c r="P937" s="37"/>
      <c r="Q937" s="29"/>
      <c r="R937" s="29" t="b">
        <v>0</v>
      </c>
      <c r="S937" s="22" t="str">
        <f t="shared" si="3"/>
        <v/>
      </c>
      <c r="T937" s="7">
        <f>IF(ISBLANK(P937), 0, VLOOKUP(P937, 'Price Sheet'!$A$2:$B1015, 2, false))</f>
        <v>0</v>
      </c>
      <c r="U937" s="33" t="str">
        <f t="shared" si="4"/>
        <v/>
      </c>
      <c r="V937" s="37"/>
      <c r="W937" s="29"/>
      <c r="X937" s="29" t="b">
        <v>0</v>
      </c>
      <c r="Y937" s="22" t="str">
        <f t="shared" si="5"/>
        <v/>
      </c>
      <c r="Z937" s="7">
        <f>IF(ISBLANK(V937), 0, VLOOKUP(V937, 'Price Sheet'!$A$2:$B1015, 2, false))</f>
        <v>0</v>
      </c>
      <c r="AA937" s="33" t="str">
        <f t="shared" si="6"/>
        <v/>
      </c>
      <c r="AB937" s="37"/>
      <c r="AC937" s="29"/>
      <c r="AD937" s="29" t="b">
        <v>0</v>
      </c>
      <c r="AE937" s="22" t="str">
        <f t="shared" si="7"/>
        <v/>
      </c>
      <c r="AF937" s="7">
        <f>IF(ISBLANK(AB937), 0, VLOOKUP(AB937, 'Price Sheet'!$A$2:$B1015, 2, false))</f>
        <v>0</v>
      </c>
      <c r="AG937" s="33" t="str">
        <f t="shared" si="8"/>
        <v/>
      </c>
      <c r="AH937" s="37"/>
      <c r="AI937" s="29"/>
      <c r="AJ937" s="29" t="b">
        <v>0</v>
      </c>
      <c r="AK937" s="22" t="str">
        <f t="shared" si="9"/>
        <v/>
      </c>
      <c r="AL937" s="7">
        <f>IF(ISBLANK(AH937), 0, VLOOKUP(AH937, 'Price Sheet'!$A$2:$B1015, 2, false))</f>
        <v>0</v>
      </c>
      <c r="AM937" s="33" t="str">
        <f t="shared" si="10"/>
        <v/>
      </c>
      <c r="AN937" s="37"/>
      <c r="AO937" s="29"/>
      <c r="AP937" s="29" t="b">
        <v>0</v>
      </c>
      <c r="AQ937" s="22" t="str">
        <f t="shared" si="11"/>
        <v/>
      </c>
      <c r="AR937" s="7">
        <f>IF(ISBLANK(AN937), 0, VLOOKUP(AN937, 'Price Sheet'!$A$2:$B1015, 2, false))</f>
        <v>0</v>
      </c>
      <c r="AS937" s="33" t="str">
        <f t="shared" si="12"/>
        <v/>
      </c>
      <c r="AT937" s="37"/>
      <c r="AU937" s="29"/>
      <c r="AV937" s="29" t="b">
        <v>0</v>
      </c>
      <c r="AW937" s="22" t="str">
        <f t="shared" si="13"/>
        <v/>
      </c>
      <c r="AX937" s="7">
        <f>IF(ISBLANK(AT937), 0, VLOOKUP(AT937, 'Price Sheet'!$A$2:$B1015, 2, false))</f>
        <v>0</v>
      </c>
      <c r="AY937" s="33" t="str">
        <f t="shared" si="14"/>
        <v/>
      </c>
      <c r="AZ937" s="37"/>
      <c r="BA937" s="29"/>
      <c r="BB937" s="29" t="b">
        <v>0</v>
      </c>
      <c r="BC937" s="22" t="str">
        <f t="shared" si="15"/>
        <v/>
      </c>
      <c r="BD937" s="7">
        <f>IF(ISBLANK(AZ937), 0, VLOOKUP(AZ937, 'Price Sheet'!$A$2:$B1015, 2, false))</f>
        <v>0</v>
      </c>
      <c r="BE937" s="33" t="str">
        <f t="shared" si="16"/>
        <v/>
      </c>
      <c r="BF937" s="37"/>
      <c r="BG937" s="29"/>
      <c r="BH937" s="29" t="b">
        <v>0</v>
      </c>
      <c r="BI937" s="22" t="str">
        <f t="shared" si="17"/>
        <v/>
      </c>
      <c r="BJ937" s="7">
        <f>IF(ISBLANK(BF937), 0, VLOOKUP(BF937, 'Price Sheet'!$A$2:$B1015, 2, false))</f>
        <v>0</v>
      </c>
      <c r="BK937" s="33" t="str">
        <f t="shared" si="18"/>
        <v/>
      </c>
      <c r="BL937" s="37"/>
      <c r="BM937" s="29"/>
      <c r="BN937" s="29" t="b">
        <v>0</v>
      </c>
      <c r="BO937" s="22" t="str">
        <f t="shared" si="19"/>
        <v/>
      </c>
      <c r="BP937" s="7">
        <f>IF(ISBLANK(BL937), 0, VLOOKUP(BL937, 'Price Sheet'!$A$2:$B1015, 2, false))</f>
        <v>0</v>
      </c>
      <c r="BQ937" s="33" t="str">
        <f t="shared" si="20"/>
        <v/>
      </c>
    </row>
    <row r="938">
      <c r="B938" s="19"/>
      <c r="C938" s="29"/>
      <c r="D938" s="29"/>
      <c r="E938" s="7" t="str">
        <f>IF(ISBLANK(D938), "", VLOOKUP(D938,'Crafting Tables'!$A$2:$B1015, 2, false))</f>
        <v/>
      </c>
      <c r="F938" s="7" t="str">
        <f>IFERROR(IF(E938 = "None", 1, VLOOKUP(C938,General!$A$5:$L$35, SWITCH(E938, "Basic", 8, "Advanced", 10, "Modern", 12), false)),"")</f>
        <v/>
      </c>
      <c r="G938" s="29"/>
      <c r="H938" s="7">
        <f>IFERROR(VLOOKUP(C938, General!$A$5:$L$35, 6, false) * G938 / 1000, 0)</f>
        <v>0</v>
      </c>
      <c r="I938" s="29"/>
      <c r="J938" s="22" t="str">
        <f>IFERROR(I938*VLOOKUP(D938,'Crafting Tables'!$1:$1000, 4, false)*F938,"")</f>
        <v/>
      </c>
      <c r="K938" s="29" t="b">
        <v>0</v>
      </c>
      <c r="L938" s="37"/>
      <c r="M938" s="29"/>
      <c r="N938" s="21" t="str">
        <f t="shared" si="2"/>
        <v/>
      </c>
      <c r="P938" s="37"/>
      <c r="Q938" s="29"/>
      <c r="R938" s="29" t="b">
        <v>0</v>
      </c>
      <c r="S938" s="22" t="str">
        <f t="shared" si="3"/>
        <v/>
      </c>
      <c r="T938" s="7">
        <f>IF(ISBLANK(P938), 0, VLOOKUP(P938, 'Price Sheet'!$A$2:$B1015, 2, false))</f>
        <v>0</v>
      </c>
      <c r="U938" s="33" t="str">
        <f t="shared" si="4"/>
        <v/>
      </c>
      <c r="V938" s="37"/>
      <c r="W938" s="29"/>
      <c r="X938" s="29" t="b">
        <v>0</v>
      </c>
      <c r="Y938" s="22" t="str">
        <f t="shared" si="5"/>
        <v/>
      </c>
      <c r="Z938" s="7">
        <f>IF(ISBLANK(V938), 0, VLOOKUP(V938, 'Price Sheet'!$A$2:$B1015, 2, false))</f>
        <v>0</v>
      </c>
      <c r="AA938" s="33" t="str">
        <f t="shared" si="6"/>
        <v/>
      </c>
      <c r="AB938" s="37"/>
      <c r="AC938" s="29"/>
      <c r="AD938" s="29" t="b">
        <v>0</v>
      </c>
      <c r="AE938" s="22" t="str">
        <f t="shared" si="7"/>
        <v/>
      </c>
      <c r="AF938" s="7">
        <f>IF(ISBLANK(AB938), 0, VLOOKUP(AB938, 'Price Sheet'!$A$2:$B1015, 2, false))</f>
        <v>0</v>
      </c>
      <c r="AG938" s="33" t="str">
        <f t="shared" si="8"/>
        <v/>
      </c>
      <c r="AH938" s="37"/>
      <c r="AI938" s="29"/>
      <c r="AJ938" s="29" t="b">
        <v>0</v>
      </c>
      <c r="AK938" s="22" t="str">
        <f t="shared" si="9"/>
        <v/>
      </c>
      <c r="AL938" s="7">
        <f>IF(ISBLANK(AH938), 0, VLOOKUP(AH938, 'Price Sheet'!$A$2:$B1015, 2, false))</f>
        <v>0</v>
      </c>
      <c r="AM938" s="33" t="str">
        <f t="shared" si="10"/>
        <v/>
      </c>
      <c r="AN938" s="37"/>
      <c r="AO938" s="29"/>
      <c r="AP938" s="29" t="b">
        <v>0</v>
      </c>
      <c r="AQ938" s="22" t="str">
        <f t="shared" si="11"/>
        <v/>
      </c>
      <c r="AR938" s="7">
        <f>IF(ISBLANK(AN938), 0, VLOOKUP(AN938, 'Price Sheet'!$A$2:$B1015, 2, false))</f>
        <v>0</v>
      </c>
      <c r="AS938" s="33" t="str">
        <f t="shared" si="12"/>
        <v/>
      </c>
      <c r="AT938" s="37"/>
      <c r="AU938" s="29"/>
      <c r="AV938" s="29" t="b">
        <v>0</v>
      </c>
      <c r="AW938" s="22" t="str">
        <f t="shared" si="13"/>
        <v/>
      </c>
      <c r="AX938" s="7">
        <f>IF(ISBLANK(AT938), 0, VLOOKUP(AT938, 'Price Sheet'!$A$2:$B1015, 2, false))</f>
        <v>0</v>
      </c>
      <c r="AY938" s="33" t="str">
        <f t="shared" si="14"/>
        <v/>
      </c>
      <c r="AZ938" s="37"/>
      <c r="BA938" s="29"/>
      <c r="BB938" s="29" t="b">
        <v>0</v>
      </c>
      <c r="BC938" s="22" t="str">
        <f t="shared" si="15"/>
        <v/>
      </c>
      <c r="BD938" s="7">
        <f>IF(ISBLANK(AZ938), 0, VLOOKUP(AZ938, 'Price Sheet'!$A$2:$B1015, 2, false))</f>
        <v>0</v>
      </c>
      <c r="BE938" s="33" t="str">
        <f t="shared" si="16"/>
        <v/>
      </c>
      <c r="BF938" s="37"/>
      <c r="BG938" s="29"/>
      <c r="BH938" s="29" t="b">
        <v>0</v>
      </c>
      <c r="BI938" s="22" t="str">
        <f t="shared" si="17"/>
        <v/>
      </c>
      <c r="BJ938" s="7">
        <f>IF(ISBLANK(BF938), 0, VLOOKUP(BF938, 'Price Sheet'!$A$2:$B1015, 2, false))</f>
        <v>0</v>
      </c>
      <c r="BK938" s="33" t="str">
        <f t="shared" si="18"/>
        <v/>
      </c>
      <c r="BL938" s="37"/>
      <c r="BM938" s="29"/>
      <c r="BN938" s="29" t="b">
        <v>0</v>
      </c>
      <c r="BO938" s="22" t="str">
        <f t="shared" si="19"/>
        <v/>
      </c>
      <c r="BP938" s="7">
        <f>IF(ISBLANK(BL938), 0, VLOOKUP(BL938, 'Price Sheet'!$A$2:$B1015, 2, false))</f>
        <v>0</v>
      </c>
      <c r="BQ938" s="33" t="str">
        <f t="shared" si="20"/>
        <v/>
      </c>
    </row>
    <row r="939">
      <c r="B939" s="19"/>
      <c r="C939" s="29"/>
      <c r="D939" s="29"/>
      <c r="E939" s="7" t="str">
        <f>IF(ISBLANK(D939), "", VLOOKUP(D939,'Crafting Tables'!$A$2:$B1015, 2, false))</f>
        <v/>
      </c>
      <c r="F939" s="7" t="str">
        <f>IFERROR(IF(E939 = "None", 1, VLOOKUP(C939,General!$A$5:$L$35, SWITCH(E939, "Basic", 8, "Advanced", 10, "Modern", 12), false)),"")</f>
        <v/>
      </c>
      <c r="G939" s="29"/>
      <c r="H939" s="7">
        <f>IFERROR(VLOOKUP(C939, General!$A$5:$L$35, 6, false) * G939 / 1000, 0)</f>
        <v>0</v>
      </c>
      <c r="I939" s="29"/>
      <c r="J939" s="22" t="str">
        <f>IFERROR(I939*VLOOKUP(D939,'Crafting Tables'!$1:$1000, 4, false)*F939,"")</f>
        <v/>
      </c>
      <c r="K939" s="29" t="b">
        <v>0</v>
      </c>
      <c r="L939" s="37"/>
      <c r="M939" s="29"/>
      <c r="N939" s="21" t="str">
        <f t="shared" si="2"/>
        <v/>
      </c>
      <c r="P939" s="37"/>
      <c r="Q939" s="29"/>
      <c r="R939" s="29" t="b">
        <v>0</v>
      </c>
      <c r="S939" s="22" t="str">
        <f t="shared" si="3"/>
        <v/>
      </c>
      <c r="T939" s="7">
        <f>IF(ISBLANK(P939), 0, VLOOKUP(P939, 'Price Sheet'!$A$2:$B1015, 2, false))</f>
        <v>0</v>
      </c>
      <c r="U939" s="33" t="str">
        <f t="shared" si="4"/>
        <v/>
      </c>
      <c r="V939" s="37"/>
      <c r="W939" s="29"/>
      <c r="X939" s="29" t="b">
        <v>0</v>
      </c>
      <c r="Y939" s="22" t="str">
        <f t="shared" si="5"/>
        <v/>
      </c>
      <c r="Z939" s="7">
        <f>IF(ISBLANK(V939), 0, VLOOKUP(V939, 'Price Sheet'!$A$2:$B1015, 2, false))</f>
        <v>0</v>
      </c>
      <c r="AA939" s="33" t="str">
        <f t="shared" si="6"/>
        <v/>
      </c>
      <c r="AB939" s="37"/>
      <c r="AC939" s="29"/>
      <c r="AD939" s="29" t="b">
        <v>0</v>
      </c>
      <c r="AE939" s="22" t="str">
        <f t="shared" si="7"/>
        <v/>
      </c>
      <c r="AF939" s="7">
        <f>IF(ISBLANK(AB939), 0, VLOOKUP(AB939, 'Price Sheet'!$A$2:$B1015, 2, false))</f>
        <v>0</v>
      </c>
      <c r="AG939" s="33" t="str">
        <f t="shared" si="8"/>
        <v/>
      </c>
      <c r="AH939" s="37"/>
      <c r="AI939" s="29"/>
      <c r="AJ939" s="29" t="b">
        <v>0</v>
      </c>
      <c r="AK939" s="22" t="str">
        <f t="shared" si="9"/>
        <v/>
      </c>
      <c r="AL939" s="7">
        <f>IF(ISBLANK(AH939), 0, VLOOKUP(AH939, 'Price Sheet'!$A$2:$B1015, 2, false))</f>
        <v>0</v>
      </c>
      <c r="AM939" s="33" t="str">
        <f t="shared" si="10"/>
        <v/>
      </c>
      <c r="AN939" s="37"/>
      <c r="AO939" s="29"/>
      <c r="AP939" s="29" t="b">
        <v>0</v>
      </c>
      <c r="AQ939" s="22" t="str">
        <f t="shared" si="11"/>
        <v/>
      </c>
      <c r="AR939" s="7">
        <f>IF(ISBLANK(AN939), 0, VLOOKUP(AN939, 'Price Sheet'!$A$2:$B1015, 2, false))</f>
        <v>0</v>
      </c>
      <c r="AS939" s="33" t="str">
        <f t="shared" si="12"/>
        <v/>
      </c>
      <c r="AT939" s="37"/>
      <c r="AU939" s="29"/>
      <c r="AV939" s="29" t="b">
        <v>0</v>
      </c>
      <c r="AW939" s="22" t="str">
        <f t="shared" si="13"/>
        <v/>
      </c>
      <c r="AX939" s="7">
        <f>IF(ISBLANK(AT939), 0, VLOOKUP(AT939, 'Price Sheet'!$A$2:$B1015, 2, false))</f>
        <v>0</v>
      </c>
      <c r="AY939" s="33" t="str">
        <f t="shared" si="14"/>
        <v/>
      </c>
      <c r="AZ939" s="37"/>
      <c r="BA939" s="29"/>
      <c r="BB939" s="29" t="b">
        <v>0</v>
      </c>
      <c r="BC939" s="22" t="str">
        <f t="shared" si="15"/>
        <v/>
      </c>
      <c r="BD939" s="7">
        <f>IF(ISBLANK(AZ939), 0, VLOOKUP(AZ939, 'Price Sheet'!$A$2:$B1015, 2, false))</f>
        <v>0</v>
      </c>
      <c r="BE939" s="33" t="str">
        <f t="shared" si="16"/>
        <v/>
      </c>
      <c r="BF939" s="37"/>
      <c r="BG939" s="29"/>
      <c r="BH939" s="29" t="b">
        <v>0</v>
      </c>
      <c r="BI939" s="22" t="str">
        <f t="shared" si="17"/>
        <v/>
      </c>
      <c r="BJ939" s="7">
        <f>IF(ISBLANK(BF939), 0, VLOOKUP(BF939, 'Price Sheet'!$A$2:$B1015, 2, false))</f>
        <v>0</v>
      </c>
      <c r="BK939" s="33" t="str">
        <f t="shared" si="18"/>
        <v/>
      </c>
      <c r="BL939" s="37"/>
      <c r="BM939" s="29"/>
      <c r="BN939" s="29" t="b">
        <v>0</v>
      </c>
      <c r="BO939" s="22" t="str">
        <f t="shared" si="19"/>
        <v/>
      </c>
      <c r="BP939" s="7">
        <f>IF(ISBLANK(BL939), 0, VLOOKUP(BL939, 'Price Sheet'!$A$2:$B1015, 2, false))</f>
        <v>0</v>
      </c>
      <c r="BQ939" s="33" t="str">
        <f t="shared" si="20"/>
        <v/>
      </c>
    </row>
    <row r="940">
      <c r="B940" s="19"/>
      <c r="C940" s="29"/>
      <c r="D940" s="29"/>
      <c r="E940" s="7" t="str">
        <f>IF(ISBLANK(D940), "", VLOOKUP(D940,'Crafting Tables'!$A$2:$B1015, 2, false))</f>
        <v/>
      </c>
      <c r="F940" s="7" t="str">
        <f>IFERROR(IF(E940 = "None", 1, VLOOKUP(C940,General!$A$5:$L$35, SWITCH(E940, "Basic", 8, "Advanced", 10, "Modern", 12), false)),"")</f>
        <v/>
      </c>
      <c r="G940" s="29"/>
      <c r="H940" s="7">
        <f>IFERROR(VLOOKUP(C940, General!$A$5:$L$35, 6, false) * G940 / 1000, 0)</f>
        <v>0</v>
      </c>
      <c r="I940" s="29"/>
      <c r="J940" s="22" t="str">
        <f>IFERROR(I940*VLOOKUP(D940,'Crafting Tables'!$1:$1000, 4, false)*F940,"")</f>
        <v/>
      </c>
      <c r="K940" s="29" t="b">
        <v>0</v>
      </c>
      <c r="L940" s="37"/>
      <c r="M940" s="29"/>
      <c r="N940" s="21" t="str">
        <f t="shared" si="2"/>
        <v/>
      </c>
      <c r="P940" s="37"/>
      <c r="Q940" s="29"/>
      <c r="R940" s="29" t="b">
        <v>0</v>
      </c>
      <c r="S940" s="22" t="str">
        <f t="shared" si="3"/>
        <v/>
      </c>
      <c r="T940" s="7">
        <f>IF(ISBLANK(P940), 0, VLOOKUP(P940, 'Price Sheet'!$A$2:$B1015, 2, false))</f>
        <v>0</v>
      </c>
      <c r="U940" s="33" t="str">
        <f t="shared" si="4"/>
        <v/>
      </c>
      <c r="V940" s="37"/>
      <c r="W940" s="29"/>
      <c r="X940" s="29" t="b">
        <v>0</v>
      </c>
      <c r="Y940" s="22" t="str">
        <f t="shared" si="5"/>
        <v/>
      </c>
      <c r="Z940" s="7">
        <f>IF(ISBLANK(V940), 0, VLOOKUP(V940, 'Price Sheet'!$A$2:$B1015, 2, false))</f>
        <v>0</v>
      </c>
      <c r="AA940" s="33" t="str">
        <f t="shared" si="6"/>
        <v/>
      </c>
      <c r="AB940" s="37"/>
      <c r="AC940" s="29"/>
      <c r="AD940" s="29" t="b">
        <v>0</v>
      </c>
      <c r="AE940" s="22" t="str">
        <f t="shared" si="7"/>
        <v/>
      </c>
      <c r="AF940" s="7">
        <f>IF(ISBLANK(AB940), 0, VLOOKUP(AB940, 'Price Sheet'!$A$2:$B1015, 2, false))</f>
        <v>0</v>
      </c>
      <c r="AG940" s="33" t="str">
        <f t="shared" si="8"/>
        <v/>
      </c>
      <c r="AH940" s="37"/>
      <c r="AI940" s="29"/>
      <c r="AJ940" s="29" t="b">
        <v>0</v>
      </c>
      <c r="AK940" s="22" t="str">
        <f t="shared" si="9"/>
        <v/>
      </c>
      <c r="AL940" s="7">
        <f>IF(ISBLANK(AH940), 0, VLOOKUP(AH940, 'Price Sheet'!$A$2:$B1015, 2, false))</f>
        <v>0</v>
      </c>
      <c r="AM940" s="33" t="str">
        <f t="shared" si="10"/>
        <v/>
      </c>
      <c r="AN940" s="37"/>
      <c r="AO940" s="29"/>
      <c r="AP940" s="29" t="b">
        <v>0</v>
      </c>
      <c r="AQ940" s="22" t="str">
        <f t="shared" si="11"/>
        <v/>
      </c>
      <c r="AR940" s="7">
        <f>IF(ISBLANK(AN940), 0, VLOOKUP(AN940, 'Price Sheet'!$A$2:$B1015, 2, false))</f>
        <v>0</v>
      </c>
      <c r="AS940" s="33" t="str">
        <f t="shared" si="12"/>
        <v/>
      </c>
      <c r="AT940" s="37"/>
      <c r="AU940" s="29"/>
      <c r="AV940" s="29" t="b">
        <v>0</v>
      </c>
      <c r="AW940" s="22" t="str">
        <f t="shared" si="13"/>
        <v/>
      </c>
      <c r="AX940" s="7">
        <f>IF(ISBLANK(AT940), 0, VLOOKUP(AT940, 'Price Sheet'!$A$2:$B1015, 2, false))</f>
        <v>0</v>
      </c>
      <c r="AY940" s="33" t="str">
        <f t="shared" si="14"/>
        <v/>
      </c>
      <c r="AZ940" s="37"/>
      <c r="BA940" s="29"/>
      <c r="BB940" s="29" t="b">
        <v>0</v>
      </c>
      <c r="BC940" s="22" t="str">
        <f t="shared" si="15"/>
        <v/>
      </c>
      <c r="BD940" s="7">
        <f>IF(ISBLANK(AZ940), 0, VLOOKUP(AZ940, 'Price Sheet'!$A$2:$B1015, 2, false))</f>
        <v>0</v>
      </c>
      <c r="BE940" s="33" t="str">
        <f t="shared" si="16"/>
        <v/>
      </c>
      <c r="BF940" s="37"/>
      <c r="BG940" s="29"/>
      <c r="BH940" s="29" t="b">
        <v>0</v>
      </c>
      <c r="BI940" s="22" t="str">
        <f t="shared" si="17"/>
        <v/>
      </c>
      <c r="BJ940" s="7">
        <f>IF(ISBLANK(BF940), 0, VLOOKUP(BF940, 'Price Sheet'!$A$2:$B1015, 2, false))</f>
        <v>0</v>
      </c>
      <c r="BK940" s="33" t="str">
        <f t="shared" si="18"/>
        <v/>
      </c>
      <c r="BL940" s="37"/>
      <c r="BM940" s="29"/>
      <c r="BN940" s="29" t="b">
        <v>0</v>
      </c>
      <c r="BO940" s="22" t="str">
        <f t="shared" si="19"/>
        <v/>
      </c>
      <c r="BP940" s="7">
        <f>IF(ISBLANK(BL940), 0, VLOOKUP(BL940, 'Price Sheet'!$A$2:$B1015, 2, false))</f>
        <v>0</v>
      </c>
      <c r="BQ940" s="33" t="str">
        <f t="shared" si="20"/>
        <v/>
      </c>
    </row>
    <row r="941">
      <c r="B941" s="19"/>
      <c r="C941" s="29"/>
      <c r="D941" s="29"/>
      <c r="E941" s="7" t="str">
        <f>IF(ISBLANK(D941), "", VLOOKUP(D941,'Crafting Tables'!$A$2:$B1015, 2, false))</f>
        <v/>
      </c>
      <c r="F941" s="7" t="str">
        <f>IFERROR(IF(E941 = "None", 1, VLOOKUP(C941,General!$A$5:$L$35, SWITCH(E941, "Basic", 8, "Advanced", 10, "Modern", 12), false)),"")</f>
        <v/>
      </c>
      <c r="G941" s="29"/>
      <c r="H941" s="7">
        <f>IFERROR(VLOOKUP(C941, General!$A$5:$L$35, 6, false) * G941 / 1000, 0)</f>
        <v>0</v>
      </c>
      <c r="I941" s="29"/>
      <c r="J941" s="22" t="str">
        <f>IFERROR(I941*VLOOKUP(D941,'Crafting Tables'!$1:$1000, 4, false)*F941,"")</f>
        <v/>
      </c>
      <c r="K941" s="29" t="b">
        <v>0</v>
      </c>
      <c r="L941" s="37"/>
      <c r="M941" s="29"/>
      <c r="N941" s="21" t="str">
        <f t="shared" si="2"/>
        <v/>
      </c>
      <c r="P941" s="37"/>
      <c r="Q941" s="29"/>
      <c r="R941" s="29" t="b">
        <v>0</v>
      </c>
      <c r="S941" s="22" t="str">
        <f t="shared" si="3"/>
        <v/>
      </c>
      <c r="T941" s="7">
        <f>IF(ISBLANK(P941), 0, VLOOKUP(P941, 'Price Sheet'!$A$2:$B1015, 2, false))</f>
        <v>0</v>
      </c>
      <c r="U941" s="33" t="str">
        <f t="shared" si="4"/>
        <v/>
      </c>
      <c r="V941" s="37"/>
      <c r="W941" s="29"/>
      <c r="X941" s="29" t="b">
        <v>0</v>
      </c>
      <c r="Y941" s="22" t="str">
        <f t="shared" si="5"/>
        <v/>
      </c>
      <c r="Z941" s="7">
        <f>IF(ISBLANK(V941), 0, VLOOKUP(V941, 'Price Sheet'!$A$2:$B1015, 2, false))</f>
        <v>0</v>
      </c>
      <c r="AA941" s="33" t="str">
        <f t="shared" si="6"/>
        <v/>
      </c>
      <c r="AB941" s="37"/>
      <c r="AC941" s="29"/>
      <c r="AD941" s="29" t="b">
        <v>0</v>
      </c>
      <c r="AE941" s="22" t="str">
        <f t="shared" si="7"/>
        <v/>
      </c>
      <c r="AF941" s="7">
        <f>IF(ISBLANK(AB941), 0, VLOOKUP(AB941, 'Price Sheet'!$A$2:$B1015, 2, false))</f>
        <v>0</v>
      </c>
      <c r="AG941" s="33" t="str">
        <f t="shared" si="8"/>
        <v/>
      </c>
      <c r="AH941" s="37"/>
      <c r="AI941" s="29"/>
      <c r="AJ941" s="29" t="b">
        <v>0</v>
      </c>
      <c r="AK941" s="22" t="str">
        <f t="shared" si="9"/>
        <v/>
      </c>
      <c r="AL941" s="7">
        <f>IF(ISBLANK(AH941), 0, VLOOKUP(AH941, 'Price Sheet'!$A$2:$B1015, 2, false))</f>
        <v>0</v>
      </c>
      <c r="AM941" s="33" t="str">
        <f t="shared" si="10"/>
        <v/>
      </c>
      <c r="AN941" s="37"/>
      <c r="AO941" s="29"/>
      <c r="AP941" s="29" t="b">
        <v>0</v>
      </c>
      <c r="AQ941" s="22" t="str">
        <f t="shared" si="11"/>
        <v/>
      </c>
      <c r="AR941" s="7">
        <f>IF(ISBLANK(AN941), 0, VLOOKUP(AN941, 'Price Sheet'!$A$2:$B1015, 2, false))</f>
        <v>0</v>
      </c>
      <c r="AS941" s="33" t="str">
        <f t="shared" si="12"/>
        <v/>
      </c>
      <c r="AT941" s="37"/>
      <c r="AU941" s="29"/>
      <c r="AV941" s="29" t="b">
        <v>0</v>
      </c>
      <c r="AW941" s="22" t="str">
        <f t="shared" si="13"/>
        <v/>
      </c>
      <c r="AX941" s="7">
        <f>IF(ISBLANK(AT941), 0, VLOOKUP(AT941, 'Price Sheet'!$A$2:$B1015, 2, false))</f>
        <v>0</v>
      </c>
      <c r="AY941" s="33" t="str">
        <f t="shared" si="14"/>
        <v/>
      </c>
      <c r="AZ941" s="37"/>
      <c r="BA941" s="29"/>
      <c r="BB941" s="29" t="b">
        <v>0</v>
      </c>
      <c r="BC941" s="22" t="str">
        <f t="shared" si="15"/>
        <v/>
      </c>
      <c r="BD941" s="7">
        <f>IF(ISBLANK(AZ941), 0, VLOOKUP(AZ941, 'Price Sheet'!$A$2:$B1015, 2, false))</f>
        <v>0</v>
      </c>
      <c r="BE941" s="33" t="str">
        <f t="shared" si="16"/>
        <v/>
      </c>
      <c r="BF941" s="37"/>
      <c r="BG941" s="29"/>
      <c r="BH941" s="29" t="b">
        <v>0</v>
      </c>
      <c r="BI941" s="22" t="str">
        <f t="shared" si="17"/>
        <v/>
      </c>
      <c r="BJ941" s="7">
        <f>IF(ISBLANK(BF941), 0, VLOOKUP(BF941, 'Price Sheet'!$A$2:$B1015, 2, false))</f>
        <v>0</v>
      </c>
      <c r="BK941" s="33" t="str">
        <f t="shared" si="18"/>
        <v/>
      </c>
      <c r="BL941" s="37"/>
      <c r="BM941" s="29"/>
      <c r="BN941" s="29" t="b">
        <v>0</v>
      </c>
      <c r="BO941" s="22" t="str">
        <f t="shared" si="19"/>
        <v/>
      </c>
      <c r="BP941" s="7">
        <f>IF(ISBLANK(BL941), 0, VLOOKUP(BL941, 'Price Sheet'!$A$2:$B1015, 2, false))</f>
        <v>0</v>
      </c>
      <c r="BQ941" s="33" t="str">
        <f t="shared" si="20"/>
        <v/>
      </c>
    </row>
    <row r="942">
      <c r="B942" s="19"/>
      <c r="C942" s="29"/>
      <c r="D942" s="29"/>
      <c r="E942" s="7" t="str">
        <f>IF(ISBLANK(D942), "", VLOOKUP(D942,'Crafting Tables'!$A$2:$B1015, 2, false))</f>
        <v/>
      </c>
      <c r="F942" s="7" t="str">
        <f>IFERROR(IF(E942 = "None", 1, VLOOKUP(C942,General!$A$5:$L$35, SWITCH(E942, "Basic", 8, "Advanced", 10, "Modern", 12), false)),"")</f>
        <v/>
      </c>
      <c r="G942" s="29"/>
      <c r="H942" s="7">
        <f>IFERROR(VLOOKUP(C942, General!$A$5:$L$35, 6, false) * G942 / 1000, 0)</f>
        <v>0</v>
      </c>
      <c r="I942" s="29"/>
      <c r="J942" s="22" t="str">
        <f>IFERROR(I942*VLOOKUP(D942,'Crafting Tables'!$1:$1000, 4, false)*F942,"")</f>
        <v/>
      </c>
      <c r="K942" s="29" t="b">
        <v>0</v>
      </c>
      <c r="L942" s="37"/>
      <c r="M942" s="29"/>
      <c r="N942" s="21" t="str">
        <f t="shared" si="2"/>
        <v/>
      </c>
      <c r="P942" s="37"/>
      <c r="Q942" s="29"/>
      <c r="R942" s="29" t="b">
        <v>0</v>
      </c>
      <c r="S942" s="22" t="str">
        <f t="shared" si="3"/>
        <v/>
      </c>
      <c r="T942" s="7">
        <f>IF(ISBLANK(P942), 0, VLOOKUP(P942, 'Price Sheet'!$A$2:$B1015, 2, false))</f>
        <v>0</v>
      </c>
      <c r="U942" s="33" t="str">
        <f t="shared" si="4"/>
        <v/>
      </c>
      <c r="V942" s="37"/>
      <c r="W942" s="29"/>
      <c r="X942" s="29" t="b">
        <v>0</v>
      </c>
      <c r="Y942" s="22" t="str">
        <f t="shared" si="5"/>
        <v/>
      </c>
      <c r="Z942" s="7">
        <f>IF(ISBLANK(V942), 0, VLOOKUP(V942, 'Price Sheet'!$A$2:$B1015, 2, false))</f>
        <v>0</v>
      </c>
      <c r="AA942" s="33" t="str">
        <f t="shared" si="6"/>
        <v/>
      </c>
      <c r="AB942" s="37"/>
      <c r="AC942" s="29"/>
      <c r="AD942" s="29" t="b">
        <v>0</v>
      </c>
      <c r="AE942" s="22" t="str">
        <f t="shared" si="7"/>
        <v/>
      </c>
      <c r="AF942" s="7">
        <f>IF(ISBLANK(AB942), 0, VLOOKUP(AB942, 'Price Sheet'!$A$2:$B1015, 2, false))</f>
        <v>0</v>
      </c>
      <c r="AG942" s="33" t="str">
        <f t="shared" si="8"/>
        <v/>
      </c>
      <c r="AH942" s="37"/>
      <c r="AI942" s="29"/>
      <c r="AJ942" s="29" t="b">
        <v>0</v>
      </c>
      <c r="AK942" s="22" t="str">
        <f t="shared" si="9"/>
        <v/>
      </c>
      <c r="AL942" s="7">
        <f>IF(ISBLANK(AH942), 0, VLOOKUP(AH942, 'Price Sheet'!$A$2:$B1015, 2, false))</f>
        <v>0</v>
      </c>
      <c r="AM942" s="33" t="str">
        <f t="shared" si="10"/>
        <v/>
      </c>
      <c r="AN942" s="37"/>
      <c r="AO942" s="29"/>
      <c r="AP942" s="29" t="b">
        <v>0</v>
      </c>
      <c r="AQ942" s="22" t="str">
        <f t="shared" si="11"/>
        <v/>
      </c>
      <c r="AR942" s="7">
        <f>IF(ISBLANK(AN942), 0, VLOOKUP(AN942, 'Price Sheet'!$A$2:$B1015, 2, false))</f>
        <v>0</v>
      </c>
      <c r="AS942" s="33" t="str">
        <f t="shared" si="12"/>
        <v/>
      </c>
      <c r="AT942" s="37"/>
      <c r="AU942" s="29"/>
      <c r="AV942" s="29" t="b">
        <v>0</v>
      </c>
      <c r="AW942" s="22" t="str">
        <f t="shared" si="13"/>
        <v/>
      </c>
      <c r="AX942" s="7">
        <f>IF(ISBLANK(AT942), 0, VLOOKUP(AT942, 'Price Sheet'!$A$2:$B1015, 2, false))</f>
        <v>0</v>
      </c>
      <c r="AY942" s="33" t="str">
        <f t="shared" si="14"/>
        <v/>
      </c>
      <c r="AZ942" s="37"/>
      <c r="BA942" s="29"/>
      <c r="BB942" s="29" t="b">
        <v>0</v>
      </c>
      <c r="BC942" s="22" t="str">
        <f t="shared" si="15"/>
        <v/>
      </c>
      <c r="BD942" s="7">
        <f>IF(ISBLANK(AZ942), 0, VLOOKUP(AZ942, 'Price Sheet'!$A$2:$B1015, 2, false))</f>
        <v>0</v>
      </c>
      <c r="BE942" s="33" t="str">
        <f t="shared" si="16"/>
        <v/>
      </c>
      <c r="BF942" s="37"/>
      <c r="BG942" s="29"/>
      <c r="BH942" s="29" t="b">
        <v>0</v>
      </c>
      <c r="BI942" s="22" t="str">
        <f t="shared" si="17"/>
        <v/>
      </c>
      <c r="BJ942" s="7">
        <f>IF(ISBLANK(BF942), 0, VLOOKUP(BF942, 'Price Sheet'!$A$2:$B1015, 2, false))</f>
        <v>0</v>
      </c>
      <c r="BK942" s="33" t="str">
        <f t="shared" si="18"/>
        <v/>
      </c>
      <c r="BL942" s="37"/>
      <c r="BM942" s="29"/>
      <c r="BN942" s="29" t="b">
        <v>0</v>
      </c>
      <c r="BO942" s="22" t="str">
        <f t="shared" si="19"/>
        <v/>
      </c>
      <c r="BP942" s="7">
        <f>IF(ISBLANK(BL942), 0, VLOOKUP(BL942, 'Price Sheet'!$A$2:$B1015, 2, false))</f>
        <v>0</v>
      </c>
      <c r="BQ942" s="33" t="str">
        <f t="shared" si="20"/>
        <v/>
      </c>
    </row>
    <row r="943">
      <c r="B943" s="19"/>
      <c r="C943" s="29"/>
      <c r="D943" s="29"/>
      <c r="E943" s="7" t="str">
        <f>IF(ISBLANK(D943), "", VLOOKUP(D943,'Crafting Tables'!$A$2:$B1015, 2, false))</f>
        <v/>
      </c>
      <c r="F943" s="7" t="str">
        <f>IFERROR(IF(E943 = "None", 1, VLOOKUP(C943,General!$A$5:$L$35, SWITCH(E943, "Basic", 8, "Advanced", 10, "Modern", 12), false)),"")</f>
        <v/>
      </c>
      <c r="G943" s="29"/>
      <c r="H943" s="7">
        <f>IFERROR(VLOOKUP(C943, General!$A$5:$L$35, 6, false) * G943 / 1000, 0)</f>
        <v>0</v>
      </c>
      <c r="I943" s="29"/>
      <c r="J943" s="22" t="str">
        <f>IFERROR(I943*VLOOKUP(D943,'Crafting Tables'!$1:$1000, 4, false)*F943,"")</f>
        <v/>
      </c>
      <c r="K943" s="29" t="b">
        <v>0</v>
      </c>
      <c r="L943" s="37"/>
      <c r="M943" s="29"/>
      <c r="N943" s="21" t="str">
        <f t="shared" si="2"/>
        <v/>
      </c>
      <c r="P943" s="37"/>
      <c r="Q943" s="29"/>
      <c r="R943" s="29" t="b">
        <v>0</v>
      </c>
      <c r="S943" s="22" t="str">
        <f t="shared" si="3"/>
        <v/>
      </c>
      <c r="T943" s="7">
        <f>IF(ISBLANK(P943), 0, VLOOKUP(P943, 'Price Sheet'!$A$2:$B1015, 2, false))</f>
        <v>0</v>
      </c>
      <c r="U943" s="33" t="str">
        <f t="shared" si="4"/>
        <v/>
      </c>
      <c r="V943" s="37"/>
      <c r="W943" s="29"/>
      <c r="X943" s="29" t="b">
        <v>0</v>
      </c>
      <c r="Y943" s="22" t="str">
        <f t="shared" si="5"/>
        <v/>
      </c>
      <c r="Z943" s="7">
        <f>IF(ISBLANK(V943), 0, VLOOKUP(V943, 'Price Sheet'!$A$2:$B1015, 2, false))</f>
        <v>0</v>
      </c>
      <c r="AA943" s="33" t="str">
        <f t="shared" si="6"/>
        <v/>
      </c>
      <c r="AB943" s="37"/>
      <c r="AC943" s="29"/>
      <c r="AD943" s="29" t="b">
        <v>0</v>
      </c>
      <c r="AE943" s="22" t="str">
        <f t="shared" si="7"/>
        <v/>
      </c>
      <c r="AF943" s="7">
        <f>IF(ISBLANK(AB943), 0, VLOOKUP(AB943, 'Price Sheet'!$A$2:$B1015, 2, false))</f>
        <v>0</v>
      </c>
      <c r="AG943" s="33" t="str">
        <f t="shared" si="8"/>
        <v/>
      </c>
      <c r="AH943" s="37"/>
      <c r="AI943" s="29"/>
      <c r="AJ943" s="29" t="b">
        <v>0</v>
      </c>
      <c r="AK943" s="22" t="str">
        <f t="shared" si="9"/>
        <v/>
      </c>
      <c r="AL943" s="7">
        <f>IF(ISBLANK(AH943), 0, VLOOKUP(AH943, 'Price Sheet'!$A$2:$B1015, 2, false))</f>
        <v>0</v>
      </c>
      <c r="AM943" s="33" t="str">
        <f t="shared" si="10"/>
        <v/>
      </c>
      <c r="AN943" s="37"/>
      <c r="AO943" s="29"/>
      <c r="AP943" s="29" t="b">
        <v>0</v>
      </c>
      <c r="AQ943" s="22" t="str">
        <f t="shared" si="11"/>
        <v/>
      </c>
      <c r="AR943" s="7">
        <f>IF(ISBLANK(AN943), 0, VLOOKUP(AN943, 'Price Sheet'!$A$2:$B1015, 2, false))</f>
        <v>0</v>
      </c>
      <c r="AS943" s="33" t="str">
        <f t="shared" si="12"/>
        <v/>
      </c>
      <c r="AT943" s="37"/>
      <c r="AU943" s="29"/>
      <c r="AV943" s="29" t="b">
        <v>0</v>
      </c>
      <c r="AW943" s="22" t="str">
        <f t="shared" si="13"/>
        <v/>
      </c>
      <c r="AX943" s="7">
        <f>IF(ISBLANK(AT943), 0, VLOOKUP(AT943, 'Price Sheet'!$A$2:$B1015, 2, false))</f>
        <v>0</v>
      </c>
      <c r="AY943" s="33" t="str">
        <f t="shared" si="14"/>
        <v/>
      </c>
      <c r="AZ943" s="37"/>
      <c r="BA943" s="29"/>
      <c r="BB943" s="29" t="b">
        <v>0</v>
      </c>
      <c r="BC943" s="22" t="str">
        <f t="shared" si="15"/>
        <v/>
      </c>
      <c r="BD943" s="7">
        <f>IF(ISBLANK(AZ943), 0, VLOOKUP(AZ943, 'Price Sheet'!$A$2:$B1015, 2, false))</f>
        <v>0</v>
      </c>
      <c r="BE943" s="33" t="str">
        <f t="shared" si="16"/>
        <v/>
      </c>
      <c r="BF943" s="37"/>
      <c r="BG943" s="29"/>
      <c r="BH943" s="29" t="b">
        <v>0</v>
      </c>
      <c r="BI943" s="22" t="str">
        <f t="shared" si="17"/>
        <v/>
      </c>
      <c r="BJ943" s="7">
        <f>IF(ISBLANK(BF943), 0, VLOOKUP(BF943, 'Price Sheet'!$A$2:$B1015, 2, false))</f>
        <v>0</v>
      </c>
      <c r="BK943" s="33" t="str">
        <f t="shared" si="18"/>
        <v/>
      </c>
      <c r="BL943" s="37"/>
      <c r="BM943" s="29"/>
      <c r="BN943" s="29" t="b">
        <v>0</v>
      </c>
      <c r="BO943" s="22" t="str">
        <f t="shared" si="19"/>
        <v/>
      </c>
      <c r="BP943" s="7">
        <f>IF(ISBLANK(BL943), 0, VLOOKUP(BL943, 'Price Sheet'!$A$2:$B1015, 2, false))</f>
        <v>0</v>
      </c>
      <c r="BQ943" s="33" t="str">
        <f t="shared" si="20"/>
        <v/>
      </c>
    </row>
    <row r="944">
      <c r="B944" s="19"/>
      <c r="C944" s="29"/>
      <c r="D944" s="29"/>
      <c r="E944" s="7" t="str">
        <f>IF(ISBLANK(D944), "", VLOOKUP(D944,'Crafting Tables'!$A$2:$B1015, 2, false))</f>
        <v/>
      </c>
      <c r="F944" s="7" t="str">
        <f>IFERROR(IF(E944 = "None", 1, VLOOKUP(C944,General!$A$5:$L$35, SWITCH(E944, "Basic", 8, "Advanced", 10, "Modern", 12), false)),"")</f>
        <v/>
      </c>
      <c r="G944" s="29"/>
      <c r="H944" s="7">
        <f>IFERROR(VLOOKUP(C944, General!$A$5:$L$35, 6, false) * G944 / 1000, 0)</f>
        <v>0</v>
      </c>
      <c r="I944" s="29"/>
      <c r="J944" s="22" t="str">
        <f>IFERROR(I944*VLOOKUP(D944,'Crafting Tables'!$1:$1000, 4, false)*F944,"")</f>
        <v/>
      </c>
      <c r="K944" s="29" t="b">
        <v>0</v>
      </c>
      <c r="L944" s="37"/>
      <c r="M944" s="29"/>
      <c r="N944" s="21" t="str">
        <f t="shared" si="2"/>
        <v/>
      </c>
      <c r="P944" s="37"/>
      <c r="Q944" s="29"/>
      <c r="R944" s="29" t="b">
        <v>0</v>
      </c>
      <c r="S944" s="22" t="str">
        <f t="shared" si="3"/>
        <v/>
      </c>
      <c r="T944" s="7">
        <f>IF(ISBLANK(P944), 0, VLOOKUP(P944, 'Price Sheet'!$A$2:$B1015, 2, false))</f>
        <v>0</v>
      </c>
      <c r="U944" s="33" t="str">
        <f t="shared" si="4"/>
        <v/>
      </c>
      <c r="V944" s="37"/>
      <c r="W944" s="29"/>
      <c r="X944" s="29" t="b">
        <v>0</v>
      </c>
      <c r="Y944" s="22" t="str">
        <f t="shared" si="5"/>
        <v/>
      </c>
      <c r="Z944" s="7">
        <f>IF(ISBLANK(V944), 0, VLOOKUP(V944, 'Price Sheet'!$A$2:$B1015, 2, false))</f>
        <v>0</v>
      </c>
      <c r="AA944" s="33" t="str">
        <f t="shared" si="6"/>
        <v/>
      </c>
      <c r="AB944" s="37"/>
      <c r="AC944" s="29"/>
      <c r="AD944" s="29" t="b">
        <v>0</v>
      </c>
      <c r="AE944" s="22" t="str">
        <f t="shared" si="7"/>
        <v/>
      </c>
      <c r="AF944" s="7">
        <f>IF(ISBLANK(AB944), 0, VLOOKUP(AB944, 'Price Sheet'!$A$2:$B1015, 2, false))</f>
        <v>0</v>
      </c>
      <c r="AG944" s="33" t="str">
        <f t="shared" si="8"/>
        <v/>
      </c>
      <c r="AH944" s="37"/>
      <c r="AI944" s="29"/>
      <c r="AJ944" s="29" t="b">
        <v>0</v>
      </c>
      <c r="AK944" s="22" t="str">
        <f t="shared" si="9"/>
        <v/>
      </c>
      <c r="AL944" s="7">
        <f>IF(ISBLANK(AH944), 0, VLOOKUP(AH944, 'Price Sheet'!$A$2:$B1015, 2, false))</f>
        <v>0</v>
      </c>
      <c r="AM944" s="33" t="str">
        <f t="shared" si="10"/>
        <v/>
      </c>
      <c r="AN944" s="37"/>
      <c r="AO944" s="29"/>
      <c r="AP944" s="29" t="b">
        <v>0</v>
      </c>
      <c r="AQ944" s="22" t="str">
        <f t="shared" si="11"/>
        <v/>
      </c>
      <c r="AR944" s="7">
        <f>IF(ISBLANK(AN944), 0, VLOOKUP(AN944, 'Price Sheet'!$A$2:$B1015, 2, false))</f>
        <v>0</v>
      </c>
      <c r="AS944" s="33" t="str">
        <f t="shared" si="12"/>
        <v/>
      </c>
      <c r="AT944" s="37"/>
      <c r="AU944" s="29"/>
      <c r="AV944" s="29" t="b">
        <v>0</v>
      </c>
      <c r="AW944" s="22" t="str">
        <f t="shared" si="13"/>
        <v/>
      </c>
      <c r="AX944" s="7">
        <f>IF(ISBLANK(AT944), 0, VLOOKUP(AT944, 'Price Sheet'!$A$2:$B1015, 2, false))</f>
        <v>0</v>
      </c>
      <c r="AY944" s="33" t="str">
        <f t="shared" si="14"/>
        <v/>
      </c>
      <c r="AZ944" s="37"/>
      <c r="BA944" s="29"/>
      <c r="BB944" s="29" t="b">
        <v>0</v>
      </c>
      <c r="BC944" s="22" t="str">
        <f t="shared" si="15"/>
        <v/>
      </c>
      <c r="BD944" s="7">
        <f>IF(ISBLANK(AZ944), 0, VLOOKUP(AZ944, 'Price Sheet'!$A$2:$B1015, 2, false))</f>
        <v>0</v>
      </c>
      <c r="BE944" s="33" t="str">
        <f t="shared" si="16"/>
        <v/>
      </c>
      <c r="BF944" s="37"/>
      <c r="BG944" s="29"/>
      <c r="BH944" s="29" t="b">
        <v>0</v>
      </c>
      <c r="BI944" s="22" t="str">
        <f t="shared" si="17"/>
        <v/>
      </c>
      <c r="BJ944" s="7">
        <f>IF(ISBLANK(BF944), 0, VLOOKUP(BF944, 'Price Sheet'!$A$2:$B1015, 2, false))</f>
        <v>0</v>
      </c>
      <c r="BK944" s="33" t="str">
        <f t="shared" si="18"/>
        <v/>
      </c>
      <c r="BL944" s="37"/>
      <c r="BM944" s="29"/>
      <c r="BN944" s="29" t="b">
        <v>0</v>
      </c>
      <c r="BO944" s="22" t="str">
        <f t="shared" si="19"/>
        <v/>
      </c>
      <c r="BP944" s="7">
        <f>IF(ISBLANK(BL944), 0, VLOOKUP(BL944, 'Price Sheet'!$A$2:$B1015, 2, false))</f>
        <v>0</v>
      </c>
      <c r="BQ944" s="33" t="str">
        <f t="shared" si="20"/>
        <v/>
      </c>
    </row>
    <row r="945">
      <c r="B945" s="19"/>
      <c r="C945" s="29"/>
      <c r="D945" s="29"/>
      <c r="E945" s="7" t="str">
        <f>IF(ISBLANK(D945), "", VLOOKUP(D945,'Crafting Tables'!$A$2:$B1015, 2, false))</f>
        <v/>
      </c>
      <c r="F945" s="7" t="str">
        <f>IFERROR(IF(E945 = "None", 1, VLOOKUP(C945,General!$A$5:$L$35, SWITCH(E945, "Basic", 8, "Advanced", 10, "Modern", 12), false)),"")</f>
        <v/>
      </c>
      <c r="G945" s="29"/>
      <c r="H945" s="7">
        <f>IFERROR(VLOOKUP(C945, General!$A$5:$L$35, 6, false) * G945 / 1000, 0)</f>
        <v>0</v>
      </c>
      <c r="I945" s="29"/>
      <c r="J945" s="22" t="str">
        <f>IFERROR(I945*VLOOKUP(D945,'Crafting Tables'!$1:$1000, 4, false)*F945,"")</f>
        <v/>
      </c>
      <c r="K945" s="29" t="b">
        <v>0</v>
      </c>
      <c r="L945" s="37"/>
      <c r="M945" s="29"/>
      <c r="N945" s="21" t="str">
        <f t="shared" si="2"/>
        <v/>
      </c>
      <c r="P945" s="37"/>
      <c r="Q945" s="29"/>
      <c r="R945" s="29" t="b">
        <v>0</v>
      </c>
      <c r="S945" s="22" t="str">
        <f t="shared" si="3"/>
        <v/>
      </c>
      <c r="T945" s="7">
        <f>IF(ISBLANK(P945), 0, VLOOKUP(P945, 'Price Sheet'!$A$2:$B1015, 2, false))</f>
        <v>0</v>
      </c>
      <c r="U945" s="33" t="str">
        <f t="shared" si="4"/>
        <v/>
      </c>
      <c r="V945" s="37"/>
      <c r="W945" s="29"/>
      <c r="X945" s="29" t="b">
        <v>0</v>
      </c>
      <c r="Y945" s="22" t="str">
        <f t="shared" si="5"/>
        <v/>
      </c>
      <c r="Z945" s="7">
        <f>IF(ISBLANK(V945), 0, VLOOKUP(V945, 'Price Sheet'!$A$2:$B1015, 2, false))</f>
        <v>0</v>
      </c>
      <c r="AA945" s="33" t="str">
        <f t="shared" si="6"/>
        <v/>
      </c>
      <c r="AB945" s="37"/>
      <c r="AC945" s="29"/>
      <c r="AD945" s="29" t="b">
        <v>0</v>
      </c>
      <c r="AE945" s="22" t="str">
        <f t="shared" si="7"/>
        <v/>
      </c>
      <c r="AF945" s="7">
        <f>IF(ISBLANK(AB945), 0, VLOOKUP(AB945, 'Price Sheet'!$A$2:$B1015, 2, false))</f>
        <v>0</v>
      </c>
      <c r="AG945" s="33" t="str">
        <f t="shared" si="8"/>
        <v/>
      </c>
      <c r="AH945" s="37"/>
      <c r="AI945" s="29"/>
      <c r="AJ945" s="29" t="b">
        <v>0</v>
      </c>
      <c r="AK945" s="22" t="str">
        <f t="shared" si="9"/>
        <v/>
      </c>
      <c r="AL945" s="7">
        <f>IF(ISBLANK(AH945), 0, VLOOKUP(AH945, 'Price Sheet'!$A$2:$B1015, 2, false))</f>
        <v>0</v>
      </c>
      <c r="AM945" s="33" t="str">
        <f t="shared" si="10"/>
        <v/>
      </c>
      <c r="AN945" s="37"/>
      <c r="AO945" s="29"/>
      <c r="AP945" s="29" t="b">
        <v>0</v>
      </c>
      <c r="AQ945" s="22" t="str">
        <f t="shared" si="11"/>
        <v/>
      </c>
      <c r="AR945" s="7">
        <f>IF(ISBLANK(AN945), 0, VLOOKUP(AN945, 'Price Sheet'!$A$2:$B1015, 2, false))</f>
        <v>0</v>
      </c>
      <c r="AS945" s="33" t="str">
        <f t="shared" si="12"/>
        <v/>
      </c>
      <c r="AT945" s="37"/>
      <c r="AU945" s="29"/>
      <c r="AV945" s="29" t="b">
        <v>0</v>
      </c>
      <c r="AW945" s="22" t="str">
        <f t="shared" si="13"/>
        <v/>
      </c>
      <c r="AX945" s="7">
        <f>IF(ISBLANK(AT945), 0, VLOOKUP(AT945, 'Price Sheet'!$A$2:$B1015, 2, false))</f>
        <v>0</v>
      </c>
      <c r="AY945" s="33" t="str">
        <f t="shared" si="14"/>
        <v/>
      </c>
      <c r="AZ945" s="37"/>
      <c r="BA945" s="29"/>
      <c r="BB945" s="29" t="b">
        <v>0</v>
      </c>
      <c r="BC945" s="22" t="str">
        <f t="shared" si="15"/>
        <v/>
      </c>
      <c r="BD945" s="7">
        <f>IF(ISBLANK(AZ945), 0, VLOOKUP(AZ945, 'Price Sheet'!$A$2:$B1015, 2, false))</f>
        <v>0</v>
      </c>
      <c r="BE945" s="33" t="str">
        <f t="shared" si="16"/>
        <v/>
      </c>
      <c r="BF945" s="37"/>
      <c r="BG945" s="29"/>
      <c r="BH945" s="29" t="b">
        <v>0</v>
      </c>
      <c r="BI945" s="22" t="str">
        <f t="shared" si="17"/>
        <v/>
      </c>
      <c r="BJ945" s="7">
        <f>IF(ISBLANK(BF945), 0, VLOOKUP(BF945, 'Price Sheet'!$A$2:$B1015, 2, false))</f>
        <v>0</v>
      </c>
      <c r="BK945" s="33" t="str">
        <f t="shared" si="18"/>
        <v/>
      </c>
      <c r="BL945" s="37"/>
      <c r="BM945" s="29"/>
      <c r="BN945" s="29" t="b">
        <v>0</v>
      </c>
      <c r="BO945" s="22" t="str">
        <f t="shared" si="19"/>
        <v/>
      </c>
      <c r="BP945" s="7">
        <f>IF(ISBLANK(BL945), 0, VLOOKUP(BL945, 'Price Sheet'!$A$2:$B1015, 2, false))</f>
        <v>0</v>
      </c>
      <c r="BQ945" s="33" t="str">
        <f t="shared" si="20"/>
        <v/>
      </c>
    </row>
    <row r="946">
      <c r="B946" s="19"/>
      <c r="C946" s="29"/>
      <c r="D946" s="29"/>
      <c r="E946" s="7" t="str">
        <f>IF(ISBLANK(D946), "", VLOOKUP(D946,'Crafting Tables'!$A$2:$B1015, 2, false))</f>
        <v/>
      </c>
      <c r="F946" s="7" t="str">
        <f>IFERROR(IF(E946 = "None", 1, VLOOKUP(C946,General!$A$5:$L$35, SWITCH(E946, "Basic", 8, "Advanced", 10, "Modern", 12), false)),"")</f>
        <v/>
      </c>
      <c r="G946" s="29"/>
      <c r="H946" s="7">
        <f>IFERROR(VLOOKUP(C946, General!$A$5:$L$35, 6, false) * G946 / 1000, 0)</f>
        <v>0</v>
      </c>
      <c r="I946" s="29"/>
      <c r="J946" s="22" t="str">
        <f>IFERROR(I946*VLOOKUP(D946,'Crafting Tables'!$1:$1000, 4, false)*F946,"")</f>
        <v/>
      </c>
      <c r="K946" s="29" t="b">
        <v>0</v>
      </c>
      <c r="L946" s="37"/>
      <c r="M946" s="29"/>
      <c r="N946" s="21" t="str">
        <f t="shared" si="2"/>
        <v/>
      </c>
      <c r="P946" s="37"/>
      <c r="Q946" s="29"/>
      <c r="R946" s="29" t="b">
        <v>0</v>
      </c>
      <c r="S946" s="22" t="str">
        <f t="shared" si="3"/>
        <v/>
      </c>
      <c r="T946" s="7">
        <f>IF(ISBLANK(P946), 0, VLOOKUP(P946, 'Price Sheet'!$A$2:$B1015, 2, false))</f>
        <v>0</v>
      </c>
      <c r="U946" s="33" t="str">
        <f t="shared" si="4"/>
        <v/>
      </c>
      <c r="V946" s="37"/>
      <c r="W946" s="29"/>
      <c r="X946" s="29" t="b">
        <v>0</v>
      </c>
      <c r="Y946" s="22" t="str">
        <f t="shared" si="5"/>
        <v/>
      </c>
      <c r="Z946" s="7">
        <f>IF(ISBLANK(V946), 0, VLOOKUP(V946, 'Price Sheet'!$A$2:$B1015, 2, false))</f>
        <v>0</v>
      </c>
      <c r="AA946" s="33" t="str">
        <f t="shared" si="6"/>
        <v/>
      </c>
      <c r="AB946" s="37"/>
      <c r="AC946" s="29"/>
      <c r="AD946" s="29" t="b">
        <v>0</v>
      </c>
      <c r="AE946" s="22" t="str">
        <f t="shared" si="7"/>
        <v/>
      </c>
      <c r="AF946" s="7">
        <f>IF(ISBLANK(AB946), 0, VLOOKUP(AB946, 'Price Sheet'!$A$2:$B1015, 2, false))</f>
        <v>0</v>
      </c>
      <c r="AG946" s="33" t="str">
        <f t="shared" si="8"/>
        <v/>
      </c>
      <c r="AH946" s="37"/>
      <c r="AI946" s="29"/>
      <c r="AJ946" s="29" t="b">
        <v>0</v>
      </c>
      <c r="AK946" s="22" t="str">
        <f t="shared" si="9"/>
        <v/>
      </c>
      <c r="AL946" s="7">
        <f>IF(ISBLANK(AH946), 0, VLOOKUP(AH946, 'Price Sheet'!$A$2:$B1015, 2, false))</f>
        <v>0</v>
      </c>
      <c r="AM946" s="33" t="str">
        <f t="shared" si="10"/>
        <v/>
      </c>
      <c r="AN946" s="37"/>
      <c r="AO946" s="29"/>
      <c r="AP946" s="29" t="b">
        <v>0</v>
      </c>
      <c r="AQ946" s="22" t="str">
        <f t="shared" si="11"/>
        <v/>
      </c>
      <c r="AR946" s="7">
        <f>IF(ISBLANK(AN946), 0, VLOOKUP(AN946, 'Price Sheet'!$A$2:$B1015, 2, false))</f>
        <v>0</v>
      </c>
      <c r="AS946" s="33" t="str">
        <f t="shared" si="12"/>
        <v/>
      </c>
      <c r="AT946" s="37"/>
      <c r="AU946" s="29"/>
      <c r="AV946" s="29" t="b">
        <v>0</v>
      </c>
      <c r="AW946" s="22" t="str">
        <f t="shared" si="13"/>
        <v/>
      </c>
      <c r="AX946" s="7">
        <f>IF(ISBLANK(AT946), 0, VLOOKUP(AT946, 'Price Sheet'!$A$2:$B1015, 2, false))</f>
        <v>0</v>
      </c>
      <c r="AY946" s="33" t="str">
        <f t="shared" si="14"/>
        <v/>
      </c>
      <c r="AZ946" s="37"/>
      <c r="BA946" s="29"/>
      <c r="BB946" s="29" t="b">
        <v>0</v>
      </c>
      <c r="BC946" s="22" t="str">
        <f t="shared" si="15"/>
        <v/>
      </c>
      <c r="BD946" s="7">
        <f>IF(ISBLANK(AZ946), 0, VLOOKUP(AZ946, 'Price Sheet'!$A$2:$B1015, 2, false))</f>
        <v>0</v>
      </c>
      <c r="BE946" s="33" t="str">
        <f t="shared" si="16"/>
        <v/>
      </c>
      <c r="BF946" s="37"/>
      <c r="BG946" s="29"/>
      <c r="BH946" s="29" t="b">
        <v>0</v>
      </c>
      <c r="BI946" s="22" t="str">
        <f t="shared" si="17"/>
        <v/>
      </c>
      <c r="BJ946" s="7">
        <f>IF(ISBLANK(BF946), 0, VLOOKUP(BF946, 'Price Sheet'!$A$2:$B1015, 2, false))</f>
        <v>0</v>
      </c>
      <c r="BK946" s="33" t="str">
        <f t="shared" si="18"/>
        <v/>
      </c>
      <c r="BL946" s="37"/>
      <c r="BM946" s="29"/>
      <c r="BN946" s="29" t="b">
        <v>0</v>
      </c>
      <c r="BO946" s="22" t="str">
        <f t="shared" si="19"/>
        <v/>
      </c>
      <c r="BP946" s="7">
        <f>IF(ISBLANK(BL946), 0, VLOOKUP(BL946, 'Price Sheet'!$A$2:$B1015, 2, false))</f>
        <v>0</v>
      </c>
      <c r="BQ946" s="33" t="str">
        <f t="shared" si="20"/>
        <v/>
      </c>
    </row>
    <row r="947">
      <c r="B947" s="19"/>
      <c r="C947" s="29"/>
      <c r="D947" s="29"/>
      <c r="E947" s="7" t="str">
        <f>IF(ISBLANK(D947), "", VLOOKUP(D947,'Crafting Tables'!$A$2:$B1015, 2, false))</f>
        <v/>
      </c>
      <c r="F947" s="7" t="str">
        <f>IFERROR(IF(E947 = "None", 1, VLOOKUP(C947,General!$A$5:$L$35, SWITCH(E947, "Basic", 8, "Advanced", 10, "Modern", 12), false)),"")</f>
        <v/>
      </c>
      <c r="G947" s="29"/>
      <c r="H947" s="7">
        <f>IFERROR(VLOOKUP(C947, General!$A$5:$L$35, 6, false) * G947 / 1000, 0)</f>
        <v>0</v>
      </c>
      <c r="I947" s="29"/>
      <c r="J947" s="22" t="str">
        <f>IFERROR(I947*VLOOKUP(D947,'Crafting Tables'!$1:$1000, 4, false)*F947,"")</f>
        <v/>
      </c>
      <c r="K947" s="29" t="b">
        <v>0</v>
      </c>
      <c r="L947" s="37"/>
      <c r="M947" s="29"/>
      <c r="N947" s="21" t="str">
        <f t="shared" si="2"/>
        <v/>
      </c>
      <c r="P947" s="37"/>
      <c r="Q947" s="29"/>
      <c r="R947" s="29" t="b">
        <v>0</v>
      </c>
      <c r="S947" s="22" t="str">
        <f t="shared" si="3"/>
        <v/>
      </c>
      <c r="T947" s="7">
        <f>IF(ISBLANK(P947), 0, VLOOKUP(P947, 'Price Sheet'!$A$2:$B1015, 2, false))</f>
        <v>0</v>
      </c>
      <c r="U947" s="33" t="str">
        <f t="shared" si="4"/>
        <v/>
      </c>
      <c r="V947" s="37"/>
      <c r="W947" s="29"/>
      <c r="X947" s="29" t="b">
        <v>0</v>
      </c>
      <c r="Y947" s="22" t="str">
        <f t="shared" si="5"/>
        <v/>
      </c>
      <c r="Z947" s="7">
        <f>IF(ISBLANK(V947), 0, VLOOKUP(V947, 'Price Sheet'!$A$2:$B1015, 2, false))</f>
        <v>0</v>
      </c>
      <c r="AA947" s="33" t="str">
        <f t="shared" si="6"/>
        <v/>
      </c>
      <c r="AB947" s="37"/>
      <c r="AC947" s="29"/>
      <c r="AD947" s="29" t="b">
        <v>0</v>
      </c>
      <c r="AE947" s="22" t="str">
        <f t="shared" si="7"/>
        <v/>
      </c>
      <c r="AF947" s="7">
        <f>IF(ISBLANK(AB947), 0, VLOOKUP(AB947, 'Price Sheet'!$A$2:$B1015, 2, false))</f>
        <v>0</v>
      </c>
      <c r="AG947" s="33" t="str">
        <f t="shared" si="8"/>
        <v/>
      </c>
      <c r="AH947" s="37"/>
      <c r="AI947" s="29"/>
      <c r="AJ947" s="29" t="b">
        <v>0</v>
      </c>
      <c r="AK947" s="22" t="str">
        <f t="shared" si="9"/>
        <v/>
      </c>
      <c r="AL947" s="7">
        <f>IF(ISBLANK(AH947), 0, VLOOKUP(AH947, 'Price Sheet'!$A$2:$B1015, 2, false))</f>
        <v>0</v>
      </c>
      <c r="AM947" s="33" t="str">
        <f t="shared" si="10"/>
        <v/>
      </c>
      <c r="AN947" s="37"/>
      <c r="AO947" s="29"/>
      <c r="AP947" s="29" t="b">
        <v>0</v>
      </c>
      <c r="AQ947" s="22" t="str">
        <f t="shared" si="11"/>
        <v/>
      </c>
      <c r="AR947" s="7">
        <f>IF(ISBLANK(AN947), 0, VLOOKUP(AN947, 'Price Sheet'!$A$2:$B1015, 2, false))</f>
        <v>0</v>
      </c>
      <c r="AS947" s="33" t="str">
        <f t="shared" si="12"/>
        <v/>
      </c>
      <c r="AT947" s="37"/>
      <c r="AU947" s="29"/>
      <c r="AV947" s="29" t="b">
        <v>0</v>
      </c>
      <c r="AW947" s="22" t="str">
        <f t="shared" si="13"/>
        <v/>
      </c>
      <c r="AX947" s="7">
        <f>IF(ISBLANK(AT947), 0, VLOOKUP(AT947, 'Price Sheet'!$A$2:$B1015, 2, false))</f>
        <v>0</v>
      </c>
      <c r="AY947" s="33" t="str">
        <f t="shared" si="14"/>
        <v/>
      </c>
      <c r="AZ947" s="37"/>
      <c r="BA947" s="29"/>
      <c r="BB947" s="29" t="b">
        <v>0</v>
      </c>
      <c r="BC947" s="22" t="str">
        <f t="shared" si="15"/>
        <v/>
      </c>
      <c r="BD947" s="7">
        <f>IF(ISBLANK(AZ947), 0, VLOOKUP(AZ947, 'Price Sheet'!$A$2:$B1015, 2, false))</f>
        <v>0</v>
      </c>
      <c r="BE947" s="33" t="str">
        <f t="shared" si="16"/>
        <v/>
      </c>
      <c r="BF947" s="37"/>
      <c r="BG947" s="29"/>
      <c r="BH947" s="29" t="b">
        <v>0</v>
      </c>
      <c r="BI947" s="22" t="str">
        <f t="shared" si="17"/>
        <v/>
      </c>
      <c r="BJ947" s="7">
        <f>IF(ISBLANK(BF947), 0, VLOOKUP(BF947, 'Price Sheet'!$A$2:$B1015, 2, false))</f>
        <v>0</v>
      </c>
      <c r="BK947" s="33" t="str">
        <f t="shared" si="18"/>
        <v/>
      </c>
      <c r="BL947" s="37"/>
      <c r="BM947" s="29"/>
      <c r="BN947" s="29" t="b">
        <v>0</v>
      </c>
      <c r="BO947" s="22" t="str">
        <f t="shared" si="19"/>
        <v/>
      </c>
      <c r="BP947" s="7">
        <f>IF(ISBLANK(BL947), 0, VLOOKUP(BL947, 'Price Sheet'!$A$2:$B1015, 2, false))</f>
        <v>0</v>
      </c>
      <c r="BQ947" s="33" t="str">
        <f t="shared" si="20"/>
        <v/>
      </c>
    </row>
    <row r="948">
      <c r="B948" s="19"/>
      <c r="C948" s="29"/>
      <c r="D948" s="29"/>
      <c r="E948" s="7" t="str">
        <f>IF(ISBLANK(D948), "", VLOOKUP(D948,'Crafting Tables'!$A$2:$B1015, 2, false))</f>
        <v/>
      </c>
      <c r="F948" s="7" t="str">
        <f>IFERROR(IF(E948 = "None", 1, VLOOKUP(C948,General!$A$5:$L$35, SWITCH(E948, "Basic", 8, "Advanced", 10, "Modern", 12), false)),"")</f>
        <v/>
      </c>
      <c r="G948" s="29"/>
      <c r="H948" s="7">
        <f>IFERROR(VLOOKUP(C948, General!$A$5:$L$35, 6, false) * G948 / 1000, 0)</f>
        <v>0</v>
      </c>
      <c r="I948" s="29"/>
      <c r="J948" s="22" t="str">
        <f>IFERROR(I948*VLOOKUP(D948,'Crafting Tables'!$1:$1000, 4, false)*F948,"")</f>
        <v/>
      </c>
      <c r="K948" s="29" t="b">
        <v>0</v>
      </c>
      <c r="L948" s="37"/>
      <c r="M948" s="29"/>
      <c r="N948" s="21" t="str">
        <f t="shared" si="2"/>
        <v/>
      </c>
      <c r="P948" s="37"/>
      <c r="Q948" s="29"/>
      <c r="R948" s="29" t="b">
        <v>0</v>
      </c>
      <c r="S948" s="22" t="str">
        <f t="shared" si="3"/>
        <v/>
      </c>
      <c r="T948" s="7">
        <f>IF(ISBLANK(P948), 0, VLOOKUP(P948, 'Price Sheet'!$A$2:$B1015, 2, false))</f>
        <v>0</v>
      </c>
      <c r="U948" s="33" t="str">
        <f t="shared" si="4"/>
        <v/>
      </c>
      <c r="V948" s="37"/>
      <c r="W948" s="29"/>
      <c r="X948" s="29" t="b">
        <v>0</v>
      </c>
      <c r="Y948" s="22" t="str">
        <f t="shared" si="5"/>
        <v/>
      </c>
      <c r="Z948" s="7">
        <f>IF(ISBLANK(V948), 0, VLOOKUP(V948, 'Price Sheet'!$A$2:$B1015, 2, false))</f>
        <v>0</v>
      </c>
      <c r="AA948" s="33" t="str">
        <f t="shared" si="6"/>
        <v/>
      </c>
      <c r="AB948" s="37"/>
      <c r="AC948" s="29"/>
      <c r="AD948" s="29" t="b">
        <v>0</v>
      </c>
      <c r="AE948" s="22" t="str">
        <f t="shared" si="7"/>
        <v/>
      </c>
      <c r="AF948" s="7">
        <f>IF(ISBLANK(AB948), 0, VLOOKUP(AB948, 'Price Sheet'!$A$2:$B1015, 2, false))</f>
        <v>0</v>
      </c>
      <c r="AG948" s="33" t="str">
        <f t="shared" si="8"/>
        <v/>
      </c>
      <c r="AH948" s="37"/>
      <c r="AI948" s="29"/>
      <c r="AJ948" s="29" t="b">
        <v>0</v>
      </c>
      <c r="AK948" s="22" t="str">
        <f t="shared" si="9"/>
        <v/>
      </c>
      <c r="AL948" s="7">
        <f>IF(ISBLANK(AH948), 0, VLOOKUP(AH948, 'Price Sheet'!$A$2:$B1015, 2, false))</f>
        <v>0</v>
      </c>
      <c r="AM948" s="33" t="str">
        <f t="shared" si="10"/>
        <v/>
      </c>
      <c r="AN948" s="37"/>
      <c r="AO948" s="29"/>
      <c r="AP948" s="29" t="b">
        <v>0</v>
      </c>
      <c r="AQ948" s="22" t="str">
        <f t="shared" si="11"/>
        <v/>
      </c>
      <c r="AR948" s="7">
        <f>IF(ISBLANK(AN948), 0, VLOOKUP(AN948, 'Price Sheet'!$A$2:$B1015, 2, false))</f>
        <v>0</v>
      </c>
      <c r="AS948" s="33" t="str">
        <f t="shared" si="12"/>
        <v/>
      </c>
      <c r="AT948" s="37"/>
      <c r="AU948" s="29"/>
      <c r="AV948" s="29" t="b">
        <v>0</v>
      </c>
      <c r="AW948" s="22" t="str">
        <f t="shared" si="13"/>
        <v/>
      </c>
      <c r="AX948" s="7">
        <f>IF(ISBLANK(AT948), 0, VLOOKUP(AT948, 'Price Sheet'!$A$2:$B1015, 2, false))</f>
        <v>0</v>
      </c>
      <c r="AY948" s="33" t="str">
        <f t="shared" si="14"/>
        <v/>
      </c>
      <c r="AZ948" s="37"/>
      <c r="BA948" s="29"/>
      <c r="BB948" s="29" t="b">
        <v>0</v>
      </c>
      <c r="BC948" s="22" t="str">
        <f t="shared" si="15"/>
        <v/>
      </c>
      <c r="BD948" s="7">
        <f>IF(ISBLANK(AZ948), 0, VLOOKUP(AZ948, 'Price Sheet'!$A$2:$B1015, 2, false))</f>
        <v>0</v>
      </c>
      <c r="BE948" s="33" t="str">
        <f t="shared" si="16"/>
        <v/>
      </c>
      <c r="BF948" s="37"/>
      <c r="BG948" s="29"/>
      <c r="BH948" s="29" t="b">
        <v>0</v>
      </c>
      <c r="BI948" s="22" t="str">
        <f t="shared" si="17"/>
        <v/>
      </c>
      <c r="BJ948" s="7">
        <f>IF(ISBLANK(BF948), 0, VLOOKUP(BF948, 'Price Sheet'!$A$2:$B1015, 2, false))</f>
        <v>0</v>
      </c>
      <c r="BK948" s="33" t="str">
        <f t="shared" si="18"/>
        <v/>
      </c>
      <c r="BL948" s="37"/>
      <c r="BM948" s="29"/>
      <c r="BN948" s="29" t="b">
        <v>0</v>
      </c>
      <c r="BO948" s="22" t="str">
        <f t="shared" si="19"/>
        <v/>
      </c>
      <c r="BP948" s="7">
        <f>IF(ISBLANK(BL948), 0, VLOOKUP(BL948, 'Price Sheet'!$A$2:$B1015, 2, false))</f>
        <v>0</v>
      </c>
      <c r="BQ948" s="33" t="str">
        <f t="shared" si="20"/>
        <v/>
      </c>
    </row>
    <row r="949">
      <c r="B949" s="19"/>
      <c r="C949" s="29"/>
      <c r="D949" s="29"/>
      <c r="E949" s="7" t="str">
        <f>IF(ISBLANK(D949), "", VLOOKUP(D949,'Crafting Tables'!$A$2:$B1015, 2, false))</f>
        <v/>
      </c>
      <c r="F949" s="7" t="str">
        <f>IFERROR(IF(E949 = "None", 1, VLOOKUP(C949,General!$A$5:$L$35, SWITCH(E949, "Basic", 8, "Advanced", 10, "Modern", 12), false)),"")</f>
        <v/>
      </c>
      <c r="G949" s="29"/>
      <c r="H949" s="7">
        <f>IFERROR(VLOOKUP(C949, General!$A$5:$L$35, 6, false) * G949 / 1000, 0)</f>
        <v>0</v>
      </c>
      <c r="I949" s="29"/>
      <c r="J949" s="22" t="str">
        <f>IFERROR(I949*VLOOKUP(D949,'Crafting Tables'!$1:$1000, 4, false)*F949,"")</f>
        <v/>
      </c>
      <c r="K949" s="29" t="b">
        <v>0</v>
      </c>
      <c r="L949" s="37"/>
      <c r="M949" s="29"/>
      <c r="N949" s="21" t="str">
        <f t="shared" si="2"/>
        <v/>
      </c>
      <c r="P949" s="37"/>
      <c r="Q949" s="29"/>
      <c r="R949" s="29" t="b">
        <v>0</v>
      </c>
      <c r="S949" s="22" t="str">
        <f t="shared" si="3"/>
        <v/>
      </c>
      <c r="T949" s="7">
        <f>IF(ISBLANK(P949), 0, VLOOKUP(P949, 'Price Sheet'!$A$2:$B1015, 2, false))</f>
        <v>0</v>
      </c>
      <c r="U949" s="33" t="str">
        <f t="shared" si="4"/>
        <v/>
      </c>
      <c r="V949" s="37"/>
      <c r="W949" s="29"/>
      <c r="X949" s="29" t="b">
        <v>0</v>
      </c>
      <c r="Y949" s="22" t="str">
        <f t="shared" si="5"/>
        <v/>
      </c>
      <c r="Z949" s="7">
        <f>IF(ISBLANK(V949), 0, VLOOKUP(V949, 'Price Sheet'!$A$2:$B1015, 2, false))</f>
        <v>0</v>
      </c>
      <c r="AA949" s="33" t="str">
        <f t="shared" si="6"/>
        <v/>
      </c>
      <c r="AB949" s="37"/>
      <c r="AC949" s="29"/>
      <c r="AD949" s="29" t="b">
        <v>0</v>
      </c>
      <c r="AE949" s="22" t="str">
        <f t="shared" si="7"/>
        <v/>
      </c>
      <c r="AF949" s="7">
        <f>IF(ISBLANK(AB949), 0, VLOOKUP(AB949, 'Price Sheet'!$A$2:$B1015, 2, false))</f>
        <v>0</v>
      </c>
      <c r="AG949" s="33" t="str">
        <f t="shared" si="8"/>
        <v/>
      </c>
      <c r="AH949" s="37"/>
      <c r="AI949" s="29"/>
      <c r="AJ949" s="29" t="b">
        <v>0</v>
      </c>
      <c r="AK949" s="22" t="str">
        <f t="shared" si="9"/>
        <v/>
      </c>
      <c r="AL949" s="7">
        <f>IF(ISBLANK(AH949), 0, VLOOKUP(AH949, 'Price Sheet'!$A$2:$B1015, 2, false))</f>
        <v>0</v>
      </c>
      <c r="AM949" s="33" t="str">
        <f t="shared" si="10"/>
        <v/>
      </c>
      <c r="AN949" s="37"/>
      <c r="AO949" s="29"/>
      <c r="AP949" s="29" t="b">
        <v>0</v>
      </c>
      <c r="AQ949" s="22" t="str">
        <f t="shared" si="11"/>
        <v/>
      </c>
      <c r="AR949" s="7">
        <f>IF(ISBLANK(AN949), 0, VLOOKUP(AN949, 'Price Sheet'!$A$2:$B1015, 2, false))</f>
        <v>0</v>
      </c>
      <c r="AS949" s="33" t="str">
        <f t="shared" si="12"/>
        <v/>
      </c>
      <c r="AT949" s="37"/>
      <c r="AU949" s="29"/>
      <c r="AV949" s="29" t="b">
        <v>0</v>
      </c>
      <c r="AW949" s="22" t="str">
        <f t="shared" si="13"/>
        <v/>
      </c>
      <c r="AX949" s="7">
        <f>IF(ISBLANK(AT949), 0, VLOOKUP(AT949, 'Price Sheet'!$A$2:$B1015, 2, false))</f>
        <v>0</v>
      </c>
      <c r="AY949" s="33" t="str">
        <f t="shared" si="14"/>
        <v/>
      </c>
      <c r="AZ949" s="37"/>
      <c r="BA949" s="29"/>
      <c r="BB949" s="29" t="b">
        <v>0</v>
      </c>
      <c r="BC949" s="22" t="str">
        <f t="shared" si="15"/>
        <v/>
      </c>
      <c r="BD949" s="7">
        <f>IF(ISBLANK(AZ949), 0, VLOOKUP(AZ949, 'Price Sheet'!$A$2:$B1015, 2, false))</f>
        <v>0</v>
      </c>
      <c r="BE949" s="33" t="str">
        <f t="shared" si="16"/>
        <v/>
      </c>
      <c r="BF949" s="37"/>
      <c r="BG949" s="29"/>
      <c r="BH949" s="29" t="b">
        <v>0</v>
      </c>
      <c r="BI949" s="22" t="str">
        <f t="shared" si="17"/>
        <v/>
      </c>
      <c r="BJ949" s="7">
        <f>IF(ISBLANK(BF949), 0, VLOOKUP(BF949, 'Price Sheet'!$A$2:$B1015, 2, false))</f>
        <v>0</v>
      </c>
      <c r="BK949" s="33" t="str">
        <f t="shared" si="18"/>
        <v/>
      </c>
      <c r="BL949" s="37"/>
      <c r="BM949" s="29"/>
      <c r="BN949" s="29" t="b">
        <v>0</v>
      </c>
      <c r="BO949" s="22" t="str">
        <f t="shared" si="19"/>
        <v/>
      </c>
      <c r="BP949" s="7">
        <f>IF(ISBLANK(BL949), 0, VLOOKUP(BL949, 'Price Sheet'!$A$2:$B1015, 2, false))</f>
        <v>0</v>
      </c>
      <c r="BQ949" s="33" t="str">
        <f t="shared" si="20"/>
        <v/>
      </c>
    </row>
    <row r="950">
      <c r="B950" s="19"/>
      <c r="C950" s="29"/>
      <c r="D950" s="29"/>
      <c r="E950" s="7" t="str">
        <f>IF(ISBLANK(D950), "", VLOOKUP(D950,'Crafting Tables'!$A$2:$B1015, 2, false))</f>
        <v/>
      </c>
      <c r="F950" s="7" t="str">
        <f>IFERROR(IF(E950 = "None", 1, VLOOKUP(C950,General!$A$5:$L$35, SWITCH(E950, "Basic", 8, "Advanced", 10, "Modern", 12), false)),"")</f>
        <v/>
      </c>
      <c r="G950" s="29"/>
      <c r="H950" s="7">
        <f>IFERROR(VLOOKUP(C950, General!$A$5:$L$35, 6, false) * G950 / 1000, 0)</f>
        <v>0</v>
      </c>
      <c r="I950" s="29"/>
      <c r="J950" s="22" t="str">
        <f>IFERROR(I950*VLOOKUP(D950,'Crafting Tables'!$1:$1000, 4, false)*F950,"")</f>
        <v/>
      </c>
      <c r="K950" s="29" t="b">
        <v>0</v>
      </c>
      <c r="L950" s="37"/>
      <c r="M950" s="29"/>
      <c r="N950" s="21" t="str">
        <f t="shared" si="2"/>
        <v/>
      </c>
      <c r="P950" s="37"/>
      <c r="Q950" s="29"/>
      <c r="R950" s="29" t="b">
        <v>0</v>
      </c>
      <c r="S950" s="22" t="str">
        <f t="shared" si="3"/>
        <v/>
      </c>
      <c r="T950" s="7">
        <f>IF(ISBLANK(P950), 0, VLOOKUP(P950, 'Price Sheet'!$A$2:$B1015, 2, false))</f>
        <v>0</v>
      </c>
      <c r="U950" s="33" t="str">
        <f t="shared" si="4"/>
        <v/>
      </c>
      <c r="V950" s="37"/>
      <c r="W950" s="29"/>
      <c r="X950" s="29" t="b">
        <v>0</v>
      </c>
      <c r="Y950" s="22" t="str">
        <f t="shared" si="5"/>
        <v/>
      </c>
      <c r="Z950" s="7">
        <f>IF(ISBLANK(V950), 0, VLOOKUP(V950, 'Price Sheet'!$A$2:$B1015, 2, false))</f>
        <v>0</v>
      </c>
      <c r="AA950" s="33" t="str">
        <f t="shared" si="6"/>
        <v/>
      </c>
      <c r="AB950" s="37"/>
      <c r="AC950" s="29"/>
      <c r="AD950" s="29" t="b">
        <v>0</v>
      </c>
      <c r="AE950" s="22" t="str">
        <f t="shared" si="7"/>
        <v/>
      </c>
      <c r="AF950" s="7">
        <f>IF(ISBLANK(AB950), 0, VLOOKUP(AB950, 'Price Sheet'!$A$2:$B1015, 2, false))</f>
        <v>0</v>
      </c>
      <c r="AG950" s="33" t="str">
        <f t="shared" si="8"/>
        <v/>
      </c>
      <c r="AH950" s="37"/>
      <c r="AI950" s="29"/>
      <c r="AJ950" s="29" t="b">
        <v>0</v>
      </c>
      <c r="AK950" s="22" t="str">
        <f t="shared" si="9"/>
        <v/>
      </c>
      <c r="AL950" s="7">
        <f>IF(ISBLANK(AH950), 0, VLOOKUP(AH950, 'Price Sheet'!$A$2:$B1015, 2, false))</f>
        <v>0</v>
      </c>
      <c r="AM950" s="33" t="str">
        <f t="shared" si="10"/>
        <v/>
      </c>
      <c r="AN950" s="37"/>
      <c r="AO950" s="29"/>
      <c r="AP950" s="29" t="b">
        <v>0</v>
      </c>
      <c r="AQ950" s="22" t="str">
        <f t="shared" si="11"/>
        <v/>
      </c>
      <c r="AR950" s="7">
        <f>IF(ISBLANK(AN950), 0, VLOOKUP(AN950, 'Price Sheet'!$A$2:$B1015, 2, false))</f>
        <v>0</v>
      </c>
      <c r="AS950" s="33" t="str">
        <f t="shared" si="12"/>
        <v/>
      </c>
      <c r="AT950" s="37"/>
      <c r="AU950" s="29"/>
      <c r="AV950" s="29" t="b">
        <v>0</v>
      </c>
      <c r="AW950" s="22" t="str">
        <f t="shared" si="13"/>
        <v/>
      </c>
      <c r="AX950" s="7">
        <f>IF(ISBLANK(AT950), 0, VLOOKUP(AT950, 'Price Sheet'!$A$2:$B1015, 2, false))</f>
        <v>0</v>
      </c>
      <c r="AY950" s="33" t="str">
        <f t="shared" si="14"/>
        <v/>
      </c>
      <c r="AZ950" s="37"/>
      <c r="BA950" s="29"/>
      <c r="BB950" s="29" t="b">
        <v>0</v>
      </c>
      <c r="BC950" s="22" t="str">
        <f t="shared" si="15"/>
        <v/>
      </c>
      <c r="BD950" s="7">
        <f>IF(ISBLANK(AZ950), 0, VLOOKUP(AZ950, 'Price Sheet'!$A$2:$B1015, 2, false))</f>
        <v>0</v>
      </c>
      <c r="BE950" s="33" t="str">
        <f t="shared" si="16"/>
        <v/>
      </c>
      <c r="BF950" s="37"/>
      <c r="BG950" s="29"/>
      <c r="BH950" s="29" t="b">
        <v>0</v>
      </c>
      <c r="BI950" s="22" t="str">
        <f t="shared" si="17"/>
        <v/>
      </c>
      <c r="BJ950" s="7">
        <f>IF(ISBLANK(BF950), 0, VLOOKUP(BF950, 'Price Sheet'!$A$2:$B1015, 2, false))</f>
        <v>0</v>
      </c>
      <c r="BK950" s="33" t="str">
        <f t="shared" si="18"/>
        <v/>
      </c>
      <c r="BL950" s="37"/>
      <c r="BM950" s="29"/>
      <c r="BN950" s="29" t="b">
        <v>0</v>
      </c>
      <c r="BO950" s="22" t="str">
        <f t="shared" si="19"/>
        <v/>
      </c>
      <c r="BP950" s="7">
        <f>IF(ISBLANK(BL950), 0, VLOOKUP(BL950, 'Price Sheet'!$A$2:$B1015, 2, false))</f>
        <v>0</v>
      </c>
      <c r="BQ950" s="33" t="str">
        <f t="shared" si="20"/>
        <v/>
      </c>
    </row>
    <row r="951">
      <c r="B951" s="19"/>
      <c r="C951" s="29"/>
      <c r="D951" s="29"/>
      <c r="E951" s="7" t="str">
        <f>IF(ISBLANK(D951), "", VLOOKUP(D951,'Crafting Tables'!$A$2:$B1015, 2, false))</f>
        <v/>
      </c>
      <c r="F951" s="7" t="str">
        <f>IFERROR(IF(E951 = "None", 1, VLOOKUP(C951,General!$A$5:$L$35, SWITCH(E951, "Basic", 8, "Advanced", 10, "Modern", 12), false)),"")</f>
        <v/>
      </c>
      <c r="G951" s="29"/>
      <c r="H951" s="7">
        <f>IFERROR(VLOOKUP(C951, General!$A$5:$L$35, 6, false) * G951 / 1000, 0)</f>
        <v>0</v>
      </c>
      <c r="I951" s="29"/>
      <c r="J951" s="22" t="str">
        <f>IFERROR(I951*VLOOKUP(D951,'Crafting Tables'!$1:$1000, 4, false)*F951,"")</f>
        <v/>
      </c>
      <c r="K951" s="29" t="b">
        <v>0</v>
      </c>
      <c r="L951" s="37"/>
      <c r="M951" s="29"/>
      <c r="N951" s="21" t="str">
        <f t="shared" si="2"/>
        <v/>
      </c>
      <c r="P951" s="37"/>
      <c r="Q951" s="29"/>
      <c r="R951" s="29" t="b">
        <v>0</v>
      </c>
      <c r="S951" s="22" t="str">
        <f t="shared" si="3"/>
        <v/>
      </c>
      <c r="T951" s="7">
        <f>IF(ISBLANK(P951), 0, VLOOKUP(P951, 'Price Sheet'!$A$2:$B1015, 2, false))</f>
        <v>0</v>
      </c>
      <c r="U951" s="33" t="str">
        <f t="shared" si="4"/>
        <v/>
      </c>
      <c r="V951" s="37"/>
      <c r="W951" s="29"/>
      <c r="X951" s="29" t="b">
        <v>0</v>
      </c>
      <c r="Y951" s="22" t="str">
        <f t="shared" si="5"/>
        <v/>
      </c>
      <c r="Z951" s="7">
        <f>IF(ISBLANK(V951), 0, VLOOKUP(V951, 'Price Sheet'!$A$2:$B1015, 2, false))</f>
        <v>0</v>
      </c>
      <c r="AA951" s="33" t="str">
        <f t="shared" si="6"/>
        <v/>
      </c>
      <c r="AB951" s="37"/>
      <c r="AC951" s="29"/>
      <c r="AD951" s="29" t="b">
        <v>0</v>
      </c>
      <c r="AE951" s="22" t="str">
        <f t="shared" si="7"/>
        <v/>
      </c>
      <c r="AF951" s="7">
        <f>IF(ISBLANK(AB951), 0, VLOOKUP(AB951, 'Price Sheet'!$A$2:$B1015, 2, false))</f>
        <v>0</v>
      </c>
      <c r="AG951" s="33" t="str">
        <f t="shared" si="8"/>
        <v/>
      </c>
      <c r="AH951" s="37"/>
      <c r="AI951" s="29"/>
      <c r="AJ951" s="29" t="b">
        <v>0</v>
      </c>
      <c r="AK951" s="22" t="str">
        <f t="shared" si="9"/>
        <v/>
      </c>
      <c r="AL951" s="7">
        <f>IF(ISBLANK(AH951), 0, VLOOKUP(AH951, 'Price Sheet'!$A$2:$B1015, 2, false))</f>
        <v>0</v>
      </c>
      <c r="AM951" s="33" t="str">
        <f t="shared" si="10"/>
        <v/>
      </c>
      <c r="AN951" s="37"/>
      <c r="AO951" s="29"/>
      <c r="AP951" s="29" t="b">
        <v>0</v>
      </c>
      <c r="AQ951" s="22" t="str">
        <f t="shared" si="11"/>
        <v/>
      </c>
      <c r="AR951" s="7">
        <f>IF(ISBLANK(AN951), 0, VLOOKUP(AN951, 'Price Sheet'!$A$2:$B1015, 2, false))</f>
        <v>0</v>
      </c>
      <c r="AS951" s="33" t="str">
        <f t="shared" si="12"/>
        <v/>
      </c>
      <c r="AT951" s="37"/>
      <c r="AU951" s="29"/>
      <c r="AV951" s="29" t="b">
        <v>0</v>
      </c>
      <c r="AW951" s="22" t="str">
        <f t="shared" si="13"/>
        <v/>
      </c>
      <c r="AX951" s="7">
        <f>IF(ISBLANK(AT951), 0, VLOOKUP(AT951, 'Price Sheet'!$A$2:$B1015, 2, false))</f>
        <v>0</v>
      </c>
      <c r="AY951" s="33" t="str">
        <f t="shared" si="14"/>
        <v/>
      </c>
      <c r="AZ951" s="37"/>
      <c r="BA951" s="29"/>
      <c r="BB951" s="29" t="b">
        <v>0</v>
      </c>
      <c r="BC951" s="22" t="str">
        <f t="shared" si="15"/>
        <v/>
      </c>
      <c r="BD951" s="7">
        <f>IF(ISBLANK(AZ951), 0, VLOOKUP(AZ951, 'Price Sheet'!$A$2:$B1015, 2, false))</f>
        <v>0</v>
      </c>
      <c r="BE951" s="33" t="str">
        <f t="shared" si="16"/>
        <v/>
      </c>
      <c r="BF951" s="37"/>
      <c r="BG951" s="29"/>
      <c r="BH951" s="29" t="b">
        <v>0</v>
      </c>
      <c r="BI951" s="22" t="str">
        <f t="shared" si="17"/>
        <v/>
      </c>
      <c r="BJ951" s="7">
        <f>IF(ISBLANK(BF951), 0, VLOOKUP(BF951, 'Price Sheet'!$A$2:$B1015, 2, false))</f>
        <v>0</v>
      </c>
      <c r="BK951" s="33" t="str">
        <f t="shared" si="18"/>
        <v/>
      </c>
      <c r="BL951" s="37"/>
      <c r="BM951" s="29"/>
      <c r="BN951" s="29" t="b">
        <v>0</v>
      </c>
      <c r="BO951" s="22" t="str">
        <f t="shared" si="19"/>
        <v/>
      </c>
      <c r="BP951" s="7">
        <f>IF(ISBLANK(BL951), 0, VLOOKUP(BL951, 'Price Sheet'!$A$2:$B1015, 2, false))</f>
        <v>0</v>
      </c>
      <c r="BQ951" s="33" t="str">
        <f t="shared" si="20"/>
        <v/>
      </c>
    </row>
    <row r="952">
      <c r="B952" s="19"/>
      <c r="C952" s="29"/>
      <c r="D952" s="29"/>
      <c r="E952" s="7" t="str">
        <f>IF(ISBLANK(D952), "", VLOOKUP(D952,'Crafting Tables'!$A$2:$B1015, 2, false))</f>
        <v/>
      </c>
      <c r="F952" s="7" t="str">
        <f>IFERROR(IF(E952 = "None", 1, VLOOKUP(C952,General!$A$5:$L$35, SWITCH(E952, "Basic", 8, "Advanced", 10, "Modern", 12), false)),"")</f>
        <v/>
      </c>
      <c r="G952" s="29"/>
      <c r="H952" s="7">
        <f>IFERROR(VLOOKUP(C952, General!$A$5:$L$35, 6, false) * G952 / 1000, 0)</f>
        <v>0</v>
      </c>
      <c r="I952" s="29"/>
      <c r="J952" s="22" t="str">
        <f>IFERROR(I952*VLOOKUP(D952,'Crafting Tables'!$1:$1000, 4, false)*F952,"")</f>
        <v/>
      </c>
      <c r="K952" s="29" t="b">
        <v>0</v>
      </c>
      <c r="L952" s="37"/>
      <c r="M952" s="29"/>
      <c r="N952" s="21" t="str">
        <f t="shared" si="2"/>
        <v/>
      </c>
      <c r="P952" s="37"/>
      <c r="Q952" s="29"/>
      <c r="R952" s="29" t="b">
        <v>0</v>
      </c>
      <c r="S952" s="22" t="str">
        <f t="shared" si="3"/>
        <v/>
      </c>
      <c r="T952" s="7">
        <f>IF(ISBLANK(P952), 0, VLOOKUP(P952, 'Price Sheet'!$A$2:$B1015, 2, false))</f>
        <v>0</v>
      </c>
      <c r="U952" s="33" t="str">
        <f t="shared" si="4"/>
        <v/>
      </c>
      <c r="V952" s="37"/>
      <c r="W952" s="29"/>
      <c r="X952" s="29" t="b">
        <v>0</v>
      </c>
      <c r="Y952" s="22" t="str">
        <f t="shared" si="5"/>
        <v/>
      </c>
      <c r="Z952" s="7">
        <f>IF(ISBLANK(V952), 0, VLOOKUP(V952, 'Price Sheet'!$A$2:$B1015, 2, false))</f>
        <v>0</v>
      </c>
      <c r="AA952" s="33" t="str">
        <f t="shared" si="6"/>
        <v/>
      </c>
      <c r="AB952" s="37"/>
      <c r="AC952" s="29"/>
      <c r="AD952" s="29" t="b">
        <v>0</v>
      </c>
      <c r="AE952" s="22" t="str">
        <f t="shared" si="7"/>
        <v/>
      </c>
      <c r="AF952" s="7">
        <f>IF(ISBLANK(AB952), 0, VLOOKUP(AB952, 'Price Sheet'!$A$2:$B1015, 2, false))</f>
        <v>0</v>
      </c>
      <c r="AG952" s="33" t="str">
        <f t="shared" si="8"/>
        <v/>
      </c>
      <c r="AH952" s="37"/>
      <c r="AI952" s="29"/>
      <c r="AJ952" s="29" t="b">
        <v>0</v>
      </c>
      <c r="AK952" s="22" t="str">
        <f t="shared" si="9"/>
        <v/>
      </c>
      <c r="AL952" s="7">
        <f>IF(ISBLANK(AH952), 0, VLOOKUP(AH952, 'Price Sheet'!$A$2:$B1015, 2, false))</f>
        <v>0</v>
      </c>
      <c r="AM952" s="33" t="str">
        <f t="shared" si="10"/>
        <v/>
      </c>
      <c r="AN952" s="37"/>
      <c r="AO952" s="29"/>
      <c r="AP952" s="29" t="b">
        <v>0</v>
      </c>
      <c r="AQ952" s="22" t="str">
        <f t="shared" si="11"/>
        <v/>
      </c>
      <c r="AR952" s="7">
        <f>IF(ISBLANK(AN952), 0, VLOOKUP(AN952, 'Price Sheet'!$A$2:$B1015, 2, false))</f>
        <v>0</v>
      </c>
      <c r="AS952" s="33" t="str">
        <f t="shared" si="12"/>
        <v/>
      </c>
      <c r="AT952" s="37"/>
      <c r="AU952" s="29"/>
      <c r="AV952" s="29" t="b">
        <v>0</v>
      </c>
      <c r="AW952" s="22" t="str">
        <f t="shared" si="13"/>
        <v/>
      </c>
      <c r="AX952" s="7">
        <f>IF(ISBLANK(AT952), 0, VLOOKUP(AT952, 'Price Sheet'!$A$2:$B1015, 2, false))</f>
        <v>0</v>
      </c>
      <c r="AY952" s="33" t="str">
        <f t="shared" si="14"/>
        <v/>
      </c>
      <c r="AZ952" s="37"/>
      <c r="BA952" s="29"/>
      <c r="BB952" s="29" t="b">
        <v>0</v>
      </c>
      <c r="BC952" s="22" t="str">
        <f t="shared" si="15"/>
        <v/>
      </c>
      <c r="BD952" s="7">
        <f>IF(ISBLANK(AZ952), 0, VLOOKUP(AZ952, 'Price Sheet'!$A$2:$B1015, 2, false))</f>
        <v>0</v>
      </c>
      <c r="BE952" s="33" t="str">
        <f t="shared" si="16"/>
        <v/>
      </c>
      <c r="BF952" s="37"/>
      <c r="BG952" s="29"/>
      <c r="BH952" s="29" t="b">
        <v>0</v>
      </c>
      <c r="BI952" s="22" t="str">
        <f t="shared" si="17"/>
        <v/>
      </c>
      <c r="BJ952" s="7">
        <f>IF(ISBLANK(BF952), 0, VLOOKUP(BF952, 'Price Sheet'!$A$2:$B1015, 2, false))</f>
        <v>0</v>
      </c>
      <c r="BK952" s="33" t="str">
        <f t="shared" si="18"/>
        <v/>
      </c>
      <c r="BL952" s="37"/>
      <c r="BM952" s="29"/>
      <c r="BN952" s="29" t="b">
        <v>0</v>
      </c>
      <c r="BO952" s="22" t="str">
        <f t="shared" si="19"/>
        <v/>
      </c>
      <c r="BP952" s="7">
        <f>IF(ISBLANK(BL952), 0, VLOOKUP(BL952, 'Price Sheet'!$A$2:$B1015, 2, false))</f>
        <v>0</v>
      </c>
      <c r="BQ952" s="33" t="str">
        <f t="shared" si="20"/>
        <v/>
      </c>
    </row>
    <row r="953">
      <c r="B953" s="19"/>
      <c r="C953" s="29"/>
      <c r="D953" s="29"/>
      <c r="E953" s="7" t="str">
        <f>IF(ISBLANK(D953), "", VLOOKUP(D953,'Crafting Tables'!$A$2:$B1015, 2, false))</f>
        <v/>
      </c>
      <c r="F953" s="7" t="str">
        <f>IFERROR(IF(E953 = "None", 1, VLOOKUP(C953,General!$A$5:$L$35, SWITCH(E953, "Basic", 8, "Advanced", 10, "Modern", 12), false)),"")</f>
        <v/>
      </c>
      <c r="G953" s="29"/>
      <c r="H953" s="7">
        <f>IFERROR(VLOOKUP(C953, General!$A$5:$L$35, 6, false) * G953 / 1000, 0)</f>
        <v>0</v>
      </c>
      <c r="I953" s="29"/>
      <c r="J953" s="22" t="str">
        <f>IFERROR(I953*VLOOKUP(D953,'Crafting Tables'!$1:$1000, 4, false)*F953,"")</f>
        <v/>
      </c>
      <c r="K953" s="29" t="b">
        <v>0</v>
      </c>
      <c r="L953" s="37"/>
      <c r="M953" s="29"/>
      <c r="N953" s="21" t="str">
        <f t="shared" si="2"/>
        <v/>
      </c>
      <c r="P953" s="37"/>
      <c r="Q953" s="29"/>
      <c r="R953" s="29" t="b">
        <v>0</v>
      </c>
      <c r="S953" s="22" t="str">
        <f t="shared" si="3"/>
        <v/>
      </c>
      <c r="T953" s="7">
        <f>IF(ISBLANK(P953), 0, VLOOKUP(P953, 'Price Sheet'!$A$2:$B1015, 2, false))</f>
        <v>0</v>
      </c>
      <c r="U953" s="33" t="str">
        <f t="shared" si="4"/>
        <v/>
      </c>
      <c r="V953" s="37"/>
      <c r="W953" s="29"/>
      <c r="X953" s="29" t="b">
        <v>0</v>
      </c>
      <c r="Y953" s="22" t="str">
        <f t="shared" si="5"/>
        <v/>
      </c>
      <c r="Z953" s="7">
        <f>IF(ISBLANK(V953), 0, VLOOKUP(V953, 'Price Sheet'!$A$2:$B1015, 2, false))</f>
        <v>0</v>
      </c>
      <c r="AA953" s="33" t="str">
        <f t="shared" si="6"/>
        <v/>
      </c>
      <c r="AB953" s="37"/>
      <c r="AC953" s="29"/>
      <c r="AD953" s="29" t="b">
        <v>0</v>
      </c>
      <c r="AE953" s="22" t="str">
        <f t="shared" si="7"/>
        <v/>
      </c>
      <c r="AF953" s="7">
        <f>IF(ISBLANK(AB953), 0, VLOOKUP(AB953, 'Price Sheet'!$A$2:$B1015, 2, false))</f>
        <v>0</v>
      </c>
      <c r="AG953" s="33" t="str">
        <f t="shared" si="8"/>
        <v/>
      </c>
      <c r="AH953" s="37"/>
      <c r="AI953" s="29"/>
      <c r="AJ953" s="29" t="b">
        <v>0</v>
      </c>
      <c r="AK953" s="22" t="str">
        <f t="shared" si="9"/>
        <v/>
      </c>
      <c r="AL953" s="7">
        <f>IF(ISBLANK(AH953), 0, VLOOKUP(AH953, 'Price Sheet'!$A$2:$B1015, 2, false))</f>
        <v>0</v>
      </c>
      <c r="AM953" s="33" t="str">
        <f t="shared" si="10"/>
        <v/>
      </c>
      <c r="AN953" s="37"/>
      <c r="AO953" s="29"/>
      <c r="AP953" s="29" t="b">
        <v>0</v>
      </c>
      <c r="AQ953" s="22" t="str">
        <f t="shared" si="11"/>
        <v/>
      </c>
      <c r="AR953" s="7">
        <f>IF(ISBLANK(AN953), 0, VLOOKUP(AN953, 'Price Sheet'!$A$2:$B1015, 2, false))</f>
        <v>0</v>
      </c>
      <c r="AS953" s="33" t="str">
        <f t="shared" si="12"/>
        <v/>
      </c>
      <c r="AT953" s="37"/>
      <c r="AU953" s="29"/>
      <c r="AV953" s="29" t="b">
        <v>0</v>
      </c>
      <c r="AW953" s="22" t="str">
        <f t="shared" si="13"/>
        <v/>
      </c>
      <c r="AX953" s="7">
        <f>IF(ISBLANK(AT953), 0, VLOOKUP(AT953, 'Price Sheet'!$A$2:$B1015, 2, false))</f>
        <v>0</v>
      </c>
      <c r="AY953" s="33" t="str">
        <f t="shared" si="14"/>
        <v/>
      </c>
      <c r="AZ953" s="37"/>
      <c r="BA953" s="29"/>
      <c r="BB953" s="29" t="b">
        <v>0</v>
      </c>
      <c r="BC953" s="22" t="str">
        <f t="shared" si="15"/>
        <v/>
      </c>
      <c r="BD953" s="7">
        <f>IF(ISBLANK(AZ953), 0, VLOOKUP(AZ953, 'Price Sheet'!$A$2:$B1015, 2, false))</f>
        <v>0</v>
      </c>
      <c r="BE953" s="33" t="str">
        <f t="shared" si="16"/>
        <v/>
      </c>
      <c r="BF953" s="37"/>
      <c r="BG953" s="29"/>
      <c r="BH953" s="29" t="b">
        <v>0</v>
      </c>
      <c r="BI953" s="22" t="str">
        <f t="shared" si="17"/>
        <v/>
      </c>
      <c r="BJ953" s="7">
        <f>IF(ISBLANK(BF953), 0, VLOOKUP(BF953, 'Price Sheet'!$A$2:$B1015, 2, false))</f>
        <v>0</v>
      </c>
      <c r="BK953" s="33" t="str">
        <f t="shared" si="18"/>
        <v/>
      </c>
      <c r="BL953" s="37"/>
      <c r="BM953" s="29"/>
      <c r="BN953" s="29" t="b">
        <v>0</v>
      </c>
      <c r="BO953" s="22" t="str">
        <f t="shared" si="19"/>
        <v/>
      </c>
      <c r="BP953" s="7">
        <f>IF(ISBLANK(BL953), 0, VLOOKUP(BL953, 'Price Sheet'!$A$2:$B1015, 2, false))</f>
        <v>0</v>
      </c>
      <c r="BQ953" s="33" t="str">
        <f t="shared" si="20"/>
        <v/>
      </c>
    </row>
    <row r="954">
      <c r="B954" s="19"/>
      <c r="C954" s="29"/>
      <c r="D954" s="29"/>
      <c r="E954" s="7" t="str">
        <f>IF(ISBLANK(D954), "", VLOOKUP(D954,'Crafting Tables'!$A$2:$B1015, 2, false))</f>
        <v/>
      </c>
      <c r="F954" s="7" t="str">
        <f>IFERROR(IF(E954 = "None", 1, VLOOKUP(C954,General!$A$5:$L$35, SWITCH(E954, "Basic", 8, "Advanced", 10, "Modern", 12), false)),"")</f>
        <v/>
      </c>
      <c r="G954" s="29"/>
      <c r="H954" s="7">
        <f>IFERROR(VLOOKUP(C954, General!$A$5:$L$35, 6, false) * G954 / 1000, 0)</f>
        <v>0</v>
      </c>
      <c r="I954" s="29"/>
      <c r="J954" s="22" t="str">
        <f>IFERROR(I954*VLOOKUP(D954,'Crafting Tables'!$1:$1000, 4, false)*F954,"")</f>
        <v/>
      </c>
      <c r="K954" s="29" t="b">
        <v>0</v>
      </c>
      <c r="L954" s="37"/>
      <c r="M954" s="29"/>
      <c r="N954" s="21" t="str">
        <f t="shared" si="2"/>
        <v/>
      </c>
      <c r="P954" s="37"/>
      <c r="Q954" s="29"/>
      <c r="R954" s="29" t="b">
        <v>0</v>
      </c>
      <c r="S954" s="22" t="str">
        <f t="shared" si="3"/>
        <v/>
      </c>
      <c r="T954" s="7">
        <f>IF(ISBLANK(P954), 0, VLOOKUP(P954, 'Price Sheet'!$A$2:$B1015, 2, false))</f>
        <v>0</v>
      </c>
      <c r="U954" s="33" t="str">
        <f t="shared" si="4"/>
        <v/>
      </c>
      <c r="V954" s="37"/>
      <c r="W954" s="29"/>
      <c r="X954" s="29" t="b">
        <v>0</v>
      </c>
      <c r="Y954" s="22" t="str">
        <f t="shared" si="5"/>
        <v/>
      </c>
      <c r="Z954" s="7">
        <f>IF(ISBLANK(V954), 0, VLOOKUP(V954, 'Price Sheet'!$A$2:$B1015, 2, false))</f>
        <v>0</v>
      </c>
      <c r="AA954" s="33" t="str">
        <f t="shared" si="6"/>
        <v/>
      </c>
      <c r="AB954" s="37"/>
      <c r="AC954" s="29"/>
      <c r="AD954" s="29" t="b">
        <v>0</v>
      </c>
      <c r="AE954" s="22" t="str">
        <f t="shared" si="7"/>
        <v/>
      </c>
      <c r="AF954" s="7">
        <f>IF(ISBLANK(AB954), 0, VLOOKUP(AB954, 'Price Sheet'!$A$2:$B1015, 2, false))</f>
        <v>0</v>
      </c>
      <c r="AG954" s="33" t="str">
        <f t="shared" si="8"/>
        <v/>
      </c>
      <c r="AH954" s="37"/>
      <c r="AI954" s="29"/>
      <c r="AJ954" s="29" t="b">
        <v>0</v>
      </c>
      <c r="AK954" s="22" t="str">
        <f t="shared" si="9"/>
        <v/>
      </c>
      <c r="AL954" s="7">
        <f>IF(ISBLANK(AH954), 0, VLOOKUP(AH954, 'Price Sheet'!$A$2:$B1015, 2, false))</f>
        <v>0</v>
      </c>
      <c r="AM954" s="33" t="str">
        <f t="shared" si="10"/>
        <v/>
      </c>
      <c r="AN954" s="37"/>
      <c r="AO954" s="29"/>
      <c r="AP954" s="29" t="b">
        <v>0</v>
      </c>
      <c r="AQ954" s="22" t="str">
        <f t="shared" si="11"/>
        <v/>
      </c>
      <c r="AR954" s="7">
        <f>IF(ISBLANK(AN954), 0, VLOOKUP(AN954, 'Price Sheet'!$A$2:$B1015, 2, false))</f>
        <v>0</v>
      </c>
      <c r="AS954" s="33" t="str">
        <f t="shared" si="12"/>
        <v/>
      </c>
      <c r="AT954" s="37"/>
      <c r="AU954" s="29"/>
      <c r="AV954" s="29" t="b">
        <v>0</v>
      </c>
      <c r="AW954" s="22" t="str">
        <f t="shared" si="13"/>
        <v/>
      </c>
      <c r="AX954" s="7">
        <f>IF(ISBLANK(AT954), 0, VLOOKUP(AT954, 'Price Sheet'!$A$2:$B1015, 2, false))</f>
        <v>0</v>
      </c>
      <c r="AY954" s="33" t="str">
        <f t="shared" si="14"/>
        <v/>
      </c>
      <c r="AZ954" s="37"/>
      <c r="BA954" s="29"/>
      <c r="BB954" s="29" t="b">
        <v>0</v>
      </c>
      <c r="BC954" s="22" t="str">
        <f t="shared" si="15"/>
        <v/>
      </c>
      <c r="BD954" s="7">
        <f>IF(ISBLANK(AZ954), 0, VLOOKUP(AZ954, 'Price Sheet'!$A$2:$B1015, 2, false))</f>
        <v>0</v>
      </c>
      <c r="BE954" s="33" t="str">
        <f t="shared" si="16"/>
        <v/>
      </c>
      <c r="BF954" s="37"/>
      <c r="BG954" s="29"/>
      <c r="BH954" s="29" t="b">
        <v>0</v>
      </c>
      <c r="BI954" s="22" t="str">
        <f t="shared" si="17"/>
        <v/>
      </c>
      <c r="BJ954" s="7">
        <f>IF(ISBLANK(BF954), 0, VLOOKUP(BF954, 'Price Sheet'!$A$2:$B1015, 2, false))</f>
        <v>0</v>
      </c>
      <c r="BK954" s="33" t="str">
        <f t="shared" si="18"/>
        <v/>
      </c>
      <c r="BL954" s="37"/>
      <c r="BM954" s="29"/>
      <c r="BN954" s="29" t="b">
        <v>0</v>
      </c>
      <c r="BO954" s="22" t="str">
        <f t="shared" si="19"/>
        <v/>
      </c>
      <c r="BP954" s="7">
        <f>IF(ISBLANK(BL954), 0, VLOOKUP(BL954, 'Price Sheet'!$A$2:$B1015, 2, false))</f>
        <v>0</v>
      </c>
      <c r="BQ954" s="33" t="str">
        <f t="shared" si="20"/>
        <v/>
      </c>
    </row>
    <row r="955">
      <c r="B955" s="19"/>
      <c r="C955" s="29"/>
      <c r="D955" s="29"/>
      <c r="E955" s="7" t="str">
        <f>IF(ISBLANK(D955), "", VLOOKUP(D955,'Crafting Tables'!$A$2:$B1015, 2, false))</f>
        <v/>
      </c>
      <c r="F955" s="7" t="str">
        <f>IFERROR(IF(E955 = "None", 1, VLOOKUP(C955,General!$A$5:$L$35, SWITCH(E955, "Basic", 8, "Advanced", 10, "Modern", 12), false)),"")</f>
        <v/>
      </c>
      <c r="G955" s="29"/>
      <c r="H955" s="7">
        <f>IFERROR(VLOOKUP(C955, General!$A$5:$L$35, 6, false) * G955 / 1000, 0)</f>
        <v>0</v>
      </c>
      <c r="I955" s="29"/>
      <c r="J955" s="22" t="str">
        <f>IFERROR(I955*VLOOKUP(D955,'Crafting Tables'!$1:$1000, 4, false)*F955,"")</f>
        <v/>
      </c>
      <c r="K955" s="29" t="b">
        <v>0</v>
      </c>
      <c r="L955" s="37"/>
      <c r="M955" s="29"/>
      <c r="N955" s="21" t="str">
        <f t="shared" si="2"/>
        <v/>
      </c>
      <c r="P955" s="37"/>
      <c r="Q955" s="29"/>
      <c r="R955" s="29" t="b">
        <v>0</v>
      </c>
      <c r="S955" s="22" t="str">
        <f t="shared" si="3"/>
        <v/>
      </c>
      <c r="T955" s="7">
        <f>IF(ISBLANK(P955), 0, VLOOKUP(P955, 'Price Sheet'!$A$2:$B1015, 2, false))</f>
        <v>0</v>
      </c>
      <c r="U955" s="33" t="str">
        <f t="shared" si="4"/>
        <v/>
      </c>
      <c r="V955" s="37"/>
      <c r="W955" s="29"/>
      <c r="X955" s="29" t="b">
        <v>0</v>
      </c>
      <c r="Y955" s="22" t="str">
        <f t="shared" si="5"/>
        <v/>
      </c>
      <c r="Z955" s="7">
        <f>IF(ISBLANK(V955), 0, VLOOKUP(V955, 'Price Sheet'!$A$2:$B1015, 2, false))</f>
        <v>0</v>
      </c>
      <c r="AA955" s="33" t="str">
        <f t="shared" si="6"/>
        <v/>
      </c>
      <c r="AB955" s="37"/>
      <c r="AC955" s="29"/>
      <c r="AD955" s="29" t="b">
        <v>0</v>
      </c>
      <c r="AE955" s="22" t="str">
        <f t="shared" si="7"/>
        <v/>
      </c>
      <c r="AF955" s="7">
        <f>IF(ISBLANK(AB955), 0, VLOOKUP(AB955, 'Price Sheet'!$A$2:$B1015, 2, false))</f>
        <v>0</v>
      </c>
      <c r="AG955" s="33" t="str">
        <f t="shared" si="8"/>
        <v/>
      </c>
      <c r="AH955" s="37"/>
      <c r="AI955" s="29"/>
      <c r="AJ955" s="29" t="b">
        <v>0</v>
      </c>
      <c r="AK955" s="22" t="str">
        <f t="shared" si="9"/>
        <v/>
      </c>
      <c r="AL955" s="7">
        <f>IF(ISBLANK(AH955), 0, VLOOKUP(AH955, 'Price Sheet'!$A$2:$B1015, 2, false))</f>
        <v>0</v>
      </c>
      <c r="AM955" s="33" t="str">
        <f t="shared" si="10"/>
        <v/>
      </c>
      <c r="AN955" s="37"/>
      <c r="AO955" s="29"/>
      <c r="AP955" s="29" t="b">
        <v>0</v>
      </c>
      <c r="AQ955" s="22" t="str">
        <f t="shared" si="11"/>
        <v/>
      </c>
      <c r="AR955" s="7">
        <f>IF(ISBLANK(AN955), 0, VLOOKUP(AN955, 'Price Sheet'!$A$2:$B1015, 2, false))</f>
        <v>0</v>
      </c>
      <c r="AS955" s="33" t="str">
        <f t="shared" si="12"/>
        <v/>
      </c>
      <c r="AT955" s="37"/>
      <c r="AU955" s="29"/>
      <c r="AV955" s="29" t="b">
        <v>0</v>
      </c>
      <c r="AW955" s="22" t="str">
        <f t="shared" si="13"/>
        <v/>
      </c>
      <c r="AX955" s="7">
        <f>IF(ISBLANK(AT955), 0, VLOOKUP(AT955, 'Price Sheet'!$A$2:$B1015, 2, false))</f>
        <v>0</v>
      </c>
      <c r="AY955" s="33" t="str">
        <f t="shared" si="14"/>
        <v/>
      </c>
      <c r="AZ955" s="37"/>
      <c r="BA955" s="29"/>
      <c r="BB955" s="29" t="b">
        <v>0</v>
      </c>
      <c r="BC955" s="22" t="str">
        <f t="shared" si="15"/>
        <v/>
      </c>
      <c r="BD955" s="7">
        <f>IF(ISBLANK(AZ955), 0, VLOOKUP(AZ955, 'Price Sheet'!$A$2:$B1015, 2, false))</f>
        <v>0</v>
      </c>
      <c r="BE955" s="33" t="str">
        <f t="shared" si="16"/>
        <v/>
      </c>
      <c r="BF955" s="37"/>
      <c r="BG955" s="29"/>
      <c r="BH955" s="29" t="b">
        <v>0</v>
      </c>
      <c r="BI955" s="22" t="str">
        <f t="shared" si="17"/>
        <v/>
      </c>
      <c r="BJ955" s="7">
        <f>IF(ISBLANK(BF955), 0, VLOOKUP(BF955, 'Price Sheet'!$A$2:$B1015, 2, false))</f>
        <v>0</v>
      </c>
      <c r="BK955" s="33" t="str">
        <f t="shared" si="18"/>
        <v/>
      </c>
      <c r="BL955" s="37"/>
      <c r="BM955" s="29"/>
      <c r="BN955" s="29" t="b">
        <v>0</v>
      </c>
      <c r="BO955" s="22" t="str">
        <f t="shared" si="19"/>
        <v/>
      </c>
      <c r="BP955" s="7">
        <f>IF(ISBLANK(BL955), 0, VLOOKUP(BL955, 'Price Sheet'!$A$2:$B1015, 2, false))</f>
        <v>0</v>
      </c>
      <c r="BQ955" s="33" t="str">
        <f t="shared" si="20"/>
        <v/>
      </c>
    </row>
    <row r="956">
      <c r="B956" s="19"/>
      <c r="C956" s="29"/>
      <c r="D956" s="29"/>
      <c r="E956" s="7" t="str">
        <f>IF(ISBLANK(D956), "", VLOOKUP(D956,'Crafting Tables'!$A$2:$B1015, 2, false))</f>
        <v/>
      </c>
      <c r="F956" s="7" t="str">
        <f>IFERROR(IF(E956 = "None", 1, VLOOKUP(C956,General!$A$5:$L$35, SWITCH(E956, "Basic", 8, "Advanced", 10, "Modern", 12), false)),"")</f>
        <v/>
      </c>
      <c r="G956" s="29"/>
      <c r="H956" s="7">
        <f>IFERROR(VLOOKUP(C956, General!$A$5:$L$35, 6, false) * G956 / 1000, 0)</f>
        <v>0</v>
      </c>
      <c r="I956" s="29"/>
      <c r="J956" s="22" t="str">
        <f>IFERROR(I956*VLOOKUP(D956,'Crafting Tables'!$1:$1000, 4, false)*F956,"")</f>
        <v/>
      </c>
      <c r="K956" s="29" t="b">
        <v>0</v>
      </c>
      <c r="L956" s="37"/>
      <c r="M956" s="29"/>
      <c r="N956" s="21" t="str">
        <f t="shared" si="2"/>
        <v/>
      </c>
      <c r="P956" s="37"/>
      <c r="Q956" s="29"/>
      <c r="R956" s="29" t="b">
        <v>0</v>
      </c>
      <c r="S956" s="22" t="str">
        <f t="shared" si="3"/>
        <v/>
      </c>
      <c r="T956" s="7">
        <f>IF(ISBLANK(P956), 0, VLOOKUP(P956, 'Price Sheet'!$A$2:$B1015, 2, false))</f>
        <v>0</v>
      </c>
      <c r="U956" s="33" t="str">
        <f t="shared" si="4"/>
        <v/>
      </c>
      <c r="V956" s="37"/>
      <c r="W956" s="29"/>
      <c r="X956" s="29" t="b">
        <v>0</v>
      </c>
      <c r="Y956" s="22" t="str">
        <f t="shared" si="5"/>
        <v/>
      </c>
      <c r="Z956" s="7">
        <f>IF(ISBLANK(V956), 0, VLOOKUP(V956, 'Price Sheet'!$A$2:$B1015, 2, false))</f>
        <v>0</v>
      </c>
      <c r="AA956" s="33" t="str">
        <f t="shared" si="6"/>
        <v/>
      </c>
      <c r="AB956" s="37"/>
      <c r="AC956" s="29"/>
      <c r="AD956" s="29" t="b">
        <v>0</v>
      </c>
      <c r="AE956" s="22" t="str">
        <f t="shared" si="7"/>
        <v/>
      </c>
      <c r="AF956" s="7">
        <f>IF(ISBLANK(AB956), 0, VLOOKUP(AB956, 'Price Sheet'!$A$2:$B1015, 2, false))</f>
        <v>0</v>
      </c>
      <c r="AG956" s="33" t="str">
        <f t="shared" si="8"/>
        <v/>
      </c>
      <c r="AH956" s="37"/>
      <c r="AI956" s="29"/>
      <c r="AJ956" s="29" t="b">
        <v>0</v>
      </c>
      <c r="AK956" s="22" t="str">
        <f t="shared" si="9"/>
        <v/>
      </c>
      <c r="AL956" s="7">
        <f>IF(ISBLANK(AH956), 0, VLOOKUP(AH956, 'Price Sheet'!$A$2:$B1015, 2, false))</f>
        <v>0</v>
      </c>
      <c r="AM956" s="33" t="str">
        <f t="shared" si="10"/>
        <v/>
      </c>
      <c r="AN956" s="37"/>
      <c r="AO956" s="29"/>
      <c r="AP956" s="29" t="b">
        <v>0</v>
      </c>
      <c r="AQ956" s="22" t="str">
        <f t="shared" si="11"/>
        <v/>
      </c>
      <c r="AR956" s="7">
        <f>IF(ISBLANK(AN956), 0, VLOOKUP(AN956, 'Price Sheet'!$A$2:$B1015, 2, false))</f>
        <v>0</v>
      </c>
      <c r="AS956" s="33" t="str">
        <f t="shared" si="12"/>
        <v/>
      </c>
      <c r="AT956" s="37"/>
      <c r="AU956" s="29"/>
      <c r="AV956" s="29" t="b">
        <v>0</v>
      </c>
      <c r="AW956" s="22" t="str">
        <f t="shared" si="13"/>
        <v/>
      </c>
      <c r="AX956" s="7">
        <f>IF(ISBLANK(AT956), 0, VLOOKUP(AT956, 'Price Sheet'!$A$2:$B1015, 2, false))</f>
        <v>0</v>
      </c>
      <c r="AY956" s="33" t="str">
        <f t="shared" si="14"/>
        <v/>
      </c>
      <c r="AZ956" s="37"/>
      <c r="BA956" s="29"/>
      <c r="BB956" s="29" t="b">
        <v>0</v>
      </c>
      <c r="BC956" s="22" t="str">
        <f t="shared" si="15"/>
        <v/>
      </c>
      <c r="BD956" s="7">
        <f>IF(ISBLANK(AZ956), 0, VLOOKUP(AZ956, 'Price Sheet'!$A$2:$B1015, 2, false))</f>
        <v>0</v>
      </c>
      <c r="BE956" s="33" t="str">
        <f t="shared" si="16"/>
        <v/>
      </c>
      <c r="BF956" s="37"/>
      <c r="BG956" s="29"/>
      <c r="BH956" s="29" t="b">
        <v>0</v>
      </c>
      <c r="BI956" s="22" t="str">
        <f t="shared" si="17"/>
        <v/>
      </c>
      <c r="BJ956" s="7">
        <f>IF(ISBLANK(BF956), 0, VLOOKUP(BF956, 'Price Sheet'!$A$2:$B1015, 2, false))</f>
        <v>0</v>
      </c>
      <c r="BK956" s="33" t="str">
        <f t="shared" si="18"/>
        <v/>
      </c>
      <c r="BL956" s="37"/>
      <c r="BM956" s="29"/>
      <c r="BN956" s="29" t="b">
        <v>0</v>
      </c>
      <c r="BO956" s="22" t="str">
        <f t="shared" si="19"/>
        <v/>
      </c>
      <c r="BP956" s="7">
        <f>IF(ISBLANK(BL956), 0, VLOOKUP(BL956, 'Price Sheet'!$A$2:$B1015, 2, false))</f>
        <v>0</v>
      </c>
      <c r="BQ956" s="33" t="str">
        <f t="shared" si="20"/>
        <v/>
      </c>
    </row>
    <row r="957">
      <c r="B957" s="19"/>
      <c r="C957" s="29"/>
      <c r="D957" s="29"/>
      <c r="E957" s="7" t="str">
        <f>IF(ISBLANK(D957), "", VLOOKUP(D957,'Crafting Tables'!$A$2:$B1015, 2, false))</f>
        <v/>
      </c>
      <c r="F957" s="7" t="str">
        <f>IFERROR(IF(E957 = "None", 1, VLOOKUP(C957,General!$A$5:$L$35, SWITCH(E957, "Basic", 8, "Advanced", 10, "Modern", 12), false)),"")</f>
        <v/>
      </c>
      <c r="G957" s="29"/>
      <c r="H957" s="7">
        <f>IFERROR(VLOOKUP(C957, General!$A$5:$L$35, 6, false) * G957 / 1000, 0)</f>
        <v>0</v>
      </c>
      <c r="I957" s="29"/>
      <c r="J957" s="22" t="str">
        <f>IFERROR(I957*VLOOKUP(D957,'Crafting Tables'!$1:$1000, 4, false)*F957,"")</f>
        <v/>
      </c>
      <c r="K957" s="29" t="b">
        <v>0</v>
      </c>
      <c r="L957" s="37"/>
      <c r="M957" s="29"/>
      <c r="N957" s="21" t="str">
        <f t="shared" si="2"/>
        <v/>
      </c>
      <c r="P957" s="37"/>
      <c r="Q957" s="29"/>
      <c r="R957" s="29" t="b">
        <v>0</v>
      </c>
      <c r="S957" s="22" t="str">
        <f t="shared" si="3"/>
        <v/>
      </c>
      <c r="T957" s="7">
        <f>IF(ISBLANK(P957), 0, VLOOKUP(P957, 'Price Sheet'!$A$2:$B1015, 2, false))</f>
        <v>0</v>
      </c>
      <c r="U957" s="33" t="str">
        <f t="shared" si="4"/>
        <v/>
      </c>
      <c r="V957" s="37"/>
      <c r="W957" s="29"/>
      <c r="X957" s="29" t="b">
        <v>0</v>
      </c>
      <c r="Y957" s="22" t="str">
        <f t="shared" si="5"/>
        <v/>
      </c>
      <c r="Z957" s="7">
        <f>IF(ISBLANK(V957), 0, VLOOKUP(V957, 'Price Sheet'!$A$2:$B1015, 2, false))</f>
        <v>0</v>
      </c>
      <c r="AA957" s="33" t="str">
        <f t="shared" si="6"/>
        <v/>
      </c>
      <c r="AB957" s="37"/>
      <c r="AC957" s="29"/>
      <c r="AD957" s="29" t="b">
        <v>0</v>
      </c>
      <c r="AE957" s="22" t="str">
        <f t="shared" si="7"/>
        <v/>
      </c>
      <c r="AF957" s="7">
        <f>IF(ISBLANK(AB957), 0, VLOOKUP(AB957, 'Price Sheet'!$A$2:$B1015, 2, false))</f>
        <v>0</v>
      </c>
      <c r="AG957" s="33" t="str">
        <f t="shared" si="8"/>
        <v/>
      </c>
      <c r="AH957" s="37"/>
      <c r="AI957" s="29"/>
      <c r="AJ957" s="29" t="b">
        <v>0</v>
      </c>
      <c r="AK957" s="22" t="str">
        <f t="shared" si="9"/>
        <v/>
      </c>
      <c r="AL957" s="7">
        <f>IF(ISBLANK(AH957), 0, VLOOKUP(AH957, 'Price Sheet'!$A$2:$B1015, 2, false))</f>
        <v>0</v>
      </c>
      <c r="AM957" s="33" t="str">
        <f t="shared" si="10"/>
        <v/>
      </c>
      <c r="AN957" s="37"/>
      <c r="AO957" s="29"/>
      <c r="AP957" s="29" t="b">
        <v>0</v>
      </c>
      <c r="AQ957" s="22" t="str">
        <f t="shared" si="11"/>
        <v/>
      </c>
      <c r="AR957" s="7">
        <f>IF(ISBLANK(AN957), 0, VLOOKUP(AN957, 'Price Sheet'!$A$2:$B1015, 2, false))</f>
        <v>0</v>
      </c>
      <c r="AS957" s="33" t="str">
        <f t="shared" si="12"/>
        <v/>
      </c>
      <c r="AT957" s="37"/>
      <c r="AU957" s="29"/>
      <c r="AV957" s="29" t="b">
        <v>0</v>
      </c>
      <c r="AW957" s="22" t="str">
        <f t="shared" si="13"/>
        <v/>
      </c>
      <c r="AX957" s="7">
        <f>IF(ISBLANK(AT957), 0, VLOOKUP(AT957, 'Price Sheet'!$A$2:$B1015, 2, false))</f>
        <v>0</v>
      </c>
      <c r="AY957" s="33" t="str">
        <f t="shared" si="14"/>
        <v/>
      </c>
      <c r="AZ957" s="37"/>
      <c r="BA957" s="29"/>
      <c r="BB957" s="29" t="b">
        <v>0</v>
      </c>
      <c r="BC957" s="22" t="str">
        <f t="shared" si="15"/>
        <v/>
      </c>
      <c r="BD957" s="7">
        <f>IF(ISBLANK(AZ957), 0, VLOOKUP(AZ957, 'Price Sheet'!$A$2:$B1015, 2, false))</f>
        <v>0</v>
      </c>
      <c r="BE957" s="33" t="str">
        <f t="shared" si="16"/>
        <v/>
      </c>
      <c r="BF957" s="37"/>
      <c r="BG957" s="29"/>
      <c r="BH957" s="29" t="b">
        <v>0</v>
      </c>
      <c r="BI957" s="22" t="str">
        <f t="shared" si="17"/>
        <v/>
      </c>
      <c r="BJ957" s="7">
        <f>IF(ISBLANK(BF957), 0, VLOOKUP(BF957, 'Price Sheet'!$A$2:$B1015, 2, false))</f>
        <v>0</v>
      </c>
      <c r="BK957" s="33" t="str">
        <f t="shared" si="18"/>
        <v/>
      </c>
      <c r="BL957" s="37"/>
      <c r="BM957" s="29"/>
      <c r="BN957" s="29" t="b">
        <v>0</v>
      </c>
      <c r="BO957" s="22" t="str">
        <f t="shared" si="19"/>
        <v/>
      </c>
      <c r="BP957" s="7">
        <f>IF(ISBLANK(BL957), 0, VLOOKUP(BL957, 'Price Sheet'!$A$2:$B1015, 2, false))</f>
        <v>0</v>
      </c>
      <c r="BQ957" s="33" t="str">
        <f t="shared" si="20"/>
        <v/>
      </c>
    </row>
    <row r="958">
      <c r="B958" s="19"/>
      <c r="C958" s="29"/>
      <c r="D958" s="29"/>
      <c r="E958" s="7" t="str">
        <f>IF(ISBLANK(D958), "", VLOOKUP(D958,'Crafting Tables'!$A$2:$B1015, 2, false))</f>
        <v/>
      </c>
      <c r="F958" s="7" t="str">
        <f>IFERROR(IF(E958 = "None", 1, VLOOKUP(C958,General!$A$5:$L$35, SWITCH(E958, "Basic", 8, "Advanced", 10, "Modern", 12), false)),"")</f>
        <v/>
      </c>
      <c r="G958" s="29"/>
      <c r="H958" s="7">
        <f>IFERROR(VLOOKUP(C958, General!$A$5:$L$35, 6, false) * G958 / 1000, 0)</f>
        <v>0</v>
      </c>
      <c r="I958" s="29"/>
      <c r="J958" s="22" t="str">
        <f>IFERROR(I958*VLOOKUP(D958,'Crafting Tables'!$1:$1000, 4, false)*F958,"")</f>
        <v/>
      </c>
      <c r="K958" s="29" t="b">
        <v>0</v>
      </c>
      <c r="L958" s="37"/>
      <c r="M958" s="29"/>
      <c r="N958" s="21" t="str">
        <f t="shared" si="2"/>
        <v/>
      </c>
      <c r="P958" s="37"/>
      <c r="Q958" s="29"/>
      <c r="R958" s="29" t="b">
        <v>0</v>
      </c>
      <c r="S958" s="22" t="str">
        <f t="shared" si="3"/>
        <v/>
      </c>
      <c r="T958" s="7">
        <f>IF(ISBLANK(P958), 0, VLOOKUP(P958, 'Price Sheet'!$A$2:$B1015, 2, false))</f>
        <v>0</v>
      </c>
      <c r="U958" s="33" t="str">
        <f t="shared" si="4"/>
        <v/>
      </c>
      <c r="V958" s="37"/>
      <c r="W958" s="29"/>
      <c r="X958" s="29" t="b">
        <v>0</v>
      </c>
      <c r="Y958" s="22" t="str">
        <f t="shared" si="5"/>
        <v/>
      </c>
      <c r="Z958" s="7">
        <f>IF(ISBLANK(V958), 0, VLOOKUP(V958, 'Price Sheet'!$A$2:$B1015, 2, false))</f>
        <v>0</v>
      </c>
      <c r="AA958" s="33" t="str">
        <f t="shared" si="6"/>
        <v/>
      </c>
      <c r="AB958" s="37"/>
      <c r="AC958" s="29"/>
      <c r="AD958" s="29" t="b">
        <v>0</v>
      </c>
      <c r="AE958" s="22" t="str">
        <f t="shared" si="7"/>
        <v/>
      </c>
      <c r="AF958" s="7">
        <f>IF(ISBLANK(AB958), 0, VLOOKUP(AB958, 'Price Sheet'!$A$2:$B1015, 2, false))</f>
        <v>0</v>
      </c>
      <c r="AG958" s="33" t="str">
        <f t="shared" si="8"/>
        <v/>
      </c>
      <c r="AH958" s="37"/>
      <c r="AI958" s="29"/>
      <c r="AJ958" s="29" t="b">
        <v>0</v>
      </c>
      <c r="AK958" s="22" t="str">
        <f t="shared" si="9"/>
        <v/>
      </c>
      <c r="AL958" s="7">
        <f>IF(ISBLANK(AH958), 0, VLOOKUP(AH958, 'Price Sheet'!$A$2:$B1015, 2, false))</f>
        <v>0</v>
      </c>
      <c r="AM958" s="33" t="str">
        <f t="shared" si="10"/>
        <v/>
      </c>
      <c r="AN958" s="37"/>
      <c r="AO958" s="29"/>
      <c r="AP958" s="29" t="b">
        <v>0</v>
      </c>
      <c r="AQ958" s="22" t="str">
        <f t="shared" si="11"/>
        <v/>
      </c>
      <c r="AR958" s="7">
        <f>IF(ISBLANK(AN958), 0, VLOOKUP(AN958, 'Price Sheet'!$A$2:$B1015, 2, false))</f>
        <v>0</v>
      </c>
      <c r="AS958" s="33" t="str">
        <f t="shared" si="12"/>
        <v/>
      </c>
      <c r="AT958" s="37"/>
      <c r="AU958" s="29"/>
      <c r="AV958" s="29" t="b">
        <v>0</v>
      </c>
      <c r="AW958" s="22" t="str">
        <f t="shared" si="13"/>
        <v/>
      </c>
      <c r="AX958" s="7">
        <f>IF(ISBLANK(AT958), 0, VLOOKUP(AT958, 'Price Sheet'!$A$2:$B1015, 2, false))</f>
        <v>0</v>
      </c>
      <c r="AY958" s="33" t="str">
        <f t="shared" si="14"/>
        <v/>
      </c>
      <c r="AZ958" s="37"/>
      <c r="BA958" s="29"/>
      <c r="BB958" s="29" t="b">
        <v>0</v>
      </c>
      <c r="BC958" s="22" t="str">
        <f t="shared" si="15"/>
        <v/>
      </c>
      <c r="BD958" s="7">
        <f>IF(ISBLANK(AZ958), 0, VLOOKUP(AZ958, 'Price Sheet'!$A$2:$B1015, 2, false))</f>
        <v>0</v>
      </c>
      <c r="BE958" s="33" t="str">
        <f t="shared" si="16"/>
        <v/>
      </c>
      <c r="BF958" s="37"/>
      <c r="BG958" s="29"/>
      <c r="BH958" s="29" t="b">
        <v>0</v>
      </c>
      <c r="BI958" s="22" t="str">
        <f t="shared" si="17"/>
        <v/>
      </c>
      <c r="BJ958" s="7">
        <f>IF(ISBLANK(BF958), 0, VLOOKUP(BF958, 'Price Sheet'!$A$2:$B1015, 2, false))</f>
        <v>0</v>
      </c>
      <c r="BK958" s="33" t="str">
        <f t="shared" si="18"/>
        <v/>
      </c>
      <c r="BL958" s="37"/>
      <c r="BM958" s="29"/>
      <c r="BN958" s="29" t="b">
        <v>0</v>
      </c>
      <c r="BO958" s="22" t="str">
        <f t="shared" si="19"/>
        <v/>
      </c>
      <c r="BP958" s="7">
        <f>IF(ISBLANK(BL958), 0, VLOOKUP(BL958, 'Price Sheet'!$A$2:$B1015, 2, false))</f>
        <v>0</v>
      </c>
      <c r="BQ958" s="33" t="str">
        <f t="shared" si="20"/>
        <v/>
      </c>
    </row>
    <row r="959">
      <c r="B959" s="19"/>
      <c r="C959" s="29"/>
      <c r="D959" s="29"/>
      <c r="E959" s="7" t="str">
        <f>IF(ISBLANK(D959), "", VLOOKUP(D959,'Crafting Tables'!$A$2:$B1015, 2, false))</f>
        <v/>
      </c>
      <c r="F959" s="7" t="str">
        <f>IFERROR(IF(E959 = "None", 1, VLOOKUP(C959,General!$A$5:$L$35, SWITCH(E959, "Basic", 8, "Advanced", 10, "Modern", 12), false)),"")</f>
        <v/>
      </c>
      <c r="G959" s="29"/>
      <c r="H959" s="7">
        <f>IFERROR(VLOOKUP(C959, General!$A$5:$L$35, 6, false) * G959 / 1000, 0)</f>
        <v>0</v>
      </c>
      <c r="I959" s="29"/>
      <c r="J959" s="22" t="str">
        <f>IFERROR(I959*VLOOKUP(D959,'Crafting Tables'!$1:$1000, 4, false)*F959,"")</f>
        <v/>
      </c>
      <c r="K959" s="29" t="b">
        <v>0</v>
      </c>
      <c r="L959" s="37"/>
      <c r="M959" s="29"/>
      <c r="N959" s="21" t="str">
        <f t="shared" si="2"/>
        <v/>
      </c>
      <c r="P959" s="37"/>
      <c r="Q959" s="29"/>
      <c r="R959" s="29" t="b">
        <v>0</v>
      </c>
      <c r="S959" s="22" t="str">
        <f t="shared" si="3"/>
        <v/>
      </c>
      <c r="T959" s="7">
        <f>IF(ISBLANK(P959), 0, VLOOKUP(P959, 'Price Sheet'!$A$2:$B1015, 2, false))</f>
        <v>0</v>
      </c>
      <c r="U959" s="33" t="str">
        <f t="shared" si="4"/>
        <v/>
      </c>
      <c r="V959" s="37"/>
      <c r="W959" s="29"/>
      <c r="X959" s="29" t="b">
        <v>0</v>
      </c>
      <c r="Y959" s="22" t="str">
        <f t="shared" si="5"/>
        <v/>
      </c>
      <c r="Z959" s="7">
        <f>IF(ISBLANK(V959), 0, VLOOKUP(V959, 'Price Sheet'!$A$2:$B1015, 2, false))</f>
        <v>0</v>
      </c>
      <c r="AA959" s="33" t="str">
        <f t="shared" si="6"/>
        <v/>
      </c>
      <c r="AB959" s="37"/>
      <c r="AC959" s="29"/>
      <c r="AD959" s="29" t="b">
        <v>0</v>
      </c>
      <c r="AE959" s="22" t="str">
        <f t="shared" si="7"/>
        <v/>
      </c>
      <c r="AF959" s="7">
        <f>IF(ISBLANK(AB959), 0, VLOOKUP(AB959, 'Price Sheet'!$A$2:$B1015, 2, false))</f>
        <v>0</v>
      </c>
      <c r="AG959" s="33" t="str">
        <f t="shared" si="8"/>
        <v/>
      </c>
      <c r="AH959" s="37"/>
      <c r="AI959" s="29"/>
      <c r="AJ959" s="29" t="b">
        <v>0</v>
      </c>
      <c r="AK959" s="22" t="str">
        <f t="shared" si="9"/>
        <v/>
      </c>
      <c r="AL959" s="7">
        <f>IF(ISBLANK(AH959), 0, VLOOKUP(AH959, 'Price Sheet'!$A$2:$B1015, 2, false))</f>
        <v>0</v>
      </c>
      <c r="AM959" s="33" t="str">
        <f t="shared" si="10"/>
        <v/>
      </c>
      <c r="AN959" s="37"/>
      <c r="AO959" s="29"/>
      <c r="AP959" s="29" t="b">
        <v>0</v>
      </c>
      <c r="AQ959" s="22" t="str">
        <f t="shared" si="11"/>
        <v/>
      </c>
      <c r="AR959" s="7">
        <f>IF(ISBLANK(AN959), 0, VLOOKUP(AN959, 'Price Sheet'!$A$2:$B1015, 2, false))</f>
        <v>0</v>
      </c>
      <c r="AS959" s="33" t="str">
        <f t="shared" si="12"/>
        <v/>
      </c>
      <c r="AT959" s="37"/>
      <c r="AU959" s="29"/>
      <c r="AV959" s="29" t="b">
        <v>0</v>
      </c>
      <c r="AW959" s="22" t="str">
        <f t="shared" si="13"/>
        <v/>
      </c>
      <c r="AX959" s="7">
        <f>IF(ISBLANK(AT959), 0, VLOOKUP(AT959, 'Price Sheet'!$A$2:$B1015, 2, false))</f>
        <v>0</v>
      </c>
      <c r="AY959" s="33" t="str">
        <f t="shared" si="14"/>
        <v/>
      </c>
      <c r="AZ959" s="37"/>
      <c r="BA959" s="29"/>
      <c r="BB959" s="29" t="b">
        <v>0</v>
      </c>
      <c r="BC959" s="22" t="str">
        <f t="shared" si="15"/>
        <v/>
      </c>
      <c r="BD959" s="7">
        <f>IF(ISBLANK(AZ959), 0, VLOOKUP(AZ959, 'Price Sheet'!$A$2:$B1015, 2, false))</f>
        <v>0</v>
      </c>
      <c r="BE959" s="33" t="str">
        <f t="shared" si="16"/>
        <v/>
      </c>
      <c r="BF959" s="37"/>
      <c r="BG959" s="29"/>
      <c r="BH959" s="29" t="b">
        <v>0</v>
      </c>
      <c r="BI959" s="22" t="str">
        <f t="shared" si="17"/>
        <v/>
      </c>
      <c r="BJ959" s="7">
        <f>IF(ISBLANK(BF959), 0, VLOOKUP(BF959, 'Price Sheet'!$A$2:$B1015, 2, false))</f>
        <v>0</v>
      </c>
      <c r="BK959" s="33" t="str">
        <f t="shared" si="18"/>
        <v/>
      </c>
      <c r="BL959" s="37"/>
      <c r="BM959" s="29"/>
      <c r="BN959" s="29" t="b">
        <v>0</v>
      </c>
      <c r="BO959" s="22" t="str">
        <f t="shared" si="19"/>
        <v/>
      </c>
      <c r="BP959" s="7">
        <f>IF(ISBLANK(BL959), 0, VLOOKUP(BL959, 'Price Sheet'!$A$2:$B1015, 2, false))</f>
        <v>0</v>
      </c>
      <c r="BQ959" s="33" t="str">
        <f t="shared" si="20"/>
        <v/>
      </c>
    </row>
    <row r="960">
      <c r="B960" s="19"/>
      <c r="C960" s="29"/>
      <c r="D960" s="29"/>
      <c r="E960" s="7" t="str">
        <f>IF(ISBLANK(D960), "", VLOOKUP(D960,'Crafting Tables'!$A$2:$B1015, 2, false))</f>
        <v/>
      </c>
      <c r="F960" s="7" t="str">
        <f>IFERROR(IF(E960 = "None", 1, VLOOKUP(C960,General!$A$5:$L$35, SWITCH(E960, "Basic", 8, "Advanced", 10, "Modern", 12), false)),"")</f>
        <v/>
      </c>
      <c r="G960" s="29"/>
      <c r="H960" s="7">
        <f>IFERROR(VLOOKUP(C960, General!$A$5:$L$35, 6, false) * G960 / 1000, 0)</f>
        <v>0</v>
      </c>
      <c r="I960" s="29"/>
      <c r="J960" s="22" t="str">
        <f>IFERROR(I960*VLOOKUP(D960,'Crafting Tables'!$1:$1000, 4, false)*F960,"")</f>
        <v/>
      </c>
      <c r="K960" s="29" t="b">
        <v>0</v>
      </c>
      <c r="L960" s="37"/>
      <c r="M960" s="29"/>
      <c r="N960" s="21" t="str">
        <f t="shared" si="2"/>
        <v/>
      </c>
      <c r="P960" s="37"/>
      <c r="Q960" s="29"/>
      <c r="R960" s="29" t="b">
        <v>0</v>
      </c>
      <c r="S960" s="22" t="str">
        <f t="shared" si="3"/>
        <v/>
      </c>
      <c r="T960" s="7">
        <f>IF(ISBLANK(P960), 0, VLOOKUP(P960, 'Price Sheet'!$A$2:$B1015, 2, false))</f>
        <v>0</v>
      </c>
      <c r="U960" s="33" t="str">
        <f t="shared" si="4"/>
        <v/>
      </c>
      <c r="V960" s="37"/>
      <c r="W960" s="29"/>
      <c r="X960" s="29" t="b">
        <v>0</v>
      </c>
      <c r="Y960" s="22" t="str">
        <f t="shared" si="5"/>
        <v/>
      </c>
      <c r="Z960" s="7">
        <f>IF(ISBLANK(V960), 0, VLOOKUP(V960, 'Price Sheet'!$A$2:$B1015, 2, false))</f>
        <v>0</v>
      </c>
      <c r="AA960" s="33" t="str">
        <f t="shared" si="6"/>
        <v/>
      </c>
      <c r="AB960" s="37"/>
      <c r="AC960" s="29"/>
      <c r="AD960" s="29" t="b">
        <v>0</v>
      </c>
      <c r="AE960" s="22" t="str">
        <f t="shared" si="7"/>
        <v/>
      </c>
      <c r="AF960" s="7">
        <f>IF(ISBLANK(AB960), 0, VLOOKUP(AB960, 'Price Sheet'!$A$2:$B1015, 2, false))</f>
        <v>0</v>
      </c>
      <c r="AG960" s="33" t="str">
        <f t="shared" si="8"/>
        <v/>
      </c>
      <c r="AH960" s="37"/>
      <c r="AI960" s="29"/>
      <c r="AJ960" s="29" t="b">
        <v>0</v>
      </c>
      <c r="AK960" s="22" t="str">
        <f t="shared" si="9"/>
        <v/>
      </c>
      <c r="AL960" s="7">
        <f>IF(ISBLANK(AH960), 0, VLOOKUP(AH960, 'Price Sheet'!$A$2:$B1015, 2, false))</f>
        <v>0</v>
      </c>
      <c r="AM960" s="33" t="str">
        <f t="shared" si="10"/>
        <v/>
      </c>
      <c r="AN960" s="37"/>
      <c r="AO960" s="29"/>
      <c r="AP960" s="29" t="b">
        <v>0</v>
      </c>
      <c r="AQ960" s="22" t="str">
        <f t="shared" si="11"/>
        <v/>
      </c>
      <c r="AR960" s="7">
        <f>IF(ISBLANK(AN960), 0, VLOOKUP(AN960, 'Price Sheet'!$A$2:$B1015, 2, false))</f>
        <v>0</v>
      </c>
      <c r="AS960" s="33" t="str">
        <f t="shared" si="12"/>
        <v/>
      </c>
      <c r="AT960" s="37"/>
      <c r="AU960" s="29"/>
      <c r="AV960" s="29" t="b">
        <v>0</v>
      </c>
      <c r="AW960" s="22" t="str">
        <f t="shared" si="13"/>
        <v/>
      </c>
      <c r="AX960" s="7">
        <f>IF(ISBLANK(AT960), 0, VLOOKUP(AT960, 'Price Sheet'!$A$2:$B1015, 2, false))</f>
        <v>0</v>
      </c>
      <c r="AY960" s="33" t="str">
        <f t="shared" si="14"/>
        <v/>
      </c>
      <c r="AZ960" s="37"/>
      <c r="BA960" s="29"/>
      <c r="BB960" s="29" t="b">
        <v>0</v>
      </c>
      <c r="BC960" s="22" t="str">
        <f t="shared" si="15"/>
        <v/>
      </c>
      <c r="BD960" s="7">
        <f>IF(ISBLANK(AZ960), 0, VLOOKUP(AZ960, 'Price Sheet'!$A$2:$B1015, 2, false))</f>
        <v>0</v>
      </c>
      <c r="BE960" s="33" t="str">
        <f t="shared" si="16"/>
        <v/>
      </c>
      <c r="BF960" s="37"/>
      <c r="BG960" s="29"/>
      <c r="BH960" s="29" t="b">
        <v>0</v>
      </c>
      <c r="BI960" s="22" t="str">
        <f t="shared" si="17"/>
        <v/>
      </c>
      <c r="BJ960" s="7">
        <f>IF(ISBLANK(BF960), 0, VLOOKUP(BF960, 'Price Sheet'!$A$2:$B1015, 2, false))</f>
        <v>0</v>
      </c>
      <c r="BK960" s="33" t="str">
        <f t="shared" si="18"/>
        <v/>
      </c>
      <c r="BL960" s="37"/>
      <c r="BM960" s="29"/>
      <c r="BN960" s="29" t="b">
        <v>0</v>
      </c>
      <c r="BO960" s="22" t="str">
        <f t="shared" si="19"/>
        <v/>
      </c>
      <c r="BP960" s="7">
        <f>IF(ISBLANK(BL960), 0, VLOOKUP(BL960, 'Price Sheet'!$A$2:$B1015, 2, false))</f>
        <v>0</v>
      </c>
      <c r="BQ960" s="33" t="str">
        <f t="shared" si="20"/>
        <v/>
      </c>
    </row>
    <row r="961">
      <c r="B961" s="19"/>
      <c r="C961" s="29"/>
      <c r="D961" s="29"/>
      <c r="E961" s="7" t="str">
        <f>IF(ISBLANK(D961), "", VLOOKUP(D961,'Crafting Tables'!$A$2:$B1015, 2, false))</f>
        <v/>
      </c>
      <c r="F961" s="7" t="str">
        <f>IFERROR(IF(E961 = "None", 1, VLOOKUP(C961,General!$A$5:$L$35, SWITCH(E961, "Basic", 8, "Advanced", 10, "Modern", 12), false)),"")</f>
        <v/>
      </c>
      <c r="G961" s="29"/>
      <c r="H961" s="7">
        <f>IFERROR(VLOOKUP(C961, General!$A$5:$L$35, 6, false) * G961 / 1000, 0)</f>
        <v>0</v>
      </c>
      <c r="I961" s="29"/>
      <c r="J961" s="22" t="str">
        <f>IFERROR(I961*VLOOKUP(D961,'Crafting Tables'!$1:$1000, 4, false)*F961,"")</f>
        <v/>
      </c>
      <c r="K961" s="29" t="b">
        <v>0</v>
      </c>
      <c r="L961" s="37"/>
      <c r="M961" s="29"/>
      <c r="N961" s="21" t="str">
        <f t="shared" si="2"/>
        <v/>
      </c>
      <c r="P961" s="37"/>
      <c r="Q961" s="29"/>
      <c r="R961" s="29" t="b">
        <v>0</v>
      </c>
      <c r="S961" s="22" t="str">
        <f t="shared" si="3"/>
        <v/>
      </c>
      <c r="T961" s="7">
        <f>IF(ISBLANK(P961), 0, VLOOKUP(P961, 'Price Sheet'!$A$2:$B1015, 2, false))</f>
        <v>0</v>
      </c>
      <c r="U961" s="33" t="str">
        <f t="shared" si="4"/>
        <v/>
      </c>
      <c r="V961" s="37"/>
      <c r="W961" s="29"/>
      <c r="X961" s="29" t="b">
        <v>0</v>
      </c>
      <c r="Y961" s="22" t="str">
        <f t="shared" si="5"/>
        <v/>
      </c>
      <c r="Z961" s="7">
        <f>IF(ISBLANK(V961), 0, VLOOKUP(V961, 'Price Sheet'!$A$2:$B1015, 2, false))</f>
        <v>0</v>
      </c>
      <c r="AA961" s="33" t="str">
        <f t="shared" si="6"/>
        <v/>
      </c>
      <c r="AB961" s="37"/>
      <c r="AC961" s="29"/>
      <c r="AD961" s="29" t="b">
        <v>0</v>
      </c>
      <c r="AE961" s="22" t="str">
        <f t="shared" si="7"/>
        <v/>
      </c>
      <c r="AF961" s="7">
        <f>IF(ISBLANK(AB961), 0, VLOOKUP(AB961, 'Price Sheet'!$A$2:$B1015, 2, false))</f>
        <v>0</v>
      </c>
      <c r="AG961" s="33" t="str">
        <f t="shared" si="8"/>
        <v/>
      </c>
      <c r="AH961" s="37"/>
      <c r="AI961" s="29"/>
      <c r="AJ961" s="29" t="b">
        <v>0</v>
      </c>
      <c r="AK961" s="22" t="str">
        <f t="shared" si="9"/>
        <v/>
      </c>
      <c r="AL961" s="7">
        <f>IF(ISBLANK(AH961), 0, VLOOKUP(AH961, 'Price Sheet'!$A$2:$B1015, 2, false))</f>
        <v>0</v>
      </c>
      <c r="AM961" s="33" t="str">
        <f t="shared" si="10"/>
        <v/>
      </c>
      <c r="AN961" s="37"/>
      <c r="AO961" s="29"/>
      <c r="AP961" s="29" t="b">
        <v>0</v>
      </c>
      <c r="AQ961" s="22" t="str">
        <f t="shared" si="11"/>
        <v/>
      </c>
      <c r="AR961" s="7">
        <f>IF(ISBLANK(AN961), 0, VLOOKUP(AN961, 'Price Sheet'!$A$2:$B1015, 2, false))</f>
        <v>0</v>
      </c>
      <c r="AS961" s="33" t="str">
        <f t="shared" si="12"/>
        <v/>
      </c>
      <c r="AT961" s="37"/>
      <c r="AU961" s="29"/>
      <c r="AV961" s="29" t="b">
        <v>0</v>
      </c>
      <c r="AW961" s="22" t="str">
        <f t="shared" si="13"/>
        <v/>
      </c>
      <c r="AX961" s="7">
        <f>IF(ISBLANK(AT961), 0, VLOOKUP(AT961, 'Price Sheet'!$A$2:$B1015, 2, false))</f>
        <v>0</v>
      </c>
      <c r="AY961" s="33" t="str">
        <f t="shared" si="14"/>
        <v/>
      </c>
      <c r="AZ961" s="37"/>
      <c r="BA961" s="29"/>
      <c r="BB961" s="29" t="b">
        <v>0</v>
      </c>
      <c r="BC961" s="22" t="str">
        <f t="shared" si="15"/>
        <v/>
      </c>
      <c r="BD961" s="7">
        <f>IF(ISBLANK(AZ961), 0, VLOOKUP(AZ961, 'Price Sheet'!$A$2:$B1015, 2, false))</f>
        <v>0</v>
      </c>
      <c r="BE961" s="33" t="str">
        <f t="shared" si="16"/>
        <v/>
      </c>
      <c r="BF961" s="37"/>
      <c r="BG961" s="29"/>
      <c r="BH961" s="29" t="b">
        <v>0</v>
      </c>
      <c r="BI961" s="22" t="str">
        <f t="shared" si="17"/>
        <v/>
      </c>
      <c r="BJ961" s="7">
        <f>IF(ISBLANK(BF961), 0, VLOOKUP(BF961, 'Price Sheet'!$A$2:$B1015, 2, false))</f>
        <v>0</v>
      </c>
      <c r="BK961" s="33" t="str">
        <f t="shared" si="18"/>
        <v/>
      </c>
      <c r="BL961" s="37"/>
      <c r="BM961" s="29"/>
      <c r="BN961" s="29" t="b">
        <v>0</v>
      </c>
      <c r="BO961" s="22" t="str">
        <f t="shared" si="19"/>
        <v/>
      </c>
      <c r="BP961" s="7">
        <f>IF(ISBLANK(BL961), 0, VLOOKUP(BL961, 'Price Sheet'!$A$2:$B1015, 2, false))</f>
        <v>0</v>
      </c>
      <c r="BQ961" s="33" t="str">
        <f t="shared" si="20"/>
        <v/>
      </c>
    </row>
    <row r="962">
      <c r="B962" s="19"/>
      <c r="C962" s="29"/>
      <c r="D962" s="29"/>
      <c r="E962" s="7" t="str">
        <f>IF(ISBLANK(D962), "", VLOOKUP(D962,'Crafting Tables'!$A$2:$B1015, 2, false))</f>
        <v/>
      </c>
      <c r="F962" s="7" t="str">
        <f>IFERROR(IF(E962 = "None", 1, VLOOKUP(C962,General!$A$5:$L$35, SWITCH(E962, "Basic", 8, "Advanced", 10, "Modern", 12), false)),"")</f>
        <v/>
      </c>
      <c r="G962" s="29"/>
      <c r="H962" s="7">
        <f>IFERROR(VLOOKUP(C962, General!$A$5:$L$35, 6, false) * G962 / 1000, 0)</f>
        <v>0</v>
      </c>
      <c r="I962" s="29"/>
      <c r="J962" s="22" t="str">
        <f>IFERROR(I962*VLOOKUP(D962,'Crafting Tables'!$1:$1000, 4, false)*F962,"")</f>
        <v/>
      </c>
      <c r="K962" s="29" t="b">
        <v>0</v>
      </c>
      <c r="L962" s="37"/>
      <c r="M962" s="29"/>
      <c r="N962" s="21" t="str">
        <f t="shared" si="2"/>
        <v/>
      </c>
      <c r="P962" s="37"/>
      <c r="Q962" s="29"/>
      <c r="R962" s="29" t="b">
        <v>0</v>
      </c>
      <c r="S962" s="22" t="str">
        <f t="shared" si="3"/>
        <v/>
      </c>
      <c r="T962" s="7">
        <f>IF(ISBLANK(P962), 0, VLOOKUP(P962, 'Price Sheet'!$A$2:$B1015, 2, false))</f>
        <v>0</v>
      </c>
      <c r="U962" s="33" t="str">
        <f t="shared" si="4"/>
        <v/>
      </c>
      <c r="V962" s="37"/>
      <c r="W962" s="29"/>
      <c r="X962" s="29" t="b">
        <v>0</v>
      </c>
      <c r="Y962" s="22" t="str">
        <f t="shared" si="5"/>
        <v/>
      </c>
      <c r="Z962" s="7">
        <f>IF(ISBLANK(V962), 0, VLOOKUP(V962, 'Price Sheet'!$A$2:$B1015, 2, false))</f>
        <v>0</v>
      </c>
      <c r="AA962" s="33" t="str">
        <f t="shared" si="6"/>
        <v/>
      </c>
      <c r="AB962" s="37"/>
      <c r="AC962" s="29"/>
      <c r="AD962" s="29" t="b">
        <v>0</v>
      </c>
      <c r="AE962" s="22" t="str">
        <f t="shared" si="7"/>
        <v/>
      </c>
      <c r="AF962" s="7">
        <f>IF(ISBLANK(AB962), 0, VLOOKUP(AB962, 'Price Sheet'!$A$2:$B1015, 2, false))</f>
        <v>0</v>
      </c>
      <c r="AG962" s="33" t="str">
        <f t="shared" si="8"/>
        <v/>
      </c>
      <c r="AH962" s="37"/>
      <c r="AI962" s="29"/>
      <c r="AJ962" s="29" t="b">
        <v>0</v>
      </c>
      <c r="AK962" s="22" t="str">
        <f t="shared" si="9"/>
        <v/>
      </c>
      <c r="AL962" s="7">
        <f>IF(ISBLANK(AH962), 0, VLOOKUP(AH962, 'Price Sheet'!$A$2:$B1015, 2, false))</f>
        <v>0</v>
      </c>
      <c r="AM962" s="33" t="str">
        <f t="shared" si="10"/>
        <v/>
      </c>
      <c r="AN962" s="37"/>
      <c r="AO962" s="29"/>
      <c r="AP962" s="29" t="b">
        <v>0</v>
      </c>
      <c r="AQ962" s="22" t="str">
        <f t="shared" si="11"/>
        <v/>
      </c>
      <c r="AR962" s="7">
        <f>IF(ISBLANK(AN962), 0, VLOOKUP(AN962, 'Price Sheet'!$A$2:$B1015, 2, false))</f>
        <v>0</v>
      </c>
      <c r="AS962" s="33" t="str">
        <f t="shared" si="12"/>
        <v/>
      </c>
      <c r="AT962" s="37"/>
      <c r="AU962" s="29"/>
      <c r="AV962" s="29" t="b">
        <v>0</v>
      </c>
      <c r="AW962" s="22" t="str">
        <f t="shared" si="13"/>
        <v/>
      </c>
      <c r="AX962" s="7">
        <f>IF(ISBLANK(AT962), 0, VLOOKUP(AT962, 'Price Sheet'!$A$2:$B1015, 2, false))</f>
        <v>0</v>
      </c>
      <c r="AY962" s="33" t="str">
        <f t="shared" si="14"/>
        <v/>
      </c>
      <c r="AZ962" s="37"/>
      <c r="BA962" s="29"/>
      <c r="BB962" s="29" t="b">
        <v>0</v>
      </c>
      <c r="BC962" s="22" t="str">
        <f t="shared" si="15"/>
        <v/>
      </c>
      <c r="BD962" s="7">
        <f>IF(ISBLANK(AZ962), 0, VLOOKUP(AZ962, 'Price Sheet'!$A$2:$B1015, 2, false))</f>
        <v>0</v>
      </c>
      <c r="BE962" s="33" t="str">
        <f t="shared" si="16"/>
        <v/>
      </c>
      <c r="BF962" s="37"/>
      <c r="BG962" s="29"/>
      <c r="BH962" s="29" t="b">
        <v>0</v>
      </c>
      <c r="BI962" s="22" t="str">
        <f t="shared" si="17"/>
        <v/>
      </c>
      <c r="BJ962" s="7">
        <f>IF(ISBLANK(BF962), 0, VLOOKUP(BF962, 'Price Sheet'!$A$2:$B1015, 2, false))</f>
        <v>0</v>
      </c>
      <c r="BK962" s="33" t="str">
        <f t="shared" si="18"/>
        <v/>
      </c>
      <c r="BL962" s="37"/>
      <c r="BM962" s="29"/>
      <c r="BN962" s="29" t="b">
        <v>0</v>
      </c>
      <c r="BO962" s="22" t="str">
        <f t="shared" si="19"/>
        <v/>
      </c>
      <c r="BP962" s="7">
        <f>IF(ISBLANK(BL962), 0, VLOOKUP(BL962, 'Price Sheet'!$A$2:$B1015, 2, false))</f>
        <v>0</v>
      </c>
      <c r="BQ962" s="33" t="str">
        <f t="shared" si="20"/>
        <v/>
      </c>
    </row>
    <row r="963">
      <c r="B963" s="19"/>
      <c r="C963" s="29"/>
      <c r="D963" s="29"/>
      <c r="E963" s="7" t="str">
        <f>IF(ISBLANK(D963), "", VLOOKUP(D963,'Crafting Tables'!$A$2:$B1015, 2, false))</f>
        <v/>
      </c>
      <c r="F963" s="7" t="str">
        <f>IFERROR(IF(E963 = "None", 1, VLOOKUP(C963,General!$A$5:$L$35, SWITCH(E963, "Basic", 8, "Advanced", 10, "Modern", 12), false)),"")</f>
        <v/>
      </c>
      <c r="G963" s="29"/>
      <c r="H963" s="7">
        <f>IFERROR(VLOOKUP(C963, General!$A$5:$L$35, 6, false) * G963 / 1000, 0)</f>
        <v>0</v>
      </c>
      <c r="I963" s="29"/>
      <c r="J963" s="22" t="str">
        <f>IFERROR(I963*VLOOKUP(D963,'Crafting Tables'!$1:$1000, 4, false)*F963,"")</f>
        <v/>
      </c>
      <c r="K963" s="29" t="b">
        <v>0</v>
      </c>
      <c r="L963" s="37"/>
      <c r="M963" s="29"/>
      <c r="N963" s="21" t="str">
        <f t="shared" si="2"/>
        <v/>
      </c>
      <c r="P963" s="37"/>
      <c r="Q963" s="29"/>
      <c r="R963" s="29" t="b">
        <v>0</v>
      </c>
      <c r="S963" s="22" t="str">
        <f t="shared" si="3"/>
        <v/>
      </c>
      <c r="T963" s="7">
        <f>IF(ISBLANK(P963), 0, VLOOKUP(P963, 'Price Sheet'!$A$2:$B1015, 2, false))</f>
        <v>0</v>
      </c>
      <c r="U963" s="33" t="str">
        <f t="shared" si="4"/>
        <v/>
      </c>
      <c r="V963" s="37"/>
      <c r="W963" s="29"/>
      <c r="X963" s="29" t="b">
        <v>0</v>
      </c>
      <c r="Y963" s="22" t="str">
        <f t="shared" si="5"/>
        <v/>
      </c>
      <c r="Z963" s="7">
        <f>IF(ISBLANK(V963), 0, VLOOKUP(V963, 'Price Sheet'!$A$2:$B1015, 2, false))</f>
        <v>0</v>
      </c>
      <c r="AA963" s="33" t="str">
        <f t="shared" si="6"/>
        <v/>
      </c>
      <c r="AB963" s="37"/>
      <c r="AC963" s="29"/>
      <c r="AD963" s="29" t="b">
        <v>0</v>
      </c>
      <c r="AE963" s="22" t="str">
        <f t="shared" si="7"/>
        <v/>
      </c>
      <c r="AF963" s="7">
        <f>IF(ISBLANK(AB963), 0, VLOOKUP(AB963, 'Price Sheet'!$A$2:$B1015, 2, false))</f>
        <v>0</v>
      </c>
      <c r="AG963" s="33" t="str">
        <f t="shared" si="8"/>
        <v/>
      </c>
      <c r="AH963" s="37"/>
      <c r="AI963" s="29"/>
      <c r="AJ963" s="29" t="b">
        <v>0</v>
      </c>
      <c r="AK963" s="22" t="str">
        <f t="shared" si="9"/>
        <v/>
      </c>
      <c r="AL963" s="7">
        <f>IF(ISBLANK(AH963), 0, VLOOKUP(AH963, 'Price Sheet'!$A$2:$B1015, 2, false))</f>
        <v>0</v>
      </c>
      <c r="AM963" s="33" t="str">
        <f t="shared" si="10"/>
        <v/>
      </c>
      <c r="AN963" s="37"/>
      <c r="AO963" s="29"/>
      <c r="AP963" s="29" t="b">
        <v>0</v>
      </c>
      <c r="AQ963" s="22" t="str">
        <f t="shared" si="11"/>
        <v/>
      </c>
      <c r="AR963" s="7">
        <f>IF(ISBLANK(AN963), 0, VLOOKUP(AN963, 'Price Sheet'!$A$2:$B1015, 2, false))</f>
        <v>0</v>
      </c>
      <c r="AS963" s="33" t="str">
        <f t="shared" si="12"/>
        <v/>
      </c>
      <c r="AT963" s="37"/>
      <c r="AU963" s="29"/>
      <c r="AV963" s="29" t="b">
        <v>0</v>
      </c>
      <c r="AW963" s="22" t="str">
        <f t="shared" si="13"/>
        <v/>
      </c>
      <c r="AX963" s="7">
        <f>IF(ISBLANK(AT963), 0, VLOOKUP(AT963, 'Price Sheet'!$A$2:$B1015, 2, false))</f>
        <v>0</v>
      </c>
      <c r="AY963" s="33" t="str">
        <f t="shared" si="14"/>
        <v/>
      </c>
      <c r="AZ963" s="37"/>
      <c r="BA963" s="29"/>
      <c r="BB963" s="29" t="b">
        <v>0</v>
      </c>
      <c r="BC963" s="22" t="str">
        <f t="shared" si="15"/>
        <v/>
      </c>
      <c r="BD963" s="7">
        <f>IF(ISBLANK(AZ963), 0, VLOOKUP(AZ963, 'Price Sheet'!$A$2:$B1015, 2, false))</f>
        <v>0</v>
      </c>
      <c r="BE963" s="33" t="str">
        <f t="shared" si="16"/>
        <v/>
      </c>
      <c r="BF963" s="37"/>
      <c r="BG963" s="29"/>
      <c r="BH963" s="29" t="b">
        <v>0</v>
      </c>
      <c r="BI963" s="22" t="str">
        <f t="shared" si="17"/>
        <v/>
      </c>
      <c r="BJ963" s="7">
        <f>IF(ISBLANK(BF963), 0, VLOOKUP(BF963, 'Price Sheet'!$A$2:$B1015, 2, false))</f>
        <v>0</v>
      </c>
      <c r="BK963" s="33" t="str">
        <f t="shared" si="18"/>
        <v/>
      </c>
      <c r="BL963" s="37"/>
      <c r="BM963" s="29"/>
      <c r="BN963" s="29" t="b">
        <v>0</v>
      </c>
      <c r="BO963" s="22" t="str">
        <f t="shared" si="19"/>
        <v/>
      </c>
      <c r="BP963" s="7">
        <f>IF(ISBLANK(BL963), 0, VLOOKUP(BL963, 'Price Sheet'!$A$2:$B1015, 2, false))</f>
        <v>0</v>
      </c>
      <c r="BQ963" s="33" t="str">
        <f t="shared" si="20"/>
        <v/>
      </c>
    </row>
    <row r="964">
      <c r="B964" s="19"/>
      <c r="C964" s="29"/>
      <c r="D964" s="29"/>
      <c r="E964" s="7" t="str">
        <f>IF(ISBLANK(D964), "", VLOOKUP(D964,'Crafting Tables'!$A$2:$B1015, 2, false))</f>
        <v/>
      </c>
      <c r="F964" s="7" t="str">
        <f>IFERROR(IF(E964 = "None", 1, VLOOKUP(C964,General!$A$5:$L$35, SWITCH(E964, "Basic", 8, "Advanced", 10, "Modern", 12), false)),"")</f>
        <v/>
      </c>
      <c r="G964" s="29"/>
      <c r="H964" s="7">
        <f>IFERROR(VLOOKUP(C964, General!$A$5:$L$35, 6, false) * G964 / 1000, 0)</f>
        <v>0</v>
      </c>
      <c r="I964" s="29"/>
      <c r="J964" s="22" t="str">
        <f>IFERROR(I964*VLOOKUP(D964,'Crafting Tables'!$1:$1000, 4, false)*F964,"")</f>
        <v/>
      </c>
      <c r="K964" s="29" t="b">
        <v>0</v>
      </c>
      <c r="L964" s="37"/>
      <c r="M964" s="29"/>
      <c r="N964" s="21" t="str">
        <f t="shared" si="2"/>
        <v/>
      </c>
      <c r="P964" s="37"/>
      <c r="Q964" s="29"/>
      <c r="R964" s="29" t="b">
        <v>0</v>
      </c>
      <c r="S964" s="22" t="str">
        <f t="shared" si="3"/>
        <v/>
      </c>
      <c r="T964" s="7">
        <f>IF(ISBLANK(P964), 0, VLOOKUP(P964, 'Price Sheet'!$A$2:$B1015, 2, false))</f>
        <v>0</v>
      </c>
      <c r="U964" s="33" t="str">
        <f t="shared" si="4"/>
        <v/>
      </c>
      <c r="V964" s="37"/>
      <c r="W964" s="29"/>
      <c r="X964" s="29" t="b">
        <v>0</v>
      </c>
      <c r="Y964" s="22" t="str">
        <f t="shared" si="5"/>
        <v/>
      </c>
      <c r="Z964" s="7">
        <f>IF(ISBLANK(V964), 0, VLOOKUP(V964, 'Price Sheet'!$A$2:$B1015, 2, false))</f>
        <v>0</v>
      </c>
      <c r="AA964" s="33" t="str">
        <f t="shared" si="6"/>
        <v/>
      </c>
      <c r="AB964" s="37"/>
      <c r="AC964" s="29"/>
      <c r="AD964" s="29" t="b">
        <v>0</v>
      </c>
      <c r="AE964" s="22" t="str">
        <f t="shared" si="7"/>
        <v/>
      </c>
      <c r="AF964" s="7">
        <f>IF(ISBLANK(AB964), 0, VLOOKUP(AB964, 'Price Sheet'!$A$2:$B1015, 2, false))</f>
        <v>0</v>
      </c>
      <c r="AG964" s="33" t="str">
        <f t="shared" si="8"/>
        <v/>
      </c>
      <c r="AH964" s="37"/>
      <c r="AI964" s="29"/>
      <c r="AJ964" s="29" t="b">
        <v>0</v>
      </c>
      <c r="AK964" s="22" t="str">
        <f t="shared" si="9"/>
        <v/>
      </c>
      <c r="AL964" s="7">
        <f>IF(ISBLANK(AH964), 0, VLOOKUP(AH964, 'Price Sheet'!$A$2:$B1015, 2, false))</f>
        <v>0</v>
      </c>
      <c r="AM964" s="33" t="str">
        <f t="shared" si="10"/>
        <v/>
      </c>
      <c r="AN964" s="37"/>
      <c r="AO964" s="29"/>
      <c r="AP964" s="29" t="b">
        <v>0</v>
      </c>
      <c r="AQ964" s="22" t="str">
        <f t="shared" si="11"/>
        <v/>
      </c>
      <c r="AR964" s="7">
        <f>IF(ISBLANK(AN964), 0, VLOOKUP(AN964, 'Price Sheet'!$A$2:$B1015, 2, false))</f>
        <v>0</v>
      </c>
      <c r="AS964" s="33" t="str">
        <f t="shared" si="12"/>
        <v/>
      </c>
      <c r="AT964" s="37"/>
      <c r="AU964" s="29"/>
      <c r="AV964" s="29" t="b">
        <v>0</v>
      </c>
      <c r="AW964" s="22" t="str">
        <f t="shared" si="13"/>
        <v/>
      </c>
      <c r="AX964" s="7">
        <f>IF(ISBLANK(AT964), 0, VLOOKUP(AT964, 'Price Sheet'!$A$2:$B1015, 2, false))</f>
        <v>0</v>
      </c>
      <c r="AY964" s="33" t="str">
        <f t="shared" si="14"/>
        <v/>
      </c>
      <c r="AZ964" s="37"/>
      <c r="BA964" s="29"/>
      <c r="BB964" s="29" t="b">
        <v>0</v>
      </c>
      <c r="BC964" s="22" t="str">
        <f t="shared" si="15"/>
        <v/>
      </c>
      <c r="BD964" s="7">
        <f>IF(ISBLANK(AZ964), 0, VLOOKUP(AZ964, 'Price Sheet'!$A$2:$B1015, 2, false))</f>
        <v>0</v>
      </c>
      <c r="BE964" s="33" t="str">
        <f t="shared" si="16"/>
        <v/>
      </c>
      <c r="BF964" s="37"/>
      <c r="BG964" s="29"/>
      <c r="BH964" s="29" t="b">
        <v>0</v>
      </c>
      <c r="BI964" s="22" t="str">
        <f t="shared" si="17"/>
        <v/>
      </c>
      <c r="BJ964" s="7">
        <f>IF(ISBLANK(BF964), 0, VLOOKUP(BF964, 'Price Sheet'!$A$2:$B1015, 2, false))</f>
        <v>0</v>
      </c>
      <c r="BK964" s="33" t="str">
        <f t="shared" si="18"/>
        <v/>
      </c>
      <c r="BL964" s="37"/>
      <c r="BM964" s="29"/>
      <c r="BN964" s="29" t="b">
        <v>0</v>
      </c>
      <c r="BO964" s="22" t="str">
        <f t="shared" si="19"/>
        <v/>
      </c>
      <c r="BP964" s="7">
        <f>IF(ISBLANK(BL964), 0, VLOOKUP(BL964, 'Price Sheet'!$A$2:$B1015, 2, false))</f>
        <v>0</v>
      </c>
      <c r="BQ964" s="33" t="str">
        <f t="shared" si="20"/>
        <v/>
      </c>
    </row>
    <row r="965">
      <c r="B965" s="19"/>
      <c r="C965" s="29"/>
      <c r="D965" s="29"/>
      <c r="E965" s="7" t="str">
        <f>IF(ISBLANK(D965), "", VLOOKUP(D965,'Crafting Tables'!$A$2:$B1015, 2, false))</f>
        <v/>
      </c>
      <c r="F965" s="7" t="str">
        <f>IFERROR(IF(E965 = "None", 1, VLOOKUP(C965,General!$A$5:$L$35, SWITCH(E965, "Basic", 8, "Advanced", 10, "Modern", 12), false)),"")</f>
        <v/>
      </c>
      <c r="G965" s="29"/>
      <c r="H965" s="7">
        <f>IFERROR(VLOOKUP(C965, General!$A$5:$L$35, 6, false) * G965 / 1000, 0)</f>
        <v>0</v>
      </c>
      <c r="I965" s="29"/>
      <c r="J965" s="22" t="str">
        <f>IFERROR(I965*VLOOKUP(D965,'Crafting Tables'!$1:$1000, 4, false)*F965,"")</f>
        <v/>
      </c>
      <c r="K965" s="29" t="b">
        <v>0</v>
      </c>
      <c r="L965" s="37"/>
      <c r="M965" s="29"/>
      <c r="N965" s="21" t="str">
        <f t="shared" si="2"/>
        <v/>
      </c>
      <c r="P965" s="37"/>
      <c r="Q965" s="29"/>
      <c r="R965" s="29" t="b">
        <v>0</v>
      </c>
      <c r="S965" s="22" t="str">
        <f t="shared" si="3"/>
        <v/>
      </c>
      <c r="T965" s="7">
        <f>IF(ISBLANK(P965), 0, VLOOKUP(P965, 'Price Sheet'!$A$2:$B1015, 2, false))</f>
        <v>0</v>
      </c>
      <c r="U965" s="33" t="str">
        <f t="shared" si="4"/>
        <v/>
      </c>
      <c r="V965" s="37"/>
      <c r="W965" s="29"/>
      <c r="X965" s="29" t="b">
        <v>0</v>
      </c>
      <c r="Y965" s="22" t="str">
        <f t="shared" si="5"/>
        <v/>
      </c>
      <c r="Z965" s="7">
        <f>IF(ISBLANK(V965), 0, VLOOKUP(V965, 'Price Sheet'!$A$2:$B1015, 2, false))</f>
        <v>0</v>
      </c>
      <c r="AA965" s="33" t="str">
        <f t="shared" si="6"/>
        <v/>
      </c>
      <c r="AB965" s="37"/>
      <c r="AC965" s="29"/>
      <c r="AD965" s="29" t="b">
        <v>0</v>
      </c>
      <c r="AE965" s="22" t="str">
        <f t="shared" si="7"/>
        <v/>
      </c>
      <c r="AF965" s="7">
        <f>IF(ISBLANK(AB965), 0, VLOOKUP(AB965, 'Price Sheet'!$A$2:$B1015, 2, false))</f>
        <v>0</v>
      </c>
      <c r="AG965" s="33" t="str">
        <f t="shared" si="8"/>
        <v/>
      </c>
      <c r="AH965" s="37"/>
      <c r="AI965" s="29"/>
      <c r="AJ965" s="29" t="b">
        <v>0</v>
      </c>
      <c r="AK965" s="22" t="str">
        <f t="shared" si="9"/>
        <v/>
      </c>
      <c r="AL965" s="7">
        <f>IF(ISBLANK(AH965), 0, VLOOKUP(AH965, 'Price Sheet'!$A$2:$B1015, 2, false))</f>
        <v>0</v>
      </c>
      <c r="AM965" s="33" t="str">
        <f t="shared" si="10"/>
        <v/>
      </c>
      <c r="AN965" s="37"/>
      <c r="AO965" s="29"/>
      <c r="AP965" s="29" t="b">
        <v>0</v>
      </c>
      <c r="AQ965" s="22" t="str">
        <f t="shared" si="11"/>
        <v/>
      </c>
      <c r="AR965" s="7">
        <f>IF(ISBLANK(AN965), 0, VLOOKUP(AN965, 'Price Sheet'!$A$2:$B1015, 2, false))</f>
        <v>0</v>
      </c>
      <c r="AS965" s="33" t="str">
        <f t="shared" si="12"/>
        <v/>
      </c>
      <c r="AT965" s="37"/>
      <c r="AU965" s="29"/>
      <c r="AV965" s="29" t="b">
        <v>0</v>
      </c>
      <c r="AW965" s="22" t="str">
        <f t="shared" si="13"/>
        <v/>
      </c>
      <c r="AX965" s="7">
        <f>IF(ISBLANK(AT965), 0, VLOOKUP(AT965, 'Price Sheet'!$A$2:$B1015, 2, false))</f>
        <v>0</v>
      </c>
      <c r="AY965" s="33" t="str">
        <f t="shared" si="14"/>
        <v/>
      </c>
      <c r="AZ965" s="37"/>
      <c r="BA965" s="29"/>
      <c r="BB965" s="29" t="b">
        <v>0</v>
      </c>
      <c r="BC965" s="22" t="str">
        <f t="shared" si="15"/>
        <v/>
      </c>
      <c r="BD965" s="7">
        <f>IF(ISBLANK(AZ965), 0, VLOOKUP(AZ965, 'Price Sheet'!$A$2:$B1015, 2, false))</f>
        <v>0</v>
      </c>
      <c r="BE965" s="33" t="str">
        <f t="shared" si="16"/>
        <v/>
      </c>
      <c r="BF965" s="37"/>
      <c r="BG965" s="29"/>
      <c r="BH965" s="29" t="b">
        <v>0</v>
      </c>
      <c r="BI965" s="22" t="str">
        <f t="shared" si="17"/>
        <v/>
      </c>
      <c r="BJ965" s="7">
        <f>IF(ISBLANK(BF965), 0, VLOOKUP(BF965, 'Price Sheet'!$A$2:$B1015, 2, false))</f>
        <v>0</v>
      </c>
      <c r="BK965" s="33" t="str">
        <f t="shared" si="18"/>
        <v/>
      </c>
      <c r="BL965" s="37"/>
      <c r="BM965" s="29"/>
      <c r="BN965" s="29" t="b">
        <v>0</v>
      </c>
      <c r="BO965" s="22" t="str">
        <f t="shared" si="19"/>
        <v/>
      </c>
      <c r="BP965" s="7">
        <f>IF(ISBLANK(BL965), 0, VLOOKUP(BL965, 'Price Sheet'!$A$2:$B1015, 2, false))</f>
        <v>0</v>
      </c>
      <c r="BQ965" s="33" t="str">
        <f t="shared" si="20"/>
        <v/>
      </c>
    </row>
    <row r="966">
      <c r="B966" s="19"/>
      <c r="C966" s="29"/>
      <c r="D966" s="29"/>
      <c r="E966" s="7" t="str">
        <f>IF(ISBLANK(D966), "", VLOOKUP(D966,'Crafting Tables'!$A$2:$B1015, 2, false))</f>
        <v/>
      </c>
      <c r="F966" s="7" t="str">
        <f>IFERROR(IF(E966 = "None", 1, VLOOKUP(C966,General!$A$5:$L$35, SWITCH(E966, "Basic", 8, "Advanced", 10, "Modern", 12), false)),"")</f>
        <v/>
      </c>
      <c r="G966" s="29"/>
      <c r="H966" s="7">
        <f>IFERROR(VLOOKUP(C966, General!$A$5:$L$35, 6, false) * G966 / 1000, 0)</f>
        <v>0</v>
      </c>
      <c r="I966" s="29"/>
      <c r="J966" s="22" t="str">
        <f>IFERROR(I966*VLOOKUP(D966,'Crafting Tables'!$1:$1000, 4, false)*F966,"")</f>
        <v/>
      </c>
      <c r="K966" s="29" t="b">
        <v>0</v>
      </c>
      <c r="L966" s="37"/>
      <c r="M966" s="29"/>
      <c r="N966" s="21" t="str">
        <f t="shared" si="2"/>
        <v/>
      </c>
      <c r="P966" s="37"/>
      <c r="Q966" s="29"/>
      <c r="R966" s="29" t="b">
        <v>0</v>
      </c>
      <c r="S966" s="22" t="str">
        <f t="shared" si="3"/>
        <v/>
      </c>
      <c r="T966" s="7">
        <f>IF(ISBLANK(P966), 0, VLOOKUP(P966, 'Price Sheet'!$A$2:$B1015, 2, false))</f>
        <v>0</v>
      </c>
      <c r="U966" s="33" t="str">
        <f t="shared" si="4"/>
        <v/>
      </c>
      <c r="V966" s="37"/>
      <c r="W966" s="29"/>
      <c r="X966" s="29" t="b">
        <v>0</v>
      </c>
      <c r="Y966" s="22" t="str">
        <f t="shared" si="5"/>
        <v/>
      </c>
      <c r="Z966" s="7">
        <f>IF(ISBLANK(V966), 0, VLOOKUP(V966, 'Price Sheet'!$A$2:$B1015, 2, false))</f>
        <v>0</v>
      </c>
      <c r="AA966" s="33" t="str">
        <f t="shared" si="6"/>
        <v/>
      </c>
      <c r="AB966" s="37"/>
      <c r="AC966" s="29"/>
      <c r="AD966" s="29" t="b">
        <v>0</v>
      </c>
      <c r="AE966" s="22" t="str">
        <f t="shared" si="7"/>
        <v/>
      </c>
      <c r="AF966" s="7">
        <f>IF(ISBLANK(AB966), 0, VLOOKUP(AB966, 'Price Sheet'!$A$2:$B1015, 2, false))</f>
        <v>0</v>
      </c>
      <c r="AG966" s="33" t="str">
        <f t="shared" si="8"/>
        <v/>
      </c>
      <c r="AH966" s="37"/>
      <c r="AI966" s="29"/>
      <c r="AJ966" s="29" t="b">
        <v>0</v>
      </c>
      <c r="AK966" s="22" t="str">
        <f t="shared" si="9"/>
        <v/>
      </c>
      <c r="AL966" s="7">
        <f>IF(ISBLANK(AH966), 0, VLOOKUP(AH966, 'Price Sheet'!$A$2:$B1015, 2, false))</f>
        <v>0</v>
      </c>
      <c r="AM966" s="33" t="str">
        <f t="shared" si="10"/>
        <v/>
      </c>
      <c r="AN966" s="37"/>
      <c r="AO966" s="29"/>
      <c r="AP966" s="29" t="b">
        <v>0</v>
      </c>
      <c r="AQ966" s="22" t="str">
        <f t="shared" si="11"/>
        <v/>
      </c>
      <c r="AR966" s="7">
        <f>IF(ISBLANK(AN966), 0, VLOOKUP(AN966, 'Price Sheet'!$A$2:$B1015, 2, false))</f>
        <v>0</v>
      </c>
      <c r="AS966" s="33" t="str">
        <f t="shared" si="12"/>
        <v/>
      </c>
      <c r="AT966" s="37"/>
      <c r="AU966" s="29"/>
      <c r="AV966" s="29" t="b">
        <v>0</v>
      </c>
      <c r="AW966" s="22" t="str">
        <f t="shared" si="13"/>
        <v/>
      </c>
      <c r="AX966" s="7">
        <f>IF(ISBLANK(AT966), 0, VLOOKUP(AT966, 'Price Sheet'!$A$2:$B1015, 2, false))</f>
        <v>0</v>
      </c>
      <c r="AY966" s="33" t="str">
        <f t="shared" si="14"/>
        <v/>
      </c>
      <c r="AZ966" s="37"/>
      <c r="BA966" s="29"/>
      <c r="BB966" s="29" t="b">
        <v>0</v>
      </c>
      <c r="BC966" s="22" t="str">
        <f t="shared" si="15"/>
        <v/>
      </c>
      <c r="BD966" s="7">
        <f>IF(ISBLANK(AZ966), 0, VLOOKUP(AZ966, 'Price Sheet'!$A$2:$B1015, 2, false))</f>
        <v>0</v>
      </c>
      <c r="BE966" s="33" t="str">
        <f t="shared" si="16"/>
        <v/>
      </c>
      <c r="BF966" s="37"/>
      <c r="BG966" s="29"/>
      <c r="BH966" s="29" t="b">
        <v>0</v>
      </c>
      <c r="BI966" s="22" t="str">
        <f t="shared" si="17"/>
        <v/>
      </c>
      <c r="BJ966" s="7">
        <f>IF(ISBLANK(BF966), 0, VLOOKUP(BF966, 'Price Sheet'!$A$2:$B1015, 2, false))</f>
        <v>0</v>
      </c>
      <c r="BK966" s="33" t="str">
        <f t="shared" si="18"/>
        <v/>
      </c>
      <c r="BL966" s="37"/>
      <c r="BM966" s="29"/>
      <c r="BN966" s="29" t="b">
        <v>0</v>
      </c>
      <c r="BO966" s="22" t="str">
        <f t="shared" si="19"/>
        <v/>
      </c>
      <c r="BP966" s="7">
        <f>IF(ISBLANK(BL966), 0, VLOOKUP(BL966, 'Price Sheet'!$A$2:$B1015, 2, false))</f>
        <v>0</v>
      </c>
      <c r="BQ966" s="33" t="str">
        <f t="shared" si="20"/>
        <v/>
      </c>
    </row>
    <row r="967">
      <c r="B967" s="19"/>
      <c r="C967" s="29"/>
      <c r="D967" s="29"/>
      <c r="E967" s="7" t="str">
        <f>IF(ISBLANK(D967), "", VLOOKUP(D967,'Crafting Tables'!$A$2:$B1015, 2, false))</f>
        <v/>
      </c>
      <c r="F967" s="7" t="str">
        <f>IFERROR(IF(E967 = "None", 1, VLOOKUP(C967,General!$A$5:$L$35, SWITCH(E967, "Basic", 8, "Advanced", 10, "Modern", 12), false)),"")</f>
        <v/>
      </c>
      <c r="G967" s="29"/>
      <c r="H967" s="7">
        <f>IFERROR(VLOOKUP(C967, General!$A$5:$L$35, 6, false) * G967 / 1000, 0)</f>
        <v>0</v>
      </c>
      <c r="I967" s="29"/>
      <c r="J967" s="22" t="str">
        <f>IFERROR(I967*VLOOKUP(D967,'Crafting Tables'!$1:$1000, 4, false)*F967,"")</f>
        <v/>
      </c>
      <c r="K967" s="29" t="b">
        <v>0</v>
      </c>
      <c r="L967" s="37"/>
      <c r="M967" s="29"/>
      <c r="N967" s="21" t="str">
        <f t="shared" si="2"/>
        <v/>
      </c>
      <c r="P967" s="37"/>
      <c r="Q967" s="29"/>
      <c r="R967" s="29" t="b">
        <v>0</v>
      </c>
      <c r="S967" s="22" t="str">
        <f t="shared" si="3"/>
        <v/>
      </c>
      <c r="T967" s="7">
        <f>IF(ISBLANK(P967), 0, VLOOKUP(P967, 'Price Sheet'!$A$2:$B1015, 2, false))</f>
        <v>0</v>
      </c>
      <c r="U967" s="33" t="str">
        <f t="shared" si="4"/>
        <v/>
      </c>
      <c r="V967" s="37"/>
      <c r="W967" s="29"/>
      <c r="X967" s="29" t="b">
        <v>0</v>
      </c>
      <c r="Y967" s="22" t="str">
        <f t="shared" si="5"/>
        <v/>
      </c>
      <c r="Z967" s="7">
        <f>IF(ISBLANK(V967), 0, VLOOKUP(V967, 'Price Sheet'!$A$2:$B1015, 2, false))</f>
        <v>0</v>
      </c>
      <c r="AA967" s="33" t="str">
        <f t="shared" si="6"/>
        <v/>
      </c>
      <c r="AB967" s="37"/>
      <c r="AC967" s="29"/>
      <c r="AD967" s="29" t="b">
        <v>0</v>
      </c>
      <c r="AE967" s="22" t="str">
        <f t="shared" si="7"/>
        <v/>
      </c>
      <c r="AF967" s="7">
        <f>IF(ISBLANK(AB967), 0, VLOOKUP(AB967, 'Price Sheet'!$A$2:$B1015, 2, false))</f>
        <v>0</v>
      </c>
      <c r="AG967" s="33" t="str">
        <f t="shared" si="8"/>
        <v/>
      </c>
      <c r="AH967" s="37"/>
      <c r="AI967" s="29"/>
      <c r="AJ967" s="29" t="b">
        <v>0</v>
      </c>
      <c r="AK967" s="22" t="str">
        <f t="shared" si="9"/>
        <v/>
      </c>
      <c r="AL967" s="7">
        <f>IF(ISBLANK(AH967), 0, VLOOKUP(AH967, 'Price Sheet'!$A$2:$B1015, 2, false))</f>
        <v>0</v>
      </c>
      <c r="AM967" s="33" t="str">
        <f t="shared" si="10"/>
        <v/>
      </c>
      <c r="AN967" s="37"/>
      <c r="AO967" s="29"/>
      <c r="AP967" s="29" t="b">
        <v>0</v>
      </c>
      <c r="AQ967" s="22" t="str">
        <f t="shared" si="11"/>
        <v/>
      </c>
      <c r="AR967" s="7">
        <f>IF(ISBLANK(AN967), 0, VLOOKUP(AN967, 'Price Sheet'!$A$2:$B1015, 2, false))</f>
        <v>0</v>
      </c>
      <c r="AS967" s="33" t="str">
        <f t="shared" si="12"/>
        <v/>
      </c>
      <c r="AT967" s="37"/>
      <c r="AU967" s="29"/>
      <c r="AV967" s="29" t="b">
        <v>0</v>
      </c>
      <c r="AW967" s="22" t="str">
        <f t="shared" si="13"/>
        <v/>
      </c>
      <c r="AX967" s="7">
        <f>IF(ISBLANK(AT967), 0, VLOOKUP(AT967, 'Price Sheet'!$A$2:$B1015, 2, false))</f>
        <v>0</v>
      </c>
      <c r="AY967" s="33" t="str">
        <f t="shared" si="14"/>
        <v/>
      </c>
      <c r="AZ967" s="37"/>
      <c r="BA967" s="29"/>
      <c r="BB967" s="29" t="b">
        <v>0</v>
      </c>
      <c r="BC967" s="22" t="str">
        <f t="shared" si="15"/>
        <v/>
      </c>
      <c r="BD967" s="7">
        <f>IF(ISBLANK(AZ967), 0, VLOOKUP(AZ967, 'Price Sheet'!$A$2:$B1015, 2, false))</f>
        <v>0</v>
      </c>
      <c r="BE967" s="33" t="str">
        <f t="shared" si="16"/>
        <v/>
      </c>
      <c r="BF967" s="37"/>
      <c r="BG967" s="29"/>
      <c r="BH967" s="29" t="b">
        <v>0</v>
      </c>
      <c r="BI967" s="22" t="str">
        <f t="shared" si="17"/>
        <v/>
      </c>
      <c r="BJ967" s="7">
        <f>IF(ISBLANK(BF967), 0, VLOOKUP(BF967, 'Price Sheet'!$A$2:$B1015, 2, false))</f>
        <v>0</v>
      </c>
      <c r="BK967" s="33" t="str">
        <f t="shared" si="18"/>
        <v/>
      </c>
      <c r="BL967" s="37"/>
      <c r="BM967" s="29"/>
      <c r="BN967" s="29" t="b">
        <v>0</v>
      </c>
      <c r="BO967" s="22" t="str">
        <f t="shared" si="19"/>
        <v/>
      </c>
      <c r="BP967" s="7">
        <f>IF(ISBLANK(BL967), 0, VLOOKUP(BL967, 'Price Sheet'!$A$2:$B1015, 2, false))</f>
        <v>0</v>
      </c>
      <c r="BQ967" s="33" t="str">
        <f t="shared" si="20"/>
        <v/>
      </c>
    </row>
    <row r="968">
      <c r="B968" s="19"/>
      <c r="C968" s="29"/>
      <c r="D968" s="29"/>
      <c r="E968" s="7" t="str">
        <f>IF(ISBLANK(D968), "", VLOOKUP(D968,'Crafting Tables'!$A$2:$B1015, 2, false))</f>
        <v/>
      </c>
      <c r="F968" s="7" t="str">
        <f>IFERROR(IF(E968 = "None", 1, VLOOKUP(C968,General!$A$5:$L$35, SWITCH(E968, "Basic", 8, "Advanced", 10, "Modern", 12), false)),"")</f>
        <v/>
      </c>
      <c r="G968" s="29"/>
      <c r="H968" s="7">
        <f>IFERROR(VLOOKUP(C968, General!$A$5:$L$35, 6, false) * G968 / 1000, 0)</f>
        <v>0</v>
      </c>
      <c r="I968" s="29"/>
      <c r="J968" s="22" t="str">
        <f>IFERROR(I968*VLOOKUP(D968,'Crafting Tables'!$1:$1000, 4, false)*F968,"")</f>
        <v/>
      </c>
      <c r="K968" s="29" t="b">
        <v>0</v>
      </c>
      <c r="L968" s="37"/>
      <c r="M968" s="29"/>
      <c r="N968" s="21" t="str">
        <f t="shared" si="2"/>
        <v/>
      </c>
      <c r="P968" s="37"/>
      <c r="Q968" s="29"/>
      <c r="R968" s="29" t="b">
        <v>0</v>
      </c>
      <c r="S968" s="22" t="str">
        <f t="shared" si="3"/>
        <v/>
      </c>
      <c r="T968" s="7">
        <f>IF(ISBLANK(P968), 0, VLOOKUP(P968, 'Price Sheet'!$A$2:$B1015, 2, false))</f>
        <v>0</v>
      </c>
      <c r="U968" s="33" t="str">
        <f t="shared" si="4"/>
        <v/>
      </c>
      <c r="V968" s="37"/>
      <c r="W968" s="29"/>
      <c r="X968" s="29" t="b">
        <v>0</v>
      </c>
      <c r="Y968" s="22" t="str">
        <f t="shared" si="5"/>
        <v/>
      </c>
      <c r="Z968" s="7">
        <f>IF(ISBLANK(V968), 0, VLOOKUP(V968, 'Price Sheet'!$A$2:$B1015, 2, false))</f>
        <v>0</v>
      </c>
      <c r="AA968" s="33" t="str">
        <f t="shared" si="6"/>
        <v/>
      </c>
      <c r="AB968" s="37"/>
      <c r="AC968" s="29"/>
      <c r="AD968" s="29" t="b">
        <v>0</v>
      </c>
      <c r="AE968" s="22" t="str">
        <f t="shared" si="7"/>
        <v/>
      </c>
      <c r="AF968" s="7">
        <f>IF(ISBLANK(AB968), 0, VLOOKUP(AB968, 'Price Sheet'!$A$2:$B1015, 2, false))</f>
        <v>0</v>
      </c>
      <c r="AG968" s="33" t="str">
        <f t="shared" si="8"/>
        <v/>
      </c>
      <c r="AH968" s="37"/>
      <c r="AI968" s="29"/>
      <c r="AJ968" s="29" t="b">
        <v>0</v>
      </c>
      <c r="AK968" s="22" t="str">
        <f t="shared" si="9"/>
        <v/>
      </c>
      <c r="AL968" s="7">
        <f>IF(ISBLANK(AH968), 0, VLOOKUP(AH968, 'Price Sheet'!$A$2:$B1015, 2, false))</f>
        <v>0</v>
      </c>
      <c r="AM968" s="33" t="str">
        <f t="shared" si="10"/>
        <v/>
      </c>
      <c r="AN968" s="37"/>
      <c r="AO968" s="29"/>
      <c r="AP968" s="29" t="b">
        <v>0</v>
      </c>
      <c r="AQ968" s="22" t="str">
        <f t="shared" si="11"/>
        <v/>
      </c>
      <c r="AR968" s="7">
        <f>IF(ISBLANK(AN968), 0, VLOOKUP(AN968, 'Price Sheet'!$A$2:$B1015, 2, false))</f>
        <v>0</v>
      </c>
      <c r="AS968" s="33" t="str">
        <f t="shared" si="12"/>
        <v/>
      </c>
      <c r="AT968" s="37"/>
      <c r="AU968" s="29"/>
      <c r="AV968" s="29" t="b">
        <v>0</v>
      </c>
      <c r="AW968" s="22" t="str">
        <f t="shared" si="13"/>
        <v/>
      </c>
      <c r="AX968" s="7">
        <f>IF(ISBLANK(AT968), 0, VLOOKUP(AT968, 'Price Sheet'!$A$2:$B1015, 2, false))</f>
        <v>0</v>
      </c>
      <c r="AY968" s="33" t="str">
        <f t="shared" si="14"/>
        <v/>
      </c>
      <c r="AZ968" s="37"/>
      <c r="BA968" s="29"/>
      <c r="BB968" s="29" t="b">
        <v>0</v>
      </c>
      <c r="BC968" s="22" t="str">
        <f t="shared" si="15"/>
        <v/>
      </c>
      <c r="BD968" s="7">
        <f>IF(ISBLANK(AZ968), 0, VLOOKUP(AZ968, 'Price Sheet'!$A$2:$B1015, 2, false))</f>
        <v>0</v>
      </c>
      <c r="BE968" s="33" t="str">
        <f t="shared" si="16"/>
        <v/>
      </c>
      <c r="BF968" s="37"/>
      <c r="BG968" s="29"/>
      <c r="BH968" s="29" t="b">
        <v>0</v>
      </c>
      <c r="BI968" s="22" t="str">
        <f t="shared" si="17"/>
        <v/>
      </c>
      <c r="BJ968" s="7">
        <f>IF(ISBLANK(BF968), 0, VLOOKUP(BF968, 'Price Sheet'!$A$2:$B1015, 2, false))</f>
        <v>0</v>
      </c>
      <c r="BK968" s="33" t="str">
        <f t="shared" si="18"/>
        <v/>
      </c>
      <c r="BL968" s="37"/>
      <c r="BM968" s="29"/>
      <c r="BN968" s="29" t="b">
        <v>0</v>
      </c>
      <c r="BO968" s="22" t="str">
        <f t="shared" si="19"/>
        <v/>
      </c>
      <c r="BP968" s="7">
        <f>IF(ISBLANK(BL968), 0, VLOOKUP(BL968, 'Price Sheet'!$A$2:$B1015, 2, false))</f>
        <v>0</v>
      </c>
      <c r="BQ968" s="33" t="str">
        <f t="shared" si="20"/>
        <v/>
      </c>
    </row>
    <row r="969">
      <c r="B969" s="19"/>
      <c r="C969" s="29"/>
      <c r="D969" s="29"/>
      <c r="E969" s="7" t="str">
        <f>IF(ISBLANK(D969), "", VLOOKUP(D969,'Crafting Tables'!$A$2:$B1015, 2, false))</f>
        <v/>
      </c>
      <c r="F969" s="7" t="str">
        <f>IFERROR(IF(E969 = "None", 1, VLOOKUP(C969,General!$A$5:$L$35, SWITCH(E969, "Basic", 8, "Advanced", 10, "Modern", 12), false)),"")</f>
        <v/>
      </c>
      <c r="G969" s="29"/>
      <c r="H969" s="7">
        <f>IFERROR(VLOOKUP(C969, General!$A$5:$L$35, 6, false) * G969 / 1000, 0)</f>
        <v>0</v>
      </c>
      <c r="I969" s="29"/>
      <c r="J969" s="22" t="str">
        <f>IFERROR(I969*VLOOKUP(D969,'Crafting Tables'!$1:$1000, 4, false)*F969,"")</f>
        <v/>
      </c>
      <c r="K969" s="29" t="b">
        <v>0</v>
      </c>
      <c r="L969" s="37"/>
      <c r="M969" s="29"/>
      <c r="N969" s="21" t="str">
        <f t="shared" si="2"/>
        <v/>
      </c>
      <c r="P969" s="37"/>
      <c r="Q969" s="29"/>
      <c r="R969" s="29" t="b">
        <v>0</v>
      </c>
      <c r="S969" s="22" t="str">
        <f t="shared" si="3"/>
        <v/>
      </c>
      <c r="T969" s="7">
        <f>IF(ISBLANK(P969), 0, VLOOKUP(P969, 'Price Sheet'!$A$2:$B1015, 2, false))</f>
        <v>0</v>
      </c>
      <c r="U969" s="33" t="str">
        <f t="shared" si="4"/>
        <v/>
      </c>
      <c r="V969" s="37"/>
      <c r="W969" s="29"/>
      <c r="X969" s="29" t="b">
        <v>0</v>
      </c>
      <c r="Y969" s="22" t="str">
        <f t="shared" si="5"/>
        <v/>
      </c>
      <c r="Z969" s="7">
        <f>IF(ISBLANK(V969), 0, VLOOKUP(V969, 'Price Sheet'!$A$2:$B1015, 2, false))</f>
        <v>0</v>
      </c>
      <c r="AA969" s="33" t="str">
        <f t="shared" si="6"/>
        <v/>
      </c>
      <c r="AB969" s="37"/>
      <c r="AC969" s="29"/>
      <c r="AD969" s="29" t="b">
        <v>0</v>
      </c>
      <c r="AE969" s="22" t="str">
        <f t="shared" si="7"/>
        <v/>
      </c>
      <c r="AF969" s="7">
        <f>IF(ISBLANK(AB969), 0, VLOOKUP(AB969, 'Price Sheet'!$A$2:$B1015, 2, false))</f>
        <v>0</v>
      </c>
      <c r="AG969" s="33" t="str">
        <f t="shared" si="8"/>
        <v/>
      </c>
      <c r="AH969" s="37"/>
      <c r="AI969" s="29"/>
      <c r="AJ969" s="29" t="b">
        <v>0</v>
      </c>
      <c r="AK969" s="22" t="str">
        <f t="shared" si="9"/>
        <v/>
      </c>
      <c r="AL969" s="7">
        <f>IF(ISBLANK(AH969), 0, VLOOKUP(AH969, 'Price Sheet'!$A$2:$B1015, 2, false))</f>
        <v>0</v>
      </c>
      <c r="AM969" s="33" t="str">
        <f t="shared" si="10"/>
        <v/>
      </c>
      <c r="AN969" s="37"/>
      <c r="AO969" s="29"/>
      <c r="AP969" s="29" t="b">
        <v>0</v>
      </c>
      <c r="AQ969" s="22" t="str">
        <f t="shared" si="11"/>
        <v/>
      </c>
      <c r="AR969" s="7">
        <f>IF(ISBLANK(AN969), 0, VLOOKUP(AN969, 'Price Sheet'!$A$2:$B1015, 2, false))</f>
        <v>0</v>
      </c>
      <c r="AS969" s="33" t="str">
        <f t="shared" si="12"/>
        <v/>
      </c>
      <c r="AT969" s="37"/>
      <c r="AU969" s="29"/>
      <c r="AV969" s="29" t="b">
        <v>0</v>
      </c>
      <c r="AW969" s="22" t="str">
        <f t="shared" si="13"/>
        <v/>
      </c>
      <c r="AX969" s="7">
        <f>IF(ISBLANK(AT969), 0, VLOOKUP(AT969, 'Price Sheet'!$A$2:$B1015, 2, false))</f>
        <v>0</v>
      </c>
      <c r="AY969" s="33" t="str">
        <f t="shared" si="14"/>
        <v/>
      </c>
      <c r="AZ969" s="37"/>
      <c r="BA969" s="29"/>
      <c r="BB969" s="29" t="b">
        <v>0</v>
      </c>
      <c r="BC969" s="22" t="str">
        <f t="shared" si="15"/>
        <v/>
      </c>
      <c r="BD969" s="7">
        <f>IF(ISBLANK(AZ969), 0, VLOOKUP(AZ969, 'Price Sheet'!$A$2:$B1015, 2, false))</f>
        <v>0</v>
      </c>
      <c r="BE969" s="33" t="str">
        <f t="shared" si="16"/>
        <v/>
      </c>
      <c r="BF969" s="37"/>
      <c r="BG969" s="29"/>
      <c r="BH969" s="29" t="b">
        <v>0</v>
      </c>
      <c r="BI969" s="22" t="str">
        <f t="shared" si="17"/>
        <v/>
      </c>
      <c r="BJ969" s="7">
        <f>IF(ISBLANK(BF969), 0, VLOOKUP(BF969, 'Price Sheet'!$A$2:$B1015, 2, false))</f>
        <v>0</v>
      </c>
      <c r="BK969" s="33" t="str">
        <f t="shared" si="18"/>
        <v/>
      </c>
      <c r="BL969" s="37"/>
      <c r="BM969" s="29"/>
      <c r="BN969" s="29" t="b">
        <v>0</v>
      </c>
      <c r="BO969" s="22" t="str">
        <f t="shared" si="19"/>
        <v/>
      </c>
      <c r="BP969" s="7">
        <f>IF(ISBLANK(BL969), 0, VLOOKUP(BL969, 'Price Sheet'!$A$2:$B1015, 2, false))</f>
        <v>0</v>
      </c>
      <c r="BQ969" s="33" t="str">
        <f t="shared" si="20"/>
        <v/>
      </c>
    </row>
    <row r="970">
      <c r="B970" s="19"/>
      <c r="C970" s="29"/>
      <c r="D970" s="29"/>
      <c r="E970" s="7" t="str">
        <f>IF(ISBLANK(D970), "", VLOOKUP(D970,'Crafting Tables'!$A$2:$B1015, 2, false))</f>
        <v/>
      </c>
      <c r="F970" s="7" t="str">
        <f>IFERROR(IF(E970 = "None", 1, VLOOKUP(C970,General!$A$5:$L$35, SWITCH(E970, "Basic", 8, "Advanced", 10, "Modern", 12), false)),"")</f>
        <v/>
      </c>
      <c r="G970" s="29"/>
      <c r="H970" s="7">
        <f>IFERROR(VLOOKUP(C970, General!$A$5:$L$35, 6, false) * G970 / 1000, 0)</f>
        <v>0</v>
      </c>
      <c r="I970" s="29"/>
      <c r="J970" s="22" t="str">
        <f>IFERROR(I970*VLOOKUP(D970,'Crafting Tables'!$1:$1000, 4, false)*F970,"")</f>
        <v/>
      </c>
      <c r="K970" s="29" t="b">
        <v>0</v>
      </c>
      <c r="L970" s="37"/>
      <c r="M970" s="29"/>
      <c r="N970" s="21" t="str">
        <f t="shared" si="2"/>
        <v/>
      </c>
      <c r="P970" s="37"/>
      <c r="Q970" s="29"/>
      <c r="R970" s="29" t="b">
        <v>0</v>
      </c>
      <c r="S970" s="22" t="str">
        <f t="shared" si="3"/>
        <v/>
      </c>
      <c r="T970" s="7">
        <f>IF(ISBLANK(P970), 0, VLOOKUP(P970, 'Price Sheet'!$A$2:$B1015, 2, false))</f>
        <v>0</v>
      </c>
      <c r="U970" s="33" t="str">
        <f t="shared" si="4"/>
        <v/>
      </c>
      <c r="V970" s="37"/>
      <c r="W970" s="29"/>
      <c r="X970" s="29" t="b">
        <v>0</v>
      </c>
      <c r="Y970" s="22" t="str">
        <f t="shared" si="5"/>
        <v/>
      </c>
      <c r="Z970" s="7">
        <f>IF(ISBLANK(V970), 0, VLOOKUP(V970, 'Price Sheet'!$A$2:$B1015, 2, false))</f>
        <v>0</v>
      </c>
      <c r="AA970" s="33" t="str">
        <f t="shared" si="6"/>
        <v/>
      </c>
      <c r="AB970" s="37"/>
      <c r="AC970" s="29"/>
      <c r="AD970" s="29" t="b">
        <v>0</v>
      </c>
      <c r="AE970" s="22" t="str">
        <f t="shared" si="7"/>
        <v/>
      </c>
      <c r="AF970" s="7">
        <f>IF(ISBLANK(AB970), 0, VLOOKUP(AB970, 'Price Sheet'!$A$2:$B1015, 2, false))</f>
        <v>0</v>
      </c>
      <c r="AG970" s="33" t="str">
        <f t="shared" si="8"/>
        <v/>
      </c>
      <c r="AH970" s="37"/>
      <c r="AI970" s="29"/>
      <c r="AJ970" s="29" t="b">
        <v>0</v>
      </c>
      <c r="AK970" s="22" t="str">
        <f t="shared" si="9"/>
        <v/>
      </c>
      <c r="AL970" s="7">
        <f>IF(ISBLANK(AH970), 0, VLOOKUP(AH970, 'Price Sheet'!$A$2:$B1015, 2, false))</f>
        <v>0</v>
      </c>
      <c r="AM970" s="33" t="str">
        <f t="shared" si="10"/>
        <v/>
      </c>
      <c r="AN970" s="37"/>
      <c r="AO970" s="29"/>
      <c r="AP970" s="29" t="b">
        <v>0</v>
      </c>
      <c r="AQ970" s="22" t="str">
        <f t="shared" si="11"/>
        <v/>
      </c>
      <c r="AR970" s="7">
        <f>IF(ISBLANK(AN970), 0, VLOOKUP(AN970, 'Price Sheet'!$A$2:$B1015, 2, false))</f>
        <v>0</v>
      </c>
      <c r="AS970" s="33" t="str">
        <f t="shared" si="12"/>
        <v/>
      </c>
      <c r="AT970" s="37"/>
      <c r="AU970" s="29"/>
      <c r="AV970" s="29" t="b">
        <v>0</v>
      </c>
      <c r="AW970" s="22" t="str">
        <f t="shared" si="13"/>
        <v/>
      </c>
      <c r="AX970" s="7">
        <f>IF(ISBLANK(AT970), 0, VLOOKUP(AT970, 'Price Sheet'!$A$2:$B1015, 2, false))</f>
        <v>0</v>
      </c>
      <c r="AY970" s="33" t="str">
        <f t="shared" si="14"/>
        <v/>
      </c>
      <c r="AZ970" s="37"/>
      <c r="BA970" s="29"/>
      <c r="BB970" s="29" t="b">
        <v>0</v>
      </c>
      <c r="BC970" s="22" t="str">
        <f t="shared" si="15"/>
        <v/>
      </c>
      <c r="BD970" s="7">
        <f>IF(ISBLANK(AZ970), 0, VLOOKUP(AZ970, 'Price Sheet'!$A$2:$B1015, 2, false))</f>
        <v>0</v>
      </c>
      <c r="BE970" s="33" t="str">
        <f t="shared" si="16"/>
        <v/>
      </c>
      <c r="BF970" s="37"/>
      <c r="BG970" s="29"/>
      <c r="BH970" s="29" t="b">
        <v>0</v>
      </c>
      <c r="BI970" s="22" t="str">
        <f t="shared" si="17"/>
        <v/>
      </c>
      <c r="BJ970" s="7">
        <f>IF(ISBLANK(BF970), 0, VLOOKUP(BF970, 'Price Sheet'!$A$2:$B1015, 2, false))</f>
        <v>0</v>
      </c>
      <c r="BK970" s="33" t="str">
        <f t="shared" si="18"/>
        <v/>
      </c>
      <c r="BL970" s="37"/>
      <c r="BM970" s="29"/>
      <c r="BN970" s="29" t="b">
        <v>0</v>
      </c>
      <c r="BO970" s="22" t="str">
        <f t="shared" si="19"/>
        <v/>
      </c>
      <c r="BP970" s="7">
        <f>IF(ISBLANK(BL970), 0, VLOOKUP(BL970, 'Price Sheet'!$A$2:$B1015, 2, false))</f>
        <v>0</v>
      </c>
      <c r="BQ970" s="33" t="str">
        <f t="shared" si="20"/>
        <v/>
      </c>
    </row>
    <row r="971">
      <c r="B971" s="19"/>
      <c r="C971" s="29"/>
      <c r="D971" s="29"/>
      <c r="E971" s="7" t="str">
        <f>IF(ISBLANK(D971), "", VLOOKUP(D971,'Crafting Tables'!$A$2:$B1015, 2, false))</f>
        <v/>
      </c>
      <c r="F971" s="7" t="str">
        <f>IFERROR(IF(E971 = "None", 1, VLOOKUP(C971,General!$A$5:$L$35, SWITCH(E971, "Basic", 8, "Advanced", 10, "Modern", 12), false)),"")</f>
        <v/>
      </c>
      <c r="G971" s="29"/>
      <c r="H971" s="7">
        <f>IFERROR(VLOOKUP(C971, General!$A$5:$L$35, 6, false) * G971 / 1000, 0)</f>
        <v>0</v>
      </c>
      <c r="I971" s="29"/>
      <c r="J971" s="22" t="str">
        <f>IFERROR(I971*VLOOKUP(D971,'Crafting Tables'!$1:$1000, 4, false)*F971,"")</f>
        <v/>
      </c>
      <c r="K971" s="29" t="b">
        <v>0</v>
      </c>
      <c r="L971" s="37"/>
      <c r="M971" s="29"/>
      <c r="N971" s="21" t="str">
        <f t="shared" si="2"/>
        <v/>
      </c>
      <c r="P971" s="37"/>
      <c r="Q971" s="29"/>
      <c r="R971" s="29" t="b">
        <v>0</v>
      </c>
      <c r="S971" s="22" t="str">
        <f t="shared" si="3"/>
        <v/>
      </c>
      <c r="T971" s="7">
        <f>IF(ISBLANK(P971), 0, VLOOKUP(P971, 'Price Sheet'!$A$2:$B1015, 2, false))</f>
        <v>0</v>
      </c>
      <c r="U971" s="33" t="str">
        <f t="shared" si="4"/>
        <v/>
      </c>
      <c r="V971" s="37"/>
      <c r="W971" s="29"/>
      <c r="X971" s="29" t="b">
        <v>0</v>
      </c>
      <c r="Y971" s="22" t="str">
        <f t="shared" si="5"/>
        <v/>
      </c>
      <c r="Z971" s="7">
        <f>IF(ISBLANK(V971), 0, VLOOKUP(V971, 'Price Sheet'!$A$2:$B1015, 2, false))</f>
        <v>0</v>
      </c>
      <c r="AA971" s="33" t="str">
        <f t="shared" si="6"/>
        <v/>
      </c>
      <c r="AB971" s="37"/>
      <c r="AC971" s="29"/>
      <c r="AD971" s="29" t="b">
        <v>0</v>
      </c>
      <c r="AE971" s="22" t="str">
        <f t="shared" si="7"/>
        <v/>
      </c>
      <c r="AF971" s="7">
        <f>IF(ISBLANK(AB971), 0, VLOOKUP(AB971, 'Price Sheet'!$A$2:$B1015, 2, false))</f>
        <v>0</v>
      </c>
      <c r="AG971" s="33" t="str">
        <f t="shared" si="8"/>
        <v/>
      </c>
      <c r="AH971" s="37"/>
      <c r="AI971" s="29"/>
      <c r="AJ971" s="29" t="b">
        <v>0</v>
      </c>
      <c r="AK971" s="22" t="str">
        <f t="shared" si="9"/>
        <v/>
      </c>
      <c r="AL971" s="7">
        <f>IF(ISBLANK(AH971), 0, VLOOKUP(AH971, 'Price Sheet'!$A$2:$B1015, 2, false))</f>
        <v>0</v>
      </c>
      <c r="AM971" s="33" t="str">
        <f t="shared" si="10"/>
        <v/>
      </c>
      <c r="AN971" s="37"/>
      <c r="AO971" s="29"/>
      <c r="AP971" s="29" t="b">
        <v>0</v>
      </c>
      <c r="AQ971" s="22" t="str">
        <f t="shared" si="11"/>
        <v/>
      </c>
      <c r="AR971" s="7">
        <f>IF(ISBLANK(AN971), 0, VLOOKUP(AN971, 'Price Sheet'!$A$2:$B1015, 2, false))</f>
        <v>0</v>
      </c>
      <c r="AS971" s="33" t="str">
        <f t="shared" si="12"/>
        <v/>
      </c>
      <c r="AT971" s="37"/>
      <c r="AU971" s="29"/>
      <c r="AV971" s="29" t="b">
        <v>0</v>
      </c>
      <c r="AW971" s="22" t="str">
        <f t="shared" si="13"/>
        <v/>
      </c>
      <c r="AX971" s="7">
        <f>IF(ISBLANK(AT971), 0, VLOOKUP(AT971, 'Price Sheet'!$A$2:$B1015, 2, false))</f>
        <v>0</v>
      </c>
      <c r="AY971" s="33" t="str">
        <f t="shared" si="14"/>
        <v/>
      </c>
      <c r="AZ971" s="37"/>
      <c r="BA971" s="29"/>
      <c r="BB971" s="29" t="b">
        <v>0</v>
      </c>
      <c r="BC971" s="22" t="str">
        <f t="shared" si="15"/>
        <v/>
      </c>
      <c r="BD971" s="7">
        <f>IF(ISBLANK(AZ971), 0, VLOOKUP(AZ971, 'Price Sheet'!$A$2:$B1015, 2, false))</f>
        <v>0</v>
      </c>
      <c r="BE971" s="33" t="str">
        <f t="shared" si="16"/>
        <v/>
      </c>
      <c r="BF971" s="37"/>
      <c r="BG971" s="29"/>
      <c r="BH971" s="29" t="b">
        <v>0</v>
      </c>
      <c r="BI971" s="22" t="str">
        <f t="shared" si="17"/>
        <v/>
      </c>
      <c r="BJ971" s="7">
        <f>IF(ISBLANK(BF971), 0, VLOOKUP(BF971, 'Price Sheet'!$A$2:$B1015, 2, false))</f>
        <v>0</v>
      </c>
      <c r="BK971" s="33" t="str">
        <f t="shared" si="18"/>
        <v/>
      </c>
      <c r="BL971" s="37"/>
      <c r="BM971" s="29"/>
      <c r="BN971" s="29" t="b">
        <v>0</v>
      </c>
      <c r="BO971" s="22" t="str">
        <f t="shared" si="19"/>
        <v/>
      </c>
      <c r="BP971" s="7">
        <f>IF(ISBLANK(BL971), 0, VLOOKUP(BL971, 'Price Sheet'!$A$2:$B1015, 2, false))</f>
        <v>0</v>
      </c>
      <c r="BQ971" s="33" t="str">
        <f t="shared" si="20"/>
        <v/>
      </c>
    </row>
    <row r="972">
      <c r="B972" s="19"/>
      <c r="C972" s="29"/>
      <c r="D972" s="29"/>
      <c r="E972" s="7" t="str">
        <f>IF(ISBLANK(D972), "", VLOOKUP(D972,'Crafting Tables'!$A$2:$B1015, 2, false))</f>
        <v/>
      </c>
      <c r="F972" s="7" t="str">
        <f>IFERROR(IF(E972 = "None", 1, VLOOKUP(C972,General!$A$5:$L$35, SWITCH(E972, "Basic", 8, "Advanced", 10, "Modern", 12), false)),"")</f>
        <v/>
      </c>
      <c r="G972" s="29"/>
      <c r="H972" s="7">
        <f>IFERROR(VLOOKUP(C972, General!$A$5:$L$35, 6, false) * G972 / 1000, 0)</f>
        <v>0</v>
      </c>
      <c r="I972" s="29"/>
      <c r="J972" s="22" t="str">
        <f>IFERROR(I972*VLOOKUP(D972,'Crafting Tables'!$1:$1000, 4, false)*F972,"")</f>
        <v/>
      </c>
      <c r="K972" s="29" t="b">
        <v>0</v>
      </c>
      <c r="L972" s="37"/>
      <c r="M972" s="29"/>
      <c r="N972" s="21" t="str">
        <f t="shared" si="2"/>
        <v/>
      </c>
      <c r="P972" s="37"/>
      <c r="Q972" s="29"/>
      <c r="R972" s="29" t="b">
        <v>0</v>
      </c>
      <c r="S972" s="22" t="str">
        <f t="shared" si="3"/>
        <v/>
      </c>
      <c r="T972" s="7">
        <f>IF(ISBLANK(P972), 0, VLOOKUP(P972, 'Price Sheet'!$A$2:$B1015, 2, false))</f>
        <v>0</v>
      </c>
      <c r="U972" s="33" t="str">
        <f t="shared" si="4"/>
        <v/>
      </c>
      <c r="V972" s="37"/>
      <c r="W972" s="29"/>
      <c r="X972" s="29" t="b">
        <v>0</v>
      </c>
      <c r="Y972" s="22" t="str">
        <f t="shared" si="5"/>
        <v/>
      </c>
      <c r="Z972" s="7">
        <f>IF(ISBLANK(V972), 0, VLOOKUP(V972, 'Price Sheet'!$A$2:$B1015, 2, false))</f>
        <v>0</v>
      </c>
      <c r="AA972" s="33" t="str">
        <f t="shared" si="6"/>
        <v/>
      </c>
      <c r="AB972" s="37"/>
      <c r="AC972" s="29"/>
      <c r="AD972" s="29" t="b">
        <v>0</v>
      </c>
      <c r="AE972" s="22" t="str">
        <f t="shared" si="7"/>
        <v/>
      </c>
      <c r="AF972" s="7">
        <f>IF(ISBLANK(AB972), 0, VLOOKUP(AB972, 'Price Sheet'!$A$2:$B1015, 2, false))</f>
        <v>0</v>
      </c>
      <c r="AG972" s="33" t="str">
        <f t="shared" si="8"/>
        <v/>
      </c>
      <c r="AH972" s="37"/>
      <c r="AI972" s="29"/>
      <c r="AJ972" s="29" t="b">
        <v>0</v>
      </c>
      <c r="AK972" s="22" t="str">
        <f t="shared" si="9"/>
        <v/>
      </c>
      <c r="AL972" s="7">
        <f>IF(ISBLANK(AH972), 0, VLOOKUP(AH972, 'Price Sheet'!$A$2:$B1015, 2, false))</f>
        <v>0</v>
      </c>
      <c r="AM972" s="33" t="str">
        <f t="shared" si="10"/>
        <v/>
      </c>
      <c r="AN972" s="37"/>
      <c r="AO972" s="29"/>
      <c r="AP972" s="29" t="b">
        <v>0</v>
      </c>
      <c r="AQ972" s="22" t="str">
        <f t="shared" si="11"/>
        <v/>
      </c>
      <c r="AR972" s="7">
        <f>IF(ISBLANK(AN972), 0, VLOOKUP(AN972, 'Price Sheet'!$A$2:$B1015, 2, false))</f>
        <v>0</v>
      </c>
      <c r="AS972" s="33" t="str">
        <f t="shared" si="12"/>
        <v/>
      </c>
      <c r="AT972" s="37"/>
      <c r="AU972" s="29"/>
      <c r="AV972" s="29" t="b">
        <v>0</v>
      </c>
      <c r="AW972" s="22" t="str">
        <f t="shared" si="13"/>
        <v/>
      </c>
      <c r="AX972" s="7">
        <f>IF(ISBLANK(AT972), 0, VLOOKUP(AT972, 'Price Sheet'!$A$2:$B1015, 2, false))</f>
        <v>0</v>
      </c>
      <c r="AY972" s="33" t="str">
        <f t="shared" si="14"/>
        <v/>
      </c>
      <c r="AZ972" s="37"/>
      <c r="BA972" s="29"/>
      <c r="BB972" s="29" t="b">
        <v>0</v>
      </c>
      <c r="BC972" s="22" t="str">
        <f t="shared" si="15"/>
        <v/>
      </c>
      <c r="BD972" s="7">
        <f>IF(ISBLANK(AZ972), 0, VLOOKUP(AZ972, 'Price Sheet'!$A$2:$B1015, 2, false))</f>
        <v>0</v>
      </c>
      <c r="BE972" s="33" t="str">
        <f t="shared" si="16"/>
        <v/>
      </c>
      <c r="BF972" s="37"/>
      <c r="BG972" s="29"/>
      <c r="BH972" s="29" t="b">
        <v>0</v>
      </c>
      <c r="BI972" s="22" t="str">
        <f t="shared" si="17"/>
        <v/>
      </c>
      <c r="BJ972" s="7">
        <f>IF(ISBLANK(BF972), 0, VLOOKUP(BF972, 'Price Sheet'!$A$2:$B1015, 2, false))</f>
        <v>0</v>
      </c>
      <c r="BK972" s="33" t="str">
        <f t="shared" si="18"/>
        <v/>
      </c>
      <c r="BL972" s="37"/>
      <c r="BM972" s="29"/>
      <c r="BN972" s="29" t="b">
        <v>0</v>
      </c>
      <c r="BO972" s="22" t="str">
        <f t="shared" si="19"/>
        <v/>
      </c>
      <c r="BP972" s="7">
        <f>IF(ISBLANK(BL972), 0, VLOOKUP(BL972, 'Price Sheet'!$A$2:$B1015, 2, false))</f>
        <v>0</v>
      </c>
      <c r="BQ972" s="33" t="str">
        <f t="shared" si="20"/>
        <v/>
      </c>
    </row>
    <row r="973">
      <c r="B973" s="19"/>
      <c r="C973" s="29"/>
      <c r="D973" s="29"/>
      <c r="E973" s="7" t="str">
        <f>IF(ISBLANK(D973), "", VLOOKUP(D973,'Crafting Tables'!$A$2:$B1015, 2, false))</f>
        <v/>
      </c>
      <c r="F973" s="7" t="str">
        <f>IFERROR(IF(E973 = "None", 1, VLOOKUP(C973,General!$A$5:$L$35, SWITCH(E973, "Basic", 8, "Advanced", 10, "Modern", 12), false)),"")</f>
        <v/>
      </c>
      <c r="G973" s="29"/>
      <c r="H973" s="7">
        <f>IFERROR(VLOOKUP(C973, General!$A$5:$L$35, 6, false) * G973 / 1000, 0)</f>
        <v>0</v>
      </c>
      <c r="I973" s="29"/>
      <c r="J973" s="22" t="str">
        <f>IFERROR(I973*VLOOKUP(D973,'Crafting Tables'!$1:$1000, 4, false)*F973,"")</f>
        <v/>
      </c>
      <c r="K973" s="29" t="b">
        <v>0</v>
      </c>
      <c r="L973" s="37"/>
      <c r="M973" s="29"/>
      <c r="N973" s="21" t="str">
        <f t="shared" si="2"/>
        <v/>
      </c>
      <c r="P973" s="37"/>
      <c r="Q973" s="29"/>
      <c r="R973" s="29" t="b">
        <v>0</v>
      </c>
      <c r="S973" s="22" t="str">
        <f t="shared" si="3"/>
        <v/>
      </c>
      <c r="T973" s="7">
        <f>IF(ISBLANK(P973), 0, VLOOKUP(P973, 'Price Sheet'!$A$2:$B1015, 2, false))</f>
        <v>0</v>
      </c>
      <c r="U973" s="33" t="str">
        <f t="shared" si="4"/>
        <v/>
      </c>
      <c r="V973" s="37"/>
      <c r="W973" s="29"/>
      <c r="X973" s="29" t="b">
        <v>0</v>
      </c>
      <c r="Y973" s="22" t="str">
        <f t="shared" si="5"/>
        <v/>
      </c>
      <c r="Z973" s="7">
        <f>IF(ISBLANK(V973), 0, VLOOKUP(V973, 'Price Sheet'!$A$2:$B1015, 2, false))</f>
        <v>0</v>
      </c>
      <c r="AA973" s="33" t="str">
        <f t="shared" si="6"/>
        <v/>
      </c>
      <c r="AB973" s="37"/>
      <c r="AC973" s="29"/>
      <c r="AD973" s="29" t="b">
        <v>0</v>
      </c>
      <c r="AE973" s="22" t="str">
        <f t="shared" si="7"/>
        <v/>
      </c>
      <c r="AF973" s="7">
        <f>IF(ISBLANK(AB973), 0, VLOOKUP(AB973, 'Price Sheet'!$A$2:$B1015, 2, false))</f>
        <v>0</v>
      </c>
      <c r="AG973" s="33" t="str">
        <f t="shared" si="8"/>
        <v/>
      </c>
      <c r="AH973" s="37"/>
      <c r="AI973" s="29"/>
      <c r="AJ973" s="29" t="b">
        <v>0</v>
      </c>
      <c r="AK973" s="22" t="str">
        <f t="shared" si="9"/>
        <v/>
      </c>
      <c r="AL973" s="7">
        <f>IF(ISBLANK(AH973), 0, VLOOKUP(AH973, 'Price Sheet'!$A$2:$B1015, 2, false))</f>
        <v>0</v>
      </c>
      <c r="AM973" s="33" t="str">
        <f t="shared" si="10"/>
        <v/>
      </c>
      <c r="AN973" s="37"/>
      <c r="AO973" s="29"/>
      <c r="AP973" s="29" t="b">
        <v>0</v>
      </c>
      <c r="AQ973" s="22" t="str">
        <f t="shared" si="11"/>
        <v/>
      </c>
      <c r="AR973" s="7">
        <f>IF(ISBLANK(AN973), 0, VLOOKUP(AN973, 'Price Sheet'!$A$2:$B1015, 2, false))</f>
        <v>0</v>
      </c>
      <c r="AS973" s="33" t="str">
        <f t="shared" si="12"/>
        <v/>
      </c>
      <c r="AT973" s="37"/>
      <c r="AU973" s="29"/>
      <c r="AV973" s="29" t="b">
        <v>0</v>
      </c>
      <c r="AW973" s="22" t="str">
        <f t="shared" si="13"/>
        <v/>
      </c>
      <c r="AX973" s="7">
        <f>IF(ISBLANK(AT973), 0, VLOOKUP(AT973, 'Price Sheet'!$A$2:$B1015, 2, false))</f>
        <v>0</v>
      </c>
      <c r="AY973" s="33" t="str">
        <f t="shared" si="14"/>
        <v/>
      </c>
      <c r="AZ973" s="37"/>
      <c r="BA973" s="29"/>
      <c r="BB973" s="29" t="b">
        <v>0</v>
      </c>
      <c r="BC973" s="22" t="str">
        <f t="shared" si="15"/>
        <v/>
      </c>
      <c r="BD973" s="7">
        <f>IF(ISBLANK(AZ973), 0, VLOOKUP(AZ973, 'Price Sheet'!$A$2:$B1015, 2, false))</f>
        <v>0</v>
      </c>
      <c r="BE973" s="33" t="str">
        <f t="shared" si="16"/>
        <v/>
      </c>
      <c r="BF973" s="37"/>
      <c r="BG973" s="29"/>
      <c r="BH973" s="29" t="b">
        <v>0</v>
      </c>
      <c r="BI973" s="22" t="str">
        <f t="shared" si="17"/>
        <v/>
      </c>
      <c r="BJ973" s="7">
        <f>IF(ISBLANK(BF973), 0, VLOOKUP(BF973, 'Price Sheet'!$A$2:$B1015, 2, false))</f>
        <v>0</v>
      </c>
      <c r="BK973" s="33" t="str">
        <f t="shared" si="18"/>
        <v/>
      </c>
      <c r="BL973" s="37"/>
      <c r="BM973" s="29"/>
      <c r="BN973" s="29" t="b">
        <v>0</v>
      </c>
      <c r="BO973" s="22" t="str">
        <f t="shared" si="19"/>
        <v/>
      </c>
      <c r="BP973" s="7">
        <f>IF(ISBLANK(BL973), 0, VLOOKUP(BL973, 'Price Sheet'!$A$2:$B1015, 2, false))</f>
        <v>0</v>
      </c>
      <c r="BQ973" s="33" t="str">
        <f t="shared" si="20"/>
        <v/>
      </c>
    </row>
    <row r="974">
      <c r="B974" s="19"/>
      <c r="C974" s="29"/>
      <c r="D974" s="29"/>
      <c r="E974" s="7" t="str">
        <f>IF(ISBLANK(D974), "", VLOOKUP(D974,'Crafting Tables'!$A$2:$B1015, 2, false))</f>
        <v/>
      </c>
      <c r="F974" s="7" t="str">
        <f>IFERROR(IF(E974 = "None", 1, VLOOKUP(C974,General!$A$5:$L$35, SWITCH(E974, "Basic", 8, "Advanced", 10, "Modern", 12), false)),"")</f>
        <v/>
      </c>
      <c r="G974" s="29"/>
      <c r="H974" s="7">
        <f>IFERROR(VLOOKUP(C974, General!$A$5:$L$35, 6, false) * G974 / 1000, 0)</f>
        <v>0</v>
      </c>
      <c r="I974" s="29"/>
      <c r="J974" s="22" t="str">
        <f>IFERROR(I974*VLOOKUP(D974,'Crafting Tables'!$1:$1000, 4, false)*F974,"")</f>
        <v/>
      </c>
      <c r="K974" s="29" t="b">
        <v>0</v>
      </c>
      <c r="L974" s="37"/>
      <c r="M974" s="29"/>
      <c r="N974" s="21" t="str">
        <f t="shared" si="2"/>
        <v/>
      </c>
      <c r="P974" s="37"/>
      <c r="Q974" s="29"/>
      <c r="R974" s="29" t="b">
        <v>0</v>
      </c>
      <c r="S974" s="22" t="str">
        <f t="shared" si="3"/>
        <v/>
      </c>
      <c r="T974" s="7">
        <f>IF(ISBLANK(P974), 0, VLOOKUP(P974, 'Price Sheet'!$A$2:$B1015, 2, false))</f>
        <v>0</v>
      </c>
      <c r="U974" s="33" t="str">
        <f t="shared" si="4"/>
        <v/>
      </c>
      <c r="V974" s="37"/>
      <c r="W974" s="29"/>
      <c r="X974" s="29" t="b">
        <v>0</v>
      </c>
      <c r="Y974" s="22" t="str">
        <f t="shared" si="5"/>
        <v/>
      </c>
      <c r="Z974" s="7">
        <f>IF(ISBLANK(V974), 0, VLOOKUP(V974, 'Price Sheet'!$A$2:$B1015, 2, false))</f>
        <v>0</v>
      </c>
      <c r="AA974" s="33" t="str">
        <f t="shared" si="6"/>
        <v/>
      </c>
      <c r="AB974" s="37"/>
      <c r="AC974" s="29"/>
      <c r="AD974" s="29" t="b">
        <v>0</v>
      </c>
      <c r="AE974" s="22" t="str">
        <f t="shared" si="7"/>
        <v/>
      </c>
      <c r="AF974" s="7">
        <f>IF(ISBLANK(AB974), 0, VLOOKUP(AB974, 'Price Sheet'!$A$2:$B1015, 2, false))</f>
        <v>0</v>
      </c>
      <c r="AG974" s="33" t="str">
        <f t="shared" si="8"/>
        <v/>
      </c>
      <c r="AH974" s="37"/>
      <c r="AI974" s="29"/>
      <c r="AJ974" s="29" t="b">
        <v>0</v>
      </c>
      <c r="AK974" s="22" t="str">
        <f t="shared" si="9"/>
        <v/>
      </c>
      <c r="AL974" s="7">
        <f>IF(ISBLANK(AH974), 0, VLOOKUP(AH974, 'Price Sheet'!$A$2:$B1015, 2, false))</f>
        <v>0</v>
      </c>
      <c r="AM974" s="33" t="str">
        <f t="shared" si="10"/>
        <v/>
      </c>
      <c r="AN974" s="37"/>
      <c r="AO974" s="29"/>
      <c r="AP974" s="29" t="b">
        <v>0</v>
      </c>
      <c r="AQ974" s="22" t="str">
        <f t="shared" si="11"/>
        <v/>
      </c>
      <c r="AR974" s="7">
        <f>IF(ISBLANK(AN974), 0, VLOOKUP(AN974, 'Price Sheet'!$A$2:$B1015, 2, false))</f>
        <v>0</v>
      </c>
      <c r="AS974" s="33" t="str">
        <f t="shared" si="12"/>
        <v/>
      </c>
      <c r="AT974" s="37"/>
      <c r="AU974" s="29"/>
      <c r="AV974" s="29" t="b">
        <v>0</v>
      </c>
      <c r="AW974" s="22" t="str">
        <f t="shared" si="13"/>
        <v/>
      </c>
      <c r="AX974" s="7">
        <f>IF(ISBLANK(AT974), 0, VLOOKUP(AT974, 'Price Sheet'!$A$2:$B1015, 2, false))</f>
        <v>0</v>
      </c>
      <c r="AY974" s="33" t="str">
        <f t="shared" si="14"/>
        <v/>
      </c>
      <c r="AZ974" s="37"/>
      <c r="BA974" s="29"/>
      <c r="BB974" s="29" t="b">
        <v>0</v>
      </c>
      <c r="BC974" s="22" t="str">
        <f t="shared" si="15"/>
        <v/>
      </c>
      <c r="BD974" s="7">
        <f>IF(ISBLANK(AZ974), 0, VLOOKUP(AZ974, 'Price Sheet'!$A$2:$B1015, 2, false))</f>
        <v>0</v>
      </c>
      <c r="BE974" s="33" t="str">
        <f t="shared" si="16"/>
        <v/>
      </c>
      <c r="BF974" s="37"/>
      <c r="BG974" s="29"/>
      <c r="BH974" s="29" t="b">
        <v>0</v>
      </c>
      <c r="BI974" s="22" t="str">
        <f t="shared" si="17"/>
        <v/>
      </c>
      <c r="BJ974" s="7">
        <f>IF(ISBLANK(BF974), 0, VLOOKUP(BF974, 'Price Sheet'!$A$2:$B1015, 2, false))</f>
        <v>0</v>
      </c>
      <c r="BK974" s="33" t="str">
        <f t="shared" si="18"/>
        <v/>
      </c>
      <c r="BL974" s="37"/>
      <c r="BM974" s="29"/>
      <c r="BN974" s="29" t="b">
        <v>0</v>
      </c>
      <c r="BO974" s="22" t="str">
        <f t="shared" si="19"/>
        <v/>
      </c>
      <c r="BP974" s="7">
        <f>IF(ISBLANK(BL974), 0, VLOOKUP(BL974, 'Price Sheet'!$A$2:$B1015, 2, false))</f>
        <v>0</v>
      </c>
      <c r="BQ974" s="33" t="str">
        <f t="shared" si="20"/>
        <v/>
      </c>
    </row>
    <row r="975">
      <c r="B975" s="19"/>
      <c r="C975" s="29"/>
      <c r="D975" s="29"/>
      <c r="E975" s="7" t="str">
        <f>IF(ISBLANK(D975), "", VLOOKUP(D975,'Crafting Tables'!$A$2:$B1015, 2, false))</f>
        <v/>
      </c>
      <c r="F975" s="7" t="str">
        <f>IFERROR(IF(E975 = "None", 1, VLOOKUP(C975,General!$A$5:$L$35, SWITCH(E975, "Basic", 8, "Advanced", 10, "Modern", 12), false)),"")</f>
        <v/>
      </c>
      <c r="G975" s="29"/>
      <c r="H975" s="7">
        <f>IFERROR(VLOOKUP(C975, General!$A$5:$L$35, 6, false) * G975 / 1000, 0)</f>
        <v>0</v>
      </c>
      <c r="I975" s="29"/>
      <c r="J975" s="22" t="str">
        <f>IFERROR(I975*VLOOKUP(D975,'Crafting Tables'!$1:$1000, 4, false)*F975,"")</f>
        <v/>
      </c>
      <c r="K975" s="29" t="b">
        <v>0</v>
      </c>
      <c r="L975" s="37"/>
      <c r="M975" s="29"/>
      <c r="N975" s="21" t="str">
        <f t="shared" si="2"/>
        <v/>
      </c>
      <c r="P975" s="37"/>
      <c r="Q975" s="29"/>
      <c r="R975" s="29" t="b">
        <v>0</v>
      </c>
      <c r="S975" s="22" t="str">
        <f t="shared" si="3"/>
        <v/>
      </c>
      <c r="T975" s="7">
        <f>IF(ISBLANK(P975), 0, VLOOKUP(P975, 'Price Sheet'!$A$2:$B1015, 2, false))</f>
        <v>0</v>
      </c>
      <c r="U975" s="33" t="str">
        <f t="shared" si="4"/>
        <v/>
      </c>
      <c r="V975" s="37"/>
      <c r="W975" s="29"/>
      <c r="X975" s="29" t="b">
        <v>0</v>
      </c>
      <c r="Y975" s="22" t="str">
        <f t="shared" si="5"/>
        <v/>
      </c>
      <c r="Z975" s="7">
        <f>IF(ISBLANK(V975), 0, VLOOKUP(V975, 'Price Sheet'!$A$2:$B1015, 2, false))</f>
        <v>0</v>
      </c>
      <c r="AA975" s="33" t="str">
        <f t="shared" si="6"/>
        <v/>
      </c>
      <c r="AB975" s="37"/>
      <c r="AC975" s="29"/>
      <c r="AD975" s="29" t="b">
        <v>0</v>
      </c>
      <c r="AE975" s="22" t="str">
        <f t="shared" si="7"/>
        <v/>
      </c>
      <c r="AF975" s="7">
        <f>IF(ISBLANK(AB975), 0, VLOOKUP(AB975, 'Price Sheet'!$A$2:$B1015, 2, false))</f>
        <v>0</v>
      </c>
      <c r="AG975" s="33" t="str">
        <f t="shared" si="8"/>
        <v/>
      </c>
      <c r="AH975" s="37"/>
      <c r="AI975" s="29"/>
      <c r="AJ975" s="29" t="b">
        <v>0</v>
      </c>
      <c r="AK975" s="22" t="str">
        <f t="shared" si="9"/>
        <v/>
      </c>
      <c r="AL975" s="7">
        <f>IF(ISBLANK(AH975), 0, VLOOKUP(AH975, 'Price Sheet'!$A$2:$B1015, 2, false))</f>
        <v>0</v>
      </c>
      <c r="AM975" s="33" t="str">
        <f t="shared" si="10"/>
        <v/>
      </c>
      <c r="AN975" s="37"/>
      <c r="AO975" s="29"/>
      <c r="AP975" s="29" t="b">
        <v>0</v>
      </c>
      <c r="AQ975" s="22" t="str">
        <f t="shared" si="11"/>
        <v/>
      </c>
      <c r="AR975" s="7">
        <f>IF(ISBLANK(AN975), 0, VLOOKUP(AN975, 'Price Sheet'!$A$2:$B1015, 2, false))</f>
        <v>0</v>
      </c>
      <c r="AS975" s="33" t="str">
        <f t="shared" si="12"/>
        <v/>
      </c>
      <c r="AT975" s="37"/>
      <c r="AU975" s="29"/>
      <c r="AV975" s="29" t="b">
        <v>0</v>
      </c>
      <c r="AW975" s="22" t="str">
        <f t="shared" si="13"/>
        <v/>
      </c>
      <c r="AX975" s="7">
        <f>IF(ISBLANK(AT975), 0, VLOOKUP(AT975, 'Price Sheet'!$A$2:$B1015, 2, false))</f>
        <v>0</v>
      </c>
      <c r="AY975" s="33" t="str">
        <f t="shared" si="14"/>
        <v/>
      </c>
      <c r="AZ975" s="37"/>
      <c r="BA975" s="29"/>
      <c r="BB975" s="29" t="b">
        <v>0</v>
      </c>
      <c r="BC975" s="22" t="str">
        <f t="shared" si="15"/>
        <v/>
      </c>
      <c r="BD975" s="7">
        <f>IF(ISBLANK(AZ975), 0, VLOOKUP(AZ975, 'Price Sheet'!$A$2:$B1015, 2, false))</f>
        <v>0</v>
      </c>
      <c r="BE975" s="33" t="str">
        <f t="shared" si="16"/>
        <v/>
      </c>
      <c r="BF975" s="37"/>
      <c r="BG975" s="29"/>
      <c r="BH975" s="29" t="b">
        <v>0</v>
      </c>
      <c r="BI975" s="22" t="str">
        <f t="shared" si="17"/>
        <v/>
      </c>
      <c r="BJ975" s="7">
        <f>IF(ISBLANK(BF975), 0, VLOOKUP(BF975, 'Price Sheet'!$A$2:$B1015, 2, false))</f>
        <v>0</v>
      </c>
      <c r="BK975" s="33" t="str">
        <f t="shared" si="18"/>
        <v/>
      </c>
      <c r="BL975" s="37"/>
      <c r="BM975" s="29"/>
      <c r="BN975" s="29" t="b">
        <v>0</v>
      </c>
      <c r="BO975" s="22" t="str">
        <f t="shared" si="19"/>
        <v/>
      </c>
      <c r="BP975" s="7">
        <f>IF(ISBLANK(BL975), 0, VLOOKUP(BL975, 'Price Sheet'!$A$2:$B1015, 2, false))</f>
        <v>0</v>
      </c>
      <c r="BQ975" s="33" t="str">
        <f t="shared" si="20"/>
        <v/>
      </c>
    </row>
    <row r="976">
      <c r="B976" s="19"/>
      <c r="C976" s="29"/>
      <c r="D976" s="29"/>
      <c r="E976" s="7" t="str">
        <f>IF(ISBLANK(D976), "", VLOOKUP(D976,'Crafting Tables'!$A$2:$B1015, 2, false))</f>
        <v/>
      </c>
      <c r="F976" s="7" t="str">
        <f>IFERROR(IF(E976 = "None", 1, VLOOKUP(C976,General!$A$5:$L$35, SWITCH(E976, "Basic", 8, "Advanced", 10, "Modern", 12), false)),"")</f>
        <v/>
      </c>
      <c r="G976" s="29"/>
      <c r="H976" s="7">
        <f>IFERROR(VLOOKUP(C976, General!$A$5:$L$35, 6, false) * G976 / 1000, 0)</f>
        <v>0</v>
      </c>
      <c r="I976" s="29"/>
      <c r="J976" s="22" t="str">
        <f>IFERROR(I976*VLOOKUP(D976,'Crafting Tables'!$1:$1000, 4, false)*F976,"")</f>
        <v/>
      </c>
      <c r="K976" s="29" t="b">
        <v>0</v>
      </c>
      <c r="L976" s="37"/>
      <c r="M976" s="29"/>
      <c r="N976" s="21" t="str">
        <f t="shared" si="2"/>
        <v/>
      </c>
      <c r="P976" s="37"/>
      <c r="Q976" s="29"/>
      <c r="R976" s="29" t="b">
        <v>0</v>
      </c>
      <c r="S976" s="22" t="str">
        <f t="shared" si="3"/>
        <v/>
      </c>
      <c r="T976" s="7">
        <f>IF(ISBLANK(P976), 0, VLOOKUP(P976, 'Price Sheet'!$A$2:$B1015, 2, false))</f>
        <v>0</v>
      </c>
      <c r="U976" s="33" t="str">
        <f t="shared" si="4"/>
        <v/>
      </c>
      <c r="V976" s="37"/>
      <c r="W976" s="29"/>
      <c r="X976" s="29" t="b">
        <v>0</v>
      </c>
      <c r="Y976" s="22" t="str">
        <f t="shared" si="5"/>
        <v/>
      </c>
      <c r="Z976" s="7">
        <f>IF(ISBLANK(V976), 0, VLOOKUP(V976, 'Price Sheet'!$A$2:$B1015, 2, false))</f>
        <v>0</v>
      </c>
      <c r="AA976" s="33" t="str">
        <f t="shared" si="6"/>
        <v/>
      </c>
      <c r="AB976" s="37"/>
      <c r="AC976" s="29"/>
      <c r="AD976" s="29" t="b">
        <v>0</v>
      </c>
      <c r="AE976" s="22" t="str">
        <f t="shared" si="7"/>
        <v/>
      </c>
      <c r="AF976" s="7">
        <f>IF(ISBLANK(AB976), 0, VLOOKUP(AB976, 'Price Sheet'!$A$2:$B1015, 2, false))</f>
        <v>0</v>
      </c>
      <c r="AG976" s="33" t="str">
        <f t="shared" si="8"/>
        <v/>
      </c>
      <c r="AH976" s="37"/>
      <c r="AI976" s="29"/>
      <c r="AJ976" s="29" t="b">
        <v>0</v>
      </c>
      <c r="AK976" s="22" t="str">
        <f t="shared" si="9"/>
        <v/>
      </c>
      <c r="AL976" s="7">
        <f>IF(ISBLANK(AH976), 0, VLOOKUP(AH976, 'Price Sheet'!$A$2:$B1015, 2, false))</f>
        <v>0</v>
      </c>
      <c r="AM976" s="33" t="str">
        <f t="shared" si="10"/>
        <v/>
      </c>
      <c r="AN976" s="37"/>
      <c r="AO976" s="29"/>
      <c r="AP976" s="29" t="b">
        <v>0</v>
      </c>
      <c r="AQ976" s="22" t="str">
        <f t="shared" si="11"/>
        <v/>
      </c>
      <c r="AR976" s="7">
        <f>IF(ISBLANK(AN976), 0, VLOOKUP(AN976, 'Price Sheet'!$A$2:$B1015, 2, false))</f>
        <v>0</v>
      </c>
      <c r="AS976" s="33" t="str">
        <f t="shared" si="12"/>
        <v/>
      </c>
      <c r="AT976" s="37"/>
      <c r="AU976" s="29"/>
      <c r="AV976" s="29" t="b">
        <v>0</v>
      </c>
      <c r="AW976" s="22" t="str">
        <f t="shared" si="13"/>
        <v/>
      </c>
      <c r="AX976" s="7">
        <f>IF(ISBLANK(AT976), 0, VLOOKUP(AT976, 'Price Sheet'!$A$2:$B1015, 2, false))</f>
        <v>0</v>
      </c>
      <c r="AY976" s="33" t="str">
        <f t="shared" si="14"/>
        <v/>
      </c>
      <c r="AZ976" s="37"/>
      <c r="BA976" s="29"/>
      <c r="BB976" s="29" t="b">
        <v>0</v>
      </c>
      <c r="BC976" s="22" t="str">
        <f t="shared" si="15"/>
        <v/>
      </c>
      <c r="BD976" s="7">
        <f>IF(ISBLANK(AZ976), 0, VLOOKUP(AZ976, 'Price Sheet'!$A$2:$B1015, 2, false))</f>
        <v>0</v>
      </c>
      <c r="BE976" s="33" t="str">
        <f t="shared" si="16"/>
        <v/>
      </c>
      <c r="BF976" s="37"/>
      <c r="BG976" s="29"/>
      <c r="BH976" s="29" t="b">
        <v>0</v>
      </c>
      <c r="BI976" s="22" t="str">
        <f t="shared" si="17"/>
        <v/>
      </c>
      <c r="BJ976" s="7">
        <f>IF(ISBLANK(BF976), 0, VLOOKUP(BF976, 'Price Sheet'!$A$2:$B1015, 2, false))</f>
        <v>0</v>
      </c>
      <c r="BK976" s="33" t="str">
        <f t="shared" si="18"/>
        <v/>
      </c>
      <c r="BL976" s="37"/>
      <c r="BM976" s="29"/>
      <c r="BN976" s="29" t="b">
        <v>0</v>
      </c>
      <c r="BO976" s="22" t="str">
        <f t="shared" si="19"/>
        <v/>
      </c>
      <c r="BP976" s="7">
        <f>IF(ISBLANK(BL976), 0, VLOOKUP(BL976, 'Price Sheet'!$A$2:$B1015, 2, false))</f>
        <v>0</v>
      </c>
      <c r="BQ976" s="33" t="str">
        <f t="shared" si="20"/>
        <v/>
      </c>
    </row>
    <row r="977">
      <c r="B977" s="19"/>
      <c r="C977" s="29"/>
      <c r="D977" s="29"/>
      <c r="E977" s="7" t="str">
        <f>IF(ISBLANK(D977), "", VLOOKUP(D977,'Crafting Tables'!$A$2:$B1015, 2, false))</f>
        <v/>
      </c>
      <c r="F977" s="7" t="str">
        <f>IFERROR(IF(E977 = "None", 1, VLOOKUP(C977,General!$A$5:$L$35, SWITCH(E977, "Basic", 8, "Advanced", 10, "Modern", 12), false)),"")</f>
        <v/>
      </c>
      <c r="G977" s="29"/>
      <c r="H977" s="7">
        <f>IFERROR(VLOOKUP(C977, General!$A$5:$L$35, 6, false) * G977 / 1000, 0)</f>
        <v>0</v>
      </c>
      <c r="I977" s="29"/>
      <c r="J977" s="22" t="str">
        <f>IFERROR(I977*VLOOKUP(D977,'Crafting Tables'!$1:$1000, 4, false)*F977,"")</f>
        <v/>
      </c>
      <c r="K977" s="29" t="b">
        <v>0</v>
      </c>
      <c r="L977" s="37"/>
      <c r="M977" s="29"/>
      <c r="N977" s="21" t="str">
        <f t="shared" si="2"/>
        <v/>
      </c>
      <c r="P977" s="37"/>
      <c r="Q977" s="29"/>
      <c r="R977" s="29" t="b">
        <v>0</v>
      </c>
      <c r="S977" s="22" t="str">
        <f t="shared" si="3"/>
        <v/>
      </c>
      <c r="T977" s="7">
        <f>IF(ISBLANK(P977), 0, VLOOKUP(P977, 'Price Sheet'!$A$2:$B1015, 2, false))</f>
        <v>0</v>
      </c>
      <c r="U977" s="33" t="str">
        <f t="shared" si="4"/>
        <v/>
      </c>
      <c r="V977" s="37"/>
      <c r="W977" s="29"/>
      <c r="X977" s="29" t="b">
        <v>0</v>
      </c>
      <c r="Y977" s="22" t="str">
        <f t="shared" si="5"/>
        <v/>
      </c>
      <c r="Z977" s="7">
        <f>IF(ISBLANK(V977), 0, VLOOKUP(V977, 'Price Sheet'!$A$2:$B1015, 2, false))</f>
        <v>0</v>
      </c>
      <c r="AA977" s="33" t="str">
        <f t="shared" si="6"/>
        <v/>
      </c>
      <c r="AB977" s="37"/>
      <c r="AC977" s="29"/>
      <c r="AD977" s="29" t="b">
        <v>0</v>
      </c>
      <c r="AE977" s="22" t="str">
        <f t="shared" si="7"/>
        <v/>
      </c>
      <c r="AF977" s="7">
        <f>IF(ISBLANK(AB977), 0, VLOOKUP(AB977, 'Price Sheet'!$A$2:$B1015, 2, false))</f>
        <v>0</v>
      </c>
      <c r="AG977" s="33" t="str">
        <f t="shared" si="8"/>
        <v/>
      </c>
      <c r="AH977" s="37"/>
      <c r="AI977" s="29"/>
      <c r="AJ977" s="29" t="b">
        <v>0</v>
      </c>
      <c r="AK977" s="22" t="str">
        <f t="shared" si="9"/>
        <v/>
      </c>
      <c r="AL977" s="7">
        <f>IF(ISBLANK(AH977), 0, VLOOKUP(AH977, 'Price Sheet'!$A$2:$B1015, 2, false))</f>
        <v>0</v>
      </c>
      <c r="AM977" s="33" t="str">
        <f t="shared" si="10"/>
        <v/>
      </c>
      <c r="AN977" s="37"/>
      <c r="AO977" s="29"/>
      <c r="AP977" s="29" t="b">
        <v>0</v>
      </c>
      <c r="AQ977" s="22" t="str">
        <f t="shared" si="11"/>
        <v/>
      </c>
      <c r="AR977" s="7">
        <f>IF(ISBLANK(AN977), 0, VLOOKUP(AN977, 'Price Sheet'!$A$2:$B1015, 2, false))</f>
        <v>0</v>
      </c>
      <c r="AS977" s="33" t="str">
        <f t="shared" si="12"/>
        <v/>
      </c>
      <c r="AT977" s="37"/>
      <c r="AU977" s="29"/>
      <c r="AV977" s="29" t="b">
        <v>0</v>
      </c>
      <c r="AW977" s="22" t="str">
        <f t="shared" si="13"/>
        <v/>
      </c>
      <c r="AX977" s="7">
        <f>IF(ISBLANK(AT977), 0, VLOOKUP(AT977, 'Price Sheet'!$A$2:$B1015, 2, false))</f>
        <v>0</v>
      </c>
      <c r="AY977" s="33" t="str">
        <f t="shared" si="14"/>
        <v/>
      </c>
      <c r="AZ977" s="37"/>
      <c r="BA977" s="29"/>
      <c r="BB977" s="29" t="b">
        <v>0</v>
      </c>
      <c r="BC977" s="22" t="str">
        <f t="shared" si="15"/>
        <v/>
      </c>
      <c r="BD977" s="7">
        <f>IF(ISBLANK(AZ977), 0, VLOOKUP(AZ977, 'Price Sheet'!$A$2:$B1015, 2, false))</f>
        <v>0</v>
      </c>
      <c r="BE977" s="33" t="str">
        <f t="shared" si="16"/>
        <v/>
      </c>
      <c r="BF977" s="37"/>
      <c r="BG977" s="29"/>
      <c r="BH977" s="29" t="b">
        <v>0</v>
      </c>
      <c r="BI977" s="22" t="str">
        <f t="shared" si="17"/>
        <v/>
      </c>
      <c r="BJ977" s="7">
        <f>IF(ISBLANK(BF977), 0, VLOOKUP(BF977, 'Price Sheet'!$A$2:$B1015, 2, false))</f>
        <v>0</v>
      </c>
      <c r="BK977" s="33" t="str">
        <f t="shared" si="18"/>
        <v/>
      </c>
      <c r="BL977" s="37"/>
      <c r="BM977" s="29"/>
      <c r="BN977" s="29" t="b">
        <v>0</v>
      </c>
      <c r="BO977" s="22" t="str">
        <f t="shared" si="19"/>
        <v/>
      </c>
      <c r="BP977" s="7">
        <f>IF(ISBLANK(BL977), 0, VLOOKUP(BL977, 'Price Sheet'!$A$2:$B1015, 2, false))</f>
        <v>0</v>
      </c>
      <c r="BQ977" s="33" t="str">
        <f t="shared" si="20"/>
        <v/>
      </c>
    </row>
    <row r="978">
      <c r="B978" s="19"/>
      <c r="C978" s="29"/>
      <c r="D978" s="29"/>
      <c r="E978" s="7" t="str">
        <f>IF(ISBLANK(D978), "", VLOOKUP(D978,'Crafting Tables'!$A$2:$B1015, 2, false))</f>
        <v/>
      </c>
      <c r="F978" s="7" t="str">
        <f>IFERROR(IF(E978 = "None", 1, VLOOKUP(C978,General!$A$5:$L$35, SWITCH(E978, "Basic", 8, "Advanced", 10, "Modern", 12), false)),"")</f>
        <v/>
      </c>
      <c r="G978" s="29"/>
      <c r="H978" s="7">
        <f>IFERROR(VLOOKUP(C978, General!$A$5:$L$35, 6, false) * G978 / 1000, 0)</f>
        <v>0</v>
      </c>
      <c r="I978" s="29"/>
      <c r="J978" s="22" t="str">
        <f>IFERROR(I978*VLOOKUP(D978,'Crafting Tables'!$1:$1000, 4, false)*F978,"")</f>
        <v/>
      </c>
      <c r="K978" s="29" t="b">
        <v>0</v>
      </c>
      <c r="L978" s="37"/>
      <c r="M978" s="29"/>
      <c r="N978" s="21" t="str">
        <f t="shared" si="2"/>
        <v/>
      </c>
      <c r="P978" s="37"/>
      <c r="Q978" s="29"/>
      <c r="R978" s="29" t="b">
        <v>0</v>
      </c>
      <c r="S978" s="22" t="str">
        <f t="shared" si="3"/>
        <v/>
      </c>
      <c r="T978" s="7">
        <f>IF(ISBLANK(P978), 0, VLOOKUP(P978, 'Price Sheet'!$A$2:$B1015, 2, false))</f>
        <v>0</v>
      </c>
      <c r="U978" s="33" t="str">
        <f t="shared" si="4"/>
        <v/>
      </c>
      <c r="V978" s="37"/>
      <c r="W978" s="29"/>
      <c r="X978" s="29" t="b">
        <v>0</v>
      </c>
      <c r="Y978" s="22" t="str">
        <f t="shared" si="5"/>
        <v/>
      </c>
      <c r="Z978" s="7">
        <f>IF(ISBLANK(V978), 0, VLOOKUP(V978, 'Price Sheet'!$A$2:$B1015, 2, false))</f>
        <v>0</v>
      </c>
      <c r="AA978" s="33" t="str">
        <f t="shared" si="6"/>
        <v/>
      </c>
      <c r="AB978" s="37"/>
      <c r="AC978" s="29"/>
      <c r="AD978" s="29" t="b">
        <v>0</v>
      </c>
      <c r="AE978" s="22" t="str">
        <f t="shared" si="7"/>
        <v/>
      </c>
      <c r="AF978" s="7">
        <f>IF(ISBLANK(AB978), 0, VLOOKUP(AB978, 'Price Sheet'!$A$2:$B1015, 2, false))</f>
        <v>0</v>
      </c>
      <c r="AG978" s="33" t="str">
        <f t="shared" si="8"/>
        <v/>
      </c>
      <c r="AH978" s="37"/>
      <c r="AI978" s="29"/>
      <c r="AJ978" s="29" t="b">
        <v>0</v>
      </c>
      <c r="AK978" s="22" t="str">
        <f t="shared" si="9"/>
        <v/>
      </c>
      <c r="AL978" s="7">
        <f>IF(ISBLANK(AH978), 0, VLOOKUP(AH978, 'Price Sheet'!$A$2:$B1015, 2, false))</f>
        <v>0</v>
      </c>
      <c r="AM978" s="33" t="str">
        <f t="shared" si="10"/>
        <v/>
      </c>
      <c r="AN978" s="37"/>
      <c r="AO978" s="29"/>
      <c r="AP978" s="29" t="b">
        <v>0</v>
      </c>
      <c r="AQ978" s="22" t="str">
        <f t="shared" si="11"/>
        <v/>
      </c>
      <c r="AR978" s="7">
        <f>IF(ISBLANK(AN978), 0, VLOOKUP(AN978, 'Price Sheet'!$A$2:$B1015, 2, false))</f>
        <v>0</v>
      </c>
      <c r="AS978" s="33" t="str">
        <f t="shared" si="12"/>
        <v/>
      </c>
      <c r="AT978" s="37"/>
      <c r="AU978" s="29"/>
      <c r="AV978" s="29" t="b">
        <v>0</v>
      </c>
      <c r="AW978" s="22" t="str">
        <f t="shared" si="13"/>
        <v/>
      </c>
      <c r="AX978" s="7">
        <f>IF(ISBLANK(AT978), 0, VLOOKUP(AT978, 'Price Sheet'!$A$2:$B1015, 2, false))</f>
        <v>0</v>
      </c>
      <c r="AY978" s="33" t="str">
        <f t="shared" si="14"/>
        <v/>
      </c>
      <c r="AZ978" s="37"/>
      <c r="BA978" s="29"/>
      <c r="BB978" s="29" t="b">
        <v>0</v>
      </c>
      <c r="BC978" s="22" t="str">
        <f t="shared" si="15"/>
        <v/>
      </c>
      <c r="BD978" s="7">
        <f>IF(ISBLANK(AZ978), 0, VLOOKUP(AZ978, 'Price Sheet'!$A$2:$B1015, 2, false))</f>
        <v>0</v>
      </c>
      <c r="BE978" s="33" t="str">
        <f t="shared" si="16"/>
        <v/>
      </c>
      <c r="BF978" s="37"/>
      <c r="BG978" s="29"/>
      <c r="BH978" s="29" t="b">
        <v>0</v>
      </c>
      <c r="BI978" s="22" t="str">
        <f t="shared" si="17"/>
        <v/>
      </c>
      <c r="BJ978" s="7">
        <f>IF(ISBLANK(BF978), 0, VLOOKUP(BF978, 'Price Sheet'!$A$2:$B1015, 2, false))</f>
        <v>0</v>
      </c>
      <c r="BK978" s="33" t="str">
        <f t="shared" si="18"/>
        <v/>
      </c>
      <c r="BL978" s="37"/>
      <c r="BM978" s="29"/>
      <c r="BN978" s="29" t="b">
        <v>0</v>
      </c>
      <c r="BO978" s="22" t="str">
        <f t="shared" si="19"/>
        <v/>
      </c>
      <c r="BP978" s="7">
        <f>IF(ISBLANK(BL978), 0, VLOOKUP(BL978, 'Price Sheet'!$A$2:$B1015, 2, false))</f>
        <v>0</v>
      </c>
      <c r="BQ978" s="33" t="str">
        <f t="shared" si="20"/>
        <v/>
      </c>
    </row>
    <row r="979">
      <c r="B979" s="19"/>
      <c r="C979" s="29"/>
      <c r="D979" s="29"/>
      <c r="E979" s="7" t="str">
        <f>IF(ISBLANK(D979), "", VLOOKUP(D979,'Crafting Tables'!$A$2:$B1015, 2, false))</f>
        <v/>
      </c>
      <c r="F979" s="7" t="str">
        <f>IFERROR(IF(E979 = "None", 1, VLOOKUP(C979,General!$A$5:$L$35, SWITCH(E979, "Basic", 8, "Advanced", 10, "Modern", 12), false)),"")</f>
        <v/>
      </c>
      <c r="G979" s="29"/>
      <c r="H979" s="7">
        <f>IFERROR(VLOOKUP(C979, General!$A$5:$L$35, 6, false) * G979 / 1000, 0)</f>
        <v>0</v>
      </c>
      <c r="I979" s="29"/>
      <c r="J979" s="22" t="str">
        <f>IFERROR(I979*VLOOKUP(D979,'Crafting Tables'!$1:$1000, 4, false)*F979,"")</f>
        <v/>
      </c>
      <c r="K979" s="29" t="b">
        <v>0</v>
      </c>
      <c r="L979" s="37"/>
      <c r="M979" s="29"/>
      <c r="N979" s="21" t="str">
        <f t="shared" si="2"/>
        <v/>
      </c>
      <c r="P979" s="37"/>
      <c r="Q979" s="29"/>
      <c r="R979" s="29" t="b">
        <v>0</v>
      </c>
      <c r="S979" s="22" t="str">
        <f t="shared" si="3"/>
        <v/>
      </c>
      <c r="T979" s="7">
        <f>IF(ISBLANK(P979), 0, VLOOKUP(P979, 'Price Sheet'!$A$2:$B1015, 2, false))</f>
        <v>0</v>
      </c>
      <c r="U979" s="33" t="str">
        <f t="shared" si="4"/>
        <v/>
      </c>
      <c r="V979" s="37"/>
      <c r="W979" s="29"/>
      <c r="X979" s="29" t="b">
        <v>0</v>
      </c>
      <c r="Y979" s="22" t="str">
        <f t="shared" si="5"/>
        <v/>
      </c>
      <c r="Z979" s="7">
        <f>IF(ISBLANK(V979), 0, VLOOKUP(V979, 'Price Sheet'!$A$2:$B1015, 2, false))</f>
        <v>0</v>
      </c>
      <c r="AA979" s="33" t="str">
        <f t="shared" si="6"/>
        <v/>
      </c>
      <c r="AB979" s="37"/>
      <c r="AC979" s="29"/>
      <c r="AD979" s="29" t="b">
        <v>0</v>
      </c>
      <c r="AE979" s="22" t="str">
        <f t="shared" si="7"/>
        <v/>
      </c>
      <c r="AF979" s="7">
        <f>IF(ISBLANK(AB979), 0, VLOOKUP(AB979, 'Price Sheet'!$A$2:$B1015, 2, false))</f>
        <v>0</v>
      </c>
      <c r="AG979" s="33" t="str">
        <f t="shared" si="8"/>
        <v/>
      </c>
      <c r="AH979" s="37"/>
      <c r="AI979" s="29"/>
      <c r="AJ979" s="29" t="b">
        <v>0</v>
      </c>
      <c r="AK979" s="22" t="str">
        <f t="shared" si="9"/>
        <v/>
      </c>
      <c r="AL979" s="7">
        <f>IF(ISBLANK(AH979), 0, VLOOKUP(AH979, 'Price Sheet'!$A$2:$B1015, 2, false))</f>
        <v>0</v>
      </c>
      <c r="AM979" s="33" t="str">
        <f t="shared" si="10"/>
        <v/>
      </c>
      <c r="AN979" s="37"/>
      <c r="AO979" s="29"/>
      <c r="AP979" s="29" t="b">
        <v>0</v>
      </c>
      <c r="AQ979" s="22" t="str">
        <f t="shared" si="11"/>
        <v/>
      </c>
      <c r="AR979" s="7">
        <f>IF(ISBLANK(AN979), 0, VLOOKUP(AN979, 'Price Sheet'!$A$2:$B1015, 2, false))</f>
        <v>0</v>
      </c>
      <c r="AS979" s="33" t="str">
        <f t="shared" si="12"/>
        <v/>
      </c>
      <c r="AT979" s="37"/>
      <c r="AU979" s="29"/>
      <c r="AV979" s="29" t="b">
        <v>0</v>
      </c>
      <c r="AW979" s="22" t="str">
        <f t="shared" si="13"/>
        <v/>
      </c>
      <c r="AX979" s="7">
        <f>IF(ISBLANK(AT979), 0, VLOOKUP(AT979, 'Price Sheet'!$A$2:$B1015, 2, false))</f>
        <v>0</v>
      </c>
      <c r="AY979" s="33" t="str">
        <f t="shared" si="14"/>
        <v/>
      </c>
      <c r="AZ979" s="37"/>
      <c r="BA979" s="29"/>
      <c r="BB979" s="29" t="b">
        <v>0</v>
      </c>
      <c r="BC979" s="22" t="str">
        <f t="shared" si="15"/>
        <v/>
      </c>
      <c r="BD979" s="7">
        <f>IF(ISBLANK(AZ979), 0, VLOOKUP(AZ979, 'Price Sheet'!$A$2:$B1015, 2, false))</f>
        <v>0</v>
      </c>
      <c r="BE979" s="33" t="str">
        <f t="shared" si="16"/>
        <v/>
      </c>
      <c r="BF979" s="37"/>
      <c r="BG979" s="29"/>
      <c r="BH979" s="29" t="b">
        <v>0</v>
      </c>
      <c r="BI979" s="22" t="str">
        <f t="shared" si="17"/>
        <v/>
      </c>
      <c r="BJ979" s="7">
        <f>IF(ISBLANK(BF979), 0, VLOOKUP(BF979, 'Price Sheet'!$A$2:$B1015, 2, false))</f>
        <v>0</v>
      </c>
      <c r="BK979" s="33" t="str">
        <f t="shared" si="18"/>
        <v/>
      </c>
      <c r="BL979" s="37"/>
      <c r="BM979" s="29"/>
      <c r="BN979" s="29" t="b">
        <v>0</v>
      </c>
      <c r="BO979" s="22" t="str">
        <f t="shared" si="19"/>
        <v/>
      </c>
      <c r="BP979" s="7">
        <f>IF(ISBLANK(BL979), 0, VLOOKUP(BL979, 'Price Sheet'!$A$2:$B1015, 2, false))</f>
        <v>0</v>
      </c>
      <c r="BQ979" s="33" t="str">
        <f t="shared" si="20"/>
        <v/>
      </c>
    </row>
    <row r="980">
      <c r="B980" s="19"/>
      <c r="C980" s="29"/>
      <c r="D980" s="29"/>
      <c r="E980" s="7" t="str">
        <f>IF(ISBLANK(D980), "", VLOOKUP(D980,'Crafting Tables'!$A$2:$B1015, 2, false))</f>
        <v/>
      </c>
      <c r="F980" s="7" t="str">
        <f>IFERROR(IF(E980 = "None", 1, VLOOKUP(C980,General!$A$5:$L$35, SWITCH(E980, "Basic", 8, "Advanced", 10, "Modern", 12), false)),"")</f>
        <v/>
      </c>
      <c r="G980" s="29"/>
      <c r="H980" s="7">
        <f>IFERROR(VLOOKUP(C980, General!$A$5:$L$35, 6, false) * G980 / 1000, 0)</f>
        <v>0</v>
      </c>
      <c r="I980" s="29"/>
      <c r="J980" s="22" t="str">
        <f>IFERROR(I980*VLOOKUP(D980,'Crafting Tables'!$1:$1000, 4, false)*F980,"")</f>
        <v/>
      </c>
      <c r="K980" s="29" t="b">
        <v>0</v>
      </c>
      <c r="L980" s="37"/>
      <c r="M980" s="29"/>
      <c r="N980" s="21" t="str">
        <f t="shared" si="2"/>
        <v/>
      </c>
      <c r="P980" s="37"/>
      <c r="Q980" s="29"/>
      <c r="R980" s="29" t="b">
        <v>0</v>
      </c>
      <c r="S980" s="22" t="str">
        <f t="shared" si="3"/>
        <v/>
      </c>
      <c r="T980" s="7">
        <f>IF(ISBLANK(P980), 0, VLOOKUP(P980, 'Price Sheet'!$A$2:$B1015, 2, false))</f>
        <v>0</v>
      </c>
      <c r="U980" s="33" t="str">
        <f t="shared" si="4"/>
        <v/>
      </c>
      <c r="V980" s="37"/>
      <c r="W980" s="29"/>
      <c r="X980" s="29" t="b">
        <v>0</v>
      </c>
      <c r="Y980" s="22" t="str">
        <f t="shared" si="5"/>
        <v/>
      </c>
      <c r="Z980" s="7">
        <f>IF(ISBLANK(V980), 0, VLOOKUP(V980, 'Price Sheet'!$A$2:$B1015, 2, false))</f>
        <v>0</v>
      </c>
      <c r="AA980" s="33" t="str">
        <f t="shared" si="6"/>
        <v/>
      </c>
      <c r="AB980" s="37"/>
      <c r="AC980" s="29"/>
      <c r="AD980" s="29" t="b">
        <v>0</v>
      </c>
      <c r="AE980" s="22" t="str">
        <f t="shared" si="7"/>
        <v/>
      </c>
      <c r="AF980" s="7">
        <f>IF(ISBLANK(AB980), 0, VLOOKUP(AB980, 'Price Sheet'!$A$2:$B1015, 2, false))</f>
        <v>0</v>
      </c>
      <c r="AG980" s="33" t="str">
        <f t="shared" si="8"/>
        <v/>
      </c>
      <c r="AH980" s="37"/>
      <c r="AI980" s="29"/>
      <c r="AJ980" s="29" t="b">
        <v>0</v>
      </c>
      <c r="AK980" s="22" t="str">
        <f t="shared" si="9"/>
        <v/>
      </c>
      <c r="AL980" s="7">
        <f>IF(ISBLANK(AH980), 0, VLOOKUP(AH980, 'Price Sheet'!$A$2:$B1015, 2, false))</f>
        <v>0</v>
      </c>
      <c r="AM980" s="33" t="str">
        <f t="shared" si="10"/>
        <v/>
      </c>
      <c r="AN980" s="37"/>
      <c r="AO980" s="29"/>
      <c r="AP980" s="29" t="b">
        <v>0</v>
      </c>
      <c r="AQ980" s="22" t="str">
        <f t="shared" si="11"/>
        <v/>
      </c>
      <c r="AR980" s="7">
        <f>IF(ISBLANK(AN980), 0, VLOOKUP(AN980, 'Price Sheet'!$A$2:$B1015, 2, false))</f>
        <v>0</v>
      </c>
      <c r="AS980" s="33" t="str">
        <f t="shared" si="12"/>
        <v/>
      </c>
      <c r="AT980" s="37"/>
      <c r="AU980" s="29"/>
      <c r="AV980" s="29" t="b">
        <v>0</v>
      </c>
      <c r="AW980" s="22" t="str">
        <f t="shared" si="13"/>
        <v/>
      </c>
      <c r="AX980" s="7">
        <f>IF(ISBLANK(AT980), 0, VLOOKUP(AT980, 'Price Sheet'!$A$2:$B1015, 2, false))</f>
        <v>0</v>
      </c>
      <c r="AY980" s="33" t="str">
        <f t="shared" si="14"/>
        <v/>
      </c>
      <c r="AZ980" s="37"/>
      <c r="BA980" s="29"/>
      <c r="BB980" s="29" t="b">
        <v>0</v>
      </c>
      <c r="BC980" s="22" t="str">
        <f t="shared" si="15"/>
        <v/>
      </c>
      <c r="BD980" s="7">
        <f>IF(ISBLANK(AZ980), 0, VLOOKUP(AZ980, 'Price Sheet'!$A$2:$B1015, 2, false))</f>
        <v>0</v>
      </c>
      <c r="BE980" s="33" t="str">
        <f t="shared" si="16"/>
        <v/>
      </c>
      <c r="BF980" s="37"/>
      <c r="BG980" s="29"/>
      <c r="BH980" s="29" t="b">
        <v>0</v>
      </c>
      <c r="BI980" s="22" t="str">
        <f t="shared" si="17"/>
        <v/>
      </c>
      <c r="BJ980" s="7">
        <f>IF(ISBLANK(BF980), 0, VLOOKUP(BF980, 'Price Sheet'!$A$2:$B1015, 2, false))</f>
        <v>0</v>
      </c>
      <c r="BK980" s="33" t="str">
        <f t="shared" si="18"/>
        <v/>
      </c>
      <c r="BL980" s="37"/>
      <c r="BM980" s="29"/>
      <c r="BN980" s="29" t="b">
        <v>0</v>
      </c>
      <c r="BO980" s="22" t="str">
        <f t="shared" si="19"/>
        <v/>
      </c>
      <c r="BP980" s="7">
        <f>IF(ISBLANK(BL980), 0, VLOOKUP(BL980, 'Price Sheet'!$A$2:$B1015, 2, false))</f>
        <v>0</v>
      </c>
      <c r="BQ980" s="33" t="str">
        <f t="shared" si="20"/>
        <v/>
      </c>
    </row>
    <row r="981">
      <c r="B981" s="19"/>
      <c r="C981" s="29"/>
      <c r="D981" s="29"/>
      <c r="E981" s="7" t="str">
        <f>IF(ISBLANK(D981), "", VLOOKUP(D981,'Crafting Tables'!$A$2:$B1015, 2, false))</f>
        <v/>
      </c>
      <c r="F981" s="7" t="str">
        <f>IFERROR(IF(E981 = "None", 1, VLOOKUP(C981,General!$A$5:$L$35, SWITCH(E981, "Basic", 8, "Advanced", 10, "Modern", 12), false)),"")</f>
        <v/>
      </c>
      <c r="G981" s="29"/>
      <c r="H981" s="7">
        <f>IFERROR(VLOOKUP(C981, General!$A$5:$L$35, 6, false) * G981 / 1000, 0)</f>
        <v>0</v>
      </c>
      <c r="I981" s="29"/>
      <c r="J981" s="22" t="str">
        <f>IFERROR(I981*VLOOKUP(D981,'Crafting Tables'!$1:$1000, 4, false)*F981,"")</f>
        <v/>
      </c>
      <c r="K981" s="29" t="b">
        <v>0</v>
      </c>
      <c r="L981" s="37"/>
      <c r="M981" s="29"/>
      <c r="N981" s="21" t="str">
        <f t="shared" si="2"/>
        <v/>
      </c>
      <c r="P981" s="37"/>
      <c r="Q981" s="29"/>
      <c r="R981" s="29" t="b">
        <v>0</v>
      </c>
      <c r="S981" s="22" t="str">
        <f t="shared" si="3"/>
        <v/>
      </c>
      <c r="T981" s="7">
        <f>IF(ISBLANK(P981), 0, VLOOKUP(P981, 'Price Sheet'!$A$2:$B1015, 2, false))</f>
        <v>0</v>
      </c>
      <c r="U981" s="33" t="str">
        <f t="shared" si="4"/>
        <v/>
      </c>
      <c r="V981" s="37"/>
      <c r="W981" s="29"/>
      <c r="X981" s="29" t="b">
        <v>0</v>
      </c>
      <c r="Y981" s="22" t="str">
        <f t="shared" si="5"/>
        <v/>
      </c>
      <c r="Z981" s="7">
        <f>IF(ISBLANK(V981), 0, VLOOKUP(V981, 'Price Sheet'!$A$2:$B1015, 2, false))</f>
        <v>0</v>
      </c>
      <c r="AA981" s="33" t="str">
        <f t="shared" si="6"/>
        <v/>
      </c>
      <c r="AB981" s="37"/>
      <c r="AC981" s="29"/>
      <c r="AD981" s="29" t="b">
        <v>0</v>
      </c>
      <c r="AE981" s="22" t="str">
        <f t="shared" si="7"/>
        <v/>
      </c>
      <c r="AF981" s="7">
        <f>IF(ISBLANK(AB981), 0, VLOOKUP(AB981, 'Price Sheet'!$A$2:$B1015, 2, false))</f>
        <v>0</v>
      </c>
      <c r="AG981" s="33" t="str">
        <f t="shared" si="8"/>
        <v/>
      </c>
      <c r="AH981" s="37"/>
      <c r="AI981" s="29"/>
      <c r="AJ981" s="29" t="b">
        <v>0</v>
      </c>
      <c r="AK981" s="22" t="str">
        <f t="shared" si="9"/>
        <v/>
      </c>
      <c r="AL981" s="7">
        <f>IF(ISBLANK(AH981), 0, VLOOKUP(AH981, 'Price Sheet'!$A$2:$B1015, 2, false))</f>
        <v>0</v>
      </c>
      <c r="AM981" s="33" t="str">
        <f t="shared" si="10"/>
        <v/>
      </c>
      <c r="AN981" s="37"/>
      <c r="AO981" s="29"/>
      <c r="AP981" s="29" t="b">
        <v>0</v>
      </c>
      <c r="AQ981" s="22" t="str">
        <f t="shared" si="11"/>
        <v/>
      </c>
      <c r="AR981" s="7">
        <f>IF(ISBLANK(AN981), 0, VLOOKUP(AN981, 'Price Sheet'!$A$2:$B1015, 2, false))</f>
        <v>0</v>
      </c>
      <c r="AS981" s="33" t="str">
        <f t="shared" si="12"/>
        <v/>
      </c>
      <c r="AT981" s="37"/>
      <c r="AU981" s="29"/>
      <c r="AV981" s="29" t="b">
        <v>0</v>
      </c>
      <c r="AW981" s="22" t="str">
        <f t="shared" si="13"/>
        <v/>
      </c>
      <c r="AX981" s="7">
        <f>IF(ISBLANK(AT981), 0, VLOOKUP(AT981, 'Price Sheet'!$A$2:$B1015, 2, false))</f>
        <v>0</v>
      </c>
      <c r="AY981" s="33" t="str">
        <f t="shared" si="14"/>
        <v/>
      </c>
      <c r="AZ981" s="37"/>
      <c r="BA981" s="29"/>
      <c r="BB981" s="29" t="b">
        <v>0</v>
      </c>
      <c r="BC981" s="22" t="str">
        <f t="shared" si="15"/>
        <v/>
      </c>
      <c r="BD981" s="7">
        <f>IF(ISBLANK(AZ981), 0, VLOOKUP(AZ981, 'Price Sheet'!$A$2:$B1015, 2, false))</f>
        <v>0</v>
      </c>
      <c r="BE981" s="33" t="str">
        <f t="shared" si="16"/>
        <v/>
      </c>
      <c r="BF981" s="37"/>
      <c r="BG981" s="29"/>
      <c r="BH981" s="29" t="b">
        <v>0</v>
      </c>
      <c r="BI981" s="22" t="str">
        <f t="shared" si="17"/>
        <v/>
      </c>
      <c r="BJ981" s="7">
        <f>IF(ISBLANK(BF981), 0, VLOOKUP(BF981, 'Price Sheet'!$A$2:$B1015, 2, false))</f>
        <v>0</v>
      </c>
      <c r="BK981" s="33" t="str">
        <f t="shared" si="18"/>
        <v/>
      </c>
      <c r="BL981" s="37"/>
      <c r="BM981" s="29"/>
      <c r="BN981" s="29" t="b">
        <v>0</v>
      </c>
      <c r="BO981" s="22" t="str">
        <f t="shared" si="19"/>
        <v/>
      </c>
      <c r="BP981" s="7">
        <f>IF(ISBLANK(BL981), 0, VLOOKUP(BL981, 'Price Sheet'!$A$2:$B1015, 2, false))</f>
        <v>0</v>
      </c>
      <c r="BQ981" s="33" t="str">
        <f t="shared" si="20"/>
        <v/>
      </c>
    </row>
    <row r="982">
      <c r="B982" s="19"/>
      <c r="C982" s="29"/>
      <c r="D982" s="29"/>
      <c r="E982" s="7" t="str">
        <f>IF(ISBLANK(D982), "", VLOOKUP(D982,'Crafting Tables'!$A$2:$B1015, 2, false))</f>
        <v/>
      </c>
      <c r="F982" s="7" t="str">
        <f>IFERROR(IF(E982 = "None", 1, VLOOKUP(C982,General!$A$5:$L$35, SWITCH(E982, "Basic", 8, "Advanced", 10, "Modern", 12), false)),"")</f>
        <v/>
      </c>
      <c r="G982" s="29"/>
      <c r="H982" s="7">
        <f>IFERROR(VLOOKUP(C982, General!$A$5:$L$35, 6, false) * G982 / 1000, 0)</f>
        <v>0</v>
      </c>
      <c r="I982" s="29"/>
      <c r="J982" s="22" t="str">
        <f>IFERROR(I982*VLOOKUP(D982,'Crafting Tables'!$1:$1000, 4, false)*F982,"")</f>
        <v/>
      </c>
      <c r="K982" s="29" t="b">
        <v>0</v>
      </c>
      <c r="L982" s="37"/>
      <c r="M982" s="29"/>
      <c r="N982" s="21" t="str">
        <f t="shared" si="2"/>
        <v/>
      </c>
      <c r="P982" s="37"/>
      <c r="Q982" s="29"/>
      <c r="R982" s="29" t="b">
        <v>0</v>
      </c>
      <c r="S982" s="22" t="str">
        <f t="shared" si="3"/>
        <v/>
      </c>
      <c r="T982" s="7">
        <f>IF(ISBLANK(P982), 0, VLOOKUP(P982, 'Price Sheet'!$A$2:$B1015, 2, false))</f>
        <v>0</v>
      </c>
      <c r="U982" s="33" t="str">
        <f t="shared" si="4"/>
        <v/>
      </c>
      <c r="V982" s="37"/>
      <c r="W982" s="29"/>
      <c r="X982" s="29" t="b">
        <v>0</v>
      </c>
      <c r="Y982" s="22" t="str">
        <f t="shared" si="5"/>
        <v/>
      </c>
      <c r="Z982" s="7">
        <f>IF(ISBLANK(V982), 0, VLOOKUP(V982, 'Price Sheet'!$A$2:$B1015, 2, false))</f>
        <v>0</v>
      </c>
      <c r="AA982" s="33" t="str">
        <f t="shared" si="6"/>
        <v/>
      </c>
      <c r="AB982" s="37"/>
      <c r="AC982" s="29"/>
      <c r="AD982" s="29" t="b">
        <v>0</v>
      </c>
      <c r="AE982" s="22" t="str">
        <f t="shared" si="7"/>
        <v/>
      </c>
      <c r="AF982" s="7">
        <f>IF(ISBLANK(AB982), 0, VLOOKUP(AB982, 'Price Sheet'!$A$2:$B1015, 2, false))</f>
        <v>0</v>
      </c>
      <c r="AG982" s="33" t="str">
        <f t="shared" si="8"/>
        <v/>
      </c>
      <c r="AH982" s="37"/>
      <c r="AI982" s="29"/>
      <c r="AJ982" s="29" t="b">
        <v>0</v>
      </c>
      <c r="AK982" s="22" t="str">
        <f t="shared" si="9"/>
        <v/>
      </c>
      <c r="AL982" s="7">
        <f>IF(ISBLANK(AH982), 0, VLOOKUP(AH982, 'Price Sheet'!$A$2:$B1015, 2, false))</f>
        <v>0</v>
      </c>
      <c r="AM982" s="33" t="str">
        <f t="shared" si="10"/>
        <v/>
      </c>
      <c r="AN982" s="37"/>
      <c r="AO982" s="29"/>
      <c r="AP982" s="29" t="b">
        <v>0</v>
      </c>
      <c r="AQ982" s="22" t="str">
        <f t="shared" si="11"/>
        <v/>
      </c>
      <c r="AR982" s="7">
        <f>IF(ISBLANK(AN982), 0, VLOOKUP(AN982, 'Price Sheet'!$A$2:$B1015, 2, false))</f>
        <v>0</v>
      </c>
      <c r="AS982" s="33" t="str">
        <f t="shared" si="12"/>
        <v/>
      </c>
      <c r="AT982" s="37"/>
      <c r="AU982" s="29"/>
      <c r="AV982" s="29" t="b">
        <v>0</v>
      </c>
      <c r="AW982" s="22" t="str">
        <f t="shared" si="13"/>
        <v/>
      </c>
      <c r="AX982" s="7">
        <f>IF(ISBLANK(AT982), 0, VLOOKUP(AT982, 'Price Sheet'!$A$2:$B1015, 2, false))</f>
        <v>0</v>
      </c>
      <c r="AY982" s="33" t="str">
        <f t="shared" si="14"/>
        <v/>
      </c>
      <c r="AZ982" s="37"/>
      <c r="BA982" s="29"/>
      <c r="BB982" s="29" t="b">
        <v>0</v>
      </c>
      <c r="BC982" s="22" t="str">
        <f t="shared" si="15"/>
        <v/>
      </c>
      <c r="BD982" s="7">
        <f>IF(ISBLANK(AZ982), 0, VLOOKUP(AZ982, 'Price Sheet'!$A$2:$B1015, 2, false))</f>
        <v>0</v>
      </c>
      <c r="BE982" s="33" t="str">
        <f t="shared" si="16"/>
        <v/>
      </c>
      <c r="BF982" s="37"/>
      <c r="BG982" s="29"/>
      <c r="BH982" s="29" t="b">
        <v>0</v>
      </c>
      <c r="BI982" s="22" t="str">
        <f t="shared" si="17"/>
        <v/>
      </c>
      <c r="BJ982" s="7">
        <f>IF(ISBLANK(BF982), 0, VLOOKUP(BF982, 'Price Sheet'!$A$2:$B1015, 2, false))</f>
        <v>0</v>
      </c>
      <c r="BK982" s="33" t="str">
        <f t="shared" si="18"/>
        <v/>
      </c>
      <c r="BL982" s="37"/>
      <c r="BM982" s="29"/>
      <c r="BN982" s="29" t="b">
        <v>0</v>
      </c>
      <c r="BO982" s="22" t="str">
        <f t="shared" si="19"/>
        <v/>
      </c>
      <c r="BP982" s="7">
        <f>IF(ISBLANK(BL982), 0, VLOOKUP(BL982, 'Price Sheet'!$A$2:$B1015, 2, false))</f>
        <v>0</v>
      </c>
      <c r="BQ982" s="33" t="str">
        <f t="shared" si="20"/>
        <v/>
      </c>
    </row>
    <row r="983">
      <c r="B983" s="19"/>
      <c r="C983" s="29"/>
      <c r="D983" s="29"/>
      <c r="E983" s="7" t="str">
        <f>IF(ISBLANK(D983), "", VLOOKUP(D983,'Crafting Tables'!$A$2:$B1015, 2, false))</f>
        <v/>
      </c>
      <c r="F983" s="7" t="str">
        <f>IFERROR(IF(E983 = "None", 1, VLOOKUP(C983,General!$A$5:$L$35, SWITCH(E983, "Basic", 8, "Advanced", 10, "Modern", 12), false)),"")</f>
        <v/>
      </c>
      <c r="G983" s="29"/>
      <c r="H983" s="7">
        <f>IFERROR(VLOOKUP(C983, General!$A$5:$L$35, 6, false) * G983 / 1000, 0)</f>
        <v>0</v>
      </c>
      <c r="I983" s="29"/>
      <c r="J983" s="22" t="str">
        <f>IFERROR(I983*VLOOKUP(D983,'Crafting Tables'!$1:$1000, 4, false)*F983,"")</f>
        <v/>
      </c>
      <c r="K983" s="29" t="b">
        <v>0</v>
      </c>
      <c r="L983" s="37"/>
      <c r="M983" s="29"/>
      <c r="N983" s="21" t="str">
        <f t="shared" si="2"/>
        <v/>
      </c>
      <c r="P983" s="37"/>
      <c r="Q983" s="29"/>
      <c r="R983" s="29" t="b">
        <v>0</v>
      </c>
      <c r="S983" s="22" t="str">
        <f t="shared" si="3"/>
        <v/>
      </c>
      <c r="T983" s="7">
        <f>IF(ISBLANK(P983), 0, VLOOKUP(P983, 'Price Sheet'!$A$2:$B1015, 2, false))</f>
        <v>0</v>
      </c>
      <c r="U983" s="33" t="str">
        <f t="shared" si="4"/>
        <v/>
      </c>
      <c r="V983" s="37"/>
      <c r="W983" s="29"/>
      <c r="X983" s="29" t="b">
        <v>0</v>
      </c>
      <c r="Y983" s="22" t="str">
        <f t="shared" si="5"/>
        <v/>
      </c>
      <c r="Z983" s="7">
        <f>IF(ISBLANK(V983), 0, VLOOKUP(V983, 'Price Sheet'!$A$2:$B1015, 2, false))</f>
        <v>0</v>
      </c>
      <c r="AA983" s="33" t="str">
        <f t="shared" si="6"/>
        <v/>
      </c>
      <c r="AB983" s="37"/>
      <c r="AC983" s="29"/>
      <c r="AD983" s="29" t="b">
        <v>0</v>
      </c>
      <c r="AE983" s="22" t="str">
        <f t="shared" si="7"/>
        <v/>
      </c>
      <c r="AF983" s="7">
        <f>IF(ISBLANK(AB983), 0, VLOOKUP(AB983, 'Price Sheet'!$A$2:$B1015, 2, false))</f>
        <v>0</v>
      </c>
      <c r="AG983" s="33" t="str">
        <f t="shared" si="8"/>
        <v/>
      </c>
      <c r="AH983" s="37"/>
      <c r="AI983" s="29"/>
      <c r="AJ983" s="29" t="b">
        <v>0</v>
      </c>
      <c r="AK983" s="22" t="str">
        <f t="shared" si="9"/>
        <v/>
      </c>
      <c r="AL983" s="7">
        <f>IF(ISBLANK(AH983), 0, VLOOKUP(AH983, 'Price Sheet'!$A$2:$B1015, 2, false))</f>
        <v>0</v>
      </c>
      <c r="AM983" s="33" t="str">
        <f t="shared" si="10"/>
        <v/>
      </c>
      <c r="AN983" s="37"/>
      <c r="AO983" s="29"/>
      <c r="AP983" s="29" t="b">
        <v>0</v>
      </c>
      <c r="AQ983" s="22" t="str">
        <f t="shared" si="11"/>
        <v/>
      </c>
      <c r="AR983" s="7">
        <f>IF(ISBLANK(AN983), 0, VLOOKUP(AN983, 'Price Sheet'!$A$2:$B1015, 2, false))</f>
        <v>0</v>
      </c>
      <c r="AS983" s="33" t="str">
        <f t="shared" si="12"/>
        <v/>
      </c>
      <c r="AT983" s="37"/>
      <c r="AU983" s="29"/>
      <c r="AV983" s="29" t="b">
        <v>0</v>
      </c>
      <c r="AW983" s="22" t="str">
        <f t="shared" si="13"/>
        <v/>
      </c>
      <c r="AX983" s="7">
        <f>IF(ISBLANK(AT983), 0, VLOOKUP(AT983, 'Price Sheet'!$A$2:$B1015, 2, false))</f>
        <v>0</v>
      </c>
      <c r="AY983" s="33" t="str">
        <f t="shared" si="14"/>
        <v/>
      </c>
      <c r="AZ983" s="37"/>
      <c r="BA983" s="29"/>
      <c r="BB983" s="29" t="b">
        <v>0</v>
      </c>
      <c r="BC983" s="22" t="str">
        <f t="shared" si="15"/>
        <v/>
      </c>
      <c r="BD983" s="7">
        <f>IF(ISBLANK(AZ983), 0, VLOOKUP(AZ983, 'Price Sheet'!$A$2:$B1015, 2, false))</f>
        <v>0</v>
      </c>
      <c r="BE983" s="33" t="str">
        <f t="shared" si="16"/>
        <v/>
      </c>
      <c r="BF983" s="37"/>
      <c r="BG983" s="29"/>
      <c r="BH983" s="29" t="b">
        <v>0</v>
      </c>
      <c r="BI983" s="22" t="str">
        <f t="shared" si="17"/>
        <v/>
      </c>
      <c r="BJ983" s="7">
        <f>IF(ISBLANK(BF983), 0, VLOOKUP(BF983, 'Price Sheet'!$A$2:$B1015, 2, false))</f>
        <v>0</v>
      </c>
      <c r="BK983" s="33" t="str">
        <f t="shared" si="18"/>
        <v/>
      </c>
      <c r="BL983" s="37"/>
      <c r="BM983" s="29"/>
      <c r="BN983" s="29" t="b">
        <v>0</v>
      </c>
      <c r="BO983" s="22" t="str">
        <f t="shared" si="19"/>
        <v/>
      </c>
      <c r="BP983" s="7">
        <f>IF(ISBLANK(BL983), 0, VLOOKUP(BL983, 'Price Sheet'!$A$2:$B1015, 2, false))</f>
        <v>0</v>
      </c>
      <c r="BQ983" s="33" t="str">
        <f t="shared" si="20"/>
        <v/>
      </c>
    </row>
    <row r="984">
      <c r="B984" s="19"/>
      <c r="C984" s="29"/>
      <c r="D984" s="29"/>
      <c r="E984" s="7" t="str">
        <f>IF(ISBLANK(D984), "", VLOOKUP(D984,'Crafting Tables'!$A$2:$B1015, 2, false))</f>
        <v/>
      </c>
      <c r="F984" s="7" t="str">
        <f>IFERROR(IF(E984 = "None", 1, VLOOKUP(C984,General!$A$5:$L$35, SWITCH(E984, "Basic", 8, "Advanced", 10, "Modern", 12), false)),"")</f>
        <v/>
      </c>
      <c r="G984" s="29"/>
      <c r="H984" s="7">
        <f>IFERROR(VLOOKUP(C984, General!$A$5:$L$35, 6, false) * G984 / 1000, 0)</f>
        <v>0</v>
      </c>
      <c r="I984" s="29"/>
      <c r="J984" s="22" t="str">
        <f>IFERROR(I984*VLOOKUP(D984,'Crafting Tables'!$1:$1000, 4, false)*F984,"")</f>
        <v/>
      </c>
      <c r="K984" s="29" t="b">
        <v>0</v>
      </c>
      <c r="L984" s="37"/>
      <c r="M984" s="29"/>
      <c r="N984" s="21" t="str">
        <f t="shared" si="2"/>
        <v/>
      </c>
      <c r="P984" s="37"/>
      <c r="Q984" s="29"/>
      <c r="R984" s="29" t="b">
        <v>0</v>
      </c>
      <c r="S984" s="22" t="str">
        <f t="shared" si="3"/>
        <v/>
      </c>
      <c r="T984" s="7">
        <f>IF(ISBLANK(P984), 0, VLOOKUP(P984, 'Price Sheet'!$A$2:$B1015, 2, false))</f>
        <v>0</v>
      </c>
      <c r="U984" s="33" t="str">
        <f t="shared" si="4"/>
        <v/>
      </c>
      <c r="V984" s="37"/>
      <c r="W984" s="29"/>
      <c r="X984" s="29" t="b">
        <v>0</v>
      </c>
      <c r="Y984" s="22" t="str">
        <f t="shared" si="5"/>
        <v/>
      </c>
      <c r="Z984" s="7">
        <f>IF(ISBLANK(V984), 0, VLOOKUP(V984, 'Price Sheet'!$A$2:$B1015, 2, false))</f>
        <v>0</v>
      </c>
      <c r="AA984" s="33" t="str">
        <f t="shared" si="6"/>
        <v/>
      </c>
      <c r="AB984" s="37"/>
      <c r="AC984" s="29"/>
      <c r="AD984" s="29" t="b">
        <v>0</v>
      </c>
      <c r="AE984" s="22" t="str">
        <f t="shared" si="7"/>
        <v/>
      </c>
      <c r="AF984" s="7">
        <f>IF(ISBLANK(AB984), 0, VLOOKUP(AB984, 'Price Sheet'!$A$2:$B1015, 2, false))</f>
        <v>0</v>
      </c>
      <c r="AG984" s="33" t="str">
        <f t="shared" si="8"/>
        <v/>
      </c>
      <c r="AH984" s="37"/>
      <c r="AI984" s="29"/>
      <c r="AJ984" s="29" t="b">
        <v>0</v>
      </c>
      <c r="AK984" s="22" t="str">
        <f t="shared" si="9"/>
        <v/>
      </c>
      <c r="AL984" s="7">
        <f>IF(ISBLANK(AH984), 0, VLOOKUP(AH984, 'Price Sheet'!$A$2:$B1015, 2, false))</f>
        <v>0</v>
      </c>
      <c r="AM984" s="33" t="str">
        <f t="shared" si="10"/>
        <v/>
      </c>
      <c r="AN984" s="37"/>
      <c r="AO984" s="29"/>
      <c r="AP984" s="29" t="b">
        <v>0</v>
      </c>
      <c r="AQ984" s="22" t="str">
        <f t="shared" si="11"/>
        <v/>
      </c>
      <c r="AR984" s="7">
        <f>IF(ISBLANK(AN984), 0, VLOOKUP(AN984, 'Price Sheet'!$A$2:$B1015, 2, false))</f>
        <v>0</v>
      </c>
      <c r="AS984" s="33" t="str">
        <f t="shared" si="12"/>
        <v/>
      </c>
      <c r="AT984" s="37"/>
      <c r="AU984" s="29"/>
      <c r="AV984" s="29" t="b">
        <v>0</v>
      </c>
      <c r="AW984" s="22" t="str">
        <f t="shared" si="13"/>
        <v/>
      </c>
      <c r="AX984" s="7">
        <f>IF(ISBLANK(AT984), 0, VLOOKUP(AT984, 'Price Sheet'!$A$2:$B1015, 2, false))</f>
        <v>0</v>
      </c>
      <c r="AY984" s="33" t="str">
        <f t="shared" si="14"/>
        <v/>
      </c>
      <c r="AZ984" s="37"/>
      <c r="BA984" s="29"/>
      <c r="BB984" s="29" t="b">
        <v>0</v>
      </c>
      <c r="BC984" s="22" t="str">
        <f t="shared" si="15"/>
        <v/>
      </c>
      <c r="BD984" s="7">
        <f>IF(ISBLANK(AZ984), 0, VLOOKUP(AZ984, 'Price Sheet'!$A$2:$B1015, 2, false))</f>
        <v>0</v>
      </c>
      <c r="BE984" s="33" t="str">
        <f t="shared" si="16"/>
        <v/>
      </c>
      <c r="BF984" s="37"/>
      <c r="BG984" s="29"/>
      <c r="BH984" s="29" t="b">
        <v>0</v>
      </c>
      <c r="BI984" s="22" t="str">
        <f t="shared" si="17"/>
        <v/>
      </c>
      <c r="BJ984" s="7">
        <f>IF(ISBLANK(BF984), 0, VLOOKUP(BF984, 'Price Sheet'!$A$2:$B1015, 2, false))</f>
        <v>0</v>
      </c>
      <c r="BK984" s="33" t="str">
        <f t="shared" si="18"/>
        <v/>
      </c>
      <c r="BL984" s="37"/>
      <c r="BM984" s="29"/>
      <c r="BN984" s="29" t="b">
        <v>0</v>
      </c>
      <c r="BO984" s="22" t="str">
        <f t="shared" si="19"/>
        <v/>
      </c>
      <c r="BP984" s="7">
        <f>IF(ISBLANK(BL984), 0, VLOOKUP(BL984, 'Price Sheet'!$A$2:$B1015, 2, false))</f>
        <v>0</v>
      </c>
      <c r="BQ984" s="33" t="str">
        <f t="shared" si="20"/>
        <v/>
      </c>
    </row>
    <row r="985">
      <c r="B985" s="19"/>
      <c r="C985" s="29"/>
      <c r="D985" s="29"/>
      <c r="E985" s="7" t="str">
        <f>IF(ISBLANK(D985), "", VLOOKUP(D985,'Crafting Tables'!$A$2:$B1015, 2, false))</f>
        <v/>
      </c>
      <c r="F985" s="7" t="str">
        <f>IFERROR(IF(E985 = "None", 1, VLOOKUP(C985,General!$A$5:$L$35, SWITCH(E985, "Basic", 8, "Advanced", 10, "Modern", 12), false)),"")</f>
        <v/>
      </c>
      <c r="G985" s="29"/>
      <c r="H985" s="7">
        <f>IFERROR(VLOOKUP(C985, General!$A$5:$L$35, 6, false) * G985 / 1000, 0)</f>
        <v>0</v>
      </c>
      <c r="I985" s="29"/>
      <c r="J985" s="22" t="str">
        <f>IFERROR(I985*VLOOKUP(D985,'Crafting Tables'!$1:$1000, 4, false)*F985,"")</f>
        <v/>
      </c>
      <c r="K985" s="29" t="b">
        <v>0</v>
      </c>
      <c r="L985" s="37"/>
      <c r="M985" s="29"/>
      <c r="N985" s="21" t="str">
        <f t="shared" si="2"/>
        <v/>
      </c>
      <c r="P985" s="37"/>
      <c r="Q985" s="29"/>
      <c r="R985" s="29" t="b">
        <v>0</v>
      </c>
      <c r="S985" s="22" t="str">
        <f t="shared" si="3"/>
        <v/>
      </c>
      <c r="T985" s="7">
        <f>IF(ISBLANK(P985), 0, VLOOKUP(P985, 'Price Sheet'!$A$2:$B1015, 2, false))</f>
        <v>0</v>
      </c>
      <c r="U985" s="33" t="str">
        <f t="shared" si="4"/>
        <v/>
      </c>
      <c r="V985" s="37"/>
      <c r="W985" s="29"/>
      <c r="X985" s="29" t="b">
        <v>0</v>
      </c>
      <c r="Y985" s="22" t="str">
        <f t="shared" si="5"/>
        <v/>
      </c>
      <c r="Z985" s="7">
        <f>IF(ISBLANK(V985), 0, VLOOKUP(V985, 'Price Sheet'!$A$2:$B1015, 2, false))</f>
        <v>0</v>
      </c>
      <c r="AA985" s="33" t="str">
        <f t="shared" si="6"/>
        <v/>
      </c>
      <c r="AB985" s="37"/>
      <c r="AC985" s="29"/>
      <c r="AD985" s="29" t="b">
        <v>0</v>
      </c>
      <c r="AE985" s="22" t="str">
        <f t="shared" si="7"/>
        <v/>
      </c>
      <c r="AF985" s="7">
        <f>IF(ISBLANK(AB985), 0, VLOOKUP(AB985, 'Price Sheet'!$A$2:$B1015, 2, false))</f>
        <v>0</v>
      </c>
      <c r="AG985" s="33" t="str">
        <f t="shared" si="8"/>
        <v/>
      </c>
      <c r="AH985" s="37"/>
      <c r="AI985" s="29"/>
      <c r="AJ985" s="29" t="b">
        <v>0</v>
      </c>
      <c r="AK985" s="22" t="str">
        <f t="shared" si="9"/>
        <v/>
      </c>
      <c r="AL985" s="7">
        <f>IF(ISBLANK(AH985), 0, VLOOKUP(AH985, 'Price Sheet'!$A$2:$B1015, 2, false))</f>
        <v>0</v>
      </c>
      <c r="AM985" s="33" t="str">
        <f t="shared" si="10"/>
        <v/>
      </c>
      <c r="AN985" s="37"/>
      <c r="AO985" s="29"/>
      <c r="AP985" s="29" t="b">
        <v>0</v>
      </c>
      <c r="AQ985" s="22" t="str">
        <f t="shared" si="11"/>
        <v/>
      </c>
      <c r="AR985" s="7">
        <f>IF(ISBLANK(AN985), 0, VLOOKUP(AN985, 'Price Sheet'!$A$2:$B1015, 2, false))</f>
        <v>0</v>
      </c>
      <c r="AS985" s="33" t="str">
        <f t="shared" si="12"/>
        <v/>
      </c>
      <c r="AT985" s="37"/>
      <c r="AU985" s="29"/>
      <c r="AV985" s="29" t="b">
        <v>0</v>
      </c>
      <c r="AW985" s="22" t="str">
        <f t="shared" si="13"/>
        <v/>
      </c>
      <c r="AX985" s="7">
        <f>IF(ISBLANK(AT985), 0, VLOOKUP(AT985, 'Price Sheet'!$A$2:$B1015, 2, false))</f>
        <v>0</v>
      </c>
      <c r="AY985" s="33" t="str">
        <f t="shared" si="14"/>
        <v/>
      </c>
      <c r="AZ985" s="37"/>
      <c r="BA985" s="29"/>
      <c r="BB985" s="29" t="b">
        <v>0</v>
      </c>
      <c r="BC985" s="22" t="str">
        <f t="shared" si="15"/>
        <v/>
      </c>
      <c r="BD985" s="7">
        <f>IF(ISBLANK(AZ985), 0, VLOOKUP(AZ985, 'Price Sheet'!$A$2:$B1015, 2, false))</f>
        <v>0</v>
      </c>
      <c r="BE985" s="33" t="str">
        <f t="shared" si="16"/>
        <v/>
      </c>
      <c r="BF985" s="37"/>
      <c r="BG985" s="29"/>
      <c r="BH985" s="29" t="b">
        <v>0</v>
      </c>
      <c r="BI985" s="22" t="str">
        <f t="shared" si="17"/>
        <v/>
      </c>
      <c r="BJ985" s="7">
        <f>IF(ISBLANK(BF985), 0, VLOOKUP(BF985, 'Price Sheet'!$A$2:$B1015, 2, false))</f>
        <v>0</v>
      </c>
      <c r="BK985" s="33" t="str">
        <f t="shared" si="18"/>
        <v/>
      </c>
      <c r="BL985" s="37"/>
      <c r="BM985" s="29"/>
      <c r="BN985" s="29" t="b">
        <v>0</v>
      </c>
      <c r="BO985" s="22" t="str">
        <f t="shared" si="19"/>
        <v/>
      </c>
      <c r="BP985" s="7">
        <f>IF(ISBLANK(BL985), 0, VLOOKUP(BL985, 'Price Sheet'!$A$2:$B1015, 2, false))</f>
        <v>0</v>
      </c>
      <c r="BQ985" s="33" t="str">
        <f t="shared" si="20"/>
        <v/>
      </c>
    </row>
    <row r="986">
      <c r="B986" s="19"/>
      <c r="C986" s="29"/>
      <c r="D986" s="29"/>
      <c r="E986" s="7" t="str">
        <f>IF(ISBLANK(D986), "", VLOOKUP(D986,'Crafting Tables'!$A$2:$B1015, 2, false))</f>
        <v/>
      </c>
      <c r="F986" s="7" t="str">
        <f>IFERROR(IF(E986 = "None", 1, VLOOKUP(C986,General!$A$5:$L$35, SWITCH(E986, "Basic", 8, "Advanced", 10, "Modern", 12), false)),"")</f>
        <v/>
      </c>
      <c r="G986" s="29"/>
      <c r="H986" s="7">
        <f>IFERROR(VLOOKUP(C986, General!$A$5:$L$35, 6, false) * G986 / 1000, 0)</f>
        <v>0</v>
      </c>
      <c r="I986" s="29"/>
      <c r="J986" s="22" t="str">
        <f>IFERROR(I986*VLOOKUP(D986,'Crafting Tables'!$1:$1000, 4, false)*F986,"")</f>
        <v/>
      </c>
      <c r="K986" s="29" t="b">
        <v>0</v>
      </c>
      <c r="L986" s="37"/>
      <c r="M986" s="29"/>
      <c r="N986" s="21" t="str">
        <f t="shared" si="2"/>
        <v/>
      </c>
      <c r="P986" s="37"/>
      <c r="Q986" s="29"/>
      <c r="R986" s="29" t="b">
        <v>0</v>
      </c>
      <c r="S986" s="22" t="str">
        <f t="shared" si="3"/>
        <v/>
      </c>
      <c r="T986" s="7">
        <f>IF(ISBLANK(P986), 0, VLOOKUP(P986, 'Price Sheet'!$A$2:$B1015, 2, false))</f>
        <v>0</v>
      </c>
      <c r="U986" s="33" t="str">
        <f t="shared" si="4"/>
        <v/>
      </c>
      <c r="V986" s="37"/>
      <c r="W986" s="29"/>
      <c r="X986" s="29" t="b">
        <v>0</v>
      </c>
      <c r="Y986" s="22" t="str">
        <f t="shared" si="5"/>
        <v/>
      </c>
      <c r="Z986" s="7">
        <f>IF(ISBLANK(V986), 0, VLOOKUP(V986, 'Price Sheet'!$A$2:$B1015, 2, false))</f>
        <v>0</v>
      </c>
      <c r="AA986" s="33" t="str">
        <f t="shared" si="6"/>
        <v/>
      </c>
      <c r="AB986" s="37"/>
      <c r="AC986" s="29"/>
      <c r="AD986" s="29" t="b">
        <v>0</v>
      </c>
      <c r="AE986" s="22" t="str">
        <f t="shared" si="7"/>
        <v/>
      </c>
      <c r="AF986" s="7">
        <f>IF(ISBLANK(AB986), 0, VLOOKUP(AB986, 'Price Sheet'!$A$2:$B1015, 2, false))</f>
        <v>0</v>
      </c>
      <c r="AG986" s="33" t="str">
        <f t="shared" si="8"/>
        <v/>
      </c>
      <c r="AH986" s="37"/>
      <c r="AI986" s="29"/>
      <c r="AJ986" s="29" t="b">
        <v>0</v>
      </c>
      <c r="AK986" s="22" t="str">
        <f t="shared" si="9"/>
        <v/>
      </c>
      <c r="AL986" s="7">
        <f>IF(ISBLANK(AH986), 0, VLOOKUP(AH986, 'Price Sheet'!$A$2:$B1015, 2, false))</f>
        <v>0</v>
      </c>
      <c r="AM986" s="33" t="str">
        <f t="shared" si="10"/>
        <v/>
      </c>
      <c r="AN986" s="37"/>
      <c r="AO986" s="29"/>
      <c r="AP986" s="29" t="b">
        <v>0</v>
      </c>
      <c r="AQ986" s="22" t="str">
        <f t="shared" si="11"/>
        <v/>
      </c>
      <c r="AR986" s="7">
        <f>IF(ISBLANK(AN986), 0, VLOOKUP(AN986, 'Price Sheet'!$A$2:$B1015, 2, false))</f>
        <v>0</v>
      </c>
      <c r="AS986" s="33" t="str">
        <f t="shared" si="12"/>
        <v/>
      </c>
      <c r="AT986" s="37"/>
      <c r="AU986" s="29"/>
      <c r="AV986" s="29" t="b">
        <v>0</v>
      </c>
      <c r="AW986" s="22" t="str">
        <f t="shared" si="13"/>
        <v/>
      </c>
      <c r="AX986" s="7">
        <f>IF(ISBLANK(AT986), 0, VLOOKUP(AT986, 'Price Sheet'!$A$2:$B1015, 2, false))</f>
        <v>0</v>
      </c>
      <c r="AY986" s="33" t="str">
        <f t="shared" si="14"/>
        <v/>
      </c>
      <c r="AZ986" s="37"/>
      <c r="BA986" s="29"/>
      <c r="BB986" s="29" t="b">
        <v>0</v>
      </c>
      <c r="BC986" s="22" t="str">
        <f t="shared" si="15"/>
        <v/>
      </c>
      <c r="BD986" s="7">
        <f>IF(ISBLANK(AZ986), 0, VLOOKUP(AZ986, 'Price Sheet'!$A$2:$B1015, 2, false))</f>
        <v>0</v>
      </c>
      <c r="BE986" s="33" t="str">
        <f t="shared" si="16"/>
        <v/>
      </c>
      <c r="BF986" s="37"/>
      <c r="BG986" s="29"/>
      <c r="BH986" s="29" t="b">
        <v>0</v>
      </c>
      <c r="BI986" s="22" t="str">
        <f t="shared" si="17"/>
        <v/>
      </c>
      <c r="BJ986" s="7">
        <f>IF(ISBLANK(BF986), 0, VLOOKUP(BF986, 'Price Sheet'!$A$2:$B1015, 2, false))</f>
        <v>0</v>
      </c>
      <c r="BK986" s="33" t="str">
        <f t="shared" si="18"/>
        <v/>
      </c>
      <c r="BL986" s="37"/>
      <c r="BM986" s="29"/>
      <c r="BN986" s="29" t="b">
        <v>0</v>
      </c>
      <c r="BO986" s="22" t="str">
        <f t="shared" si="19"/>
        <v/>
      </c>
      <c r="BP986" s="7">
        <f>IF(ISBLANK(BL986), 0, VLOOKUP(BL986, 'Price Sheet'!$A$2:$B1015, 2, false))</f>
        <v>0</v>
      </c>
      <c r="BQ986" s="33" t="str">
        <f t="shared" si="20"/>
        <v/>
      </c>
    </row>
    <row r="987">
      <c r="B987" s="19"/>
      <c r="C987" s="29"/>
      <c r="D987" s="29"/>
      <c r="E987" s="7" t="str">
        <f>IF(ISBLANK(D987), "", VLOOKUP(D987,'Crafting Tables'!$A$2:$B1015, 2, false))</f>
        <v/>
      </c>
      <c r="F987" s="7" t="str">
        <f>IFERROR(IF(E987 = "None", 1, VLOOKUP(C987,General!$A$5:$L$35, SWITCH(E987, "Basic", 8, "Advanced", 10, "Modern", 12), false)),"")</f>
        <v/>
      </c>
      <c r="G987" s="29"/>
      <c r="H987" s="7">
        <f>IFERROR(VLOOKUP(C987, General!$A$5:$L$35, 6, false) * G987 / 1000, 0)</f>
        <v>0</v>
      </c>
      <c r="I987" s="29"/>
      <c r="J987" s="22" t="str">
        <f>IFERROR(I987*VLOOKUP(D987,'Crafting Tables'!$1:$1000, 4, false)*F987,"")</f>
        <v/>
      </c>
      <c r="K987" s="29" t="b">
        <v>0</v>
      </c>
      <c r="L987" s="37"/>
      <c r="M987" s="29"/>
      <c r="N987" s="21" t="str">
        <f t="shared" si="2"/>
        <v/>
      </c>
      <c r="P987" s="37"/>
      <c r="Q987" s="29"/>
      <c r="R987" s="29" t="b">
        <v>0</v>
      </c>
      <c r="S987" s="22" t="str">
        <f t="shared" si="3"/>
        <v/>
      </c>
      <c r="T987" s="7">
        <f>IF(ISBLANK(P987), 0, VLOOKUP(P987, 'Price Sheet'!$A$2:$B1015, 2, false))</f>
        <v>0</v>
      </c>
      <c r="U987" s="33" t="str">
        <f t="shared" si="4"/>
        <v/>
      </c>
      <c r="V987" s="37"/>
      <c r="W987" s="29"/>
      <c r="X987" s="29" t="b">
        <v>0</v>
      </c>
      <c r="Y987" s="22" t="str">
        <f t="shared" si="5"/>
        <v/>
      </c>
      <c r="Z987" s="7">
        <f>IF(ISBLANK(V987), 0, VLOOKUP(V987, 'Price Sheet'!$A$2:$B1015, 2, false))</f>
        <v>0</v>
      </c>
      <c r="AA987" s="33" t="str">
        <f t="shared" si="6"/>
        <v/>
      </c>
      <c r="AB987" s="37"/>
      <c r="AC987" s="29"/>
      <c r="AD987" s="29" t="b">
        <v>0</v>
      </c>
      <c r="AE987" s="22" t="str">
        <f t="shared" si="7"/>
        <v/>
      </c>
      <c r="AF987" s="7">
        <f>IF(ISBLANK(AB987), 0, VLOOKUP(AB987, 'Price Sheet'!$A$2:$B1015, 2, false))</f>
        <v>0</v>
      </c>
      <c r="AG987" s="33" t="str">
        <f t="shared" si="8"/>
        <v/>
      </c>
      <c r="AH987" s="37"/>
      <c r="AI987" s="29"/>
      <c r="AJ987" s="29" t="b">
        <v>0</v>
      </c>
      <c r="AK987" s="22" t="str">
        <f t="shared" si="9"/>
        <v/>
      </c>
      <c r="AL987" s="7">
        <f>IF(ISBLANK(AH987), 0, VLOOKUP(AH987, 'Price Sheet'!$A$2:$B1015, 2, false))</f>
        <v>0</v>
      </c>
      <c r="AM987" s="33" t="str">
        <f t="shared" si="10"/>
        <v/>
      </c>
      <c r="AN987" s="37"/>
      <c r="AO987" s="29"/>
      <c r="AP987" s="29" t="b">
        <v>0</v>
      </c>
      <c r="AQ987" s="22" t="str">
        <f t="shared" si="11"/>
        <v/>
      </c>
      <c r="AR987" s="7">
        <f>IF(ISBLANK(AN987), 0, VLOOKUP(AN987, 'Price Sheet'!$A$2:$B1015, 2, false))</f>
        <v>0</v>
      </c>
      <c r="AS987" s="33" t="str">
        <f t="shared" si="12"/>
        <v/>
      </c>
      <c r="AT987" s="37"/>
      <c r="AU987" s="29"/>
      <c r="AV987" s="29" t="b">
        <v>0</v>
      </c>
      <c r="AW987" s="22" t="str">
        <f t="shared" si="13"/>
        <v/>
      </c>
      <c r="AX987" s="7">
        <f>IF(ISBLANK(AT987), 0, VLOOKUP(AT987, 'Price Sheet'!$A$2:$B1015, 2, false))</f>
        <v>0</v>
      </c>
      <c r="AY987" s="33" t="str">
        <f t="shared" si="14"/>
        <v/>
      </c>
      <c r="AZ987" s="37"/>
      <c r="BA987" s="29"/>
      <c r="BB987" s="29" t="b">
        <v>0</v>
      </c>
      <c r="BC987" s="22" t="str">
        <f t="shared" si="15"/>
        <v/>
      </c>
      <c r="BD987" s="7">
        <f>IF(ISBLANK(AZ987), 0, VLOOKUP(AZ987, 'Price Sheet'!$A$2:$B1015, 2, false))</f>
        <v>0</v>
      </c>
      <c r="BE987" s="33" t="str">
        <f t="shared" si="16"/>
        <v/>
      </c>
      <c r="BF987" s="37"/>
      <c r="BG987" s="29"/>
      <c r="BH987" s="29" t="b">
        <v>0</v>
      </c>
      <c r="BI987" s="22" t="str">
        <f t="shared" si="17"/>
        <v/>
      </c>
      <c r="BJ987" s="7">
        <f>IF(ISBLANK(BF987), 0, VLOOKUP(BF987, 'Price Sheet'!$A$2:$B1015, 2, false))</f>
        <v>0</v>
      </c>
      <c r="BK987" s="33" t="str">
        <f t="shared" si="18"/>
        <v/>
      </c>
      <c r="BL987" s="37"/>
      <c r="BM987" s="29"/>
      <c r="BN987" s="29" t="b">
        <v>0</v>
      </c>
      <c r="BO987" s="22" t="str">
        <f t="shared" si="19"/>
        <v/>
      </c>
      <c r="BP987" s="7">
        <f>IF(ISBLANK(BL987), 0, VLOOKUP(BL987, 'Price Sheet'!$A$2:$B1015, 2, false))</f>
        <v>0</v>
      </c>
      <c r="BQ987" s="33" t="str">
        <f t="shared" si="20"/>
        <v/>
      </c>
    </row>
    <row r="988">
      <c r="B988" s="19"/>
      <c r="C988" s="29"/>
      <c r="D988" s="29"/>
      <c r="E988" s="7" t="str">
        <f>IF(ISBLANK(D988), "", VLOOKUP(D988,'Crafting Tables'!$A$2:$B1015, 2, false))</f>
        <v/>
      </c>
      <c r="F988" s="7" t="str">
        <f>IFERROR(IF(E988 = "None", 1, VLOOKUP(C988,General!$A$5:$L$35, SWITCH(E988, "Basic", 8, "Advanced", 10, "Modern", 12), false)),"")</f>
        <v/>
      </c>
      <c r="G988" s="29"/>
      <c r="H988" s="7">
        <f>IFERROR(VLOOKUP(C988, General!$A$5:$L$35, 6, false) * G988 / 1000, 0)</f>
        <v>0</v>
      </c>
      <c r="I988" s="29"/>
      <c r="J988" s="22" t="str">
        <f>IFERROR(I988*VLOOKUP(D988,'Crafting Tables'!$1:$1000, 4, false)*F988,"")</f>
        <v/>
      </c>
      <c r="K988" s="29" t="b">
        <v>0</v>
      </c>
      <c r="L988" s="37"/>
      <c r="M988" s="29"/>
      <c r="N988" s="21" t="str">
        <f t="shared" si="2"/>
        <v/>
      </c>
      <c r="P988" s="37"/>
      <c r="Q988" s="29"/>
      <c r="R988" s="29" t="b">
        <v>0</v>
      </c>
      <c r="S988" s="22" t="str">
        <f t="shared" si="3"/>
        <v/>
      </c>
      <c r="T988" s="7">
        <f>IF(ISBLANK(P988), 0, VLOOKUP(P988, 'Price Sheet'!$A$2:$B1015, 2, false))</f>
        <v>0</v>
      </c>
      <c r="U988" s="33" t="str">
        <f t="shared" si="4"/>
        <v/>
      </c>
      <c r="V988" s="37"/>
      <c r="W988" s="29"/>
      <c r="X988" s="29" t="b">
        <v>0</v>
      </c>
      <c r="Y988" s="22" t="str">
        <f t="shared" si="5"/>
        <v/>
      </c>
      <c r="Z988" s="7">
        <f>IF(ISBLANK(V988), 0, VLOOKUP(V988, 'Price Sheet'!$A$2:$B1015, 2, false))</f>
        <v>0</v>
      </c>
      <c r="AA988" s="33" t="str">
        <f t="shared" si="6"/>
        <v/>
      </c>
      <c r="AB988" s="37"/>
      <c r="AC988" s="29"/>
      <c r="AD988" s="29" t="b">
        <v>0</v>
      </c>
      <c r="AE988" s="22" t="str">
        <f t="shared" si="7"/>
        <v/>
      </c>
      <c r="AF988" s="7">
        <f>IF(ISBLANK(AB988), 0, VLOOKUP(AB988, 'Price Sheet'!$A$2:$B1015, 2, false))</f>
        <v>0</v>
      </c>
      <c r="AG988" s="33" t="str">
        <f t="shared" si="8"/>
        <v/>
      </c>
      <c r="AH988" s="37"/>
      <c r="AI988" s="29"/>
      <c r="AJ988" s="29" t="b">
        <v>0</v>
      </c>
      <c r="AK988" s="22" t="str">
        <f t="shared" si="9"/>
        <v/>
      </c>
      <c r="AL988" s="7">
        <f>IF(ISBLANK(AH988), 0, VLOOKUP(AH988, 'Price Sheet'!$A$2:$B1015, 2, false))</f>
        <v>0</v>
      </c>
      <c r="AM988" s="33" t="str">
        <f t="shared" si="10"/>
        <v/>
      </c>
      <c r="AN988" s="37"/>
      <c r="AO988" s="29"/>
      <c r="AP988" s="29" t="b">
        <v>0</v>
      </c>
      <c r="AQ988" s="22" t="str">
        <f t="shared" si="11"/>
        <v/>
      </c>
      <c r="AR988" s="7">
        <f>IF(ISBLANK(AN988), 0, VLOOKUP(AN988, 'Price Sheet'!$A$2:$B1015, 2, false))</f>
        <v>0</v>
      </c>
      <c r="AS988" s="33" t="str">
        <f t="shared" si="12"/>
        <v/>
      </c>
      <c r="AT988" s="37"/>
      <c r="AU988" s="29"/>
      <c r="AV988" s="29" t="b">
        <v>0</v>
      </c>
      <c r="AW988" s="22" t="str">
        <f t="shared" si="13"/>
        <v/>
      </c>
      <c r="AX988" s="7">
        <f>IF(ISBLANK(AT988), 0, VLOOKUP(AT988, 'Price Sheet'!$A$2:$B1015, 2, false))</f>
        <v>0</v>
      </c>
      <c r="AY988" s="33" t="str">
        <f t="shared" si="14"/>
        <v/>
      </c>
      <c r="AZ988" s="37"/>
      <c r="BA988" s="29"/>
      <c r="BB988" s="29" t="b">
        <v>0</v>
      </c>
      <c r="BC988" s="22" t="str">
        <f t="shared" si="15"/>
        <v/>
      </c>
      <c r="BD988" s="7">
        <f>IF(ISBLANK(AZ988), 0, VLOOKUP(AZ988, 'Price Sheet'!$A$2:$B1015, 2, false))</f>
        <v>0</v>
      </c>
      <c r="BE988" s="33" t="str">
        <f t="shared" si="16"/>
        <v/>
      </c>
      <c r="BF988" s="37"/>
      <c r="BG988" s="29"/>
      <c r="BH988" s="29" t="b">
        <v>0</v>
      </c>
      <c r="BI988" s="22" t="str">
        <f t="shared" si="17"/>
        <v/>
      </c>
      <c r="BJ988" s="7">
        <f>IF(ISBLANK(BF988), 0, VLOOKUP(BF988, 'Price Sheet'!$A$2:$B1015, 2, false))</f>
        <v>0</v>
      </c>
      <c r="BK988" s="33" t="str">
        <f t="shared" si="18"/>
        <v/>
      </c>
      <c r="BL988" s="37"/>
      <c r="BM988" s="29"/>
      <c r="BN988" s="29" t="b">
        <v>0</v>
      </c>
      <c r="BO988" s="22" t="str">
        <f t="shared" si="19"/>
        <v/>
      </c>
      <c r="BP988" s="7">
        <f>IF(ISBLANK(BL988), 0, VLOOKUP(BL988, 'Price Sheet'!$A$2:$B1015, 2, false))</f>
        <v>0</v>
      </c>
      <c r="BQ988" s="33" t="str">
        <f t="shared" si="20"/>
        <v/>
      </c>
    </row>
    <row r="989">
      <c r="B989" s="19"/>
      <c r="C989" s="29"/>
      <c r="D989" s="29"/>
      <c r="E989" s="7" t="str">
        <f>IF(ISBLANK(D989), "", VLOOKUP(D989,'Crafting Tables'!$A$2:$B1015, 2, false))</f>
        <v/>
      </c>
      <c r="F989" s="7" t="str">
        <f>IFERROR(IF(E989 = "None", 1, VLOOKUP(C989,General!$A$5:$L$35, SWITCH(E989, "Basic", 8, "Advanced", 10, "Modern", 12), false)),"")</f>
        <v/>
      </c>
      <c r="G989" s="29"/>
      <c r="H989" s="7">
        <f>IFERROR(VLOOKUP(C989, General!$A$5:$L$35, 6, false) * G989 / 1000, 0)</f>
        <v>0</v>
      </c>
      <c r="I989" s="29"/>
      <c r="J989" s="22" t="str">
        <f>IFERROR(I989*VLOOKUP(D989,'Crafting Tables'!$1:$1000, 4, false)*F989,"")</f>
        <v/>
      </c>
      <c r="K989" s="29" t="b">
        <v>0</v>
      </c>
      <c r="L989" s="37"/>
      <c r="M989" s="29"/>
      <c r="N989" s="21" t="str">
        <f t="shared" si="2"/>
        <v/>
      </c>
      <c r="P989" s="37"/>
      <c r="Q989" s="29"/>
      <c r="R989" s="29" t="b">
        <v>0</v>
      </c>
      <c r="S989" s="22" t="str">
        <f t="shared" si="3"/>
        <v/>
      </c>
      <c r="T989" s="7">
        <f>IF(ISBLANK(P989), 0, VLOOKUP(P989, 'Price Sheet'!$A$2:$B1015, 2, false))</f>
        <v>0</v>
      </c>
      <c r="U989" s="33" t="str">
        <f t="shared" si="4"/>
        <v/>
      </c>
      <c r="V989" s="37"/>
      <c r="W989" s="29"/>
      <c r="X989" s="29" t="b">
        <v>0</v>
      </c>
      <c r="Y989" s="22" t="str">
        <f t="shared" si="5"/>
        <v/>
      </c>
      <c r="Z989" s="7">
        <f>IF(ISBLANK(V989), 0, VLOOKUP(V989, 'Price Sheet'!$A$2:$B1015, 2, false))</f>
        <v>0</v>
      </c>
      <c r="AA989" s="33" t="str">
        <f t="shared" si="6"/>
        <v/>
      </c>
      <c r="AB989" s="37"/>
      <c r="AC989" s="29"/>
      <c r="AD989" s="29" t="b">
        <v>0</v>
      </c>
      <c r="AE989" s="22" t="str">
        <f t="shared" si="7"/>
        <v/>
      </c>
      <c r="AF989" s="7">
        <f>IF(ISBLANK(AB989), 0, VLOOKUP(AB989, 'Price Sheet'!$A$2:$B1015, 2, false))</f>
        <v>0</v>
      </c>
      <c r="AG989" s="33" t="str">
        <f t="shared" si="8"/>
        <v/>
      </c>
      <c r="AH989" s="37"/>
      <c r="AI989" s="29"/>
      <c r="AJ989" s="29" t="b">
        <v>0</v>
      </c>
      <c r="AK989" s="22" t="str">
        <f t="shared" si="9"/>
        <v/>
      </c>
      <c r="AL989" s="7">
        <f>IF(ISBLANK(AH989), 0, VLOOKUP(AH989, 'Price Sheet'!$A$2:$B1015, 2, false))</f>
        <v>0</v>
      </c>
      <c r="AM989" s="33" t="str">
        <f t="shared" si="10"/>
        <v/>
      </c>
      <c r="AN989" s="37"/>
      <c r="AO989" s="29"/>
      <c r="AP989" s="29" t="b">
        <v>0</v>
      </c>
      <c r="AQ989" s="22" t="str">
        <f t="shared" si="11"/>
        <v/>
      </c>
      <c r="AR989" s="7">
        <f>IF(ISBLANK(AN989), 0, VLOOKUP(AN989, 'Price Sheet'!$A$2:$B1015, 2, false))</f>
        <v>0</v>
      </c>
      <c r="AS989" s="33" t="str">
        <f t="shared" si="12"/>
        <v/>
      </c>
      <c r="AT989" s="37"/>
      <c r="AU989" s="29"/>
      <c r="AV989" s="29" t="b">
        <v>0</v>
      </c>
      <c r="AW989" s="22" t="str">
        <f t="shared" si="13"/>
        <v/>
      </c>
      <c r="AX989" s="7">
        <f>IF(ISBLANK(AT989), 0, VLOOKUP(AT989, 'Price Sheet'!$A$2:$B1015, 2, false))</f>
        <v>0</v>
      </c>
      <c r="AY989" s="33" t="str">
        <f t="shared" si="14"/>
        <v/>
      </c>
      <c r="AZ989" s="37"/>
      <c r="BA989" s="29"/>
      <c r="BB989" s="29" t="b">
        <v>0</v>
      </c>
      <c r="BC989" s="22" t="str">
        <f t="shared" si="15"/>
        <v/>
      </c>
      <c r="BD989" s="7">
        <f>IF(ISBLANK(AZ989), 0, VLOOKUP(AZ989, 'Price Sheet'!$A$2:$B1015, 2, false))</f>
        <v>0</v>
      </c>
      <c r="BE989" s="33" t="str">
        <f t="shared" si="16"/>
        <v/>
      </c>
      <c r="BF989" s="37"/>
      <c r="BG989" s="29"/>
      <c r="BH989" s="29" t="b">
        <v>0</v>
      </c>
      <c r="BI989" s="22" t="str">
        <f t="shared" si="17"/>
        <v/>
      </c>
      <c r="BJ989" s="7">
        <f>IF(ISBLANK(BF989), 0, VLOOKUP(BF989, 'Price Sheet'!$A$2:$B1015, 2, false))</f>
        <v>0</v>
      </c>
      <c r="BK989" s="33" t="str">
        <f t="shared" si="18"/>
        <v/>
      </c>
      <c r="BL989" s="37"/>
      <c r="BM989" s="29"/>
      <c r="BN989" s="29" t="b">
        <v>0</v>
      </c>
      <c r="BO989" s="22" t="str">
        <f t="shared" si="19"/>
        <v/>
      </c>
      <c r="BP989" s="7">
        <f>IF(ISBLANK(BL989), 0, VLOOKUP(BL989, 'Price Sheet'!$A$2:$B1015, 2, false))</f>
        <v>0</v>
      </c>
      <c r="BQ989" s="33" t="str">
        <f t="shared" si="20"/>
        <v/>
      </c>
    </row>
    <row r="990">
      <c r="B990" s="19"/>
      <c r="C990" s="29"/>
      <c r="D990" s="29"/>
      <c r="E990" s="7" t="str">
        <f>IF(ISBLANK(D990), "", VLOOKUP(D990,'Crafting Tables'!$A$2:$B1015, 2, false))</f>
        <v/>
      </c>
      <c r="F990" s="7" t="str">
        <f>IFERROR(IF(E990 = "None", 1, VLOOKUP(C990,General!$A$5:$L$35, SWITCH(E990, "Basic", 8, "Advanced", 10, "Modern", 12), false)),"")</f>
        <v/>
      </c>
      <c r="G990" s="29"/>
      <c r="H990" s="7">
        <f>IFERROR(VLOOKUP(C990, General!$A$5:$L$35, 6, false) * G990 / 1000, 0)</f>
        <v>0</v>
      </c>
      <c r="I990" s="29"/>
      <c r="J990" s="22" t="str">
        <f>IFERROR(I990*VLOOKUP(D990,'Crafting Tables'!$1:$1000, 4, false)*F990,"")</f>
        <v/>
      </c>
      <c r="K990" s="29" t="b">
        <v>0</v>
      </c>
      <c r="L990" s="37"/>
      <c r="M990" s="29"/>
      <c r="N990" s="21" t="str">
        <f t="shared" si="2"/>
        <v/>
      </c>
      <c r="P990" s="37"/>
      <c r="Q990" s="29"/>
      <c r="R990" s="29" t="b">
        <v>0</v>
      </c>
      <c r="S990" s="22" t="str">
        <f t="shared" si="3"/>
        <v/>
      </c>
      <c r="T990" s="7">
        <f>IF(ISBLANK(P990), 0, VLOOKUP(P990, 'Price Sheet'!$A$2:$B1015, 2, false))</f>
        <v>0</v>
      </c>
      <c r="U990" s="33" t="str">
        <f t="shared" si="4"/>
        <v/>
      </c>
      <c r="V990" s="37"/>
      <c r="W990" s="29"/>
      <c r="X990" s="29" t="b">
        <v>0</v>
      </c>
      <c r="Y990" s="22" t="str">
        <f t="shared" si="5"/>
        <v/>
      </c>
      <c r="Z990" s="7">
        <f>IF(ISBLANK(V990), 0, VLOOKUP(V990, 'Price Sheet'!$A$2:$B1015, 2, false))</f>
        <v>0</v>
      </c>
      <c r="AA990" s="33" t="str">
        <f t="shared" si="6"/>
        <v/>
      </c>
      <c r="AB990" s="37"/>
      <c r="AC990" s="29"/>
      <c r="AD990" s="29" t="b">
        <v>0</v>
      </c>
      <c r="AE990" s="22" t="str">
        <f t="shared" si="7"/>
        <v/>
      </c>
      <c r="AF990" s="7">
        <f>IF(ISBLANK(AB990), 0, VLOOKUP(AB990, 'Price Sheet'!$A$2:$B1015, 2, false))</f>
        <v>0</v>
      </c>
      <c r="AG990" s="33" t="str">
        <f t="shared" si="8"/>
        <v/>
      </c>
      <c r="AH990" s="37"/>
      <c r="AI990" s="29"/>
      <c r="AJ990" s="29" t="b">
        <v>0</v>
      </c>
      <c r="AK990" s="22" t="str">
        <f t="shared" si="9"/>
        <v/>
      </c>
      <c r="AL990" s="7">
        <f>IF(ISBLANK(AH990), 0, VLOOKUP(AH990, 'Price Sheet'!$A$2:$B1015, 2, false))</f>
        <v>0</v>
      </c>
      <c r="AM990" s="33" t="str">
        <f t="shared" si="10"/>
        <v/>
      </c>
      <c r="AN990" s="37"/>
      <c r="AO990" s="29"/>
      <c r="AP990" s="29" t="b">
        <v>0</v>
      </c>
      <c r="AQ990" s="22" t="str">
        <f t="shared" si="11"/>
        <v/>
      </c>
      <c r="AR990" s="7">
        <f>IF(ISBLANK(AN990), 0, VLOOKUP(AN990, 'Price Sheet'!$A$2:$B1015, 2, false))</f>
        <v>0</v>
      </c>
      <c r="AS990" s="33" t="str">
        <f t="shared" si="12"/>
        <v/>
      </c>
      <c r="AT990" s="37"/>
      <c r="AU990" s="29"/>
      <c r="AV990" s="29" t="b">
        <v>0</v>
      </c>
      <c r="AW990" s="22" t="str">
        <f t="shared" si="13"/>
        <v/>
      </c>
      <c r="AX990" s="7">
        <f>IF(ISBLANK(AT990), 0, VLOOKUP(AT990, 'Price Sheet'!$A$2:$B1015, 2, false))</f>
        <v>0</v>
      </c>
      <c r="AY990" s="33" t="str">
        <f t="shared" si="14"/>
        <v/>
      </c>
      <c r="AZ990" s="37"/>
      <c r="BA990" s="29"/>
      <c r="BB990" s="29" t="b">
        <v>0</v>
      </c>
      <c r="BC990" s="22" t="str">
        <f t="shared" si="15"/>
        <v/>
      </c>
      <c r="BD990" s="7">
        <f>IF(ISBLANK(AZ990), 0, VLOOKUP(AZ990, 'Price Sheet'!$A$2:$B1015, 2, false))</f>
        <v>0</v>
      </c>
      <c r="BE990" s="33" t="str">
        <f t="shared" si="16"/>
        <v/>
      </c>
      <c r="BF990" s="37"/>
      <c r="BG990" s="29"/>
      <c r="BH990" s="29" t="b">
        <v>0</v>
      </c>
      <c r="BI990" s="22" t="str">
        <f t="shared" si="17"/>
        <v/>
      </c>
      <c r="BJ990" s="7">
        <f>IF(ISBLANK(BF990), 0, VLOOKUP(BF990, 'Price Sheet'!$A$2:$B1015, 2, false))</f>
        <v>0</v>
      </c>
      <c r="BK990" s="33" t="str">
        <f t="shared" si="18"/>
        <v/>
      </c>
      <c r="BL990" s="37"/>
      <c r="BM990" s="29"/>
      <c r="BN990" s="29" t="b">
        <v>0</v>
      </c>
      <c r="BO990" s="22" t="str">
        <f t="shared" si="19"/>
        <v/>
      </c>
      <c r="BP990" s="7">
        <f>IF(ISBLANK(BL990), 0, VLOOKUP(BL990, 'Price Sheet'!$A$2:$B1015, 2, false))</f>
        <v>0</v>
      </c>
      <c r="BQ990" s="33" t="str">
        <f t="shared" si="20"/>
        <v/>
      </c>
    </row>
    <row r="991">
      <c r="B991" s="19"/>
      <c r="C991" s="29"/>
      <c r="D991" s="29"/>
      <c r="E991" s="7" t="str">
        <f>IF(ISBLANK(D991), "", VLOOKUP(D991,'Crafting Tables'!$A$2:$B1015, 2, false))</f>
        <v/>
      </c>
      <c r="F991" s="7" t="str">
        <f>IFERROR(IF(E991 = "None", 1, VLOOKUP(C991,General!$A$5:$L$35, SWITCH(E991, "Basic", 8, "Advanced", 10, "Modern", 12), false)),"")</f>
        <v/>
      </c>
      <c r="G991" s="29"/>
      <c r="H991" s="7">
        <f>IFERROR(VLOOKUP(C991, General!$A$5:$L$35, 6, false) * G991 / 1000, 0)</f>
        <v>0</v>
      </c>
      <c r="I991" s="29"/>
      <c r="J991" s="22" t="str">
        <f>IFERROR(I991*VLOOKUP(D991,'Crafting Tables'!$1:$1000, 4, false)*F991,"")</f>
        <v/>
      </c>
      <c r="K991" s="29" t="b">
        <v>0</v>
      </c>
      <c r="L991" s="37"/>
      <c r="M991" s="29"/>
      <c r="N991" s="21" t="str">
        <f t="shared" si="2"/>
        <v/>
      </c>
      <c r="P991" s="37"/>
      <c r="Q991" s="29"/>
      <c r="R991" s="29" t="b">
        <v>0</v>
      </c>
      <c r="S991" s="22" t="str">
        <f t="shared" si="3"/>
        <v/>
      </c>
      <c r="T991" s="7">
        <f>IF(ISBLANK(P991), 0, VLOOKUP(P991, 'Price Sheet'!$A$2:$B1015, 2, false))</f>
        <v>0</v>
      </c>
      <c r="U991" s="33" t="str">
        <f t="shared" si="4"/>
        <v/>
      </c>
      <c r="V991" s="37"/>
      <c r="W991" s="29"/>
      <c r="X991" s="29" t="b">
        <v>0</v>
      </c>
      <c r="Y991" s="22" t="str">
        <f t="shared" si="5"/>
        <v/>
      </c>
      <c r="Z991" s="7">
        <f>IF(ISBLANK(V991), 0, VLOOKUP(V991, 'Price Sheet'!$A$2:$B1015, 2, false))</f>
        <v>0</v>
      </c>
      <c r="AA991" s="33" t="str">
        <f t="shared" si="6"/>
        <v/>
      </c>
      <c r="AB991" s="37"/>
      <c r="AC991" s="29"/>
      <c r="AD991" s="29" t="b">
        <v>0</v>
      </c>
      <c r="AE991" s="22" t="str">
        <f t="shared" si="7"/>
        <v/>
      </c>
      <c r="AF991" s="7">
        <f>IF(ISBLANK(AB991), 0, VLOOKUP(AB991, 'Price Sheet'!$A$2:$B1015, 2, false))</f>
        <v>0</v>
      </c>
      <c r="AG991" s="33" t="str">
        <f t="shared" si="8"/>
        <v/>
      </c>
      <c r="AH991" s="37"/>
      <c r="AI991" s="29"/>
      <c r="AJ991" s="29" t="b">
        <v>0</v>
      </c>
      <c r="AK991" s="22" t="str">
        <f t="shared" si="9"/>
        <v/>
      </c>
      <c r="AL991" s="7">
        <f>IF(ISBLANK(AH991), 0, VLOOKUP(AH991, 'Price Sheet'!$A$2:$B1015, 2, false))</f>
        <v>0</v>
      </c>
      <c r="AM991" s="33" t="str">
        <f t="shared" si="10"/>
        <v/>
      </c>
      <c r="AN991" s="37"/>
      <c r="AO991" s="29"/>
      <c r="AP991" s="29" t="b">
        <v>0</v>
      </c>
      <c r="AQ991" s="22" t="str">
        <f t="shared" si="11"/>
        <v/>
      </c>
      <c r="AR991" s="7">
        <f>IF(ISBLANK(AN991), 0, VLOOKUP(AN991, 'Price Sheet'!$A$2:$B1015, 2, false))</f>
        <v>0</v>
      </c>
      <c r="AS991" s="33" t="str">
        <f t="shared" si="12"/>
        <v/>
      </c>
      <c r="AT991" s="37"/>
      <c r="AU991" s="29"/>
      <c r="AV991" s="29" t="b">
        <v>0</v>
      </c>
      <c r="AW991" s="22" t="str">
        <f t="shared" si="13"/>
        <v/>
      </c>
      <c r="AX991" s="7">
        <f>IF(ISBLANK(AT991), 0, VLOOKUP(AT991, 'Price Sheet'!$A$2:$B1015, 2, false))</f>
        <v>0</v>
      </c>
      <c r="AY991" s="33" t="str">
        <f t="shared" si="14"/>
        <v/>
      </c>
      <c r="AZ991" s="37"/>
      <c r="BA991" s="29"/>
      <c r="BB991" s="29" t="b">
        <v>0</v>
      </c>
      <c r="BC991" s="22" t="str">
        <f t="shared" si="15"/>
        <v/>
      </c>
      <c r="BD991" s="7">
        <f>IF(ISBLANK(AZ991), 0, VLOOKUP(AZ991, 'Price Sheet'!$A$2:$B1015, 2, false))</f>
        <v>0</v>
      </c>
      <c r="BE991" s="33" t="str">
        <f t="shared" si="16"/>
        <v/>
      </c>
      <c r="BF991" s="37"/>
      <c r="BG991" s="29"/>
      <c r="BH991" s="29" t="b">
        <v>0</v>
      </c>
      <c r="BI991" s="22" t="str">
        <f t="shared" si="17"/>
        <v/>
      </c>
      <c r="BJ991" s="7">
        <f>IF(ISBLANK(BF991), 0, VLOOKUP(BF991, 'Price Sheet'!$A$2:$B1015, 2, false))</f>
        <v>0</v>
      </c>
      <c r="BK991" s="33" t="str">
        <f t="shared" si="18"/>
        <v/>
      </c>
      <c r="BL991" s="37"/>
      <c r="BM991" s="29"/>
      <c r="BN991" s="29" t="b">
        <v>0</v>
      </c>
      <c r="BO991" s="22" t="str">
        <f t="shared" si="19"/>
        <v/>
      </c>
      <c r="BP991" s="7">
        <f>IF(ISBLANK(BL991), 0, VLOOKUP(BL991, 'Price Sheet'!$A$2:$B1015, 2, false))</f>
        <v>0</v>
      </c>
      <c r="BQ991" s="33" t="str">
        <f t="shared" si="20"/>
        <v/>
      </c>
    </row>
    <row r="992">
      <c r="B992" s="19"/>
      <c r="C992" s="29"/>
      <c r="D992" s="29"/>
      <c r="E992" s="7" t="str">
        <f>IF(ISBLANK(D992), "", VLOOKUP(D992,'Crafting Tables'!$A$2:$B1015, 2, false))</f>
        <v/>
      </c>
      <c r="F992" s="7" t="str">
        <f>IFERROR(IF(E992 = "None", 1, VLOOKUP(C992,General!$A$5:$L$35, SWITCH(E992, "Basic", 8, "Advanced", 10, "Modern", 12), false)),"")</f>
        <v/>
      </c>
      <c r="G992" s="29"/>
      <c r="H992" s="7">
        <f>IFERROR(VLOOKUP(C992, General!$A$5:$L$35, 6, false) * G992 / 1000, 0)</f>
        <v>0</v>
      </c>
      <c r="I992" s="29"/>
      <c r="J992" s="22" t="str">
        <f>IFERROR(I992*VLOOKUP(D992,'Crafting Tables'!$1:$1000, 4, false)*F992,"")</f>
        <v/>
      </c>
      <c r="K992" s="29" t="b">
        <v>0</v>
      </c>
      <c r="L992" s="37"/>
      <c r="M992" s="29"/>
      <c r="N992" s="21" t="str">
        <f t="shared" si="2"/>
        <v/>
      </c>
      <c r="P992" s="37"/>
      <c r="Q992" s="29"/>
      <c r="R992" s="29" t="b">
        <v>0</v>
      </c>
      <c r="S992" s="22" t="str">
        <f t="shared" si="3"/>
        <v/>
      </c>
      <c r="T992" s="7">
        <f>IF(ISBLANK(P992), 0, VLOOKUP(P992, 'Price Sheet'!$A$2:$B1015, 2, false))</f>
        <v>0</v>
      </c>
      <c r="U992" s="33" t="str">
        <f t="shared" si="4"/>
        <v/>
      </c>
      <c r="V992" s="37"/>
      <c r="W992" s="29"/>
      <c r="X992" s="29" t="b">
        <v>0</v>
      </c>
      <c r="Y992" s="22" t="str">
        <f t="shared" si="5"/>
        <v/>
      </c>
      <c r="Z992" s="7">
        <f>IF(ISBLANK(V992), 0, VLOOKUP(V992, 'Price Sheet'!$A$2:$B1015, 2, false))</f>
        <v>0</v>
      </c>
      <c r="AA992" s="33" t="str">
        <f t="shared" si="6"/>
        <v/>
      </c>
      <c r="AB992" s="37"/>
      <c r="AC992" s="29"/>
      <c r="AD992" s="29" t="b">
        <v>0</v>
      </c>
      <c r="AE992" s="22" t="str">
        <f t="shared" si="7"/>
        <v/>
      </c>
      <c r="AF992" s="7">
        <f>IF(ISBLANK(AB992), 0, VLOOKUP(AB992, 'Price Sheet'!$A$2:$B1015, 2, false))</f>
        <v>0</v>
      </c>
      <c r="AG992" s="33" t="str">
        <f t="shared" si="8"/>
        <v/>
      </c>
      <c r="AH992" s="37"/>
      <c r="AI992" s="29"/>
      <c r="AJ992" s="29" t="b">
        <v>0</v>
      </c>
      <c r="AK992" s="22" t="str">
        <f t="shared" si="9"/>
        <v/>
      </c>
      <c r="AL992" s="7">
        <f>IF(ISBLANK(AH992), 0, VLOOKUP(AH992, 'Price Sheet'!$A$2:$B1015, 2, false))</f>
        <v>0</v>
      </c>
      <c r="AM992" s="33" t="str">
        <f t="shared" si="10"/>
        <v/>
      </c>
      <c r="AN992" s="37"/>
      <c r="AO992" s="29"/>
      <c r="AP992" s="29" t="b">
        <v>0</v>
      </c>
      <c r="AQ992" s="22" t="str">
        <f t="shared" si="11"/>
        <v/>
      </c>
      <c r="AR992" s="7">
        <f>IF(ISBLANK(AN992), 0, VLOOKUP(AN992, 'Price Sheet'!$A$2:$B1015, 2, false))</f>
        <v>0</v>
      </c>
      <c r="AS992" s="33" t="str">
        <f t="shared" si="12"/>
        <v/>
      </c>
      <c r="AT992" s="37"/>
      <c r="AU992" s="29"/>
      <c r="AV992" s="29" t="b">
        <v>0</v>
      </c>
      <c r="AW992" s="22" t="str">
        <f t="shared" si="13"/>
        <v/>
      </c>
      <c r="AX992" s="7">
        <f>IF(ISBLANK(AT992), 0, VLOOKUP(AT992, 'Price Sheet'!$A$2:$B1015, 2, false))</f>
        <v>0</v>
      </c>
      <c r="AY992" s="33" t="str">
        <f t="shared" si="14"/>
        <v/>
      </c>
      <c r="AZ992" s="37"/>
      <c r="BA992" s="29"/>
      <c r="BB992" s="29" t="b">
        <v>0</v>
      </c>
      <c r="BC992" s="22" t="str">
        <f t="shared" si="15"/>
        <v/>
      </c>
      <c r="BD992" s="7">
        <f>IF(ISBLANK(AZ992), 0, VLOOKUP(AZ992, 'Price Sheet'!$A$2:$B1015, 2, false))</f>
        <v>0</v>
      </c>
      <c r="BE992" s="33" t="str">
        <f t="shared" si="16"/>
        <v/>
      </c>
      <c r="BF992" s="37"/>
      <c r="BG992" s="29"/>
      <c r="BH992" s="29" t="b">
        <v>0</v>
      </c>
      <c r="BI992" s="22" t="str">
        <f t="shared" si="17"/>
        <v/>
      </c>
      <c r="BJ992" s="7">
        <f>IF(ISBLANK(BF992), 0, VLOOKUP(BF992, 'Price Sheet'!$A$2:$B1015, 2, false))</f>
        <v>0</v>
      </c>
      <c r="BK992" s="33" t="str">
        <f t="shared" si="18"/>
        <v/>
      </c>
      <c r="BL992" s="37"/>
      <c r="BM992" s="29"/>
      <c r="BN992" s="29" t="b">
        <v>0</v>
      </c>
      <c r="BO992" s="22" t="str">
        <f t="shared" si="19"/>
        <v/>
      </c>
      <c r="BP992" s="7">
        <f>IF(ISBLANK(BL992), 0, VLOOKUP(BL992, 'Price Sheet'!$A$2:$B1015, 2, false))</f>
        <v>0</v>
      </c>
      <c r="BQ992" s="33" t="str">
        <f t="shared" si="20"/>
        <v/>
      </c>
    </row>
    <row r="993">
      <c r="B993" s="19"/>
      <c r="C993" s="29"/>
      <c r="D993" s="29"/>
      <c r="E993" s="7" t="str">
        <f>IF(ISBLANK(D993), "", VLOOKUP(D993,'Crafting Tables'!$A$2:$B1015, 2, false))</f>
        <v/>
      </c>
      <c r="F993" s="7" t="str">
        <f>IFERROR(IF(E993 = "None", 1, VLOOKUP(C993,General!$A$5:$L$35, SWITCH(E993, "Basic", 8, "Advanced", 10, "Modern", 12), false)),"")</f>
        <v/>
      </c>
      <c r="G993" s="29"/>
      <c r="H993" s="7">
        <f>IFERROR(VLOOKUP(C993, General!$A$5:$L$35, 6, false) * G993 / 1000, 0)</f>
        <v>0</v>
      </c>
      <c r="I993" s="29"/>
      <c r="J993" s="22" t="str">
        <f>IFERROR(I993*VLOOKUP(D993,'Crafting Tables'!$1:$1000, 4, false)*F993,"")</f>
        <v/>
      </c>
      <c r="K993" s="29" t="b">
        <v>0</v>
      </c>
      <c r="L993" s="37"/>
      <c r="M993" s="29"/>
      <c r="N993" s="21" t="str">
        <f t="shared" si="2"/>
        <v/>
      </c>
      <c r="P993" s="37"/>
      <c r="Q993" s="29"/>
      <c r="R993" s="29" t="b">
        <v>0</v>
      </c>
      <c r="S993" s="22" t="str">
        <f t="shared" si="3"/>
        <v/>
      </c>
      <c r="T993" s="7">
        <f>IF(ISBLANK(P993), 0, VLOOKUP(P993, 'Price Sheet'!$A$2:$B1015, 2, false))</f>
        <v>0</v>
      </c>
      <c r="U993" s="33" t="str">
        <f t="shared" si="4"/>
        <v/>
      </c>
      <c r="V993" s="37"/>
      <c r="W993" s="29"/>
      <c r="X993" s="29" t="b">
        <v>0</v>
      </c>
      <c r="Y993" s="22" t="str">
        <f t="shared" si="5"/>
        <v/>
      </c>
      <c r="Z993" s="7">
        <f>IF(ISBLANK(V993), 0, VLOOKUP(V993, 'Price Sheet'!$A$2:$B1015, 2, false))</f>
        <v>0</v>
      </c>
      <c r="AA993" s="33" t="str">
        <f t="shared" si="6"/>
        <v/>
      </c>
      <c r="AB993" s="37"/>
      <c r="AC993" s="29"/>
      <c r="AD993" s="29" t="b">
        <v>0</v>
      </c>
      <c r="AE993" s="22" t="str">
        <f t="shared" si="7"/>
        <v/>
      </c>
      <c r="AF993" s="7">
        <f>IF(ISBLANK(AB993), 0, VLOOKUP(AB993, 'Price Sheet'!$A$2:$B1015, 2, false))</f>
        <v>0</v>
      </c>
      <c r="AG993" s="33" t="str">
        <f t="shared" si="8"/>
        <v/>
      </c>
      <c r="AH993" s="37"/>
      <c r="AI993" s="29"/>
      <c r="AJ993" s="29" t="b">
        <v>0</v>
      </c>
      <c r="AK993" s="22" t="str">
        <f t="shared" si="9"/>
        <v/>
      </c>
      <c r="AL993" s="7">
        <f>IF(ISBLANK(AH993), 0, VLOOKUP(AH993, 'Price Sheet'!$A$2:$B1015, 2, false))</f>
        <v>0</v>
      </c>
      <c r="AM993" s="33" t="str">
        <f t="shared" si="10"/>
        <v/>
      </c>
      <c r="AN993" s="37"/>
      <c r="AO993" s="29"/>
      <c r="AP993" s="29" t="b">
        <v>0</v>
      </c>
      <c r="AQ993" s="22" t="str">
        <f t="shared" si="11"/>
        <v/>
      </c>
      <c r="AR993" s="7">
        <f>IF(ISBLANK(AN993), 0, VLOOKUP(AN993, 'Price Sheet'!$A$2:$B1015, 2, false))</f>
        <v>0</v>
      </c>
      <c r="AS993" s="33" t="str">
        <f t="shared" si="12"/>
        <v/>
      </c>
      <c r="AT993" s="37"/>
      <c r="AU993" s="29"/>
      <c r="AV993" s="29" t="b">
        <v>0</v>
      </c>
      <c r="AW993" s="22" t="str">
        <f t="shared" si="13"/>
        <v/>
      </c>
      <c r="AX993" s="7">
        <f>IF(ISBLANK(AT993), 0, VLOOKUP(AT993, 'Price Sheet'!$A$2:$B1015, 2, false))</f>
        <v>0</v>
      </c>
      <c r="AY993" s="33" t="str">
        <f t="shared" si="14"/>
        <v/>
      </c>
      <c r="AZ993" s="37"/>
      <c r="BA993" s="29"/>
      <c r="BB993" s="29" t="b">
        <v>0</v>
      </c>
      <c r="BC993" s="22" t="str">
        <f t="shared" si="15"/>
        <v/>
      </c>
      <c r="BD993" s="7">
        <f>IF(ISBLANK(AZ993), 0, VLOOKUP(AZ993, 'Price Sheet'!$A$2:$B1015, 2, false))</f>
        <v>0</v>
      </c>
      <c r="BE993" s="33" t="str">
        <f t="shared" si="16"/>
        <v/>
      </c>
      <c r="BF993" s="37"/>
      <c r="BG993" s="29"/>
      <c r="BH993" s="29" t="b">
        <v>0</v>
      </c>
      <c r="BI993" s="22" t="str">
        <f t="shared" si="17"/>
        <v/>
      </c>
      <c r="BJ993" s="7">
        <f>IF(ISBLANK(BF993), 0, VLOOKUP(BF993, 'Price Sheet'!$A$2:$B1015, 2, false))</f>
        <v>0</v>
      </c>
      <c r="BK993" s="33" t="str">
        <f t="shared" si="18"/>
        <v/>
      </c>
      <c r="BL993" s="37"/>
      <c r="BM993" s="29"/>
      <c r="BN993" s="29" t="b">
        <v>0</v>
      </c>
      <c r="BO993" s="22" t="str">
        <f t="shared" si="19"/>
        <v/>
      </c>
      <c r="BP993" s="7">
        <f>IF(ISBLANK(BL993), 0, VLOOKUP(BL993, 'Price Sheet'!$A$2:$B1015, 2, false))</f>
        <v>0</v>
      </c>
      <c r="BQ993" s="33" t="str">
        <f t="shared" si="20"/>
        <v/>
      </c>
    </row>
    <row r="994">
      <c r="B994" s="19"/>
      <c r="C994" s="29"/>
      <c r="D994" s="29"/>
      <c r="E994" s="7" t="str">
        <f>IF(ISBLANK(D994), "", VLOOKUP(D994,'Crafting Tables'!$A$2:$B1015, 2, false))</f>
        <v/>
      </c>
      <c r="F994" s="7" t="str">
        <f>IFERROR(IF(E994 = "None", 1, VLOOKUP(C994,General!$A$5:$L$35, SWITCH(E994, "Basic", 8, "Advanced", 10, "Modern", 12), false)),"")</f>
        <v/>
      </c>
      <c r="G994" s="29"/>
      <c r="H994" s="7">
        <f>IFERROR(VLOOKUP(C994, General!$A$5:$L$35, 6, false) * G994 / 1000, 0)</f>
        <v>0</v>
      </c>
      <c r="I994" s="29"/>
      <c r="J994" s="22" t="str">
        <f>IFERROR(I994*VLOOKUP(D994,'Crafting Tables'!$1:$1000, 4, false)*F994,"")</f>
        <v/>
      </c>
      <c r="K994" s="29" t="b">
        <v>0</v>
      </c>
      <c r="L994" s="37"/>
      <c r="M994" s="29"/>
      <c r="N994" s="21" t="str">
        <f t="shared" si="2"/>
        <v/>
      </c>
      <c r="P994" s="37"/>
      <c r="Q994" s="29"/>
      <c r="R994" s="29" t="b">
        <v>0</v>
      </c>
      <c r="S994" s="22" t="str">
        <f t="shared" si="3"/>
        <v/>
      </c>
      <c r="T994" s="7">
        <f>IF(ISBLANK(P994), 0, VLOOKUP(P994, 'Price Sheet'!$A$2:$B1015, 2, false))</f>
        <v>0</v>
      </c>
      <c r="U994" s="33" t="str">
        <f t="shared" si="4"/>
        <v/>
      </c>
      <c r="V994" s="37"/>
      <c r="W994" s="29"/>
      <c r="X994" s="29" t="b">
        <v>0</v>
      </c>
      <c r="Y994" s="22" t="str">
        <f t="shared" si="5"/>
        <v/>
      </c>
      <c r="Z994" s="7">
        <f>IF(ISBLANK(V994), 0, VLOOKUP(V994, 'Price Sheet'!$A$2:$B1015, 2, false))</f>
        <v>0</v>
      </c>
      <c r="AA994" s="33" t="str">
        <f t="shared" si="6"/>
        <v/>
      </c>
      <c r="AB994" s="37"/>
      <c r="AC994" s="29"/>
      <c r="AD994" s="29" t="b">
        <v>0</v>
      </c>
      <c r="AE994" s="22" t="str">
        <f t="shared" si="7"/>
        <v/>
      </c>
      <c r="AF994" s="7">
        <f>IF(ISBLANK(AB994), 0, VLOOKUP(AB994, 'Price Sheet'!$A$2:$B1015, 2, false))</f>
        <v>0</v>
      </c>
      <c r="AG994" s="33" t="str">
        <f t="shared" si="8"/>
        <v/>
      </c>
      <c r="AH994" s="37"/>
      <c r="AI994" s="29"/>
      <c r="AJ994" s="29" t="b">
        <v>0</v>
      </c>
      <c r="AK994" s="22" t="str">
        <f t="shared" si="9"/>
        <v/>
      </c>
      <c r="AL994" s="7">
        <f>IF(ISBLANK(AH994), 0, VLOOKUP(AH994, 'Price Sheet'!$A$2:$B1015, 2, false))</f>
        <v>0</v>
      </c>
      <c r="AM994" s="33" t="str">
        <f t="shared" si="10"/>
        <v/>
      </c>
      <c r="AN994" s="37"/>
      <c r="AO994" s="29"/>
      <c r="AP994" s="29" t="b">
        <v>0</v>
      </c>
      <c r="AQ994" s="22" t="str">
        <f t="shared" si="11"/>
        <v/>
      </c>
      <c r="AR994" s="7">
        <f>IF(ISBLANK(AN994), 0, VLOOKUP(AN994, 'Price Sheet'!$A$2:$B1015, 2, false))</f>
        <v>0</v>
      </c>
      <c r="AS994" s="33" t="str">
        <f t="shared" si="12"/>
        <v/>
      </c>
      <c r="AT994" s="37"/>
      <c r="AU994" s="29"/>
      <c r="AV994" s="29" t="b">
        <v>0</v>
      </c>
      <c r="AW994" s="22" t="str">
        <f t="shared" si="13"/>
        <v/>
      </c>
      <c r="AX994" s="7">
        <f>IF(ISBLANK(AT994), 0, VLOOKUP(AT994, 'Price Sheet'!$A$2:$B1015, 2, false))</f>
        <v>0</v>
      </c>
      <c r="AY994" s="33" t="str">
        <f t="shared" si="14"/>
        <v/>
      </c>
      <c r="AZ994" s="37"/>
      <c r="BA994" s="29"/>
      <c r="BB994" s="29" t="b">
        <v>0</v>
      </c>
      <c r="BC994" s="22" t="str">
        <f t="shared" si="15"/>
        <v/>
      </c>
      <c r="BD994" s="7">
        <f>IF(ISBLANK(AZ994), 0, VLOOKUP(AZ994, 'Price Sheet'!$A$2:$B1015, 2, false))</f>
        <v>0</v>
      </c>
      <c r="BE994" s="33" t="str">
        <f t="shared" si="16"/>
        <v/>
      </c>
      <c r="BF994" s="37"/>
      <c r="BG994" s="29"/>
      <c r="BH994" s="29" t="b">
        <v>0</v>
      </c>
      <c r="BI994" s="22" t="str">
        <f t="shared" si="17"/>
        <v/>
      </c>
      <c r="BJ994" s="7">
        <f>IF(ISBLANK(BF994), 0, VLOOKUP(BF994, 'Price Sheet'!$A$2:$B1015, 2, false))</f>
        <v>0</v>
      </c>
      <c r="BK994" s="33" t="str">
        <f t="shared" si="18"/>
        <v/>
      </c>
      <c r="BL994" s="37"/>
      <c r="BM994" s="29"/>
      <c r="BN994" s="29" t="b">
        <v>0</v>
      </c>
      <c r="BO994" s="22" t="str">
        <f t="shared" si="19"/>
        <v/>
      </c>
      <c r="BP994" s="7">
        <f>IF(ISBLANK(BL994), 0, VLOOKUP(BL994, 'Price Sheet'!$A$2:$B1015, 2, false))</f>
        <v>0</v>
      </c>
      <c r="BQ994" s="33" t="str">
        <f t="shared" si="20"/>
        <v/>
      </c>
    </row>
    <row r="995">
      <c r="B995" s="19"/>
      <c r="C995" s="29"/>
      <c r="D995" s="29"/>
      <c r="E995" s="7" t="str">
        <f>IF(ISBLANK(D995), "", VLOOKUP(D995,'Crafting Tables'!$A$2:$B1015, 2, false))</f>
        <v/>
      </c>
      <c r="F995" s="7" t="str">
        <f>IFERROR(IF(E995 = "None", 1, VLOOKUP(C995,General!$A$5:$L$35, SWITCH(E995, "Basic", 8, "Advanced", 10, "Modern", 12), false)),"")</f>
        <v/>
      </c>
      <c r="G995" s="29"/>
      <c r="H995" s="7">
        <f>IFERROR(VLOOKUP(C995, General!$A$5:$L$35, 6, false) * G995 / 1000, 0)</f>
        <v>0</v>
      </c>
      <c r="I995" s="29"/>
      <c r="J995" s="22" t="str">
        <f>IFERROR(I995*VLOOKUP(D995,'Crafting Tables'!$1:$1000, 4, false)*F995,"")</f>
        <v/>
      </c>
      <c r="K995" s="29" t="b">
        <v>0</v>
      </c>
      <c r="L995" s="37"/>
      <c r="M995" s="29"/>
      <c r="N995" s="21" t="str">
        <f t="shared" si="2"/>
        <v/>
      </c>
      <c r="P995" s="37"/>
      <c r="Q995" s="29"/>
      <c r="R995" s="29" t="b">
        <v>0</v>
      </c>
      <c r="S995" s="22" t="str">
        <f t="shared" si="3"/>
        <v/>
      </c>
      <c r="T995" s="7">
        <f>IF(ISBLANK(P995), 0, VLOOKUP(P995, 'Price Sheet'!$A$2:$B1015, 2, false))</f>
        <v>0</v>
      </c>
      <c r="U995" s="33" t="str">
        <f t="shared" si="4"/>
        <v/>
      </c>
      <c r="V995" s="37"/>
      <c r="W995" s="29"/>
      <c r="X995" s="29" t="b">
        <v>0</v>
      </c>
      <c r="Y995" s="22" t="str">
        <f t="shared" si="5"/>
        <v/>
      </c>
      <c r="Z995" s="7">
        <f>IF(ISBLANK(V995), 0, VLOOKUP(V995, 'Price Sheet'!$A$2:$B1015, 2, false))</f>
        <v>0</v>
      </c>
      <c r="AA995" s="33" t="str">
        <f t="shared" si="6"/>
        <v/>
      </c>
      <c r="AB995" s="37"/>
      <c r="AC995" s="29"/>
      <c r="AD995" s="29" t="b">
        <v>0</v>
      </c>
      <c r="AE995" s="22" t="str">
        <f t="shared" si="7"/>
        <v/>
      </c>
      <c r="AF995" s="7">
        <f>IF(ISBLANK(AB995), 0, VLOOKUP(AB995, 'Price Sheet'!$A$2:$B1015, 2, false))</f>
        <v>0</v>
      </c>
      <c r="AG995" s="33" t="str">
        <f t="shared" si="8"/>
        <v/>
      </c>
      <c r="AH995" s="37"/>
      <c r="AI995" s="29"/>
      <c r="AJ995" s="29" t="b">
        <v>0</v>
      </c>
      <c r="AK995" s="22" t="str">
        <f t="shared" si="9"/>
        <v/>
      </c>
      <c r="AL995" s="7">
        <f>IF(ISBLANK(AH995), 0, VLOOKUP(AH995, 'Price Sheet'!$A$2:$B1015, 2, false))</f>
        <v>0</v>
      </c>
      <c r="AM995" s="33" t="str">
        <f t="shared" si="10"/>
        <v/>
      </c>
      <c r="AN995" s="37"/>
      <c r="AO995" s="29"/>
      <c r="AP995" s="29" t="b">
        <v>0</v>
      </c>
      <c r="AQ995" s="22" t="str">
        <f t="shared" si="11"/>
        <v/>
      </c>
      <c r="AR995" s="7">
        <f>IF(ISBLANK(AN995), 0, VLOOKUP(AN995, 'Price Sheet'!$A$2:$B1015, 2, false))</f>
        <v>0</v>
      </c>
      <c r="AS995" s="33" t="str">
        <f t="shared" si="12"/>
        <v/>
      </c>
      <c r="AT995" s="37"/>
      <c r="AU995" s="29"/>
      <c r="AV995" s="29" t="b">
        <v>0</v>
      </c>
      <c r="AW995" s="22" t="str">
        <f t="shared" si="13"/>
        <v/>
      </c>
      <c r="AX995" s="7">
        <f>IF(ISBLANK(AT995), 0, VLOOKUP(AT995, 'Price Sheet'!$A$2:$B1015, 2, false))</f>
        <v>0</v>
      </c>
      <c r="AY995" s="33" t="str">
        <f t="shared" si="14"/>
        <v/>
      </c>
      <c r="AZ995" s="37"/>
      <c r="BA995" s="29"/>
      <c r="BB995" s="29" t="b">
        <v>0</v>
      </c>
      <c r="BC995" s="22" t="str">
        <f t="shared" si="15"/>
        <v/>
      </c>
      <c r="BD995" s="7">
        <f>IF(ISBLANK(AZ995), 0, VLOOKUP(AZ995, 'Price Sheet'!$A$2:$B1015, 2, false))</f>
        <v>0</v>
      </c>
      <c r="BE995" s="33" t="str">
        <f t="shared" si="16"/>
        <v/>
      </c>
      <c r="BF995" s="37"/>
      <c r="BG995" s="29"/>
      <c r="BH995" s="29" t="b">
        <v>0</v>
      </c>
      <c r="BI995" s="22" t="str">
        <f t="shared" si="17"/>
        <v/>
      </c>
      <c r="BJ995" s="7">
        <f>IF(ISBLANK(BF995), 0, VLOOKUP(BF995, 'Price Sheet'!$A$2:$B1015, 2, false))</f>
        <v>0</v>
      </c>
      <c r="BK995" s="33" t="str">
        <f t="shared" si="18"/>
        <v/>
      </c>
      <c r="BL995" s="37"/>
      <c r="BM995" s="29"/>
      <c r="BN995" s="29" t="b">
        <v>0</v>
      </c>
      <c r="BO995" s="22" t="str">
        <f t="shared" si="19"/>
        <v/>
      </c>
      <c r="BP995" s="7">
        <f>IF(ISBLANK(BL995), 0, VLOOKUP(BL995, 'Price Sheet'!$A$2:$B1015, 2, false))</f>
        <v>0</v>
      </c>
      <c r="BQ995" s="33" t="str">
        <f t="shared" si="20"/>
        <v/>
      </c>
    </row>
    <row r="996">
      <c r="B996" s="19"/>
      <c r="C996" s="29"/>
      <c r="D996" s="29"/>
      <c r="E996" s="7" t="str">
        <f>IF(ISBLANK(D996), "", VLOOKUP(D996,'Crafting Tables'!$A$2:$B1015, 2, false))</f>
        <v/>
      </c>
      <c r="F996" s="7" t="str">
        <f>IFERROR(IF(E996 = "None", 1, VLOOKUP(C996,General!$A$5:$L$35, SWITCH(E996, "Basic", 8, "Advanced", 10, "Modern", 12), false)),"")</f>
        <v/>
      </c>
      <c r="G996" s="29"/>
      <c r="H996" s="7">
        <f>IFERROR(VLOOKUP(C996, General!$A$5:$L$35, 6, false) * G996 / 1000, 0)</f>
        <v>0</v>
      </c>
      <c r="I996" s="29"/>
      <c r="J996" s="22" t="str">
        <f>IFERROR(I996*VLOOKUP(D996,'Crafting Tables'!$1:$1000, 4, false)*F996,"")</f>
        <v/>
      </c>
      <c r="K996" s="29" t="b">
        <v>0</v>
      </c>
      <c r="L996" s="37"/>
      <c r="M996" s="29"/>
      <c r="N996" s="21" t="str">
        <f t="shared" si="2"/>
        <v/>
      </c>
      <c r="P996" s="37"/>
      <c r="Q996" s="29"/>
      <c r="R996" s="29" t="b">
        <v>0</v>
      </c>
      <c r="S996" s="22" t="str">
        <f t="shared" si="3"/>
        <v/>
      </c>
      <c r="T996" s="7">
        <f>IF(ISBLANK(P996), 0, VLOOKUP(P996, 'Price Sheet'!$A$2:$B1015, 2, false))</f>
        <v>0</v>
      </c>
      <c r="U996" s="33" t="str">
        <f t="shared" si="4"/>
        <v/>
      </c>
      <c r="V996" s="37"/>
      <c r="W996" s="29"/>
      <c r="X996" s="29" t="b">
        <v>0</v>
      </c>
      <c r="Y996" s="22" t="str">
        <f t="shared" si="5"/>
        <v/>
      </c>
      <c r="Z996" s="7">
        <f>IF(ISBLANK(V996), 0, VLOOKUP(V996, 'Price Sheet'!$A$2:$B1015, 2, false))</f>
        <v>0</v>
      </c>
      <c r="AA996" s="33" t="str">
        <f t="shared" si="6"/>
        <v/>
      </c>
      <c r="AB996" s="37"/>
      <c r="AC996" s="29"/>
      <c r="AD996" s="29" t="b">
        <v>0</v>
      </c>
      <c r="AE996" s="22" t="str">
        <f t="shared" si="7"/>
        <v/>
      </c>
      <c r="AF996" s="7">
        <f>IF(ISBLANK(AB996), 0, VLOOKUP(AB996, 'Price Sheet'!$A$2:$B1015, 2, false))</f>
        <v>0</v>
      </c>
      <c r="AG996" s="33" t="str">
        <f t="shared" si="8"/>
        <v/>
      </c>
      <c r="AH996" s="37"/>
      <c r="AI996" s="29"/>
      <c r="AJ996" s="29" t="b">
        <v>0</v>
      </c>
      <c r="AK996" s="22" t="str">
        <f t="shared" si="9"/>
        <v/>
      </c>
      <c r="AL996" s="7">
        <f>IF(ISBLANK(AH996), 0, VLOOKUP(AH996, 'Price Sheet'!$A$2:$B1015, 2, false))</f>
        <v>0</v>
      </c>
      <c r="AM996" s="33" t="str">
        <f t="shared" si="10"/>
        <v/>
      </c>
      <c r="AN996" s="37"/>
      <c r="AO996" s="29"/>
      <c r="AP996" s="29" t="b">
        <v>0</v>
      </c>
      <c r="AQ996" s="22" t="str">
        <f t="shared" si="11"/>
        <v/>
      </c>
      <c r="AR996" s="7">
        <f>IF(ISBLANK(AN996), 0, VLOOKUP(AN996, 'Price Sheet'!$A$2:$B1015, 2, false))</f>
        <v>0</v>
      </c>
      <c r="AS996" s="33" t="str">
        <f t="shared" si="12"/>
        <v/>
      </c>
      <c r="AT996" s="37"/>
      <c r="AU996" s="29"/>
      <c r="AV996" s="29" t="b">
        <v>0</v>
      </c>
      <c r="AW996" s="22" t="str">
        <f t="shared" si="13"/>
        <v/>
      </c>
      <c r="AX996" s="7">
        <f>IF(ISBLANK(AT996), 0, VLOOKUP(AT996, 'Price Sheet'!$A$2:$B1015, 2, false))</f>
        <v>0</v>
      </c>
      <c r="AY996" s="33" t="str">
        <f t="shared" si="14"/>
        <v/>
      </c>
      <c r="AZ996" s="37"/>
      <c r="BA996" s="29"/>
      <c r="BB996" s="29" t="b">
        <v>0</v>
      </c>
      <c r="BC996" s="22" t="str">
        <f t="shared" si="15"/>
        <v/>
      </c>
      <c r="BD996" s="7">
        <f>IF(ISBLANK(AZ996), 0, VLOOKUP(AZ996, 'Price Sheet'!$A$2:$B1015, 2, false))</f>
        <v>0</v>
      </c>
      <c r="BE996" s="33" t="str">
        <f t="shared" si="16"/>
        <v/>
      </c>
      <c r="BF996" s="37"/>
      <c r="BG996" s="29"/>
      <c r="BH996" s="29" t="b">
        <v>0</v>
      </c>
      <c r="BI996" s="22" t="str">
        <f t="shared" si="17"/>
        <v/>
      </c>
      <c r="BJ996" s="7">
        <f>IF(ISBLANK(BF996), 0, VLOOKUP(BF996, 'Price Sheet'!$A$2:$B1015, 2, false))</f>
        <v>0</v>
      </c>
      <c r="BK996" s="33" t="str">
        <f t="shared" si="18"/>
        <v/>
      </c>
      <c r="BL996" s="37"/>
      <c r="BM996" s="29"/>
      <c r="BN996" s="29" t="b">
        <v>0</v>
      </c>
      <c r="BO996" s="22" t="str">
        <f t="shared" si="19"/>
        <v/>
      </c>
      <c r="BP996" s="7">
        <f>IF(ISBLANK(BL996), 0, VLOOKUP(BL996, 'Price Sheet'!$A$2:$B1015, 2, false))</f>
        <v>0</v>
      </c>
      <c r="BQ996" s="33" t="str">
        <f t="shared" si="20"/>
        <v/>
      </c>
    </row>
    <row r="997">
      <c r="B997" s="19"/>
      <c r="C997" s="29"/>
      <c r="D997" s="29"/>
      <c r="E997" s="7" t="str">
        <f>IF(ISBLANK(D997), "", VLOOKUP(D997,'Crafting Tables'!$A$2:$B1015, 2, false))</f>
        <v/>
      </c>
      <c r="F997" s="7" t="str">
        <f>IFERROR(IF(E997 = "None", 1, VLOOKUP(C997,General!$A$5:$L$35, SWITCH(E997, "Basic", 8, "Advanced", 10, "Modern", 12), false)),"")</f>
        <v/>
      </c>
      <c r="G997" s="29"/>
      <c r="H997" s="7">
        <f>IFERROR(VLOOKUP(C997, General!$A$5:$L$35, 6, false) * G997 / 1000, 0)</f>
        <v>0</v>
      </c>
      <c r="I997" s="29"/>
      <c r="J997" s="22" t="str">
        <f>IFERROR(I997*VLOOKUP(D997,'Crafting Tables'!$1:$1000, 4, false)*F997,"")</f>
        <v/>
      </c>
      <c r="K997" s="29" t="b">
        <v>0</v>
      </c>
      <c r="L997" s="37"/>
      <c r="M997" s="29"/>
      <c r="N997" s="21" t="str">
        <f t="shared" si="2"/>
        <v/>
      </c>
      <c r="P997" s="37"/>
      <c r="Q997" s="29"/>
      <c r="R997" s="29" t="b">
        <v>0</v>
      </c>
      <c r="S997" s="22" t="str">
        <f t="shared" si="3"/>
        <v/>
      </c>
      <c r="T997" s="7">
        <f>IF(ISBLANK(P997), 0, VLOOKUP(P997, 'Price Sheet'!$A$2:$B1015, 2, false))</f>
        <v>0</v>
      </c>
      <c r="U997" s="33" t="str">
        <f t="shared" si="4"/>
        <v/>
      </c>
      <c r="V997" s="37"/>
      <c r="W997" s="29"/>
      <c r="X997" s="29" t="b">
        <v>0</v>
      </c>
      <c r="Y997" s="22" t="str">
        <f t="shared" si="5"/>
        <v/>
      </c>
      <c r="Z997" s="7">
        <f>IF(ISBLANK(V997), 0, VLOOKUP(V997, 'Price Sheet'!$A$2:$B1015, 2, false))</f>
        <v>0</v>
      </c>
      <c r="AA997" s="33" t="str">
        <f t="shared" si="6"/>
        <v/>
      </c>
      <c r="AB997" s="37"/>
      <c r="AC997" s="29"/>
      <c r="AD997" s="29" t="b">
        <v>0</v>
      </c>
      <c r="AE997" s="22" t="str">
        <f t="shared" si="7"/>
        <v/>
      </c>
      <c r="AF997" s="7">
        <f>IF(ISBLANK(AB997), 0, VLOOKUP(AB997, 'Price Sheet'!$A$2:$B1015, 2, false))</f>
        <v>0</v>
      </c>
      <c r="AG997" s="33" t="str">
        <f t="shared" si="8"/>
        <v/>
      </c>
      <c r="AH997" s="37"/>
      <c r="AI997" s="29"/>
      <c r="AJ997" s="29" t="b">
        <v>0</v>
      </c>
      <c r="AK997" s="22" t="str">
        <f t="shared" si="9"/>
        <v/>
      </c>
      <c r="AL997" s="7">
        <f>IF(ISBLANK(AH997), 0, VLOOKUP(AH997, 'Price Sheet'!$A$2:$B1015, 2, false))</f>
        <v>0</v>
      </c>
      <c r="AM997" s="33" t="str">
        <f t="shared" si="10"/>
        <v/>
      </c>
      <c r="AN997" s="37"/>
      <c r="AO997" s="29"/>
      <c r="AP997" s="29" t="b">
        <v>0</v>
      </c>
      <c r="AQ997" s="22" t="str">
        <f t="shared" si="11"/>
        <v/>
      </c>
      <c r="AR997" s="7">
        <f>IF(ISBLANK(AN997), 0, VLOOKUP(AN997, 'Price Sheet'!$A$2:$B1015, 2, false))</f>
        <v>0</v>
      </c>
      <c r="AS997" s="33" t="str">
        <f t="shared" si="12"/>
        <v/>
      </c>
      <c r="AT997" s="37"/>
      <c r="AU997" s="29"/>
      <c r="AV997" s="29" t="b">
        <v>0</v>
      </c>
      <c r="AW997" s="22" t="str">
        <f t="shared" si="13"/>
        <v/>
      </c>
      <c r="AX997" s="7">
        <f>IF(ISBLANK(AT997), 0, VLOOKUP(AT997, 'Price Sheet'!$A$2:$B1015, 2, false))</f>
        <v>0</v>
      </c>
      <c r="AY997" s="33" t="str">
        <f t="shared" si="14"/>
        <v/>
      </c>
      <c r="AZ997" s="37"/>
      <c r="BA997" s="29"/>
      <c r="BB997" s="29" t="b">
        <v>0</v>
      </c>
      <c r="BC997" s="22" t="str">
        <f t="shared" si="15"/>
        <v/>
      </c>
      <c r="BD997" s="7">
        <f>IF(ISBLANK(AZ997), 0, VLOOKUP(AZ997, 'Price Sheet'!$A$2:$B1015, 2, false))</f>
        <v>0</v>
      </c>
      <c r="BE997" s="33" t="str">
        <f t="shared" si="16"/>
        <v/>
      </c>
      <c r="BF997" s="37"/>
      <c r="BG997" s="29"/>
      <c r="BH997" s="29" t="b">
        <v>0</v>
      </c>
      <c r="BI997" s="22" t="str">
        <f t="shared" si="17"/>
        <v/>
      </c>
      <c r="BJ997" s="7">
        <f>IF(ISBLANK(BF997), 0, VLOOKUP(BF997, 'Price Sheet'!$A$2:$B1015, 2, false))</f>
        <v>0</v>
      </c>
      <c r="BK997" s="33" t="str">
        <f t="shared" si="18"/>
        <v/>
      </c>
      <c r="BL997" s="37"/>
      <c r="BM997" s="29"/>
      <c r="BN997" s="29" t="b">
        <v>0</v>
      </c>
      <c r="BO997" s="22" t="str">
        <f t="shared" si="19"/>
        <v/>
      </c>
      <c r="BP997" s="7">
        <f>IF(ISBLANK(BL997), 0, VLOOKUP(BL997, 'Price Sheet'!$A$2:$B1015, 2, false))</f>
        <v>0</v>
      </c>
      <c r="BQ997" s="33" t="str">
        <f t="shared" si="20"/>
        <v/>
      </c>
    </row>
    <row r="998">
      <c r="B998" s="19"/>
      <c r="C998" s="29"/>
      <c r="D998" s="29"/>
      <c r="E998" s="7" t="str">
        <f>IF(ISBLANK(D998), "", VLOOKUP(D998,'Crafting Tables'!$A$2:$B1015, 2, false))</f>
        <v/>
      </c>
      <c r="F998" s="7" t="str">
        <f>IFERROR(IF(E998 = "None", 1, VLOOKUP(C998,General!$A$5:$L$35, SWITCH(E998, "Basic", 8, "Advanced", 10, "Modern", 12), false)),"")</f>
        <v/>
      </c>
      <c r="G998" s="29"/>
      <c r="H998" s="7">
        <f>IFERROR(VLOOKUP(C998, General!$A$5:$L$35, 6, false) * G998 / 1000, 0)</f>
        <v>0</v>
      </c>
      <c r="I998" s="29"/>
      <c r="J998" s="22" t="str">
        <f>IFERROR(I998*VLOOKUP(D998,'Crafting Tables'!$1:$1000, 4, false)*F998,"")</f>
        <v/>
      </c>
      <c r="K998" s="29" t="b">
        <v>0</v>
      </c>
      <c r="L998" s="37"/>
      <c r="M998" s="29"/>
      <c r="N998" s="21" t="str">
        <f t="shared" si="2"/>
        <v/>
      </c>
      <c r="P998" s="37"/>
      <c r="Q998" s="29"/>
      <c r="R998" s="29" t="b">
        <v>0</v>
      </c>
      <c r="S998" s="22" t="str">
        <f t="shared" si="3"/>
        <v/>
      </c>
      <c r="T998" s="7">
        <f>IF(ISBLANK(P998), 0, VLOOKUP(P998, 'Price Sheet'!$A$2:$B1015, 2, false))</f>
        <v>0</v>
      </c>
      <c r="U998" s="33" t="str">
        <f t="shared" si="4"/>
        <v/>
      </c>
      <c r="V998" s="37"/>
      <c r="W998" s="29"/>
      <c r="X998" s="29" t="b">
        <v>0</v>
      </c>
      <c r="Y998" s="22" t="str">
        <f t="shared" si="5"/>
        <v/>
      </c>
      <c r="Z998" s="7">
        <f>IF(ISBLANK(V998), 0, VLOOKUP(V998, 'Price Sheet'!$A$2:$B1015, 2, false))</f>
        <v>0</v>
      </c>
      <c r="AA998" s="33" t="str">
        <f t="shared" si="6"/>
        <v/>
      </c>
      <c r="AB998" s="37"/>
      <c r="AC998" s="29"/>
      <c r="AD998" s="29" t="b">
        <v>0</v>
      </c>
      <c r="AE998" s="22" t="str">
        <f t="shared" si="7"/>
        <v/>
      </c>
      <c r="AF998" s="7">
        <f>IF(ISBLANK(AB998), 0, VLOOKUP(AB998, 'Price Sheet'!$A$2:$B1015, 2, false))</f>
        <v>0</v>
      </c>
      <c r="AG998" s="33" t="str">
        <f t="shared" si="8"/>
        <v/>
      </c>
      <c r="AH998" s="37"/>
      <c r="AI998" s="29"/>
      <c r="AJ998" s="29" t="b">
        <v>0</v>
      </c>
      <c r="AK998" s="22" t="str">
        <f t="shared" si="9"/>
        <v/>
      </c>
      <c r="AL998" s="7">
        <f>IF(ISBLANK(AH998), 0, VLOOKUP(AH998, 'Price Sheet'!$A$2:$B1015, 2, false))</f>
        <v>0</v>
      </c>
      <c r="AM998" s="33" t="str">
        <f t="shared" si="10"/>
        <v/>
      </c>
      <c r="AN998" s="37"/>
      <c r="AO998" s="29"/>
      <c r="AP998" s="29" t="b">
        <v>0</v>
      </c>
      <c r="AQ998" s="22" t="str">
        <f t="shared" si="11"/>
        <v/>
      </c>
      <c r="AR998" s="7">
        <f>IF(ISBLANK(AN998), 0, VLOOKUP(AN998, 'Price Sheet'!$A$2:$B1015, 2, false))</f>
        <v>0</v>
      </c>
      <c r="AS998" s="33" t="str">
        <f t="shared" si="12"/>
        <v/>
      </c>
      <c r="AT998" s="37"/>
      <c r="AU998" s="29"/>
      <c r="AV998" s="29" t="b">
        <v>0</v>
      </c>
      <c r="AW998" s="22" t="str">
        <f t="shared" si="13"/>
        <v/>
      </c>
      <c r="AX998" s="7">
        <f>IF(ISBLANK(AT998), 0, VLOOKUP(AT998, 'Price Sheet'!$A$2:$B1015, 2, false))</f>
        <v>0</v>
      </c>
      <c r="AY998" s="33" t="str">
        <f t="shared" si="14"/>
        <v/>
      </c>
      <c r="AZ998" s="37"/>
      <c r="BA998" s="29"/>
      <c r="BB998" s="29" t="b">
        <v>0</v>
      </c>
      <c r="BC998" s="22" t="str">
        <f t="shared" si="15"/>
        <v/>
      </c>
      <c r="BD998" s="7">
        <f>IF(ISBLANK(AZ998), 0, VLOOKUP(AZ998, 'Price Sheet'!$A$2:$B1015, 2, false))</f>
        <v>0</v>
      </c>
      <c r="BE998" s="33" t="str">
        <f t="shared" si="16"/>
        <v/>
      </c>
      <c r="BF998" s="37"/>
      <c r="BG998" s="29"/>
      <c r="BH998" s="29" t="b">
        <v>0</v>
      </c>
      <c r="BI998" s="22" t="str">
        <f t="shared" si="17"/>
        <v/>
      </c>
      <c r="BJ998" s="7">
        <f>IF(ISBLANK(BF998), 0, VLOOKUP(BF998, 'Price Sheet'!$A$2:$B1015, 2, false))</f>
        <v>0</v>
      </c>
      <c r="BK998" s="33" t="str">
        <f t="shared" si="18"/>
        <v/>
      </c>
      <c r="BL998" s="37"/>
      <c r="BM998" s="29"/>
      <c r="BN998" s="29" t="b">
        <v>0</v>
      </c>
      <c r="BO998" s="22" t="str">
        <f t="shared" si="19"/>
        <v/>
      </c>
      <c r="BP998" s="7">
        <f>IF(ISBLANK(BL998), 0, VLOOKUP(BL998, 'Price Sheet'!$A$2:$B1015, 2, false))</f>
        <v>0</v>
      </c>
      <c r="BQ998" s="33" t="str">
        <f t="shared" si="20"/>
        <v/>
      </c>
    </row>
    <row r="999">
      <c r="B999" s="19"/>
      <c r="C999" s="29"/>
      <c r="D999" s="29"/>
      <c r="E999" s="7" t="str">
        <f>IF(ISBLANK(D999), "", VLOOKUP(D999,'Crafting Tables'!$A$2:$B1015, 2, false))</f>
        <v/>
      </c>
      <c r="F999" s="7" t="str">
        <f>IFERROR(IF(E999 = "None", 1, VLOOKUP(C999,General!$A$5:$L$35, SWITCH(E999, "Basic", 8, "Advanced", 10, "Modern", 12), false)),"")</f>
        <v/>
      </c>
      <c r="G999" s="29"/>
      <c r="H999" s="7">
        <f>IFERROR(VLOOKUP(C999, General!$A$5:$L$35, 6, false) * G999 / 1000, 0)</f>
        <v>0</v>
      </c>
      <c r="I999" s="29"/>
      <c r="J999" s="22" t="str">
        <f>IFERROR(I999*VLOOKUP(D999,'Crafting Tables'!$1:$1000, 4, false)*F999,"")</f>
        <v/>
      </c>
      <c r="K999" s="29" t="b">
        <v>0</v>
      </c>
      <c r="L999" s="37"/>
      <c r="M999" s="29"/>
      <c r="N999" s="21" t="str">
        <f t="shared" si="2"/>
        <v/>
      </c>
      <c r="P999" s="37"/>
      <c r="Q999" s="29"/>
      <c r="R999" s="29" t="b">
        <v>0</v>
      </c>
      <c r="S999" s="22" t="str">
        <f t="shared" si="3"/>
        <v/>
      </c>
      <c r="T999" s="7">
        <f>IF(ISBLANK(P999), 0, VLOOKUP(P999, 'Price Sheet'!$A$2:$B1015, 2, false))</f>
        <v>0</v>
      </c>
      <c r="U999" s="33" t="str">
        <f t="shared" si="4"/>
        <v/>
      </c>
      <c r="V999" s="37"/>
      <c r="W999" s="29"/>
      <c r="X999" s="29" t="b">
        <v>0</v>
      </c>
      <c r="Y999" s="22" t="str">
        <f t="shared" si="5"/>
        <v/>
      </c>
      <c r="Z999" s="7">
        <f>IF(ISBLANK(V999), 0, VLOOKUP(V999, 'Price Sheet'!$A$2:$B1015, 2, false))</f>
        <v>0</v>
      </c>
      <c r="AA999" s="33" t="str">
        <f t="shared" si="6"/>
        <v/>
      </c>
      <c r="AB999" s="37"/>
      <c r="AC999" s="29"/>
      <c r="AD999" s="29" t="b">
        <v>0</v>
      </c>
      <c r="AE999" s="22" t="str">
        <f t="shared" si="7"/>
        <v/>
      </c>
      <c r="AF999" s="7">
        <f>IF(ISBLANK(AB999), 0, VLOOKUP(AB999, 'Price Sheet'!$A$2:$B1015, 2, false))</f>
        <v>0</v>
      </c>
      <c r="AG999" s="33" t="str">
        <f t="shared" si="8"/>
        <v/>
      </c>
      <c r="AH999" s="37"/>
      <c r="AI999" s="29"/>
      <c r="AJ999" s="29" t="b">
        <v>0</v>
      </c>
      <c r="AK999" s="22" t="str">
        <f t="shared" si="9"/>
        <v/>
      </c>
      <c r="AL999" s="7">
        <f>IF(ISBLANK(AH999), 0, VLOOKUP(AH999, 'Price Sheet'!$A$2:$B1015, 2, false))</f>
        <v>0</v>
      </c>
      <c r="AM999" s="33" t="str">
        <f t="shared" si="10"/>
        <v/>
      </c>
      <c r="AN999" s="37"/>
      <c r="AO999" s="29"/>
      <c r="AP999" s="29" t="b">
        <v>0</v>
      </c>
      <c r="AQ999" s="22" t="str">
        <f t="shared" si="11"/>
        <v/>
      </c>
      <c r="AR999" s="7">
        <f>IF(ISBLANK(AN999), 0, VLOOKUP(AN999, 'Price Sheet'!$A$2:$B1015, 2, false))</f>
        <v>0</v>
      </c>
      <c r="AS999" s="33" t="str">
        <f t="shared" si="12"/>
        <v/>
      </c>
      <c r="AT999" s="37"/>
      <c r="AU999" s="29"/>
      <c r="AV999" s="29" t="b">
        <v>0</v>
      </c>
      <c r="AW999" s="22" t="str">
        <f t="shared" si="13"/>
        <v/>
      </c>
      <c r="AX999" s="7">
        <f>IF(ISBLANK(AT999), 0, VLOOKUP(AT999, 'Price Sheet'!$A$2:$B1015, 2, false))</f>
        <v>0</v>
      </c>
      <c r="AY999" s="33" t="str">
        <f t="shared" si="14"/>
        <v/>
      </c>
      <c r="AZ999" s="37"/>
      <c r="BA999" s="29"/>
      <c r="BB999" s="29" t="b">
        <v>0</v>
      </c>
      <c r="BC999" s="22" t="str">
        <f t="shared" si="15"/>
        <v/>
      </c>
      <c r="BD999" s="7">
        <f>IF(ISBLANK(AZ999), 0, VLOOKUP(AZ999, 'Price Sheet'!$A$2:$B1015, 2, false))</f>
        <v>0</v>
      </c>
      <c r="BE999" s="33" t="str">
        <f t="shared" si="16"/>
        <v/>
      </c>
      <c r="BF999" s="37"/>
      <c r="BG999" s="29"/>
      <c r="BH999" s="29" t="b">
        <v>0</v>
      </c>
      <c r="BI999" s="22" t="str">
        <f t="shared" si="17"/>
        <v/>
      </c>
      <c r="BJ999" s="7">
        <f>IF(ISBLANK(BF999), 0, VLOOKUP(BF999, 'Price Sheet'!$A$2:$B1015, 2, false))</f>
        <v>0</v>
      </c>
      <c r="BK999" s="33" t="str">
        <f t="shared" si="18"/>
        <v/>
      </c>
      <c r="BL999" s="37"/>
      <c r="BM999" s="29"/>
      <c r="BN999" s="29" t="b">
        <v>0</v>
      </c>
      <c r="BO999" s="22" t="str">
        <f t="shared" si="19"/>
        <v/>
      </c>
      <c r="BP999" s="7">
        <f>IF(ISBLANK(BL999), 0, VLOOKUP(BL999, 'Price Sheet'!$A$2:$B1015, 2, false))</f>
        <v>0</v>
      </c>
      <c r="BQ999" s="33" t="str">
        <f t="shared" si="20"/>
        <v/>
      </c>
    </row>
    <row r="1000">
      <c r="B1000" s="19"/>
      <c r="C1000" s="29"/>
      <c r="D1000" s="29"/>
      <c r="E1000" s="7" t="str">
        <f>IF(ISBLANK(D1000), "", VLOOKUP(D1000,'Crafting Tables'!$A$2:$B1015, 2, false))</f>
        <v/>
      </c>
      <c r="F1000" s="7" t="str">
        <f>IFERROR(IF(E1000 = "None", 1, VLOOKUP(C1000,General!$A$5:$L$35, SWITCH(E1000, "Basic", 8, "Advanced", 10, "Modern", 12), false)),"")</f>
        <v/>
      </c>
      <c r="G1000" s="29"/>
      <c r="H1000" s="7">
        <f>IFERROR(VLOOKUP(C1000, General!$A$5:$L$35, 6, false) * G1000 / 1000, 0)</f>
        <v>0</v>
      </c>
      <c r="I1000" s="29"/>
      <c r="J1000" s="22" t="str">
        <f>IFERROR(I1000*VLOOKUP(D1000,'Crafting Tables'!$1:$1000, 4, false)*F1000,"")</f>
        <v/>
      </c>
      <c r="K1000" s="29" t="b">
        <v>0</v>
      </c>
      <c r="L1000" s="37"/>
      <c r="M1000" s="29"/>
      <c r="N1000" s="21" t="str">
        <f t="shared" si="2"/>
        <v/>
      </c>
      <c r="P1000" s="37"/>
      <c r="Q1000" s="29"/>
      <c r="R1000" s="29" t="b">
        <v>0</v>
      </c>
      <c r="S1000" s="22" t="str">
        <f t="shared" si="3"/>
        <v/>
      </c>
      <c r="T1000" s="7">
        <f>IF(ISBLANK(P1000), 0, VLOOKUP(P1000, 'Price Sheet'!$A$2:$B1015, 2, false))</f>
        <v>0</v>
      </c>
      <c r="U1000" s="33" t="str">
        <f t="shared" si="4"/>
        <v/>
      </c>
      <c r="V1000" s="37"/>
      <c r="W1000" s="29"/>
      <c r="X1000" s="29" t="b">
        <v>0</v>
      </c>
      <c r="Y1000" s="22" t="str">
        <f t="shared" si="5"/>
        <v/>
      </c>
      <c r="Z1000" s="7">
        <f>IF(ISBLANK(V1000), 0, VLOOKUP(V1000, 'Price Sheet'!$A$2:$B1015, 2, false))</f>
        <v>0</v>
      </c>
      <c r="AA1000" s="33" t="str">
        <f t="shared" si="6"/>
        <v/>
      </c>
      <c r="AB1000" s="37"/>
      <c r="AC1000" s="29"/>
      <c r="AD1000" s="29" t="b">
        <v>0</v>
      </c>
      <c r="AE1000" s="22" t="str">
        <f t="shared" si="7"/>
        <v/>
      </c>
      <c r="AF1000" s="7">
        <f>IF(ISBLANK(AB1000), 0, VLOOKUP(AB1000, 'Price Sheet'!$A$2:$B1015, 2, false))</f>
        <v>0</v>
      </c>
      <c r="AG1000" s="33" t="str">
        <f t="shared" si="8"/>
        <v/>
      </c>
      <c r="AH1000" s="37"/>
      <c r="AI1000" s="29"/>
      <c r="AJ1000" s="29" t="b">
        <v>0</v>
      </c>
      <c r="AK1000" s="22" t="str">
        <f t="shared" si="9"/>
        <v/>
      </c>
      <c r="AL1000" s="7">
        <f>IF(ISBLANK(AH1000), 0, VLOOKUP(AH1000, 'Price Sheet'!$A$2:$B1015, 2, false))</f>
        <v>0</v>
      </c>
      <c r="AM1000" s="33" t="str">
        <f t="shared" si="10"/>
        <v/>
      </c>
      <c r="AN1000" s="37"/>
      <c r="AO1000" s="29"/>
      <c r="AP1000" s="29" t="b">
        <v>0</v>
      </c>
      <c r="AQ1000" s="22" t="str">
        <f t="shared" si="11"/>
        <v/>
      </c>
      <c r="AR1000" s="7">
        <f>IF(ISBLANK(AN1000), 0, VLOOKUP(AN1000, 'Price Sheet'!$A$2:$B1015, 2, false))</f>
        <v>0</v>
      </c>
      <c r="AS1000" s="33" t="str">
        <f t="shared" si="12"/>
        <v/>
      </c>
      <c r="AT1000" s="37"/>
      <c r="AU1000" s="29"/>
      <c r="AV1000" s="29" t="b">
        <v>0</v>
      </c>
      <c r="AW1000" s="22" t="str">
        <f t="shared" si="13"/>
        <v/>
      </c>
      <c r="AX1000" s="7">
        <f>IF(ISBLANK(AT1000), 0, VLOOKUP(AT1000, 'Price Sheet'!$A$2:$B1015, 2, false))</f>
        <v>0</v>
      </c>
      <c r="AY1000" s="33" t="str">
        <f t="shared" si="14"/>
        <v/>
      </c>
      <c r="AZ1000" s="37"/>
      <c r="BA1000" s="29"/>
      <c r="BB1000" s="29" t="b">
        <v>0</v>
      </c>
      <c r="BC1000" s="22" t="str">
        <f t="shared" si="15"/>
        <v/>
      </c>
      <c r="BD1000" s="7">
        <f>IF(ISBLANK(AZ1000), 0, VLOOKUP(AZ1000, 'Price Sheet'!$A$2:$B1015, 2, false))</f>
        <v>0</v>
      </c>
      <c r="BE1000" s="33" t="str">
        <f t="shared" si="16"/>
        <v/>
      </c>
      <c r="BF1000" s="37"/>
      <c r="BG1000" s="29"/>
      <c r="BH1000" s="29" t="b">
        <v>0</v>
      </c>
      <c r="BI1000" s="22" t="str">
        <f t="shared" si="17"/>
        <v/>
      </c>
      <c r="BJ1000" s="7">
        <f>IF(ISBLANK(BF1000), 0, VLOOKUP(BF1000, 'Price Sheet'!$A$2:$B1015, 2, false))</f>
        <v>0</v>
      </c>
      <c r="BK1000" s="33" t="str">
        <f t="shared" si="18"/>
        <v/>
      </c>
      <c r="BL1000" s="37"/>
      <c r="BM1000" s="29"/>
      <c r="BN1000" s="29" t="b">
        <v>0</v>
      </c>
      <c r="BO1000" s="22" t="str">
        <f t="shared" si="19"/>
        <v/>
      </c>
      <c r="BP1000" s="7">
        <f>IF(ISBLANK(BL1000), 0, VLOOKUP(BL1000, 'Price Sheet'!$A$2:$B1015, 2, false))</f>
        <v>0</v>
      </c>
      <c r="BQ1000" s="33" t="str">
        <f t="shared" si="20"/>
        <v/>
      </c>
    </row>
    <row r="1001">
      <c r="B1001" s="19"/>
      <c r="C1001" s="29"/>
      <c r="D1001" s="29"/>
      <c r="E1001" s="7" t="str">
        <f>IF(ISBLANK(D1001), "", VLOOKUP(D1001,'Crafting Tables'!$A$2:$B1015, 2, false))</f>
        <v/>
      </c>
      <c r="F1001" s="7" t="str">
        <f>IFERROR(IF(E1001 = "None", 1, VLOOKUP(C1001,General!$A$5:$L$35, SWITCH(E1001, "Basic", 8, "Advanced", 10, "Modern", 12), false)),"")</f>
        <v/>
      </c>
      <c r="G1001" s="29"/>
      <c r="H1001" s="7">
        <f>IFERROR(VLOOKUP(C1001, General!$A$5:$L$35, 6, false) * G1001 / 1000, 0)</f>
        <v>0</v>
      </c>
      <c r="I1001" s="29"/>
      <c r="J1001" s="22" t="str">
        <f>IFERROR(I1001*VLOOKUP(D1001,'Crafting Tables'!$1:$1000, 4, false)*F1001,"")</f>
        <v/>
      </c>
      <c r="K1001" s="29" t="b">
        <v>0</v>
      </c>
      <c r="L1001" s="37"/>
      <c r="M1001" s="29"/>
      <c r="N1001" s="21" t="str">
        <f t="shared" si="2"/>
        <v/>
      </c>
      <c r="P1001" s="37"/>
      <c r="Q1001" s="29"/>
      <c r="R1001" s="29" t="b">
        <v>0</v>
      </c>
      <c r="S1001" s="22" t="str">
        <f t="shared" si="3"/>
        <v/>
      </c>
      <c r="T1001" s="7">
        <f>IF(ISBLANK(P1001), 0, VLOOKUP(P1001, 'Price Sheet'!$A$2:$B1015, 2, false))</f>
        <v>0</v>
      </c>
      <c r="U1001" s="33" t="str">
        <f t="shared" si="4"/>
        <v/>
      </c>
      <c r="V1001" s="37"/>
      <c r="W1001" s="29"/>
      <c r="X1001" s="29" t="b">
        <v>0</v>
      </c>
      <c r="Y1001" s="22" t="str">
        <f t="shared" si="5"/>
        <v/>
      </c>
      <c r="Z1001" s="7">
        <f>IF(ISBLANK(V1001), 0, VLOOKUP(V1001, 'Price Sheet'!$A$2:$B1015, 2, false))</f>
        <v>0</v>
      </c>
      <c r="AA1001" s="33" t="str">
        <f t="shared" si="6"/>
        <v/>
      </c>
      <c r="AB1001" s="37"/>
      <c r="AC1001" s="29"/>
      <c r="AD1001" s="29" t="b">
        <v>0</v>
      </c>
      <c r="AE1001" s="22" t="str">
        <f t="shared" si="7"/>
        <v/>
      </c>
      <c r="AF1001" s="7">
        <f>IF(ISBLANK(AB1001), 0, VLOOKUP(AB1001, 'Price Sheet'!$A$2:$B1015, 2, false))</f>
        <v>0</v>
      </c>
      <c r="AG1001" s="33" t="str">
        <f t="shared" si="8"/>
        <v/>
      </c>
      <c r="AH1001" s="37"/>
      <c r="AI1001" s="29"/>
      <c r="AJ1001" s="29" t="b">
        <v>0</v>
      </c>
      <c r="AK1001" s="22" t="str">
        <f t="shared" si="9"/>
        <v/>
      </c>
      <c r="AL1001" s="7">
        <f>IF(ISBLANK(AH1001), 0, VLOOKUP(AH1001, 'Price Sheet'!$A$2:$B1015, 2, false))</f>
        <v>0</v>
      </c>
      <c r="AM1001" s="33" t="str">
        <f t="shared" si="10"/>
        <v/>
      </c>
      <c r="AN1001" s="37"/>
      <c r="AO1001" s="29"/>
      <c r="AP1001" s="29" t="b">
        <v>0</v>
      </c>
      <c r="AQ1001" s="22" t="str">
        <f t="shared" si="11"/>
        <v/>
      </c>
      <c r="AR1001" s="7">
        <f>IF(ISBLANK(AN1001), 0, VLOOKUP(AN1001, 'Price Sheet'!$A$2:$B1015, 2, false))</f>
        <v>0</v>
      </c>
      <c r="AS1001" s="33" t="str">
        <f t="shared" si="12"/>
        <v/>
      </c>
      <c r="AT1001" s="37"/>
      <c r="AU1001" s="29"/>
      <c r="AV1001" s="29" t="b">
        <v>0</v>
      </c>
      <c r="AW1001" s="22" t="str">
        <f t="shared" si="13"/>
        <v/>
      </c>
      <c r="AX1001" s="7">
        <f>IF(ISBLANK(AT1001), 0, VLOOKUP(AT1001, 'Price Sheet'!$A$2:$B1015, 2, false))</f>
        <v>0</v>
      </c>
      <c r="AY1001" s="33" t="str">
        <f t="shared" si="14"/>
        <v/>
      </c>
      <c r="AZ1001" s="37"/>
      <c r="BA1001" s="29"/>
      <c r="BB1001" s="29" t="b">
        <v>0</v>
      </c>
      <c r="BC1001" s="22" t="str">
        <f t="shared" si="15"/>
        <v/>
      </c>
      <c r="BD1001" s="7">
        <f>IF(ISBLANK(AZ1001), 0, VLOOKUP(AZ1001, 'Price Sheet'!$A$2:$B1015, 2, false))</f>
        <v>0</v>
      </c>
      <c r="BE1001" s="33" t="str">
        <f t="shared" si="16"/>
        <v/>
      </c>
      <c r="BF1001" s="37"/>
      <c r="BG1001" s="29"/>
      <c r="BH1001" s="29" t="b">
        <v>0</v>
      </c>
      <c r="BI1001" s="22" t="str">
        <f t="shared" si="17"/>
        <v/>
      </c>
      <c r="BJ1001" s="7">
        <f>IF(ISBLANK(BF1001), 0, VLOOKUP(BF1001, 'Price Sheet'!$A$2:$B1015, 2, false))</f>
        <v>0</v>
      </c>
      <c r="BK1001" s="33" t="str">
        <f t="shared" si="18"/>
        <v/>
      </c>
      <c r="BL1001" s="37"/>
      <c r="BM1001" s="29"/>
      <c r="BN1001" s="29" t="b">
        <v>0</v>
      </c>
      <c r="BO1001" s="22" t="str">
        <f t="shared" si="19"/>
        <v/>
      </c>
      <c r="BP1001" s="7">
        <f>IF(ISBLANK(BL1001), 0, VLOOKUP(BL1001, 'Price Sheet'!$A$2:$B1015, 2, false))</f>
        <v>0</v>
      </c>
      <c r="BQ1001" s="33" t="str">
        <f t="shared" si="20"/>
        <v/>
      </c>
    </row>
    <row r="1002">
      <c r="B1002" s="19"/>
      <c r="C1002" s="29"/>
      <c r="D1002" s="29"/>
      <c r="E1002" s="7" t="str">
        <f>IF(ISBLANK(D1002), "", VLOOKUP(D1002,'Crafting Tables'!$A$2:$B1015, 2, false))</f>
        <v/>
      </c>
      <c r="F1002" s="7" t="str">
        <f>IFERROR(IF(E1002 = "None", 1, VLOOKUP(C1002,General!$A$5:$L$35, SWITCH(E1002, "Basic", 8, "Advanced", 10, "Modern", 12), false)),"")</f>
        <v/>
      </c>
      <c r="G1002" s="29"/>
      <c r="H1002" s="7">
        <f>IFERROR(VLOOKUP(C1002, General!$A$5:$L$35, 6, false) * G1002 / 1000, 0)</f>
        <v>0</v>
      </c>
      <c r="I1002" s="29"/>
      <c r="J1002" s="22" t="str">
        <f>IFERROR(I1002*VLOOKUP(D1002,'Crafting Tables'!$1:$1000, 4, false)*F1002,"")</f>
        <v/>
      </c>
      <c r="K1002" s="29" t="b">
        <v>0</v>
      </c>
      <c r="L1002" s="37"/>
      <c r="M1002" s="29"/>
      <c r="N1002" s="21" t="str">
        <f t="shared" si="2"/>
        <v/>
      </c>
      <c r="P1002" s="37"/>
      <c r="Q1002" s="29"/>
      <c r="R1002" s="29" t="b">
        <v>0</v>
      </c>
      <c r="S1002" s="22" t="str">
        <f t="shared" si="3"/>
        <v/>
      </c>
      <c r="T1002" s="7">
        <f>IF(ISBLANK(P1002), 0, VLOOKUP(P1002, 'Price Sheet'!$A$2:$B1015, 2, false))</f>
        <v>0</v>
      </c>
      <c r="U1002" s="33" t="str">
        <f t="shared" si="4"/>
        <v/>
      </c>
      <c r="V1002" s="37"/>
      <c r="W1002" s="29"/>
      <c r="X1002" s="29" t="b">
        <v>0</v>
      </c>
      <c r="Y1002" s="22" t="str">
        <f t="shared" si="5"/>
        <v/>
      </c>
      <c r="Z1002" s="7">
        <f>IF(ISBLANK(V1002), 0, VLOOKUP(V1002, 'Price Sheet'!$A$2:$B1015, 2, false))</f>
        <v>0</v>
      </c>
      <c r="AA1002" s="33" t="str">
        <f t="shared" si="6"/>
        <v/>
      </c>
      <c r="AB1002" s="37"/>
      <c r="AC1002" s="29"/>
      <c r="AD1002" s="29" t="b">
        <v>0</v>
      </c>
      <c r="AE1002" s="22" t="str">
        <f t="shared" si="7"/>
        <v/>
      </c>
      <c r="AF1002" s="7">
        <f>IF(ISBLANK(AB1002), 0, VLOOKUP(AB1002, 'Price Sheet'!$A$2:$B1015, 2, false))</f>
        <v>0</v>
      </c>
      <c r="AG1002" s="33" t="str">
        <f t="shared" si="8"/>
        <v/>
      </c>
      <c r="AH1002" s="37"/>
      <c r="AI1002" s="29"/>
      <c r="AJ1002" s="29" t="b">
        <v>0</v>
      </c>
      <c r="AK1002" s="22" t="str">
        <f t="shared" si="9"/>
        <v/>
      </c>
      <c r="AL1002" s="7">
        <f>IF(ISBLANK(AH1002), 0, VLOOKUP(AH1002, 'Price Sheet'!$A$2:$B1015, 2, false))</f>
        <v>0</v>
      </c>
      <c r="AM1002" s="33" t="str">
        <f t="shared" si="10"/>
        <v/>
      </c>
      <c r="AN1002" s="37"/>
      <c r="AO1002" s="29"/>
      <c r="AP1002" s="29" t="b">
        <v>0</v>
      </c>
      <c r="AQ1002" s="22" t="str">
        <f t="shared" si="11"/>
        <v/>
      </c>
      <c r="AR1002" s="7">
        <f>IF(ISBLANK(AN1002), 0, VLOOKUP(AN1002, 'Price Sheet'!$A$2:$B1015, 2, false))</f>
        <v>0</v>
      </c>
      <c r="AS1002" s="33" t="str">
        <f t="shared" si="12"/>
        <v/>
      </c>
      <c r="AT1002" s="37"/>
      <c r="AU1002" s="29"/>
      <c r="AV1002" s="29" t="b">
        <v>0</v>
      </c>
      <c r="AW1002" s="22" t="str">
        <f t="shared" si="13"/>
        <v/>
      </c>
      <c r="AX1002" s="7">
        <f>IF(ISBLANK(AT1002), 0, VLOOKUP(AT1002, 'Price Sheet'!$A$2:$B1015, 2, false))</f>
        <v>0</v>
      </c>
      <c r="AY1002" s="33" t="str">
        <f t="shared" si="14"/>
        <v/>
      </c>
      <c r="AZ1002" s="37"/>
      <c r="BA1002" s="29"/>
      <c r="BB1002" s="29" t="b">
        <v>0</v>
      </c>
      <c r="BC1002" s="22" t="str">
        <f t="shared" si="15"/>
        <v/>
      </c>
      <c r="BD1002" s="7">
        <f>IF(ISBLANK(AZ1002), 0, VLOOKUP(AZ1002, 'Price Sheet'!$A$2:$B1015, 2, false))</f>
        <v>0</v>
      </c>
      <c r="BE1002" s="33" t="str">
        <f t="shared" si="16"/>
        <v/>
      </c>
      <c r="BF1002" s="37"/>
      <c r="BG1002" s="29"/>
      <c r="BH1002" s="29" t="b">
        <v>0</v>
      </c>
      <c r="BI1002" s="22" t="str">
        <f t="shared" si="17"/>
        <v/>
      </c>
      <c r="BJ1002" s="7">
        <f>IF(ISBLANK(BF1002), 0, VLOOKUP(BF1002, 'Price Sheet'!$A$2:$B1015, 2, false))</f>
        <v>0</v>
      </c>
      <c r="BK1002" s="33" t="str">
        <f t="shared" si="18"/>
        <v/>
      </c>
      <c r="BL1002" s="37"/>
      <c r="BM1002" s="29"/>
      <c r="BN1002" s="29" t="b">
        <v>0</v>
      </c>
      <c r="BO1002" s="22" t="str">
        <f t="shared" si="19"/>
        <v/>
      </c>
      <c r="BP1002" s="7">
        <f>IF(ISBLANK(BL1002), 0, VLOOKUP(BL1002, 'Price Sheet'!$A$2:$B1015, 2, false))</f>
        <v>0</v>
      </c>
      <c r="BQ1002" s="33" t="str">
        <f t="shared" si="20"/>
        <v/>
      </c>
    </row>
    <row r="1003">
      <c r="B1003" s="19"/>
      <c r="C1003" s="29"/>
      <c r="D1003" s="29"/>
      <c r="E1003" s="7" t="str">
        <f>IF(ISBLANK(D1003), "", VLOOKUP(D1003,'Crafting Tables'!$A$2:$B1015, 2, false))</f>
        <v/>
      </c>
      <c r="F1003" s="7" t="str">
        <f>IFERROR(IF(E1003 = "None", 1, VLOOKUP(C1003,General!$A$5:$L$35, SWITCH(E1003, "Basic", 8, "Advanced", 10, "Modern", 12), false)),"")</f>
        <v/>
      </c>
      <c r="G1003" s="29"/>
      <c r="H1003" s="7">
        <f>IFERROR(VLOOKUP(C1003, General!$A$5:$L$35, 6, false) * G1003 / 1000, 0)</f>
        <v>0</v>
      </c>
      <c r="I1003" s="29"/>
      <c r="J1003" s="22" t="str">
        <f>IFERROR(I1003*VLOOKUP(D1003,'Crafting Tables'!$1:$1000, 4, false)*F1003,"")</f>
        <v/>
      </c>
      <c r="K1003" s="29" t="b">
        <v>0</v>
      </c>
      <c r="L1003" s="37"/>
      <c r="M1003" s="29"/>
      <c r="N1003" s="21" t="str">
        <f t="shared" si="2"/>
        <v/>
      </c>
      <c r="P1003" s="37"/>
      <c r="Q1003" s="29"/>
      <c r="R1003" s="29" t="b">
        <v>0</v>
      </c>
      <c r="S1003" s="22" t="str">
        <f t="shared" si="3"/>
        <v/>
      </c>
      <c r="T1003" s="7">
        <f>IF(ISBLANK(P1003), 0, VLOOKUP(P1003, 'Price Sheet'!$A$2:$B1015, 2, false))</f>
        <v>0</v>
      </c>
      <c r="U1003" s="33" t="str">
        <f t="shared" si="4"/>
        <v/>
      </c>
      <c r="V1003" s="37"/>
      <c r="W1003" s="29"/>
      <c r="X1003" s="29" t="b">
        <v>0</v>
      </c>
      <c r="Y1003" s="22" t="str">
        <f t="shared" si="5"/>
        <v/>
      </c>
      <c r="Z1003" s="7">
        <f>IF(ISBLANK(V1003), 0, VLOOKUP(V1003, 'Price Sheet'!$A$2:$B1015, 2, false))</f>
        <v>0</v>
      </c>
      <c r="AA1003" s="33" t="str">
        <f t="shared" si="6"/>
        <v/>
      </c>
      <c r="AB1003" s="37"/>
      <c r="AC1003" s="29"/>
      <c r="AD1003" s="29" t="b">
        <v>0</v>
      </c>
      <c r="AE1003" s="22" t="str">
        <f t="shared" si="7"/>
        <v/>
      </c>
      <c r="AF1003" s="7">
        <f>IF(ISBLANK(AB1003), 0, VLOOKUP(AB1003, 'Price Sheet'!$A$2:$B1015, 2, false))</f>
        <v>0</v>
      </c>
      <c r="AG1003" s="33" t="str">
        <f t="shared" si="8"/>
        <v/>
      </c>
      <c r="AH1003" s="37"/>
      <c r="AI1003" s="29"/>
      <c r="AJ1003" s="29" t="b">
        <v>0</v>
      </c>
      <c r="AK1003" s="22" t="str">
        <f t="shared" si="9"/>
        <v/>
      </c>
      <c r="AL1003" s="7">
        <f>IF(ISBLANK(AH1003), 0, VLOOKUP(AH1003, 'Price Sheet'!$A$2:$B1015, 2, false))</f>
        <v>0</v>
      </c>
      <c r="AM1003" s="33" t="str">
        <f t="shared" si="10"/>
        <v/>
      </c>
      <c r="AN1003" s="37"/>
      <c r="AO1003" s="29"/>
      <c r="AP1003" s="29" t="b">
        <v>0</v>
      </c>
      <c r="AQ1003" s="22" t="str">
        <f t="shared" si="11"/>
        <v/>
      </c>
      <c r="AR1003" s="7">
        <f>IF(ISBLANK(AN1003), 0, VLOOKUP(AN1003, 'Price Sheet'!$A$2:$B1015, 2, false))</f>
        <v>0</v>
      </c>
      <c r="AS1003" s="33" t="str">
        <f t="shared" si="12"/>
        <v/>
      </c>
      <c r="AT1003" s="37"/>
      <c r="AU1003" s="29"/>
      <c r="AV1003" s="29" t="b">
        <v>0</v>
      </c>
      <c r="AW1003" s="22" t="str">
        <f t="shared" si="13"/>
        <v/>
      </c>
      <c r="AX1003" s="7">
        <f>IF(ISBLANK(AT1003), 0, VLOOKUP(AT1003, 'Price Sheet'!$A$2:$B1015, 2, false))</f>
        <v>0</v>
      </c>
      <c r="AY1003" s="33" t="str">
        <f t="shared" si="14"/>
        <v/>
      </c>
      <c r="AZ1003" s="37"/>
      <c r="BA1003" s="29"/>
      <c r="BB1003" s="29" t="b">
        <v>0</v>
      </c>
      <c r="BC1003" s="22" t="str">
        <f t="shared" si="15"/>
        <v/>
      </c>
      <c r="BD1003" s="7">
        <f>IF(ISBLANK(AZ1003), 0, VLOOKUP(AZ1003, 'Price Sheet'!$A$2:$B1015, 2, false))</f>
        <v>0</v>
      </c>
      <c r="BE1003" s="33" t="str">
        <f t="shared" si="16"/>
        <v/>
      </c>
      <c r="BF1003" s="37"/>
      <c r="BG1003" s="29"/>
      <c r="BH1003" s="29" t="b">
        <v>0</v>
      </c>
      <c r="BI1003" s="22" t="str">
        <f t="shared" si="17"/>
        <v/>
      </c>
      <c r="BJ1003" s="7">
        <f>IF(ISBLANK(BF1003), 0, VLOOKUP(BF1003, 'Price Sheet'!$A$2:$B1015, 2, false))</f>
        <v>0</v>
      </c>
      <c r="BK1003" s="33" t="str">
        <f t="shared" si="18"/>
        <v/>
      </c>
      <c r="BL1003" s="37"/>
      <c r="BM1003" s="29"/>
      <c r="BN1003" s="29" t="b">
        <v>0</v>
      </c>
      <c r="BO1003" s="22" t="str">
        <f t="shared" si="19"/>
        <v/>
      </c>
      <c r="BP1003" s="7">
        <f>IF(ISBLANK(BL1003), 0, VLOOKUP(BL1003, 'Price Sheet'!$A$2:$B1015, 2, false))</f>
        <v>0</v>
      </c>
      <c r="BQ1003" s="33" t="str">
        <f t="shared" si="20"/>
        <v/>
      </c>
    </row>
    <row r="1004">
      <c r="B1004" s="19"/>
      <c r="C1004" s="29"/>
      <c r="D1004" s="29"/>
      <c r="E1004" s="7" t="str">
        <f>IF(ISBLANK(D1004), "", VLOOKUP(D1004,'Crafting Tables'!$A$2:$B1015, 2, false))</f>
        <v/>
      </c>
      <c r="F1004" s="7" t="str">
        <f>IFERROR(IF(E1004 = "None", 1, VLOOKUP(C1004,General!$A$5:$L$35, SWITCH(E1004, "Basic", 8, "Advanced", 10, "Modern", 12), false)),"")</f>
        <v/>
      </c>
      <c r="G1004" s="29"/>
      <c r="H1004" s="7">
        <f>IFERROR(VLOOKUP(C1004, General!$A$5:$L$35, 6, false) * G1004 / 1000, 0)</f>
        <v>0</v>
      </c>
      <c r="I1004" s="29"/>
      <c r="J1004" s="22" t="str">
        <f>IFERROR(I1004*VLOOKUP(D1004,'Crafting Tables'!$1:$1000, 4, false)*F1004,"")</f>
        <v/>
      </c>
      <c r="K1004" s="29" t="b">
        <v>0</v>
      </c>
      <c r="L1004" s="37"/>
      <c r="M1004" s="29"/>
      <c r="N1004" s="21" t="str">
        <f t="shared" si="2"/>
        <v/>
      </c>
      <c r="P1004" s="37"/>
      <c r="Q1004" s="29"/>
      <c r="R1004" s="29" t="b">
        <v>0</v>
      </c>
      <c r="S1004" s="22" t="str">
        <f t="shared" si="3"/>
        <v/>
      </c>
      <c r="T1004" s="7">
        <f>IF(ISBLANK(P1004), 0, VLOOKUP(P1004, 'Price Sheet'!$A$2:$B1015, 2, false))</f>
        <v>0</v>
      </c>
      <c r="U1004" s="33" t="str">
        <f t="shared" si="4"/>
        <v/>
      </c>
      <c r="V1004" s="37"/>
      <c r="W1004" s="29"/>
      <c r="X1004" s="29" t="b">
        <v>0</v>
      </c>
      <c r="Y1004" s="22" t="str">
        <f t="shared" si="5"/>
        <v/>
      </c>
      <c r="Z1004" s="7">
        <f>IF(ISBLANK(V1004), 0, VLOOKUP(V1004, 'Price Sheet'!$A$2:$B1015, 2, false))</f>
        <v>0</v>
      </c>
      <c r="AA1004" s="33" t="str">
        <f t="shared" si="6"/>
        <v/>
      </c>
      <c r="AB1004" s="37"/>
      <c r="AC1004" s="29"/>
      <c r="AD1004" s="29" t="b">
        <v>0</v>
      </c>
      <c r="AE1004" s="22" t="str">
        <f t="shared" si="7"/>
        <v/>
      </c>
      <c r="AF1004" s="7">
        <f>IF(ISBLANK(AB1004), 0, VLOOKUP(AB1004, 'Price Sheet'!$A$2:$B1015, 2, false))</f>
        <v>0</v>
      </c>
      <c r="AG1004" s="33" t="str">
        <f t="shared" si="8"/>
        <v/>
      </c>
      <c r="AH1004" s="37"/>
      <c r="AI1004" s="29"/>
      <c r="AJ1004" s="29" t="b">
        <v>0</v>
      </c>
      <c r="AK1004" s="22" t="str">
        <f t="shared" si="9"/>
        <v/>
      </c>
      <c r="AL1004" s="7">
        <f>IF(ISBLANK(AH1004), 0, VLOOKUP(AH1004, 'Price Sheet'!$A$2:$B1015, 2, false))</f>
        <v>0</v>
      </c>
      <c r="AM1004" s="33" t="str">
        <f t="shared" si="10"/>
        <v/>
      </c>
      <c r="AN1004" s="37"/>
      <c r="AO1004" s="29"/>
      <c r="AP1004" s="29" t="b">
        <v>0</v>
      </c>
      <c r="AQ1004" s="22" t="str">
        <f t="shared" si="11"/>
        <v/>
      </c>
      <c r="AR1004" s="7">
        <f>IF(ISBLANK(AN1004), 0, VLOOKUP(AN1004, 'Price Sheet'!$A$2:$B1015, 2, false))</f>
        <v>0</v>
      </c>
      <c r="AS1004" s="33" t="str">
        <f t="shared" si="12"/>
        <v/>
      </c>
      <c r="AT1004" s="37"/>
      <c r="AU1004" s="29"/>
      <c r="AV1004" s="29" t="b">
        <v>0</v>
      </c>
      <c r="AW1004" s="22" t="str">
        <f t="shared" si="13"/>
        <v/>
      </c>
      <c r="AX1004" s="7">
        <f>IF(ISBLANK(AT1004), 0, VLOOKUP(AT1004, 'Price Sheet'!$A$2:$B1015, 2, false))</f>
        <v>0</v>
      </c>
      <c r="AY1004" s="33" t="str">
        <f t="shared" si="14"/>
        <v/>
      </c>
      <c r="AZ1004" s="37"/>
      <c r="BA1004" s="29"/>
      <c r="BB1004" s="29" t="b">
        <v>0</v>
      </c>
      <c r="BC1004" s="22" t="str">
        <f t="shared" si="15"/>
        <v/>
      </c>
      <c r="BD1004" s="7">
        <f>IF(ISBLANK(AZ1004), 0, VLOOKUP(AZ1004, 'Price Sheet'!$A$2:$B1015, 2, false))</f>
        <v>0</v>
      </c>
      <c r="BE1004" s="33" t="str">
        <f t="shared" si="16"/>
        <v/>
      </c>
      <c r="BF1004" s="37"/>
      <c r="BG1004" s="29"/>
      <c r="BH1004" s="29" t="b">
        <v>0</v>
      </c>
      <c r="BI1004" s="22" t="str">
        <f t="shared" si="17"/>
        <v/>
      </c>
      <c r="BJ1004" s="7">
        <f>IF(ISBLANK(BF1004), 0, VLOOKUP(BF1004, 'Price Sheet'!$A$2:$B1015, 2, false))</f>
        <v>0</v>
      </c>
      <c r="BK1004" s="33" t="str">
        <f t="shared" si="18"/>
        <v/>
      </c>
      <c r="BL1004" s="37"/>
      <c r="BM1004" s="29"/>
      <c r="BN1004" s="29" t="b">
        <v>0</v>
      </c>
      <c r="BO1004" s="22" t="str">
        <f t="shared" si="19"/>
        <v/>
      </c>
      <c r="BP1004" s="7">
        <f>IF(ISBLANK(BL1004), 0, VLOOKUP(BL1004, 'Price Sheet'!$A$2:$B1015, 2, false))</f>
        <v>0</v>
      </c>
      <c r="BQ1004" s="33" t="str">
        <f t="shared" si="20"/>
        <v/>
      </c>
    </row>
    <row r="1005">
      <c r="B1005" s="19"/>
      <c r="C1005" s="29"/>
      <c r="D1005" s="29"/>
      <c r="E1005" s="7" t="str">
        <f>IF(ISBLANK(D1005), "", VLOOKUP(D1005,'Crafting Tables'!$A$2:$B1015, 2, false))</f>
        <v/>
      </c>
      <c r="F1005" s="7" t="str">
        <f>IFERROR(IF(E1005 = "None", 1, VLOOKUP(C1005,General!$A$5:$L$35, SWITCH(E1005, "Basic", 8, "Advanced", 10, "Modern", 12), false)),"")</f>
        <v/>
      </c>
      <c r="G1005" s="29"/>
      <c r="H1005" s="7">
        <f>IFERROR(VLOOKUP(C1005, General!$A$5:$L$35, 6, false) * G1005 / 1000, 0)</f>
        <v>0</v>
      </c>
      <c r="I1005" s="29"/>
      <c r="J1005" s="22" t="str">
        <f>IFERROR(I1005*VLOOKUP(D1005,'Crafting Tables'!$1:$1000, 4, false)*F1005,"")</f>
        <v/>
      </c>
      <c r="K1005" s="29" t="b">
        <v>0</v>
      </c>
      <c r="L1005" s="37"/>
      <c r="M1005" s="29"/>
      <c r="N1005" s="21" t="str">
        <f t="shared" si="2"/>
        <v/>
      </c>
      <c r="P1005" s="37"/>
      <c r="Q1005" s="29"/>
      <c r="R1005" s="29" t="b">
        <v>0</v>
      </c>
      <c r="S1005" s="22" t="str">
        <f t="shared" si="3"/>
        <v/>
      </c>
      <c r="T1005" s="7">
        <f>IF(ISBLANK(P1005), 0, VLOOKUP(P1005, 'Price Sheet'!$A$2:$B1015, 2, false))</f>
        <v>0</v>
      </c>
      <c r="U1005" s="33" t="str">
        <f t="shared" si="4"/>
        <v/>
      </c>
      <c r="V1005" s="37"/>
      <c r="W1005" s="29"/>
      <c r="X1005" s="29" t="b">
        <v>0</v>
      </c>
      <c r="Y1005" s="22" t="str">
        <f t="shared" si="5"/>
        <v/>
      </c>
      <c r="Z1005" s="7">
        <f>IF(ISBLANK(V1005), 0, VLOOKUP(V1005, 'Price Sheet'!$A$2:$B1015, 2, false))</f>
        <v>0</v>
      </c>
      <c r="AA1005" s="33" t="str">
        <f t="shared" si="6"/>
        <v/>
      </c>
      <c r="AB1005" s="37"/>
      <c r="AC1005" s="29"/>
      <c r="AD1005" s="29" t="b">
        <v>0</v>
      </c>
      <c r="AE1005" s="22" t="str">
        <f t="shared" si="7"/>
        <v/>
      </c>
      <c r="AF1005" s="7">
        <f>IF(ISBLANK(AB1005), 0, VLOOKUP(AB1005, 'Price Sheet'!$A$2:$B1015, 2, false))</f>
        <v>0</v>
      </c>
      <c r="AG1005" s="33" t="str">
        <f t="shared" si="8"/>
        <v/>
      </c>
      <c r="AH1005" s="37"/>
      <c r="AI1005" s="29"/>
      <c r="AJ1005" s="29" t="b">
        <v>0</v>
      </c>
      <c r="AK1005" s="22" t="str">
        <f t="shared" si="9"/>
        <v/>
      </c>
      <c r="AL1005" s="7">
        <f>IF(ISBLANK(AH1005), 0, VLOOKUP(AH1005, 'Price Sheet'!$A$2:$B1015, 2, false))</f>
        <v>0</v>
      </c>
      <c r="AM1005" s="33" t="str">
        <f t="shared" si="10"/>
        <v/>
      </c>
      <c r="AN1005" s="37"/>
      <c r="AO1005" s="29"/>
      <c r="AP1005" s="29" t="b">
        <v>0</v>
      </c>
      <c r="AQ1005" s="22" t="str">
        <f t="shared" si="11"/>
        <v/>
      </c>
      <c r="AR1005" s="7">
        <f>IF(ISBLANK(AN1005), 0, VLOOKUP(AN1005, 'Price Sheet'!$A$2:$B1015, 2, false))</f>
        <v>0</v>
      </c>
      <c r="AS1005" s="33" t="str">
        <f t="shared" si="12"/>
        <v/>
      </c>
      <c r="AT1005" s="37"/>
      <c r="AU1005" s="29"/>
      <c r="AV1005" s="29" t="b">
        <v>0</v>
      </c>
      <c r="AW1005" s="22" t="str">
        <f t="shared" si="13"/>
        <v/>
      </c>
      <c r="AX1005" s="7">
        <f>IF(ISBLANK(AT1005), 0, VLOOKUP(AT1005, 'Price Sheet'!$A$2:$B1015, 2, false))</f>
        <v>0</v>
      </c>
      <c r="AY1005" s="33" t="str">
        <f t="shared" si="14"/>
        <v/>
      </c>
      <c r="AZ1005" s="37"/>
      <c r="BA1005" s="29"/>
      <c r="BB1005" s="29" t="b">
        <v>0</v>
      </c>
      <c r="BC1005" s="22" t="str">
        <f t="shared" si="15"/>
        <v/>
      </c>
      <c r="BD1005" s="7">
        <f>IF(ISBLANK(AZ1005), 0, VLOOKUP(AZ1005, 'Price Sheet'!$A$2:$B1015, 2, false))</f>
        <v>0</v>
      </c>
      <c r="BE1005" s="33" t="str">
        <f t="shared" si="16"/>
        <v/>
      </c>
      <c r="BF1005" s="37"/>
      <c r="BG1005" s="29"/>
      <c r="BH1005" s="29" t="b">
        <v>0</v>
      </c>
      <c r="BI1005" s="22" t="str">
        <f t="shared" si="17"/>
        <v/>
      </c>
      <c r="BJ1005" s="7">
        <f>IF(ISBLANK(BF1005), 0, VLOOKUP(BF1005, 'Price Sheet'!$A$2:$B1015, 2, false))</f>
        <v>0</v>
      </c>
      <c r="BK1005" s="33" t="str">
        <f t="shared" si="18"/>
        <v/>
      </c>
      <c r="BL1005" s="37"/>
      <c r="BM1005" s="29"/>
      <c r="BN1005" s="29" t="b">
        <v>0</v>
      </c>
      <c r="BO1005" s="22" t="str">
        <f t="shared" si="19"/>
        <v/>
      </c>
      <c r="BP1005" s="7">
        <f>IF(ISBLANK(BL1005), 0, VLOOKUP(BL1005, 'Price Sheet'!$A$2:$B1015, 2, false))</f>
        <v>0</v>
      </c>
      <c r="BQ1005" s="33" t="str">
        <f t="shared" si="20"/>
        <v/>
      </c>
    </row>
    <row r="1006">
      <c r="B1006" s="19"/>
      <c r="C1006" s="29"/>
      <c r="D1006" s="29"/>
      <c r="E1006" s="7" t="str">
        <f>IF(ISBLANK(D1006), "", VLOOKUP(D1006,'Crafting Tables'!$A$2:$B1015, 2, false))</f>
        <v/>
      </c>
      <c r="F1006" s="7" t="str">
        <f>IFERROR(IF(E1006 = "None", 1, VLOOKUP(C1006,General!$A$5:$L$35, SWITCH(E1006, "Basic", 8, "Advanced", 10, "Modern", 12), false)),"")</f>
        <v/>
      </c>
      <c r="G1006" s="29"/>
      <c r="H1006" s="7">
        <f>IFERROR(VLOOKUP(C1006, General!$A$5:$L$35, 6, false) * G1006 / 1000, 0)</f>
        <v>0</v>
      </c>
      <c r="I1006" s="29"/>
      <c r="J1006" s="22" t="str">
        <f>IFERROR(I1006*VLOOKUP(D1006,'Crafting Tables'!$1:$1000, 4, false)*F1006,"")</f>
        <v/>
      </c>
      <c r="K1006" s="29" t="b">
        <v>0</v>
      </c>
      <c r="L1006" s="37"/>
      <c r="M1006" s="29"/>
      <c r="N1006" s="21" t="str">
        <f t="shared" si="2"/>
        <v/>
      </c>
      <c r="P1006" s="37"/>
      <c r="Q1006" s="29"/>
      <c r="R1006" s="29" t="b">
        <v>0</v>
      </c>
      <c r="S1006" s="22" t="str">
        <f t="shared" si="3"/>
        <v/>
      </c>
      <c r="T1006" s="7">
        <f>IF(ISBLANK(P1006), 0, VLOOKUP(P1006, 'Price Sheet'!$A$2:$B1015, 2, false))</f>
        <v>0</v>
      </c>
      <c r="U1006" s="33" t="str">
        <f t="shared" si="4"/>
        <v/>
      </c>
      <c r="V1006" s="37"/>
      <c r="W1006" s="29"/>
      <c r="X1006" s="29" t="b">
        <v>0</v>
      </c>
      <c r="Y1006" s="22" t="str">
        <f t="shared" si="5"/>
        <v/>
      </c>
      <c r="Z1006" s="7">
        <f>IF(ISBLANK(V1006), 0, VLOOKUP(V1006, 'Price Sheet'!$A$2:$B1015, 2, false))</f>
        <v>0</v>
      </c>
      <c r="AA1006" s="33" t="str">
        <f t="shared" si="6"/>
        <v/>
      </c>
      <c r="AB1006" s="37"/>
      <c r="AC1006" s="29"/>
      <c r="AD1006" s="29" t="b">
        <v>0</v>
      </c>
      <c r="AE1006" s="22" t="str">
        <f t="shared" si="7"/>
        <v/>
      </c>
      <c r="AF1006" s="7">
        <f>IF(ISBLANK(AB1006), 0, VLOOKUP(AB1006, 'Price Sheet'!$A$2:$B1015, 2, false))</f>
        <v>0</v>
      </c>
      <c r="AG1006" s="33" t="str">
        <f t="shared" si="8"/>
        <v/>
      </c>
      <c r="AH1006" s="37"/>
      <c r="AI1006" s="29"/>
      <c r="AJ1006" s="29" t="b">
        <v>0</v>
      </c>
      <c r="AK1006" s="22" t="str">
        <f t="shared" si="9"/>
        <v/>
      </c>
      <c r="AL1006" s="7">
        <f>IF(ISBLANK(AH1006), 0, VLOOKUP(AH1006, 'Price Sheet'!$A$2:$B1015, 2, false))</f>
        <v>0</v>
      </c>
      <c r="AM1006" s="33" t="str">
        <f t="shared" si="10"/>
        <v/>
      </c>
      <c r="AN1006" s="37"/>
      <c r="AO1006" s="29"/>
      <c r="AP1006" s="29" t="b">
        <v>0</v>
      </c>
      <c r="AQ1006" s="22" t="str">
        <f t="shared" si="11"/>
        <v/>
      </c>
      <c r="AR1006" s="7">
        <f>IF(ISBLANK(AN1006), 0, VLOOKUP(AN1006, 'Price Sheet'!$A$2:$B1015, 2, false))</f>
        <v>0</v>
      </c>
      <c r="AS1006" s="33" t="str">
        <f t="shared" si="12"/>
        <v/>
      </c>
      <c r="AT1006" s="37"/>
      <c r="AU1006" s="29"/>
      <c r="AV1006" s="29" t="b">
        <v>0</v>
      </c>
      <c r="AW1006" s="22" t="str">
        <f t="shared" si="13"/>
        <v/>
      </c>
      <c r="AX1006" s="7">
        <f>IF(ISBLANK(AT1006), 0, VLOOKUP(AT1006, 'Price Sheet'!$A$2:$B1015, 2, false))</f>
        <v>0</v>
      </c>
      <c r="AY1006" s="33" t="str">
        <f t="shared" si="14"/>
        <v/>
      </c>
      <c r="AZ1006" s="37"/>
      <c r="BA1006" s="29"/>
      <c r="BB1006" s="29" t="b">
        <v>0</v>
      </c>
      <c r="BC1006" s="22" t="str">
        <f t="shared" si="15"/>
        <v/>
      </c>
      <c r="BD1006" s="7">
        <f>IF(ISBLANK(AZ1006), 0, VLOOKUP(AZ1006, 'Price Sheet'!$A$2:$B1015, 2, false))</f>
        <v>0</v>
      </c>
      <c r="BE1006" s="33" t="str">
        <f t="shared" si="16"/>
        <v/>
      </c>
      <c r="BF1006" s="37"/>
      <c r="BG1006" s="29"/>
      <c r="BH1006" s="29" t="b">
        <v>0</v>
      </c>
      <c r="BI1006" s="22" t="str">
        <f t="shared" si="17"/>
        <v/>
      </c>
      <c r="BJ1006" s="7">
        <f>IF(ISBLANK(BF1006), 0, VLOOKUP(BF1006, 'Price Sheet'!$A$2:$B1015, 2, false))</f>
        <v>0</v>
      </c>
      <c r="BK1006" s="33" t="str">
        <f t="shared" si="18"/>
        <v/>
      </c>
      <c r="BL1006" s="37"/>
      <c r="BM1006" s="29"/>
      <c r="BN1006" s="29" t="b">
        <v>0</v>
      </c>
      <c r="BO1006" s="22" t="str">
        <f t="shared" si="19"/>
        <v/>
      </c>
      <c r="BP1006" s="7">
        <f>IF(ISBLANK(BL1006), 0, VLOOKUP(BL1006, 'Price Sheet'!$A$2:$B1015, 2, false))</f>
        <v>0</v>
      </c>
      <c r="BQ1006" s="33" t="str">
        <f t="shared" si="20"/>
        <v/>
      </c>
    </row>
    <row r="1007">
      <c r="B1007" s="19"/>
      <c r="C1007" s="29"/>
      <c r="D1007" s="29"/>
      <c r="E1007" s="7" t="str">
        <f>IF(ISBLANK(D1007), "", VLOOKUP(D1007,'Crafting Tables'!$A$2:$B1015, 2, false))</f>
        <v/>
      </c>
      <c r="F1007" s="7" t="str">
        <f>IFERROR(IF(E1007 = "None", 1, VLOOKUP(C1007,General!$A$5:$L$35, SWITCH(E1007, "Basic", 8, "Advanced", 10, "Modern", 12), false)),"")</f>
        <v/>
      </c>
      <c r="G1007" s="29"/>
      <c r="H1007" s="7">
        <f>IFERROR(VLOOKUP(C1007, General!$A$5:$L$35, 6, false) * G1007 / 1000, 0)</f>
        <v>0</v>
      </c>
      <c r="I1007" s="29"/>
      <c r="J1007" s="22" t="str">
        <f>IFERROR(I1007*VLOOKUP(D1007,'Crafting Tables'!$1:$1000, 4, false)*F1007,"")</f>
        <v/>
      </c>
      <c r="K1007" s="29" t="b">
        <v>0</v>
      </c>
      <c r="L1007" s="37"/>
      <c r="M1007" s="29"/>
      <c r="N1007" s="21" t="str">
        <f t="shared" si="2"/>
        <v/>
      </c>
      <c r="P1007" s="37"/>
      <c r="Q1007" s="29"/>
      <c r="R1007" s="29" t="b">
        <v>0</v>
      </c>
      <c r="S1007" s="22" t="str">
        <f t="shared" si="3"/>
        <v/>
      </c>
      <c r="T1007" s="7">
        <f>IF(ISBLANK(P1007), 0, VLOOKUP(P1007, 'Price Sheet'!$A$2:$B1015, 2, false))</f>
        <v>0</v>
      </c>
      <c r="U1007" s="33" t="str">
        <f t="shared" si="4"/>
        <v/>
      </c>
      <c r="V1007" s="37"/>
      <c r="W1007" s="29"/>
      <c r="X1007" s="29" t="b">
        <v>0</v>
      </c>
      <c r="Y1007" s="22" t="str">
        <f t="shared" si="5"/>
        <v/>
      </c>
      <c r="Z1007" s="7">
        <f>IF(ISBLANK(V1007), 0, VLOOKUP(V1007, 'Price Sheet'!$A$2:$B1015, 2, false))</f>
        <v>0</v>
      </c>
      <c r="AA1007" s="33" t="str">
        <f t="shared" si="6"/>
        <v/>
      </c>
      <c r="AB1007" s="37"/>
      <c r="AC1007" s="29"/>
      <c r="AD1007" s="29" t="b">
        <v>0</v>
      </c>
      <c r="AE1007" s="22" t="str">
        <f t="shared" si="7"/>
        <v/>
      </c>
      <c r="AF1007" s="7">
        <f>IF(ISBLANK(AB1007), 0, VLOOKUP(AB1007, 'Price Sheet'!$A$2:$B1015, 2, false))</f>
        <v>0</v>
      </c>
      <c r="AG1007" s="33" t="str">
        <f t="shared" si="8"/>
        <v/>
      </c>
      <c r="AH1007" s="37"/>
      <c r="AI1007" s="29"/>
      <c r="AJ1007" s="29" t="b">
        <v>0</v>
      </c>
      <c r="AK1007" s="22" t="str">
        <f t="shared" si="9"/>
        <v/>
      </c>
      <c r="AL1007" s="7">
        <f>IF(ISBLANK(AH1007), 0, VLOOKUP(AH1007, 'Price Sheet'!$A$2:$B1015, 2, false))</f>
        <v>0</v>
      </c>
      <c r="AM1007" s="33" t="str">
        <f t="shared" si="10"/>
        <v/>
      </c>
      <c r="AN1007" s="37"/>
      <c r="AO1007" s="29"/>
      <c r="AP1007" s="29" t="b">
        <v>0</v>
      </c>
      <c r="AQ1007" s="22" t="str">
        <f t="shared" si="11"/>
        <v/>
      </c>
      <c r="AR1007" s="7">
        <f>IF(ISBLANK(AN1007), 0, VLOOKUP(AN1007, 'Price Sheet'!$A$2:$B1015, 2, false))</f>
        <v>0</v>
      </c>
      <c r="AS1007" s="33" t="str">
        <f t="shared" si="12"/>
        <v/>
      </c>
      <c r="AT1007" s="37"/>
      <c r="AU1007" s="29"/>
      <c r="AV1007" s="29" t="b">
        <v>0</v>
      </c>
      <c r="AW1007" s="22" t="str">
        <f t="shared" si="13"/>
        <v/>
      </c>
      <c r="AX1007" s="7">
        <f>IF(ISBLANK(AT1007), 0, VLOOKUP(AT1007, 'Price Sheet'!$A$2:$B1015, 2, false))</f>
        <v>0</v>
      </c>
      <c r="AY1007" s="33" t="str">
        <f t="shared" si="14"/>
        <v/>
      </c>
      <c r="AZ1007" s="37"/>
      <c r="BA1007" s="29"/>
      <c r="BB1007" s="29" t="b">
        <v>0</v>
      </c>
      <c r="BC1007" s="22" t="str">
        <f t="shared" si="15"/>
        <v/>
      </c>
      <c r="BD1007" s="7">
        <f>IF(ISBLANK(AZ1007), 0, VLOOKUP(AZ1007, 'Price Sheet'!$A$2:$B1015, 2, false))</f>
        <v>0</v>
      </c>
      <c r="BE1007" s="33" t="str">
        <f t="shared" si="16"/>
        <v/>
      </c>
      <c r="BF1007" s="37"/>
      <c r="BG1007" s="29"/>
      <c r="BH1007" s="29" t="b">
        <v>0</v>
      </c>
      <c r="BI1007" s="22" t="str">
        <f t="shared" si="17"/>
        <v/>
      </c>
      <c r="BJ1007" s="7">
        <f>IF(ISBLANK(BF1007), 0, VLOOKUP(BF1007, 'Price Sheet'!$A$2:$B1015, 2, false))</f>
        <v>0</v>
      </c>
      <c r="BK1007" s="33" t="str">
        <f t="shared" si="18"/>
        <v/>
      </c>
      <c r="BL1007" s="37"/>
      <c r="BM1007" s="29"/>
      <c r="BN1007" s="29" t="b">
        <v>0</v>
      </c>
      <c r="BO1007" s="22" t="str">
        <f t="shared" si="19"/>
        <v/>
      </c>
      <c r="BP1007" s="7">
        <f>IF(ISBLANK(BL1007), 0, VLOOKUP(BL1007, 'Price Sheet'!$A$2:$B1015, 2, false))</f>
        <v>0</v>
      </c>
      <c r="BQ1007" s="33" t="str">
        <f t="shared" si="20"/>
        <v/>
      </c>
    </row>
    <row r="1008">
      <c r="B1008" s="19"/>
      <c r="C1008" s="29"/>
      <c r="D1008" s="29"/>
      <c r="E1008" s="7" t="str">
        <f>IF(ISBLANK(D1008), "", VLOOKUP(D1008,'Crafting Tables'!$A$2:$B1015, 2, false))</f>
        <v/>
      </c>
      <c r="F1008" s="7" t="str">
        <f>IFERROR(IF(E1008 = "None", 1, VLOOKUP(C1008,General!$A$5:$L$35, SWITCH(E1008, "Basic", 8, "Advanced", 10, "Modern", 12), false)),"")</f>
        <v/>
      </c>
      <c r="G1008" s="29"/>
      <c r="H1008" s="7">
        <f>IFERROR(VLOOKUP(C1008, General!$A$5:$L$35, 6, false) * G1008 / 1000, 0)</f>
        <v>0</v>
      </c>
      <c r="I1008" s="29"/>
      <c r="J1008" s="22" t="str">
        <f>IFERROR(I1008*VLOOKUP(D1008,'Crafting Tables'!$1:$1000, 4, false)*F1008,"")</f>
        <v/>
      </c>
      <c r="K1008" s="29" t="b">
        <v>0</v>
      </c>
      <c r="L1008" s="37"/>
      <c r="M1008" s="29"/>
      <c r="N1008" s="21" t="str">
        <f t="shared" si="2"/>
        <v/>
      </c>
      <c r="P1008" s="37"/>
      <c r="Q1008" s="29"/>
      <c r="R1008" s="29" t="b">
        <v>0</v>
      </c>
      <c r="S1008" s="22" t="str">
        <f t="shared" si="3"/>
        <v/>
      </c>
      <c r="T1008" s="7">
        <f>IF(ISBLANK(P1008), 0, VLOOKUP(P1008, 'Price Sheet'!$A$2:$B1015, 2, false))</f>
        <v>0</v>
      </c>
      <c r="U1008" s="33" t="str">
        <f t="shared" si="4"/>
        <v/>
      </c>
      <c r="V1008" s="37"/>
      <c r="W1008" s="29"/>
      <c r="X1008" s="29" t="b">
        <v>0</v>
      </c>
      <c r="Y1008" s="22" t="str">
        <f t="shared" si="5"/>
        <v/>
      </c>
      <c r="Z1008" s="7">
        <f>IF(ISBLANK(V1008), 0, VLOOKUP(V1008, 'Price Sheet'!$A$2:$B1015, 2, false))</f>
        <v>0</v>
      </c>
      <c r="AA1008" s="33" t="str">
        <f t="shared" si="6"/>
        <v/>
      </c>
      <c r="AB1008" s="37"/>
      <c r="AC1008" s="29"/>
      <c r="AD1008" s="29" t="b">
        <v>0</v>
      </c>
      <c r="AE1008" s="22" t="str">
        <f t="shared" si="7"/>
        <v/>
      </c>
      <c r="AF1008" s="7">
        <f>IF(ISBLANK(AB1008), 0, VLOOKUP(AB1008, 'Price Sheet'!$A$2:$B1015, 2, false))</f>
        <v>0</v>
      </c>
      <c r="AG1008" s="33" t="str">
        <f t="shared" si="8"/>
        <v/>
      </c>
      <c r="AH1008" s="37"/>
      <c r="AI1008" s="29"/>
      <c r="AJ1008" s="29" t="b">
        <v>0</v>
      </c>
      <c r="AK1008" s="22" t="str">
        <f t="shared" si="9"/>
        <v/>
      </c>
      <c r="AL1008" s="7">
        <f>IF(ISBLANK(AH1008), 0, VLOOKUP(AH1008, 'Price Sheet'!$A$2:$B1015, 2, false))</f>
        <v>0</v>
      </c>
      <c r="AM1008" s="33" t="str">
        <f t="shared" si="10"/>
        <v/>
      </c>
      <c r="AN1008" s="37"/>
      <c r="AO1008" s="29"/>
      <c r="AP1008" s="29" t="b">
        <v>0</v>
      </c>
      <c r="AQ1008" s="22" t="str">
        <f t="shared" si="11"/>
        <v/>
      </c>
      <c r="AR1008" s="7">
        <f>IF(ISBLANK(AN1008), 0, VLOOKUP(AN1008, 'Price Sheet'!$A$2:$B1015, 2, false))</f>
        <v>0</v>
      </c>
      <c r="AS1008" s="33" t="str">
        <f t="shared" si="12"/>
        <v/>
      </c>
      <c r="AT1008" s="37"/>
      <c r="AU1008" s="29"/>
      <c r="AV1008" s="29" t="b">
        <v>0</v>
      </c>
      <c r="AW1008" s="22" t="str">
        <f t="shared" si="13"/>
        <v/>
      </c>
      <c r="AX1008" s="7">
        <f>IF(ISBLANK(AT1008), 0, VLOOKUP(AT1008, 'Price Sheet'!$A$2:$B1015, 2, false))</f>
        <v>0</v>
      </c>
      <c r="AY1008" s="33" t="str">
        <f t="shared" si="14"/>
        <v/>
      </c>
      <c r="AZ1008" s="37"/>
      <c r="BA1008" s="29"/>
      <c r="BB1008" s="29" t="b">
        <v>0</v>
      </c>
      <c r="BC1008" s="22" t="str">
        <f t="shared" si="15"/>
        <v/>
      </c>
      <c r="BD1008" s="7">
        <f>IF(ISBLANK(AZ1008), 0, VLOOKUP(AZ1008, 'Price Sheet'!$A$2:$B1015, 2, false))</f>
        <v>0</v>
      </c>
      <c r="BE1008" s="33" t="str">
        <f t="shared" si="16"/>
        <v/>
      </c>
      <c r="BF1008" s="37"/>
      <c r="BG1008" s="29"/>
      <c r="BH1008" s="29" t="b">
        <v>0</v>
      </c>
      <c r="BI1008" s="22" t="str">
        <f t="shared" si="17"/>
        <v/>
      </c>
      <c r="BJ1008" s="7">
        <f>IF(ISBLANK(BF1008), 0, VLOOKUP(BF1008, 'Price Sheet'!$A$2:$B1015, 2, false))</f>
        <v>0</v>
      </c>
      <c r="BK1008" s="33" t="str">
        <f t="shared" si="18"/>
        <v/>
      </c>
      <c r="BL1008" s="37"/>
      <c r="BM1008" s="29"/>
      <c r="BN1008" s="29" t="b">
        <v>0</v>
      </c>
      <c r="BO1008" s="22" t="str">
        <f t="shared" si="19"/>
        <v/>
      </c>
      <c r="BP1008" s="7">
        <f>IF(ISBLANK(BL1008), 0, VLOOKUP(BL1008, 'Price Sheet'!$A$2:$B1015, 2, false))</f>
        <v>0</v>
      </c>
      <c r="BQ1008" s="33" t="str">
        <f t="shared" si="20"/>
        <v/>
      </c>
    </row>
    <row r="1009">
      <c r="B1009" s="19"/>
      <c r="C1009" s="29"/>
      <c r="D1009" s="29"/>
      <c r="E1009" s="7" t="str">
        <f>IF(ISBLANK(D1009), "", VLOOKUP(D1009,'Crafting Tables'!$A$2:$B1015, 2, false))</f>
        <v/>
      </c>
      <c r="F1009" s="7" t="str">
        <f>IFERROR(IF(E1009 = "None", 1, VLOOKUP(C1009,General!$A$5:$L$35, SWITCH(E1009, "Basic", 8, "Advanced", 10, "Modern", 12), false)),"")</f>
        <v/>
      </c>
      <c r="G1009" s="29"/>
      <c r="H1009" s="7">
        <f>IFERROR(VLOOKUP(C1009, General!$A$5:$L$35, 6, false) * G1009 / 1000, 0)</f>
        <v>0</v>
      </c>
      <c r="I1009" s="29"/>
      <c r="J1009" s="22" t="str">
        <f>IFERROR(I1009*VLOOKUP(D1009,'Crafting Tables'!$1:$1000, 4, false)*F1009,"")</f>
        <v/>
      </c>
      <c r="K1009" s="29" t="b">
        <v>0</v>
      </c>
      <c r="L1009" s="37"/>
      <c r="M1009" s="29"/>
      <c r="N1009" s="21" t="str">
        <f t="shared" si="2"/>
        <v/>
      </c>
      <c r="P1009" s="37"/>
      <c r="Q1009" s="29"/>
      <c r="R1009" s="29" t="b">
        <v>0</v>
      </c>
      <c r="S1009" s="22" t="str">
        <f t="shared" si="3"/>
        <v/>
      </c>
      <c r="T1009" s="7">
        <f>IF(ISBLANK(P1009), 0, VLOOKUP(P1009, 'Price Sheet'!$A$2:$B1015, 2, false))</f>
        <v>0</v>
      </c>
      <c r="U1009" s="33" t="str">
        <f t="shared" si="4"/>
        <v/>
      </c>
      <c r="V1009" s="37"/>
      <c r="W1009" s="29"/>
      <c r="X1009" s="29" t="b">
        <v>0</v>
      </c>
      <c r="Y1009" s="22" t="str">
        <f t="shared" si="5"/>
        <v/>
      </c>
      <c r="Z1009" s="7">
        <f>IF(ISBLANK(V1009), 0, VLOOKUP(V1009, 'Price Sheet'!$A$2:$B1015, 2, false))</f>
        <v>0</v>
      </c>
      <c r="AA1009" s="33" t="str">
        <f t="shared" si="6"/>
        <v/>
      </c>
      <c r="AB1009" s="37"/>
      <c r="AC1009" s="29"/>
      <c r="AD1009" s="29" t="b">
        <v>0</v>
      </c>
      <c r="AE1009" s="22" t="str">
        <f t="shared" si="7"/>
        <v/>
      </c>
      <c r="AF1009" s="7">
        <f>IF(ISBLANK(AB1009), 0, VLOOKUP(AB1009, 'Price Sheet'!$A$2:$B1015, 2, false))</f>
        <v>0</v>
      </c>
      <c r="AG1009" s="33" t="str">
        <f t="shared" si="8"/>
        <v/>
      </c>
      <c r="AH1009" s="37"/>
      <c r="AI1009" s="29"/>
      <c r="AJ1009" s="29" t="b">
        <v>0</v>
      </c>
      <c r="AK1009" s="22" t="str">
        <f t="shared" si="9"/>
        <v/>
      </c>
      <c r="AL1009" s="7">
        <f>IF(ISBLANK(AH1009), 0, VLOOKUP(AH1009, 'Price Sheet'!$A$2:$B1015, 2, false))</f>
        <v>0</v>
      </c>
      <c r="AM1009" s="33" t="str">
        <f t="shared" si="10"/>
        <v/>
      </c>
      <c r="AN1009" s="37"/>
      <c r="AO1009" s="29"/>
      <c r="AP1009" s="29" t="b">
        <v>0</v>
      </c>
      <c r="AQ1009" s="22" t="str">
        <f t="shared" si="11"/>
        <v/>
      </c>
      <c r="AR1009" s="7">
        <f>IF(ISBLANK(AN1009), 0, VLOOKUP(AN1009, 'Price Sheet'!$A$2:$B1015, 2, false))</f>
        <v>0</v>
      </c>
      <c r="AS1009" s="33" t="str">
        <f t="shared" si="12"/>
        <v/>
      </c>
      <c r="AT1009" s="37"/>
      <c r="AU1009" s="29"/>
      <c r="AV1009" s="29" t="b">
        <v>0</v>
      </c>
      <c r="AW1009" s="22" t="str">
        <f t="shared" si="13"/>
        <v/>
      </c>
      <c r="AX1009" s="7">
        <f>IF(ISBLANK(AT1009), 0, VLOOKUP(AT1009, 'Price Sheet'!$A$2:$B1015, 2, false))</f>
        <v>0</v>
      </c>
      <c r="AY1009" s="33" t="str">
        <f t="shared" si="14"/>
        <v/>
      </c>
      <c r="AZ1009" s="37"/>
      <c r="BA1009" s="29"/>
      <c r="BB1009" s="29" t="b">
        <v>0</v>
      </c>
      <c r="BC1009" s="22" t="str">
        <f t="shared" si="15"/>
        <v/>
      </c>
      <c r="BD1009" s="7">
        <f>IF(ISBLANK(AZ1009), 0, VLOOKUP(AZ1009, 'Price Sheet'!$A$2:$B1015, 2, false))</f>
        <v>0</v>
      </c>
      <c r="BE1009" s="33" t="str">
        <f t="shared" si="16"/>
        <v/>
      </c>
      <c r="BF1009" s="37"/>
      <c r="BG1009" s="29"/>
      <c r="BH1009" s="29" t="b">
        <v>0</v>
      </c>
      <c r="BI1009" s="22" t="str">
        <f t="shared" si="17"/>
        <v/>
      </c>
      <c r="BJ1009" s="7">
        <f>IF(ISBLANK(BF1009), 0, VLOOKUP(BF1009, 'Price Sheet'!$A$2:$B1015, 2, false))</f>
        <v>0</v>
      </c>
      <c r="BK1009" s="33" t="str">
        <f t="shared" si="18"/>
        <v/>
      </c>
      <c r="BL1009" s="37"/>
      <c r="BM1009" s="29"/>
      <c r="BN1009" s="29" t="b">
        <v>0</v>
      </c>
      <c r="BO1009" s="22" t="str">
        <f t="shared" si="19"/>
        <v/>
      </c>
      <c r="BP1009" s="7">
        <f>IF(ISBLANK(BL1009), 0, VLOOKUP(BL1009, 'Price Sheet'!$A$2:$B1015, 2, false))</f>
        <v>0</v>
      </c>
      <c r="BQ1009" s="33" t="str">
        <f t="shared" si="20"/>
        <v/>
      </c>
    </row>
    <row r="1010">
      <c r="B1010" s="19"/>
      <c r="C1010" s="29"/>
      <c r="D1010" s="29"/>
      <c r="E1010" s="7" t="str">
        <f>IF(ISBLANK(D1010), "", VLOOKUP(D1010,'Crafting Tables'!$A$2:$B1015, 2, false))</f>
        <v/>
      </c>
      <c r="F1010" s="7" t="str">
        <f>IFERROR(IF(E1010 = "None", 1, VLOOKUP(C1010,General!$A$5:$L$35, SWITCH(E1010, "Basic", 8, "Advanced", 10, "Modern", 12), false)),"")</f>
        <v/>
      </c>
      <c r="G1010" s="29"/>
      <c r="H1010" s="7">
        <f>IFERROR(VLOOKUP(C1010, General!$A$5:$L$35, 6, false) * G1010 / 1000, 0)</f>
        <v>0</v>
      </c>
      <c r="I1010" s="29"/>
      <c r="J1010" s="22" t="str">
        <f>IFERROR(I1010*VLOOKUP(D1010,'Crafting Tables'!$1:$1000, 4, false)*F1010,"")</f>
        <v/>
      </c>
      <c r="K1010" s="29" t="b">
        <v>0</v>
      </c>
      <c r="L1010" s="37"/>
      <c r="M1010" s="29"/>
      <c r="N1010" s="21" t="str">
        <f t="shared" si="2"/>
        <v/>
      </c>
      <c r="P1010" s="37"/>
      <c r="Q1010" s="29"/>
      <c r="R1010" s="29" t="b">
        <v>0</v>
      </c>
      <c r="S1010" s="22" t="str">
        <f t="shared" si="3"/>
        <v/>
      </c>
      <c r="T1010" s="7">
        <f>IF(ISBLANK(P1010), 0, VLOOKUP(P1010, 'Price Sheet'!$A$2:$B1015, 2, false))</f>
        <v>0</v>
      </c>
      <c r="U1010" s="33" t="str">
        <f t="shared" si="4"/>
        <v/>
      </c>
      <c r="V1010" s="37"/>
      <c r="W1010" s="29"/>
      <c r="X1010" s="29" t="b">
        <v>0</v>
      </c>
      <c r="Y1010" s="22" t="str">
        <f t="shared" si="5"/>
        <v/>
      </c>
      <c r="Z1010" s="7">
        <f>IF(ISBLANK(V1010), 0, VLOOKUP(V1010, 'Price Sheet'!$A$2:$B1015, 2, false))</f>
        <v>0</v>
      </c>
      <c r="AA1010" s="33" t="str">
        <f t="shared" si="6"/>
        <v/>
      </c>
      <c r="AB1010" s="37"/>
      <c r="AC1010" s="29"/>
      <c r="AD1010" s="29" t="b">
        <v>0</v>
      </c>
      <c r="AE1010" s="22" t="str">
        <f t="shared" si="7"/>
        <v/>
      </c>
      <c r="AF1010" s="7">
        <f>IF(ISBLANK(AB1010), 0, VLOOKUP(AB1010, 'Price Sheet'!$A$2:$B1015, 2, false))</f>
        <v>0</v>
      </c>
      <c r="AG1010" s="33" t="str">
        <f t="shared" si="8"/>
        <v/>
      </c>
      <c r="AH1010" s="37"/>
      <c r="AI1010" s="29"/>
      <c r="AJ1010" s="29" t="b">
        <v>0</v>
      </c>
      <c r="AK1010" s="22" t="str">
        <f t="shared" si="9"/>
        <v/>
      </c>
      <c r="AL1010" s="7">
        <f>IF(ISBLANK(AH1010), 0, VLOOKUP(AH1010, 'Price Sheet'!$A$2:$B1015, 2, false))</f>
        <v>0</v>
      </c>
      <c r="AM1010" s="33" t="str">
        <f t="shared" si="10"/>
        <v/>
      </c>
      <c r="AN1010" s="37"/>
      <c r="AO1010" s="29"/>
      <c r="AP1010" s="29" t="b">
        <v>0</v>
      </c>
      <c r="AQ1010" s="22" t="str">
        <f t="shared" si="11"/>
        <v/>
      </c>
      <c r="AR1010" s="7">
        <f>IF(ISBLANK(AN1010), 0, VLOOKUP(AN1010, 'Price Sheet'!$A$2:$B1015, 2, false))</f>
        <v>0</v>
      </c>
      <c r="AS1010" s="33" t="str">
        <f t="shared" si="12"/>
        <v/>
      </c>
      <c r="AT1010" s="37"/>
      <c r="AU1010" s="29"/>
      <c r="AV1010" s="29" t="b">
        <v>0</v>
      </c>
      <c r="AW1010" s="22" t="str">
        <f t="shared" si="13"/>
        <v/>
      </c>
      <c r="AX1010" s="7">
        <f>IF(ISBLANK(AT1010), 0, VLOOKUP(AT1010, 'Price Sheet'!$A$2:$B1015, 2, false))</f>
        <v>0</v>
      </c>
      <c r="AY1010" s="33" t="str">
        <f t="shared" si="14"/>
        <v/>
      </c>
      <c r="AZ1010" s="37"/>
      <c r="BA1010" s="29"/>
      <c r="BB1010" s="29" t="b">
        <v>0</v>
      </c>
      <c r="BC1010" s="22" t="str">
        <f t="shared" si="15"/>
        <v/>
      </c>
      <c r="BD1010" s="7">
        <f>IF(ISBLANK(AZ1010), 0, VLOOKUP(AZ1010, 'Price Sheet'!$A$2:$B1015, 2, false))</f>
        <v>0</v>
      </c>
      <c r="BE1010" s="33" t="str">
        <f t="shared" si="16"/>
        <v/>
      </c>
      <c r="BF1010" s="37"/>
      <c r="BG1010" s="29"/>
      <c r="BH1010" s="29" t="b">
        <v>0</v>
      </c>
      <c r="BI1010" s="22" t="str">
        <f t="shared" si="17"/>
        <v/>
      </c>
      <c r="BJ1010" s="7">
        <f>IF(ISBLANK(BF1010), 0, VLOOKUP(BF1010, 'Price Sheet'!$A$2:$B1015, 2, false))</f>
        <v>0</v>
      </c>
      <c r="BK1010" s="33" t="str">
        <f t="shared" si="18"/>
        <v/>
      </c>
      <c r="BL1010" s="37"/>
      <c r="BM1010" s="29"/>
      <c r="BN1010" s="29" t="b">
        <v>0</v>
      </c>
      <c r="BO1010" s="22" t="str">
        <f t="shared" si="19"/>
        <v/>
      </c>
      <c r="BP1010" s="7">
        <f>IF(ISBLANK(BL1010), 0, VLOOKUP(BL1010, 'Price Sheet'!$A$2:$B1015, 2, false))</f>
        <v>0</v>
      </c>
      <c r="BQ1010" s="33" t="str">
        <f t="shared" si="20"/>
        <v/>
      </c>
    </row>
    <row r="1011">
      <c r="B1011" s="19"/>
      <c r="C1011" s="29"/>
      <c r="D1011" s="29"/>
      <c r="E1011" s="7" t="str">
        <f>IF(ISBLANK(D1011), "", VLOOKUP(D1011,'Crafting Tables'!$A$2:$B1015, 2, false))</f>
        <v/>
      </c>
      <c r="F1011" s="7" t="str">
        <f>IFERROR(IF(E1011 = "None", 1, VLOOKUP(C1011,General!$A$5:$L$35, SWITCH(E1011, "Basic", 8, "Advanced", 10, "Modern", 12), false)),"")</f>
        <v/>
      </c>
      <c r="G1011" s="29"/>
      <c r="H1011" s="7">
        <f>IFERROR(VLOOKUP(C1011, General!$A$5:$L$35, 6, false) * G1011 / 1000, 0)</f>
        <v>0</v>
      </c>
      <c r="I1011" s="29"/>
      <c r="J1011" s="22" t="str">
        <f>IFERROR(I1011*VLOOKUP(D1011,'Crafting Tables'!$1:$1000, 4, false)*F1011,"")</f>
        <v/>
      </c>
      <c r="K1011" s="29" t="b">
        <v>0</v>
      </c>
      <c r="L1011" s="37"/>
      <c r="M1011" s="29"/>
      <c r="N1011" s="21" t="str">
        <f t="shared" si="2"/>
        <v/>
      </c>
      <c r="P1011" s="37"/>
      <c r="Q1011" s="29"/>
      <c r="R1011" s="29" t="b">
        <v>0</v>
      </c>
      <c r="S1011" s="22" t="str">
        <f t="shared" si="3"/>
        <v/>
      </c>
      <c r="T1011" s="7">
        <f>IF(ISBLANK(P1011), 0, VLOOKUP(P1011, 'Price Sheet'!$A$2:$B1015, 2, false))</f>
        <v>0</v>
      </c>
      <c r="U1011" s="33" t="str">
        <f t="shared" si="4"/>
        <v/>
      </c>
      <c r="V1011" s="37"/>
      <c r="W1011" s="29"/>
      <c r="X1011" s="29" t="b">
        <v>0</v>
      </c>
      <c r="Y1011" s="22" t="str">
        <f t="shared" si="5"/>
        <v/>
      </c>
      <c r="Z1011" s="7">
        <f>IF(ISBLANK(V1011), 0, VLOOKUP(V1011, 'Price Sheet'!$A$2:$B1015, 2, false))</f>
        <v>0</v>
      </c>
      <c r="AA1011" s="33" t="str">
        <f t="shared" si="6"/>
        <v/>
      </c>
      <c r="AB1011" s="37"/>
      <c r="AC1011" s="29"/>
      <c r="AD1011" s="29" t="b">
        <v>0</v>
      </c>
      <c r="AE1011" s="22" t="str">
        <f t="shared" si="7"/>
        <v/>
      </c>
      <c r="AF1011" s="7">
        <f>IF(ISBLANK(AB1011), 0, VLOOKUP(AB1011, 'Price Sheet'!$A$2:$B1015, 2, false))</f>
        <v>0</v>
      </c>
      <c r="AG1011" s="33" t="str">
        <f t="shared" si="8"/>
        <v/>
      </c>
      <c r="AH1011" s="37"/>
      <c r="AI1011" s="29"/>
      <c r="AJ1011" s="29" t="b">
        <v>0</v>
      </c>
      <c r="AK1011" s="22" t="str">
        <f t="shared" si="9"/>
        <v/>
      </c>
      <c r="AL1011" s="7">
        <f>IF(ISBLANK(AH1011), 0, VLOOKUP(AH1011, 'Price Sheet'!$A$2:$B1015, 2, false))</f>
        <v>0</v>
      </c>
      <c r="AM1011" s="33" t="str">
        <f t="shared" si="10"/>
        <v/>
      </c>
      <c r="AN1011" s="37"/>
      <c r="AO1011" s="29"/>
      <c r="AP1011" s="29" t="b">
        <v>0</v>
      </c>
      <c r="AQ1011" s="22" t="str">
        <f t="shared" si="11"/>
        <v/>
      </c>
      <c r="AR1011" s="7">
        <f>IF(ISBLANK(AN1011), 0, VLOOKUP(AN1011, 'Price Sheet'!$A$2:$B1015, 2, false))</f>
        <v>0</v>
      </c>
      <c r="AS1011" s="33" t="str">
        <f t="shared" si="12"/>
        <v/>
      </c>
      <c r="AT1011" s="37"/>
      <c r="AU1011" s="29"/>
      <c r="AV1011" s="29" t="b">
        <v>0</v>
      </c>
      <c r="AW1011" s="22" t="str">
        <f t="shared" si="13"/>
        <v/>
      </c>
      <c r="AX1011" s="7">
        <f>IF(ISBLANK(AT1011), 0, VLOOKUP(AT1011, 'Price Sheet'!$A$2:$B1015, 2, false))</f>
        <v>0</v>
      </c>
      <c r="AY1011" s="33" t="str">
        <f t="shared" si="14"/>
        <v/>
      </c>
      <c r="AZ1011" s="37"/>
      <c r="BA1011" s="29"/>
      <c r="BB1011" s="29" t="b">
        <v>0</v>
      </c>
      <c r="BC1011" s="22" t="str">
        <f t="shared" si="15"/>
        <v/>
      </c>
      <c r="BD1011" s="7">
        <f>IF(ISBLANK(AZ1011), 0, VLOOKUP(AZ1011, 'Price Sheet'!$A$2:$B1015, 2, false))</f>
        <v>0</v>
      </c>
      <c r="BE1011" s="33" t="str">
        <f t="shared" si="16"/>
        <v/>
      </c>
      <c r="BF1011" s="37"/>
      <c r="BG1011" s="29"/>
      <c r="BH1011" s="29" t="b">
        <v>0</v>
      </c>
      <c r="BI1011" s="22" t="str">
        <f t="shared" si="17"/>
        <v/>
      </c>
      <c r="BJ1011" s="7">
        <f>IF(ISBLANK(BF1011), 0, VLOOKUP(BF1011, 'Price Sheet'!$A$2:$B1015, 2, false))</f>
        <v>0</v>
      </c>
      <c r="BK1011" s="33" t="str">
        <f t="shared" si="18"/>
        <v/>
      </c>
      <c r="BL1011" s="37"/>
      <c r="BM1011" s="29"/>
      <c r="BN1011" s="29" t="b">
        <v>0</v>
      </c>
      <c r="BO1011" s="22" t="str">
        <f t="shared" si="19"/>
        <v/>
      </c>
      <c r="BP1011" s="7">
        <f>IF(ISBLANK(BL1011), 0, VLOOKUP(BL1011, 'Price Sheet'!$A$2:$B1015, 2, false))</f>
        <v>0</v>
      </c>
      <c r="BQ1011" s="33" t="str">
        <f t="shared" si="20"/>
        <v/>
      </c>
    </row>
    <row r="1012">
      <c r="B1012" s="19"/>
      <c r="C1012" s="29"/>
      <c r="D1012" s="29"/>
      <c r="E1012" s="7" t="str">
        <f>IF(ISBLANK(D1012), "", VLOOKUP(D1012,'Crafting Tables'!$A$2:$B1015, 2, false))</f>
        <v/>
      </c>
      <c r="F1012" s="7" t="str">
        <f>IFERROR(IF(E1012 = "None", 1, VLOOKUP(C1012,General!$A$5:$L$35, SWITCH(E1012, "Basic", 8, "Advanced", 10, "Modern", 12), false)),"")</f>
        <v/>
      </c>
      <c r="G1012" s="29"/>
      <c r="H1012" s="7">
        <f>IFERROR(VLOOKUP(C1012, General!$A$5:$L$35, 6, false) * G1012 / 1000, 0)</f>
        <v>0</v>
      </c>
      <c r="I1012" s="29"/>
      <c r="J1012" s="22" t="str">
        <f>IFERROR(I1012*VLOOKUP(D1012,'Crafting Tables'!$1:$1000, 4, false)*F1012,"")</f>
        <v/>
      </c>
      <c r="K1012" s="29" t="b">
        <v>0</v>
      </c>
      <c r="L1012" s="37"/>
      <c r="M1012" s="29"/>
      <c r="N1012" s="21" t="str">
        <f t="shared" si="2"/>
        <v/>
      </c>
      <c r="P1012" s="37"/>
      <c r="Q1012" s="29"/>
      <c r="R1012" s="29" t="b">
        <v>0</v>
      </c>
      <c r="S1012" s="22" t="str">
        <f t="shared" si="3"/>
        <v/>
      </c>
      <c r="T1012" s="7">
        <f>IF(ISBLANK(P1012), 0, VLOOKUP(P1012, 'Price Sheet'!$A$2:$B1015, 2, false))</f>
        <v>0</v>
      </c>
      <c r="U1012" s="33" t="str">
        <f t="shared" si="4"/>
        <v/>
      </c>
      <c r="V1012" s="37"/>
      <c r="W1012" s="29"/>
      <c r="X1012" s="29" t="b">
        <v>0</v>
      </c>
      <c r="Y1012" s="22" t="str">
        <f t="shared" si="5"/>
        <v/>
      </c>
      <c r="Z1012" s="7">
        <f>IF(ISBLANK(V1012), 0, VLOOKUP(V1012, 'Price Sheet'!$A$2:$B1015, 2, false))</f>
        <v>0</v>
      </c>
      <c r="AA1012" s="33" t="str">
        <f t="shared" si="6"/>
        <v/>
      </c>
      <c r="AB1012" s="37"/>
      <c r="AC1012" s="29"/>
      <c r="AD1012" s="29" t="b">
        <v>0</v>
      </c>
      <c r="AE1012" s="22" t="str">
        <f t="shared" si="7"/>
        <v/>
      </c>
      <c r="AF1012" s="7">
        <f>IF(ISBLANK(AB1012), 0, VLOOKUP(AB1012, 'Price Sheet'!$A$2:$B1015, 2, false))</f>
        <v>0</v>
      </c>
      <c r="AG1012" s="33" t="str">
        <f t="shared" si="8"/>
        <v/>
      </c>
      <c r="AH1012" s="37"/>
      <c r="AI1012" s="29"/>
      <c r="AJ1012" s="29" t="b">
        <v>0</v>
      </c>
      <c r="AK1012" s="22" t="str">
        <f t="shared" si="9"/>
        <v/>
      </c>
      <c r="AL1012" s="7">
        <f>IF(ISBLANK(AH1012), 0, VLOOKUP(AH1012, 'Price Sheet'!$A$2:$B1015, 2, false))</f>
        <v>0</v>
      </c>
      <c r="AM1012" s="33" t="str">
        <f t="shared" si="10"/>
        <v/>
      </c>
      <c r="AN1012" s="37"/>
      <c r="AO1012" s="29"/>
      <c r="AP1012" s="29" t="b">
        <v>0</v>
      </c>
      <c r="AQ1012" s="22" t="str">
        <f t="shared" si="11"/>
        <v/>
      </c>
      <c r="AR1012" s="7">
        <f>IF(ISBLANK(AN1012), 0, VLOOKUP(AN1012, 'Price Sheet'!$A$2:$B1015, 2, false))</f>
        <v>0</v>
      </c>
      <c r="AS1012" s="33" t="str">
        <f t="shared" si="12"/>
        <v/>
      </c>
      <c r="AT1012" s="37"/>
      <c r="AU1012" s="29"/>
      <c r="AV1012" s="29" t="b">
        <v>0</v>
      </c>
      <c r="AW1012" s="22" t="str">
        <f t="shared" si="13"/>
        <v/>
      </c>
      <c r="AX1012" s="7">
        <f>IF(ISBLANK(AT1012), 0, VLOOKUP(AT1012, 'Price Sheet'!$A$2:$B1015, 2, false))</f>
        <v>0</v>
      </c>
      <c r="AY1012" s="33" t="str">
        <f t="shared" si="14"/>
        <v/>
      </c>
      <c r="AZ1012" s="37"/>
      <c r="BA1012" s="29"/>
      <c r="BB1012" s="29" t="b">
        <v>0</v>
      </c>
      <c r="BC1012" s="22" t="str">
        <f t="shared" si="15"/>
        <v/>
      </c>
      <c r="BD1012" s="7">
        <f>IF(ISBLANK(AZ1012), 0, VLOOKUP(AZ1012, 'Price Sheet'!$A$2:$B1015, 2, false))</f>
        <v>0</v>
      </c>
      <c r="BE1012" s="33" t="str">
        <f t="shared" si="16"/>
        <v/>
      </c>
      <c r="BF1012" s="37"/>
      <c r="BG1012" s="29"/>
      <c r="BH1012" s="29" t="b">
        <v>0</v>
      </c>
      <c r="BI1012" s="22" t="str">
        <f t="shared" si="17"/>
        <v/>
      </c>
      <c r="BJ1012" s="7">
        <f>IF(ISBLANK(BF1012), 0, VLOOKUP(BF1012, 'Price Sheet'!$A$2:$B1015, 2, false))</f>
        <v>0</v>
      </c>
      <c r="BK1012" s="33" t="str">
        <f t="shared" si="18"/>
        <v/>
      </c>
      <c r="BL1012" s="37"/>
      <c r="BM1012" s="29"/>
      <c r="BN1012" s="29" t="b">
        <v>0</v>
      </c>
      <c r="BO1012" s="22" t="str">
        <f t="shared" si="19"/>
        <v/>
      </c>
      <c r="BP1012" s="7">
        <f>IF(ISBLANK(BL1012), 0, VLOOKUP(BL1012, 'Price Sheet'!$A$2:$B1015, 2, false))</f>
        <v>0</v>
      </c>
      <c r="BQ1012" s="33" t="str">
        <f t="shared" si="20"/>
        <v/>
      </c>
    </row>
    <row r="1013">
      <c r="B1013" s="19"/>
      <c r="C1013" s="29"/>
      <c r="D1013" s="29"/>
      <c r="E1013" s="7" t="str">
        <f>IF(ISBLANK(D1013), "", VLOOKUP(D1013,'Crafting Tables'!$A$2:$B1015, 2, false))</f>
        <v/>
      </c>
      <c r="F1013" s="7" t="str">
        <f>IFERROR(IF(E1013 = "None", 1, VLOOKUP(C1013,General!$A$5:$L$35, SWITCH(E1013, "Basic", 8, "Advanced", 10, "Modern", 12), false)),"")</f>
        <v/>
      </c>
      <c r="G1013" s="29"/>
      <c r="H1013" s="7">
        <f>IFERROR(VLOOKUP(C1013, General!$A$5:$L$35, 6, false) * G1013 / 1000, 0)</f>
        <v>0</v>
      </c>
      <c r="I1013" s="29"/>
      <c r="J1013" s="22" t="str">
        <f>IFERROR(I1013*VLOOKUP(D1013,'Crafting Tables'!$1:$1000, 4, false)*F1013,"")</f>
        <v/>
      </c>
      <c r="K1013" s="29" t="b">
        <v>0</v>
      </c>
      <c r="L1013" s="37"/>
      <c r="M1013" s="29"/>
      <c r="N1013" s="21" t="str">
        <f t="shared" si="2"/>
        <v/>
      </c>
      <c r="P1013" s="37"/>
      <c r="Q1013" s="29"/>
      <c r="R1013" s="29" t="b">
        <v>0</v>
      </c>
      <c r="S1013" s="22" t="str">
        <f t="shared" si="3"/>
        <v/>
      </c>
      <c r="T1013" s="7">
        <f>IF(ISBLANK(P1013), 0, VLOOKUP(P1013, 'Price Sheet'!$A$2:$B1015, 2, false))</f>
        <v>0</v>
      </c>
      <c r="U1013" s="33" t="str">
        <f t="shared" si="4"/>
        <v/>
      </c>
      <c r="V1013" s="37"/>
      <c r="W1013" s="29"/>
      <c r="X1013" s="29" t="b">
        <v>0</v>
      </c>
      <c r="Y1013" s="22" t="str">
        <f t="shared" si="5"/>
        <v/>
      </c>
      <c r="Z1013" s="7">
        <f>IF(ISBLANK(V1013), 0, VLOOKUP(V1013, 'Price Sheet'!$A$2:$B1015, 2, false))</f>
        <v>0</v>
      </c>
      <c r="AA1013" s="33" t="str">
        <f t="shared" si="6"/>
        <v/>
      </c>
      <c r="AB1013" s="37"/>
      <c r="AC1013" s="29"/>
      <c r="AD1013" s="29" t="b">
        <v>0</v>
      </c>
      <c r="AE1013" s="22" t="str">
        <f t="shared" si="7"/>
        <v/>
      </c>
      <c r="AF1013" s="7">
        <f>IF(ISBLANK(AB1013), 0, VLOOKUP(AB1013, 'Price Sheet'!$A$2:$B1015, 2, false))</f>
        <v>0</v>
      </c>
      <c r="AG1013" s="33" t="str">
        <f t="shared" si="8"/>
        <v/>
      </c>
      <c r="AH1013" s="37"/>
      <c r="AI1013" s="29"/>
      <c r="AJ1013" s="29" t="b">
        <v>0</v>
      </c>
      <c r="AK1013" s="22" t="str">
        <f t="shared" si="9"/>
        <v/>
      </c>
      <c r="AL1013" s="7">
        <f>IF(ISBLANK(AH1013), 0, VLOOKUP(AH1013, 'Price Sheet'!$A$2:$B1015, 2, false))</f>
        <v>0</v>
      </c>
      <c r="AM1013" s="33" t="str">
        <f t="shared" si="10"/>
        <v/>
      </c>
      <c r="AN1013" s="37"/>
      <c r="AO1013" s="29"/>
      <c r="AP1013" s="29" t="b">
        <v>0</v>
      </c>
      <c r="AQ1013" s="22" t="str">
        <f t="shared" si="11"/>
        <v/>
      </c>
      <c r="AR1013" s="7">
        <f>IF(ISBLANK(AN1013), 0, VLOOKUP(AN1013, 'Price Sheet'!$A$2:$B1015, 2, false))</f>
        <v>0</v>
      </c>
      <c r="AS1013" s="33" t="str">
        <f t="shared" si="12"/>
        <v/>
      </c>
      <c r="AT1013" s="37"/>
      <c r="AU1013" s="29"/>
      <c r="AV1013" s="29" t="b">
        <v>0</v>
      </c>
      <c r="AW1013" s="22" t="str">
        <f t="shared" si="13"/>
        <v/>
      </c>
      <c r="AX1013" s="7">
        <f>IF(ISBLANK(AT1013), 0, VLOOKUP(AT1013, 'Price Sheet'!$A$2:$B1015, 2, false))</f>
        <v>0</v>
      </c>
      <c r="AY1013" s="33" t="str">
        <f t="shared" si="14"/>
        <v/>
      </c>
      <c r="AZ1013" s="37"/>
      <c r="BA1013" s="29"/>
      <c r="BB1013" s="29" t="b">
        <v>0</v>
      </c>
      <c r="BC1013" s="22" t="str">
        <f t="shared" si="15"/>
        <v/>
      </c>
      <c r="BD1013" s="7">
        <f>IF(ISBLANK(AZ1013), 0, VLOOKUP(AZ1013, 'Price Sheet'!$A$2:$B1015, 2, false))</f>
        <v>0</v>
      </c>
      <c r="BE1013" s="33" t="str">
        <f t="shared" si="16"/>
        <v/>
      </c>
      <c r="BF1013" s="37"/>
      <c r="BG1013" s="29"/>
      <c r="BH1013" s="29" t="b">
        <v>0</v>
      </c>
      <c r="BI1013" s="22" t="str">
        <f t="shared" si="17"/>
        <v/>
      </c>
      <c r="BJ1013" s="7">
        <f>IF(ISBLANK(BF1013), 0, VLOOKUP(BF1013, 'Price Sheet'!$A$2:$B1015, 2, false))</f>
        <v>0</v>
      </c>
      <c r="BK1013" s="33" t="str">
        <f t="shared" si="18"/>
        <v/>
      </c>
      <c r="BL1013" s="37"/>
      <c r="BM1013" s="29"/>
      <c r="BN1013" s="29" t="b">
        <v>0</v>
      </c>
      <c r="BO1013" s="22" t="str">
        <f t="shared" si="19"/>
        <v/>
      </c>
      <c r="BP1013" s="7">
        <f>IF(ISBLANK(BL1013), 0, VLOOKUP(BL1013, 'Price Sheet'!$A$2:$B1015, 2, false))</f>
        <v>0</v>
      </c>
      <c r="BQ1013" s="33" t="str">
        <f t="shared" si="20"/>
        <v/>
      </c>
    </row>
    <row r="1014">
      <c r="B1014" s="19"/>
      <c r="C1014" s="29"/>
      <c r="D1014" s="29"/>
      <c r="E1014" s="7" t="str">
        <f>IF(ISBLANK(D1014), "", VLOOKUP(D1014,'Crafting Tables'!$A$2:$B1015, 2, false))</f>
        <v/>
      </c>
      <c r="F1014" s="7" t="str">
        <f>IFERROR(IF(E1014 = "None", 1, VLOOKUP(C1014,General!$A$5:$L$35, SWITCH(E1014, "Basic", 8, "Advanced", 10, "Modern", 12), false)),"")</f>
        <v/>
      </c>
      <c r="G1014" s="29"/>
      <c r="H1014" s="7">
        <f>IFERROR(VLOOKUP(C1014, General!$A$5:$L$35, 6, false) * G1014 / 1000, 0)</f>
        <v>0</v>
      </c>
      <c r="I1014" s="29"/>
      <c r="J1014" s="22" t="str">
        <f>IFERROR(I1014*VLOOKUP(D1014,'Crafting Tables'!$1:$1000, 4, false)*F1014,"")</f>
        <v/>
      </c>
      <c r="K1014" s="29" t="b">
        <v>0</v>
      </c>
      <c r="L1014" s="37"/>
      <c r="M1014" s="29"/>
      <c r="N1014" s="21" t="str">
        <f t="shared" si="2"/>
        <v/>
      </c>
      <c r="P1014" s="37"/>
      <c r="Q1014" s="29"/>
      <c r="R1014" s="29" t="b">
        <v>0</v>
      </c>
      <c r="S1014" s="22" t="str">
        <f t="shared" si="3"/>
        <v/>
      </c>
      <c r="T1014" s="7">
        <f>IF(ISBLANK(P1014), 0, VLOOKUP(P1014, 'Price Sheet'!$A$2:$B1015, 2, false))</f>
        <v>0</v>
      </c>
      <c r="U1014" s="33" t="str">
        <f t="shared" si="4"/>
        <v/>
      </c>
      <c r="V1014" s="37"/>
      <c r="W1014" s="29"/>
      <c r="X1014" s="29" t="b">
        <v>0</v>
      </c>
      <c r="Y1014" s="22" t="str">
        <f t="shared" si="5"/>
        <v/>
      </c>
      <c r="Z1014" s="7">
        <f>IF(ISBLANK(V1014), 0, VLOOKUP(V1014, 'Price Sheet'!$A$2:$B1015, 2, false))</f>
        <v>0</v>
      </c>
      <c r="AA1014" s="33" t="str">
        <f t="shared" si="6"/>
        <v/>
      </c>
      <c r="AB1014" s="37"/>
      <c r="AC1014" s="29"/>
      <c r="AD1014" s="29" t="b">
        <v>0</v>
      </c>
      <c r="AE1014" s="22" t="str">
        <f t="shared" si="7"/>
        <v/>
      </c>
      <c r="AF1014" s="7">
        <f>IF(ISBLANK(AB1014), 0, VLOOKUP(AB1014, 'Price Sheet'!$A$2:$B1015, 2, false))</f>
        <v>0</v>
      </c>
      <c r="AG1014" s="33" t="str">
        <f t="shared" si="8"/>
        <v/>
      </c>
      <c r="AH1014" s="37"/>
      <c r="AI1014" s="29"/>
      <c r="AJ1014" s="29" t="b">
        <v>0</v>
      </c>
      <c r="AK1014" s="22" t="str">
        <f t="shared" si="9"/>
        <v/>
      </c>
      <c r="AL1014" s="7">
        <f>IF(ISBLANK(AH1014), 0, VLOOKUP(AH1014, 'Price Sheet'!$A$2:$B1015, 2, false))</f>
        <v>0</v>
      </c>
      <c r="AM1014" s="33" t="str">
        <f t="shared" si="10"/>
        <v/>
      </c>
      <c r="AN1014" s="37"/>
      <c r="AO1014" s="29"/>
      <c r="AP1014" s="29" t="b">
        <v>0</v>
      </c>
      <c r="AQ1014" s="22" t="str">
        <f t="shared" si="11"/>
        <v/>
      </c>
      <c r="AR1014" s="7">
        <f>IF(ISBLANK(AN1014), 0, VLOOKUP(AN1014, 'Price Sheet'!$A$2:$B1015, 2, false))</f>
        <v>0</v>
      </c>
      <c r="AS1014" s="33" t="str">
        <f t="shared" si="12"/>
        <v/>
      </c>
      <c r="AT1014" s="37"/>
      <c r="AU1014" s="29"/>
      <c r="AV1014" s="29" t="b">
        <v>0</v>
      </c>
      <c r="AW1014" s="22" t="str">
        <f t="shared" si="13"/>
        <v/>
      </c>
      <c r="AX1014" s="7">
        <f>IF(ISBLANK(AT1014), 0, VLOOKUP(AT1014, 'Price Sheet'!$A$2:$B1015, 2, false))</f>
        <v>0</v>
      </c>
      <c r="AY1014" s="33" t="str">
        <f t="shared" si="14"/>
        <v/>
      </c>
      <c r="AZ1014" s="37"/>
      <c r="BA1014" s="29"/>
      <c r="BB1014" s="29" t="b">
        <v>0</v>
      </c>
      <c r="BC1014" s="22" t="str">
        <f t="shared" si="15"/>
        <v/>
      </c>
      <c r="BD1014" s="7">
        <f>IF(ISBLANK(AZ1014), 0, VLOOKUP(AZ1014, 'Price Sheet'!$A$2:$B1015, 2, false))</f>
        <v>0</v>
      </c>
      <c r="BE1014" s="33" t="str">
        <f t="shared" si="16"/>
        <v/>
      </c>
      <c r="BF1014" s="37"/>
      <c r="BG1014" s="29"/>
      <c r="BH1014" s="29" t="b">
        <v>0</v>
      </c>
      <c r="BI1014" s="22" t="str">
        <f t="shared" si="17"/>
        <v/>
      </c>
      <c r="BJ1014" s="7">
        <f>IF(ISBLANK(BF1014), 0, VLOOKUP(BF1014, 'Price Sheet'!$A$2:$B1015, 2, false))</f>
        <v>0</v>
      </c>
      <c r="BK1014" s="33" t="str">
        <f t="shared" si="18"/>
        <v/>
      </c>
      <c r="BL1014" s="37"/>
      <c r="BM1014" s="29"/>
      <c r="BN1014" s="29" t="b">
        <v>0</v>
      </c>
      <c r="BO1014" s="22" t="str">
        <f t="shared" si="19"/>
        <v/>
      </c>
      <c r="BP1014" s="7">
        <f>IF(ISBLANK(BL1014), 0, VLOOKUP(BL1014, 'Price Sheet'!$A$2:$B1015, 2, false))</f>
        <v>0</v>
      </c>
      <c r="BQ1014" s="33" t="str">
        <f t="shared" si="20"/>
        <v/>
      </c>
    </row>
    <row r="1015">
      <c r="B1015" s="19"/>
      <c r="C1015" s="29"/>
      <c r="D1015" s="29"/>
      <c r="E1015" s="7" t="str">
        <f>IF(ISBLANK(D1015), "", VLOOKUP(D1015,'Crafting Tables'!$A$2:$B1015, 2, false))</f>
        <v/>
      </c>
      <c r="F1015" s="7" t="str">
        <f>IFERROR(IF(E1015 = "None", 1, VLOOKUP(C1015,General!$A$5:$L$35, SWITCH(E1015, "Basic", 8, "Advanced", 10, "Modern", 12), false)),"")</f>
        <v/>
      </c>
      <c r="G1015" s="29"/>
      <c r="H1015" s="7">
        <f>IFERROR(VLOOKUP(C1015, General!$A$5:$L$35, 6, false) * G1015 / 1000, 0)</f>
        <v>0</v>
      </c>
      <c r="I1015" s="29"/>
      <c r="J1015" s="22" t="str">
        <f>IFERROR(I1015*VLOOKUP(D1015,'Crafting Tables'!$1:$1000, 4, false)*F1015,"")</f>
        <v/>
      </c>
      <c r="K1015" s="29" t="b">
        <v>0</v>
      </c>
      <c r="L1015" s="37"/>
      <c r="M1015" s="29"/>
      <c r="N1015" s="21" t="str">
        <f t="shared" si="2"/>
        <v/>
      </c>
      <c r="P1015" s="37"/>
      <c r="Q1015" s="29"/>
      <c r="R1015" s="29" t="b">
        <v>0</v>
      </c>
      <c r="S1015" s="22" t="str">
        <f t="shared" si="3"/>
        <v/>
      </c>
      <c r="T1015" s="7">
        <f>IF(ISBLANK(P1015), 0, VLOOKUP(P1015, 'Price Sheet'!$A$2:$B1015, 2, false))</f>
        <v>0</v>
      </c>
      <c r="U1015" s="33" t="str">
        <f t="shared" si="4"/>
        <v/>
      </c>
      <c r="V1015" s="37"/>
      <c r="W1015" s="29"/>
      <c r="X1015" s="29" t="b">
        <v>0</v>
      </c>
      <c r="Y1015" s="22" t="str">
        <f t="shared" si="5"/>
        <v/>
      </c>
      <c r="Z1015" s="7">
        <f>IF(ISBLANK(V1015), 0, VLOOKUP(V1015, 'Price Sheet'!$A$2:$B1015, 2, false))</f>
        <v>0</v>
      </c>
      <c r="AA1015" s="33" t="str">
        <f t="shared" si="6"/>
        <v/>
      </c>
      <c r="AB1015" s="37"/>
      <c r="AC1015" s="29"/>
      <c r="AD1015" s="29" t="b">
        <v>0</v>
      </c>
      <c r="AE1015" s="22" t="str">
        <f t="shared" si="7"/>
        <v/>
      </c>
      <c r="AF1015" s="7">
        <f>IF(ISBLANK(AB1015), 0, VLOOKUP(AB1015, 'Price Sheet'!$A$2:$B1015, 2, false))</f>
        <v>0</v>
      </c>
      <c r="AG1015" s="33" t="str">
        <f t="shared" si="8"/>
        <v/>
      </c>
      <c r="AH1015" s="37"/>
      <c r="AI1015" s="29"/>
      <c r="AJ1015" s="29" t="b">
        <v>0</v>
      </c>
      <c r="AK1015" s="22" t="str">
        <f t="shared" si="9"/>
        <v/>
      </c>
      <c r="AL1015" s="7">
        <f>IF(ISBLANK(AH1015), 0, VLOOKUP(AH1015, 'Price Sheet'!$A$2:$B1015, 2, false))</f>
        <v>0</v>
      </c>
      <c r="AM1015" s="33" t="str">
        <f t="shared" si="10"/>
        <v/>
      </c>
      <c r="AN1015" s="37"/>
      <c r="AO1015" s="29"/>
      <c r="AP1015" s="29" t="b">
        <v>0</v>
      </c>
      <c r="AQ1015" s="22" t="str">
        <f t="shared" si="11"/>
        <v/>
      </c>
      <c r="AR1015" s="7">
        <f>IF(ISBLANK(AN1015), 0, VLOOKUP(AN1015, 'Price Sheet'!$A$2:$B1015, 2, false))</f>
        <v>0</v>
      </c>
      <c r="AS1015" s="33" t="str">
        <f t="shared" si="12"/>
        <v/>
      </c>
      <c r="AT1015" s="37"/>
      <c r="AU1015" s="29"/>
      <c r="AV1015" s="29" t="b">
        <v>0</v>
      </c>
      <c r="AW1015" s="22" t="str">
        <f t="shared" si="13"/>
        <v/>
      </c>
      <c r="AX1015" s="7">
        <f>IF(ISBLANK(AT1015), 0, VLOOKUP(AT1015, 'Price Sheet'!$A$2:$B1015, 2, false))</f>
        <v>0</v>
      </c>
      <c r="AY1015" s="33" t="str">
        <f t="shared" si="14"/>
        <v/>
      </c>
      <c r="AZ1015" s="37"/>
      <c r="BA1015" s="29"/>
      <c r="BB1015" s="29" t="b">
        <v>0</v>
      </c>
      <c r="BC1015" s="22" t="str">
        <f t="shared" si="15"/>
        <v/>
      </c>
      <c r="BD1015" s="7">
        <f>IF(ISBLANK(AZ1015), 0, VLOOKUP(AZ1015, 'Price Sheet'!$A$2:$B1015, 2, false))</f>
        <v>0</v>
      </c>
      <c r="BE1015" s="33" t="str">
        <f t="shared" si="16"/>
        <v/>
      </c>
      <c r="BF1015" s="37"/>
      <c r="BG1015" s="29"/>
      <c r="BH1015" s="29" t="b">
        <v>0</v>
      </c>
      <c r="BI1015" s="22" t="str">
        <f t="shared" si="17"/>
        <v/>
      </c>
      <c r="BJ1015" s="7">
        <f>IF(ISBLANK(BF1015), 0, VLOOKUP(BF1015, 'Price Sheet'!$A$2:$B1015, 2, false))</f>
        <v>0</v>
      </c>
      <c r="BK1015" s="33" t="str">
        <f t="shared" si="18"/>
        <v/>
      </c>
      <c r="BL1015" s="37"/>
      <c r="BM1015" s="29"/>
      <c r="BN1015" s="29" t="b">
        <v>0</v>
      </c>
      <c r="BO1015" s="22" t="str">
        <f t="shared" si="19"/>
        <v/>
      </c>
      <c r="BP1015" s="7">
        <f>IF(ISBLANK(BL1015), 0, VLOOKUP(BL1015, 'Price Sheet'!$A$2:$B1015, 2, false))</f>
        <v>0</v>
      </c>
      <c r="BQ1015" s="33" t="str">
        <f t="shared" si="20"/>
        <v/>
      </c>
    </row>
  </sheetData>
  <mergeCells count="10">
    <mergeCell ref="AZ1:BE1"/>
    <mergeCell ref="BF1:BK1"/>
    <mergeCell ref="BL1:BQ1"/>
    <mergeCell ref="L1:N1"/>
    <mergeCell ref="P1:U1"/>
    <mergeCell ref="V1:AA1"/>
    <mergeCell ref="AB1:AG1"/>
    <mergeCell ref="AH1:AM1"/>
    <mergeCell ref="AN1:AS1"/>
    <mergeCell ref="AT1:AY1"/>
  </mergeCells>
  <dataValidations>
    <dataValidation type="list" allowBlank="1" showErrorMessage="1" sqref="C3:C1015">
      <formula1>General!$A$5:$A$35</formula1>
    </dataValidation>
    <dataValidation type="list" allowBlank="1" showErrorMessage="1" sqref="D3:D1015">
      <formula1>'Crafting Tables'!$A$2:$A$1000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11.25"/>
    <col customWidth="1" min="3" max="3" width="9.5"/>
    <col customWidth="1" min="6" max="6" width="12.75"/>
    <col customWidth="1" min="7" max="7" width="55.13"/>
  </cols>
  <sheetData>
    <row r="1">
      <c r="A1" s="7" t="s">
        <v>2</v>
      </c>
      <c r="B1" s="7" t="s">
        <v>15</v>
      </c>
      <c r="C1" s="7" t="s">
        <v>17</v>
      </c>
      <c r="D1" s="7" t="s">
        <v>18</v>
      </c>
      <c r="E1" s="7" t="s">
        <v>19</v>
      </c>
      <c r="F1" s="7" t="s">
        <v>21</v>
      </c>
    </row>
    <row r="2">
      <c r="A2" s="7" t="s">
        <v>23</v>
      </c>
      <c r="B2" s="19">
        <f t="shared" ref="B2:B30" si="1">IF(C2, D2, E2)</f>
        <v>0.5</v>
      </c>
      <c r="C2" s="20" t="b">
        <v>1</v>
      </c>
      <c r="D2" s="20">
        <v>0.5</v>
      </c>
      <c r="E2" s="22">
        <f>IFERROR(__xludf.DUMMYFUNCTION("IFERROR(MIN(QUERY(FILTER(Recipes!$K$4:$N1003, Recipes!$L$4:$L1003 = A2, Recipes!$K$4:$K1003=TRUE), ""select Col4"")), -1)"),-1.0)</f>
        <v>-1</v>
      </c>
      <c r="F2" s="7" t="s">
        <v>39</v>
      </c>
    </row>
    <row r="3">
      <c r="A3" s="7" t="s">
        <v>40</v>
      </c>
      <c r="B3" s="19">
        <f t="shared" si="1"/>
        <v>0.1</v>
      </c>
      <c r="C3" s="20" t="b">
        <v>1</v>
      </c>
      <c r="D3" s="20">
        <v>0.1</v>
      </c>
      <c r="E3" s="7">
        <v>-1.0</v>
      </c>
      <c r="F3" s="7" t="s">
        <v>39</v>
      </c>
    </row>
    <row r="4">
      <c r="A4" s="7" t="s">
        <v>42</v>
      </c>
      <c r="B4" s="19">
        <f t="shared" si="1"/>
        <v>0.1</v>
      </c>
      <c r="C4" s="20" t="b">
        <v>1</v>
      </c>
      <c r="D4" s="20">
        <v>0.1</v>
      </c>
      <c r="E4" s="7">
        <v>-1.0</v>
      </c>
      <c r="F4" s="7" t="s">
        <v>39</v>
      </c>
    </row>
    <row r="5">
      <c r="A5" s="25" t="s">
        <v>49</v>
      </c>
      <c r="B5" s="19">
        <f t="shared" si="1"/>
        <v>0.1</v>
      </c>
      <c r="C5" s="20" t="b">
        <v>1</v>
      </c>
      <c r="D5" s="20">
        <v>0.1</v>
      </c>
      <c r="E5" s="7">
        <v>-1.0</v>
      </c>
      <c r="F5" s="7" t="s">
        <v>39</v>
      </c>
    </row>
    <row r="6">
      <c r="A6" s="7" t="s">
        <v>67</v>
      </c>
      <c r="B6" s="19">
        <f t="shared" si="1"/>
        <v>0.5</v>
      </c>
      <c r="C6" s="20" t="b">
        <v>1</v>
      </c>
      <c r="D6" s="20">
        <v>0.5</v>
      </c>
      <c r="E6" s="22">
        <f>IFERROR(__xludf.DUMMYFUNCTION("IFERROR(MIN(QUERY(FILTER(Recipes!$K$4:$N1003, Recipes!$L$4:$L1003 = A6, Recipes!$K$4:$K1003=TRUE), ""select Col4"")), -1)"),-1.0)</f>
        <v>-1</v>
      </c>
    </row>
    <row r="7">
      <c r="A7" s="7" t="s">
        <v>75</v>
      </c>
      <c r="B7" s="19">
        <f t="shared" si="1"/>
        <v>0.25</v>
      </c>
      <c r="C7" s="20" t="b">
        <v>1</v>
      </c>
      <c r="D7" s="20">
        <v>0.25</v>
      </c>
      <c r="E7" s="22">
        <f>IFERROR(__xludf.DUMMYFUNCTION("IFERROR(MIN(QUERY(FILTER(Recipes!$K$4:$N1003, Recipes!$L$4:$L1003 = A7, Recipes!$K$4:$K1003=TRUE), ""select Col4"")), -1)"),-1.0)</f>
        <v>-1</v>
      </c>
    </row>
    <row r="8">
      <c r="A8" s="7" t="s">
        <v>79</v>
      </c>
      <c r="B8" s="19">
        <f t="shared" si="1"/>
        <v>0.5</v>
      </c>
      <c r="C8" s="20" t="b">
        <v>1</v>
      </c>
      <c r="D8" s="20">
        <v>0.5</v>
      </c>
      <c r="E8" s="22">
        <f>IFERROR(__xludf.DUMMYFUNCTION("IFERROR(MIN(QUERY(FILTER(Recipes!$K$4:$N1003, Recipes!$L$4:$L1003 = A8, Recipes!$K$4:$K1003=TRUE), ""select Col4"")), -1)"),-1.0)</f>
        <v>-1</v>
      </c>
    </row>
    <row r="9">
      <c r="A9" s="7" t="s">
        <v>81</v>
      </c>
      <c r="B9" s="19">
        <f t="shared" si="1"/>
        <v>0.8</v>
      </c>
      <c r="C9" s="20" t="b">
        <v>1</v>
      </c>
      <c r="D9" s="20">
        <v>0.8</v>
      </c>
      <c r="E9" s="22">
        <f>IFERROR(__xludf.DUMMYFUNCTION("IFERROR(MIN(QUERY(FILTER(Recipes!$K$4:$N1003, Recipes!$L$4:$L1003 = A9, Recipes!$K$4:$K1003=TRUE), ""select Col4"")), -1)"),1.4978125000000002)</f>
        <v>1.4978125</v>
      </c>
      <c r="F9" s="7" t="s">
        <v>82</v>
      </c>
    </row>
    <row r="10">
      <c r="A10" s="7" t="s">
        <v>32</v>
      </c>
      <c r="B10" s="19">
        <f t="shared" si="1"/>
        <v>69</v>
      </c>
      <c r="C10" s="20" t="b">
        <v>0</v>
      </c>
      <c r="D10" s="30"/>
      <c r="E10" s="22">
        <f>IFERROR(__xludf.DUMMYFUNCTION("IFERROR(MIN(QUERY(FILTER(Recipes!$K$4:$N1003, Recipes!$L$4:$L1003 = A10, Recipes!$K$4:$K1003=TRUE), ""select Col4"")), -1)"),69.0)</f>
        <v>69</v>
      </c>
      <c r="F10" s="7" t="s">
        <v>82</v>
      </c>
    </row>
    <row r="11">
      <c r="A11" s="7" t="s">
        <v>83</v>
      </c>
      <c r="B11" s="19">
        <f t="shared" si="1"/>
        <v>0.45</v>
      </c>
      <c r="C11" s="20" t="b">
        <v>1</v>
      </c>
      <c r="D11" s="20">
        <v>0.45</v>
      </c>
      <c r="E11" s="22">
        <f>IFERROR(__xludf.DUMMYFUNCTION("IFERROR(MIN(QUERY(FILTER(Recipes!$K$4:$N1003, Recipes!$L$4:$L1003 = A11, Recipes!$K$4:$K1003=TRUE), ""select Col4"")), -1)"),0.6)</f>
        <v>0.6</v>
      </c>
      <c r="F11" s="7" t="s">
        <v>82</v>
      </c>
    </row>
    <row r="12">
      <c r="A12" s="7" t="s">
        <v>84</v>
      </c>
      <c r="B12" s="19">
        <f t="shared" si="1"/>
        <v>21.35</v>
      </c>
      <c r="C12" s="30" t="b">
        <v>0</v>
      </c>
      <c r="D12" s="30"/>
      <c r="E12" s="22">
        <f>IFERROR(__xludf.DUMMYFUNCTION("IFERROR(MIN(QUERY(FILTER(Recipes!$K$4:$N1003, Recipes!$L$4:$L1003 = A12, Recipes!$K$4:$K1003=TRUE), ""select Col4"")), -1)"),21.349999999999998)</f>
        <v>21.35</v>
      </c>
      <c r="G12" s="7">
        <f>IFERROR(__xludf.DUMMYFUNCTION("QUERY(FILTER(Recipes!$K$4:$N1003, Recipes!$L$4:$L1003 = A12, Recipes!$K$4:$K1003=TRUE), ""select Col4"")"),21.349999999999998)</f>
        <v>21.35</v>
      </c>
    </row>
    <row r="13">
      <c r="A13" s="7" t="s">
        <v>87</v>
      </c>
      <c r="B13" s="19">
        <f t="shared" si="1"/>
        <v>21.35</v>
      </c>
      <c r="C13" s="30" t="b">
        <v>0</v>
      </c>
      <c r="D13" s="30"/>
      <c r="E13" s="22">
        <f>IFERROR(__xludf.DUMMYFUNCTION("IFERROR(MIN(QUERY(FILTER(Recipes!$K$4:$N1003, Recipes!$L$4:$L1003 = A13, Recipes!$K$4:$K1003=TRUE), ""select Col4"")), -1)"),21.349999999999998)</f>
        <v>21.35</v>
      </c>
    </row>
    <row r="14">
      <c r="A14" s="7" t="s">
        <v>88</v>
      </c>
      <c r="B14" s="19">
        <f t="shared" si="1"/>
        <v>11.805</v>
      </c>
      <c r="C14" s="30" t="b">
        <v>0</v>
      </c>
      <c r="D14" s="30"/>
      <c r="E14" s="22">
        <f>IFERROR(__xludf.DUMMYFUNCTION("IFERROR(MIN(QUERY(FILTER(Recipes!$K$4:$N1003, Recipes!$L$4:$L1003 = A14, Recipes!$K$4:$K1003=TRUE), ""select Col4"")), -1)"),11.805)</f>
        <v>11.805</v>
      </c>
    </row>
    <row r="15">
      <c r="A15" s="7" t="s">
        <v>90</v>
      </c>
      <c r="B15" s="19">
        <f t="shared" si="1"/>
        <v>10.65</v>
      </c>
      <c r="C15" s="30" t="b">
        <v>0</v>
      </c>
      <c r="D15" s="30"/>
      <c r="E15" s="22">
        <f>IFERROR(__xludf.DUMMYFUNCTION("IFERROR(MIN(QUERY(FILTER(Recipes!$K$4:$N1003, Recipes!$L$4:$L1003 = A15, Recipes!$K$4:$K1003=TRUE), ""select Col4"")), -1)"),10.650000000000002)</f>
        <v>10.65</v>
      </c>
    </row>
    <row r="16">
      <c r="A16" s="7" t="s">
        <v>91</v>
      </c>
      <c r="B16" s="19">
        <f t="shared" si="1"/>
        <v>3.28</v>
      </c>
      <c r="C16" s="30" t="b">
        <v>0</v>
      </c>
      <c r="D16" s="30"/>
      <c r="E16" s="22">
        <f>IFERROR(__xludf.DUMMYFUNCTION("IFERROR(MIN(QUERY(FILTER(Recipes!$K$4:$N1003, Recipes!$L$4:$L1003 = A16, Recipes!$K$4:$K1003=TRUE), ""select Col4"")), -1)"),3.2800000000000002)</f>
        <v>3.28</v>
      </c>
    </row>
    <row r="17">
      <c r="A17" s="7" t="s">
        <v>92</v>
      </c>
      <c r="B17" s="19">
        <f t="shared" si="1"/>
        <v>11.805</v>
      </c>
      <c r="C17" s="30" t="b">
        <v>0</v>
      </c>
      <c r="D17" s="30"/>
      <c r="E17" s="22">
        <f>IFERROR(__xludf.DUMMYFUNCTION("IFERROR(MIN(QUERY(FILTER(Recipes!$K$4:$N1003, Recipes!$L$4:$L1003 = A17, Recipes!$K$4:$K1003=TRUE), ""select Col4"")), -1)"),11.805)</f>
        <v>11.805</v>
      </c>
    </row>
    <row r="18">
      <c r="A18" s="7" t="s">
        <v>94</v>
      </c>
      <c r="B18" s="19">
        <f t="shared" si="1"/>
        <v>10.485</v>
      </c>
      <c r="C18" s="30" t="b">
        <v>0</v>
      </c>
      <c r="D18" s="30"/>
      <c r="E18" s="22">
        <f>IFERROR(__xludf.DUMMYFUNCTION("IFERROR(MIN(QUERY(FILTER(Recipes!$K$4:$N1003, Recipes!$L$4:$L1003 = A18, Recipes!$K$4:$K1003=TRUE), ""select Col4"")), -1)"),10.485)</f>
        <v>10.485</v>
      </c>
    </row>
    <row r="19">
      <c r="A19" s="7" t="s">
        <v>95</v>
      </c>
      <c r="B19" s="19">
        <f t="shared" si="1"/>
        <v>0.2</v>
      </c>
      <c r="C19" s="20" t="b">
        <v>1</v>
      </c>
      <c r="D19" s="20">
        <v>0.2</v>
      </c>
      <c r="E19" s="22">
        <f>IFERROR(__xludf.DUMMYFUNCTION("IFERROR(MIN(QUERY(FILTER(Recipes!$K$4:$N1003, Recipes!$L$4:$L1003 = A19, Recipes!$K$4:$K1003=TRUE), ""select Col4"")), -1)"),-1.0)</f>
        <v>-1</v>
      </c>
    </row>
    <row r="20">
      <c r="A20" s="7" t="s">
        <v>96</v>
      </c>
      <c r="B20" s="19">
        <f t="shared" si="1"/>
        <v>1</v>
      </c>
      <c r="C20" s="20" t="b">
        <v>1</v>
      </c>
      <c r="D20" s="20">
        <v>1.0</v>
      </c>
      <c r="E20" s="22">
        <f>IFERROR(__xludf.DUMMYFUNCTION("IFERROR(MIN(QUERY(FILTER(Recipes!$K$4:$N1003, Recipes!$L$4:$L1003 = A20, Recipes!$K$4:$K1003=TRUE), ""select Col4"")), -1)"),1.75)</f>
        <v>1.75</v>
      </c>
    </row>
    <row r="21">
      <c r="A21" s="7" t="s">
        <v>97</v>
      </c>
      <c r="B21" s="19">
        <f t="shared" si="1"/>
        <v>4.6</v>
      </c>
      <c r="C21" s="30" t="b">
        <v>0</v>
      </c>
      <c r="D21" s="30"/>
      <c r="E21" s="22">
        <f>IFERROR(__xludf.DUMMYFUNCTION("IFERROR(MIN(QUERY(FILTER(Recipes!$K$4:$N1003, Recipes!$L$4:$L1003 = A21, Recipes!$K$4:$K1003=TRUE), ""select Col4"")), -1)"),4.6)</f>
        <v>4.6</v>
      </c>
    </row>
    <row r="22">
      <c r="A22" s="7" t="s">
        <v>99</v>
      </c>
      <c r="B22" s="19">
        <f t="shared" si="1"/>
        <v>4.16</v>
      </c>
      <c r="C22" s="30" t="b">
        <v>0</v>
      </c>
      <c r="D22" s="30"/>
      <c r="E22" s="22">
        <f>IFERROR(__xludf.DUMMYFUNCTION("IFERROR(MIN(QUERY(FILTER(Recipes!$K$4:$N1003, Recipes!$L$4:$L1003 = A22, Recipes!$K$4:$K1003=TRUE), ""select Col4"")), -1)"),4.16)</f>
        <v>4.16</v>
      </c>
    </row>
    <row r="23">
      <c r="A23" s="7" t="s">
        <v>100</v>
      </c>
      <c r="B23" s="19">
        <f t="shared" si="1"/>
        <v>20.78</v>
      </c>
      <c r="C23" s="30" t="b">
        <v>0</v>
      </c>
      <c r="D23" s="30"/>
      <c r="E23" s="22">
        <f>IFERROR(__xludf.DUMMYFUNCTION("IFERROR(MIN(QUERY(FILTER(Recipes!$K$4:$N1003, Recipes!$L$4:$L1003 = A23, Recipes!$K$4:$K1003=TRUE), ""select Col4"")), -1)"),20.78)</f>
        <v>20.78</v>
      </c>
    </row>
    <row r="24">
      <c r="A24" s="7" t="s">
        <v>101</v>
      </c>
      <c r="B24" s="19">
        <f t="shared" si="1"/>
        <v>10.52</v>
      </c>
      <c r="C24" s="30" t="b">
        <v>0</v>
      </c>
      <c r="D24" s="30"/>
      <c r="E24" s="22">
        <f>IFERROR(__xludf.DUMMYFUNCTION("IFERROR(MIN(QUERY(FILTER(Recipes!$K$4:$N1003, Recipes!$L$4:$L1003 = A24, Recipes!$K$4:$K1003=TRUE), ""select Col4"")), -1)"),10.52)</f>
        <v>10.52</v>
      </c>
    </row>
    <row r="25">
      <c r="A25" s="7" t="s">
        <v>102</v>
      </c>
      <c r="B25" s="19">
        <f t="shared" si="1"/>
        <v>5</v>
      </c>
      <c r="C25" s="20" t="b">
        <v>1</v>
      </c>
      <c r="D25" s="20">
        <v>5.0</v>
      </c>
      <c r="E25" s="22">
        <f>IFERROR(__xludf.DUMMYFUNCTION("IFERROR(MIN(QUERY(FILTER(Recipes!$K$4:$N1003, Recipes!$L$4:$L1003 = A25, Recipes!$K$4:$K1003=TRUE), ""select Col4"")), -1)"),4.16)</f>
        <v>4.16</v>
      </c>
    </row>
    <row r="26">
      <c r="A26" s="7" t="s">
        <v>103</v>
      </c>
      <c r="B26" s="19">
        <f t="shared" si="1"/>
        <v>30.48</v>
      </c>
      <c r="C26" s="30" t="b">
        <v>0</v>
      </c>
      <c r="D26" s="30"/>
      <c r="E26" s="22">
        <f>IFERROR(__xludf.DUMMYFUNCTION("IFERROR(MIN(QUERY(FILTER(Recipes!$K$4:$N1003, Recipes!$L$4:$L1003 = A26, Recipes!$K$4:$K1003=TRUE), ""select Col4"")), -1)"),30.48)</f>
        <v>30.48</v>
      </c>
    </row>
    <row r="27">
      <c r="A27" s="7" t="s">
        <v>106</v>
      </c>
      <c r="B27" s="19">
        <f t="shared" si="1"/>
        <v>51.08</v>
      </c>
      <c r="C27" s="30" t="b">
        <v>0</v>
      </c>
      <c r="D27" s="30"/>
      <c r="E27" s="22">
        <f>IFERROR(__xludf.DUMMYFUNCTION("IFERROR(MIN(QUERY(FILTER(Recipes!$K$4:$N1003, Recipes!$L$4:$L1003 = A27, Recipes!$K$4:$K1003=TRUE), ""select Col4"")), -1)"),51.08)</f>
        <v>51.08</v>
      </c>
    </row>
    <row r="28">
      <c r="A28" s="7" t="s">
        <v>107</v>
      </c>
      <c r="B28" s="19">
        <f t="shared" si="1"/>
        <v>43.72</v>
      </c>
      <c r="C28" s="30" t="b">
        <v>0</v>
      </c>
      <c r="D28" s="30"/>
      <c r="E28" s="22">
        <f>IFERROR(__xludf.DUMMYFUNCTION("IFERROR(MIN(QUERY(FILTER(Recipes!$K$4:$N1003, Recipes!$L$4:$L1003 = A28, Recipes!$K$4:$K1003=TRUE), ""select Col4"")), -1)"),43.720000000000006)</f>
        <v>43.72</v>
      </c>
    </row>
    <row r="29">
      <c r="A29" s="7" t="s">
        <v>108</v>
      </c>
      <c r="B29" s="19">
        <f t="shared" si="1"/>
        <v>30.67</v>
      </c>
      <c r="C29" s="30" t="b">
        <v>0</v>
      </c>
      <c r="D29" s="30"/>
      <c r="E29" s="22">
        <f>IFERROR(__xludf.DUMMYFUNCTION("IFERROR(MIN(QUERY(FILTER(Recipes!$K$4:$N1003, Recipes!$L$4:$L1003 = A29, Recipes!$K$4:$K1003=TRUE), ""select Col4"")), -1)"),30.67)</f>
        <v>30.67</v>
      </c>
    </row>
    <row r="30">
      <c r="A30" s="7" t="s">
        <v>110</v>
      </c>
      <c r="B30" s="19">
        <f t="shared" si="1"/>
        <v>0</v>
      </c>
      <c r="C30" s="30" t="b">
        <v>0</v>
      </c>
      <c r="D30" s="30"/>
      <c r="E30" s="22">
        <f>IFERROR(__xludf.DUMMYFUNCTION("IFERROR(MIN(QUERY(FILTER(Recipes!$K$4:$N1003, Recipes!$L$4:$L1003 = A30, Recipes!$K$4:$K1003=TRUE), ""select Col4"")), -1)"),0.0)</f>
        <v>0</v>
      </c>
    </row>
    <row r="31">
      <c r="A31" s="7" t="s">
        <v>111</v>
      </c>
      <c r="B31" s="19">
        <v>10.0</v>
      </c>
      <c r="C31" s="20" t="b">
        <v>1</v>
      </c>
      <c r="D31" s="20">
        <v>5.0</v>
      </c>
      <c r="E31" s="22">
        <f>IFERROR(__xludf.DUMMYFUNCTION("IFERROR(MIN(QUERY(FILTER(Recipes!$K$4:$N1003, Recipes!$L$4:$L1003 = A31, Recipes!$K$4:$K1003=TRUE), ""select Col4"")), -1)"),-1.0)</f>
        <v>-1</v>
      </c>
    </row>
    <row r="32">
      <c r="A32" s="7" t="s">
        <v>80</v>
      </c>
      <c r="B32" s="19">
        <f t="shared" ref="B32:B303" si="2">IF(C32, D32, E32)</f>
        <v>127</v>
      </c>
      <c r="C32" s="20" t="b">
        <v>0</v>
      </c>
      <c r="D32" s="20">
        <v>60.0</v>
      </c>
      <c r="E32" s="22">
        <f>IFERROR(__xludf.DUMMYFUNCTION("IFERROR(MIN(QUERY(FILTER(Recipes!$K$4:$N1003, Recipes!$L$4:$L1003 = A32, Recipes!$K$4:$K1003=TRUE), ""select Col4"")), -1)"),127.0)</f>
        <v>127</v>
      </c>
    </row>
    <row r="33">
      <c r="A33" s="7" t="s">
        <v>85</v>
      </c>
      <c r="B33" s="19">
        <f t="shared" si="2"/>
        <v>465</v>
      </c>
      <c r="C33" s="30" t="b">
        <v>0</v>
      </c>
      <c r="D33" s="30"/>
      <c r="E33" s="22">
        <f>IFERROR(__xludf.DUMMYFUNCTION("IFERROR(MIN(QUERY(FILTER(Recipes!$K$4:$N1003, Recipes!$L$4:$L1003 = A33, Recipes!$K$4:$K1003=TRUE), ""select Col4"")), -1)"),465.0)</f>
        <v>465</v>
      </c>
    </row>
    <row r="34">
      <c r="A34" s="7" t="s">
        <v>115</v>
      </c>
      <c r="B34" s="19">
        <f t="shared" si="2"/>
        <v>0.9575</v>
      </c>
      <c r="C34" s="20" t="b">
        <v>0</v>
      </c>
      <c r="D34" s="20">
        <v>1.0</v>
      </c>
      <c r="E34" s="22">
        <f>IFERROR(__xludf.DUMMYFUNCTION("IFERROR(MIN(QUERY(FILTER(Recipes!$K$4:$N1003, Recipes!$L$4:$L1003 = A34, Recipes!$K$4:$K1003=TRUE), ""select Col4"")), -1)"),0.9575)</f>
        <v>0.9575</v>
      </c>
    </row>
    <row r="35">
      <c r="A35" s="7" t="s">
        <v>118</v>
      </c>
      <c r="B35" s="19">
        <f t="shared" si="2"/>
        <v>1.5</v>
      </c>
      <c r="C35" s="20" t="b">
        <v>1</v>
      </c>
      <c r="D35" s="20">
        <v>1.5</v>
      </c>
      <c r="E35" s="22">
        <f>IFERROR(__xludf.DUMMYFUNCTION("IFERROR(MIN(QUERY(FILTER(Recipes!$K$4:$N1003, Recipes!$L$4:$L1003 = A35, Recipes!$K$4:$K1003=TRUE), ""select Col4"")), -1)"),5.925000000000001)</f>
        <v>5.925</v>
      </c>
    </row>
    <row r="36">
      <c r="A36" s="7" t="s">
        <v>119</v>
      </c>
      <c r="B36" s="19">
        <f t="shared" si="2"/>
        <v>0.25</v>
      </c>
      <c r="C36" s="20" t="b">
        <v>1</v>
      </c>
      <c r="D36" s="20">
        <v>0.25</v>
      </c>
      <c r="E36" s="22">
        <f>IFERROR(__xludf.DUMMYFUNCTION("IFERROR(MIN(QUERY(FILTER(Recipes!$K$4:$N1003, Recipes!$L$4:$L1003 = A36, Recipes!$K$4:$K1003=TRUE), ""select Col4"")), -1)"),0.37916666666666665)</f>
        <v>0.3791666667</v>
      </c>
    </row>
    <row r="37">
      <c r="A37" s="7" t="s">
        <v>89</v>
      </c>
      <c r="B37" s="19">
        <f t="shared" si="2"/>
        <v>655.55</v>
      </c>
      <c r="C37" s="30" t="b">
        <v>0</v>
      </c>
      <c r="D37" s="30"/>
      <c r="E37" s="22">
        <f>IFERROR(__xludf.DUMMYFUNCTION("IFERROR(MIN(QUERY(FILTER(Recipes!$K$4:$N1003, Recipes!$L$4:$L1003 = A37, Recipes!$K$4:$K1003=TRUE), ""select Col4"")), -1)"),655.55)</f>
        <v>655.55</v>
      </c>
    </row>
    <row r="38">
      <c r="A38" s="7" t="s">
        <v>121</v>
      </c>
      <c r="B38" s="19">
        <f t="shared" si="2"/>
        <v>1</v>
      </c>
      <c r="C38" s="20" t="b">
        <v>1</v>
      </c>
      <c r="D38" s="20">
        <v>1.0</v>
      </c>
      <c r="E38" s="22">
        <f>IFERROR(__xludf.DUMMYFUNCTION("IFERROR(MIN(QUERY(FILTER(Recipes!$K$4:$N1003, Recipes!$L$4:$L1003 = A38, Recipes!$K$4:$K1003=TRUE), ""select Col4"")), -1)"),2.3175)</f>
        <v>2.3175</v>
      </c>
    </row>
    <row r="39">
      <c r="A39" s="7" t="s">
        <v>123</v>
      </c>
      <c r="B39" s="19">
        <f t="shared" si="2"/>
        <v>3.0015625</v>
      </c>
      <c r="C39" s="30" t="b">
        <v>0</v>
      </c>
      <c r="D39" s="30"/>
      <c r="E39" s="22">
        <f>IFERROR(__xludf.DUMMYFUNCTION("IFERROR(MIN(QUERY(FILTER(Recipes!$K$4:$N1003, Recipes!$L$4:$L1003 = A39, Recipes!$K$4:$K1003=TRUE), ""select Col4"")), -1)"),3.0015625)</f>
        <v>3.0015625</v>
      </c>
    </row>
    <row r="40">
      <c r="A40" s="7" t="s">
        <v>124</v>
      </c>
      <c r="B40" s="19">
        <f t="shared" si="2"/>
        <v>0.05</v>
      </c>
      <c r="C40" s="20" t="b">
        <v>1</v>
      </c>
      <c r="D40" s="20">
        <v>0.05</v>
      </c>
      <c r="E40" s="22">
        <f>IFERROR(__xludf.DUMMYFUNCTION("IFERROR(MIN(QUERY(FILTER(Recipes!$K$4:$N1003, Recipes!$L$4:$L1003 = A40, Recipes!$K$4:$K1003=TRUE), ""select Col4"")), -1)"),-1.0)</f>
        <v>-1</v>
      </c>
    </row>
    <row r="41">
      <c r="A41" s="7" t="s">
        <v>126</v>
      </c>
      <c r="B41" s="19">
        <f t="shared" si="2"/>
        <v>4</v>
      </c>
      <c r="C41" s="20" t="b">
        <v>1</v>
      </c>
      <c r="D41" s="20">
        <v>4.0</v>
      </c>
      <c r="E41" s="22">
        <f>IFERROR(__xludf.DUMMYFUNCTION("IFERROR(MIN(QUERY(FILTER(Recipes!$K$4:$N1003, Recipes!$L$4:$L1003 = A41, Recipes!$K$4:$K1003=TRUE), ""select Col4"")), -1)"),4.6203125)</f>
        <v>4.6203125</v>
      </c>
    </row>
    <row r="42">
      <c r="A42" s="7" t="s">
        <v>127</v>
      </c>
      <c r="B42" s="19">
        <f t="shared" si="2"/>
        <v>89.9375</v>
      </c>
      <c r="C42" s="30" t="b">
        <v>0</v>
      </c>
      <c r="D42" s="30"/>
      <c r="E42" s="22">
        <f>IFERROR(__xludf.DUMMYFUNCTION("IFERROR(MIN(QUERY(FILTER(Recipes!$K$4:$N1003, Recipes!$L$4:$L1003 = A42, Recipes!$K$4:$K1003=TRUE), ""select Col4"")), -1)"),89.9375)</f>
        <v>89.9375</v>
      </c>
    </row>
    <row r="43">
      <c r="A43" s="7" t="s">
        <v>128</v>
      </c>
      <c r="B43" s="19">
        <f t="shared" si="2"/>
        <v>0.05</v>
      </c>
      <c r="C43" s="20" t="b">
        <v>1</v>
      </c>
      <c r="D43" s="20">
        <v>0.05</v>
      </c>
      <c r="E43" s="22">
        <f>IFERROR(__xludf.DUMMYFUNCTION("IFERROR(MIN(QUERY(FILTER(Recipes!$K$4:$N1003, Recipes!$L$4:$L1003 = A43, Recipes!$K$4:$K1003=TRUE), ""select Col4"")), -1)"),0.168)</f>
        <v>0.168</v>
      </c>
      <c r="F43" s="7" t="s">
        <v>39</v>
      </c>
    </row>
    <row r="44">
      <c r="A44" s="7" t="s">
        <v>129</v>
      </c>
      <c r="B44" s="19">
        <f t="shared" si="2"/>
        <v>111.5625</v>
      </c>
      <c r="C44" s="30" t="b">
        <v>0</v>
      </c>
      <c r="D44" s="30"/>
      <c r="E44" s="22">
        <f>IFERROR(__xludf.DUMMYFUNCTION("IFERROR(MIN(QUERY(FILTER(Recipes!$K$4:$N1003, Recipes!$L$4:$L1003 = A44, Recipes!$K$4:$K1003=TRUE), ""select Col4"")), -1)"),111.5625)</f>
        <v>111.5625</v>
      </c>
    </row>
    <row r="45">
      <c r="A45" s="7" t="s">
        <v>132</v>
      </c>
      <c r="B45" s="19">
        <f t="shared" si="2"/>
        <v>128.1</v>
      </c>
      <c r="C45" s="30" t="b">
        <v>0</v>
      </c>
      <c r="D45" s="30"/>
      <c r="E45" s="22">
        <f>IFERROR(__xludf.DUMMYFUNCTION("IFERROR(MIN(QUERY(FILTER(Recipes!$K$4:$N1003, Recipes!$L$4:$L1003 = A45, Recipes!$K$4:$K1003=TRUE), ""select Col4"")), -1)"),128.1)</f>
        <v>128.1</v>
      </c>
    </row>
    <row r="46">
      <c r="A46" s="7" t="s">
        <v>133</v>
      </c>
      <c r="B46" s="19">
        <f t="shared" si="2"/>
        <v>60.025</v>
      </c>
      <c r="C46" s="30" t="b">
        <v>0</v>
      </c>
      <c r="D46" s="30"/>
      <c r="E46" s="22">
        <f>IFERROR(__xludf.DUMMYFUNCTION("IFERROR(MIN(QUERY(FILTER(Recipes!$K$4:$N1003, Recipes!$L$4:$L1003 = A46, Recipes!$K$4:$K1003=TRUE), ""select Col4"")), -1)"),60.025)</f>
        <v>60.025</v>
      </c>
    </row>
    <row r="47">
      <c r="A47" s="7" t="s">
        <v>135</v>
      </c>
      <c r="B47" s="19">
        <f t="shared" si="2"/>
        <v>60.025</v>
      </c>
      <c r="C47" s="30" t="b">
        <v>0</v>
      </c>
      <c r="D47" s="30"/>
      <c r="E47" s="22">
        <f>IFERROR(__xludf.DUMMYFUNCTION("IFERROR(MIN(QUERY(FILTER(Recipes!$K$4:$N1003, Recipes!$L$4:$L1003 = A47, Recipes!$K$4:$K1003=TRUE), ""select Col4"")), -1)"),60.025)</f>
        <v>60.025</v>
      </c>
    </row>
    <row r="48">
      <c r="A48" s="7" t="s">
        <v>136</v>
      </c>
      <c r="B48" s="19">
        <f t="shared" si="2"/>
        <v>-1</v>
      </c>
      <c r="C48" s="30" t="b">
        <v>0</v>
      </c>
      <c r="D48" s="30"/>
      <c r="E48" s="22">
        <f>IFERROR(__xludf.DUMMYFUNCTION("IFERROR(MIN(QUERY(FILTER(Recipes!$K$4:$N1003, Recipes!$L$4:$L1003 = A48, Recipes!$K$4:$K1003=TRUE), ""select Col4"")), -1)"),-1.0)</f>
        <v>-1</v>
      </c>
    </row>
    <row r="49">
      <c r="A49" s="7" t="s">
        <v>138</v>
      </c>
      <c r="B49" s="19">
        <f t="shared" si="2"/>
        <v>292.5625</v>
      </c>
      <c r="C49" s="30" t="b">
        <v>0</v>
      </c>
      <c r="D49" s="30"/>
      <c r="E49" s="22">
        <f>IFERROR(__xludf.DUMMYFUNCTION("IFERROR(MIN(QUERY(FILTER(Recipes!$K$4:$N1003, Recipes!$L$4:$L1003 = A49, Recipes!$K$4:$K1003=TRUE), ""select Col4"")), -1)"),292.5625)</f>
        <v>292.5625</v>
      </c>
    </row>
    <row r="50">
      <c r="A50" s="7" t="s">
        <v>140</v>
      </c>
      <c r="B50" s="19">
        <f t="shared" si="2"/>
        <v>109.9375</v>
      </c>
      <c r="C50" s="30" t="b">
        <v>0</v>
      </c>
      <c r="D50" s="30"/>
      <c r="E50" s="22">
        <f>IFERROR(__xludf.DUMMYFUNCTION("IFERROR(MIN(QUERY(FILTER(Recipes!$K$4:$N1003, Recipes!$L$4:$L1003 = A50, Recipes!$K$4:$K1003=TRUE), ""select Col4"")), -1)"),109.9375)</f>
        <v>109.9375</v>
      </c>
    </row>
    <row r="51">
      <c r="A51" s="25" t="s">
        <v>141</v>
      </c>
      <c r="B51" s="19">
        <f t="shared" si="2"/>
        <v>4.025</v>
      </c>
      <c r="C51" s="30" t="b">
        <v>0</v>
      </c>
      <c r="D51" s="30"/>
      <c r="E51" s="22">
        <f>IFERROR(__xludf.DUMMYFUNCTION("IFERROR(MIN(QUERY(FILTER(Recipes!$K$4:$N1003, Recipes!$L$4:$L1003 = A51, Recipes!$K$4:$K1003=TRUE), ""select Col4"")), -1)"),4.0249999999999995)</f>
        <v>4.025</v>
      </c>
    </row>
    <row r="52">
      <c r="A52" s="7" t="s">
        <v>143</v>
      </c>
      <c r="B52" s="19">
        <f t="shared" si="2"/>
        <v>5</v>
      </c>
      <c r="C52" s="20" t="b">
        <v>1</v>
      </c>
      <c r="D52" s="20">
        <v>5.0</v>
      </c>
      <c r="E52" s="22">
        <f>IFERROR(__xludf.DUMMYFUNCTION("IFERROR(MIN(QUERY(FILTER(Recipes!$K$4:$N1003, Recipes!$L$4:$L1003 = A52, Recipes!$K$4:$K1003=TRUE), ""select Col4"")), -1)"),3.3600000000000003)</f>
        <v>3.36</v>
      </c>
    </row>
    <row r="53">
      <c r="A53" s="7" t="s">
        <v>144</v>
      </c>
      <c r="B53" s="19">
        <f t="shared" si="2"/>
        <v>2</v>
      </c>
      <c r="C53" s="20" t="b">
        <v>1</v>
      </c>
      <c r="D53" s="20">
        <v>2.0</v>
      </c>
      <c r="E53" s="22">
        <f>IFERROR(__xludf.DUMMYFUNCTION("IFERROR(MIN(QUERY(FILTER(Recipes!$K$4:$N1003, Recipes!$L$4:$L1003 = A53, Recipes!$K$4:$K1003=TRUE), ""select Col4"")), -1)"),-1.0)</f>
        <v>-1</v>
      </c>
    </row>
    <row r="54">
      <c r="A54" s="7" t="s">
        <v>146</v>
      </c>
      <c r="B54" s="19">
        <f t="shared" si="2"/>
        <v>37.8</v>
      </c>
      <c r="C54" s="20" t="b">
        <v>0</v>
      </c>
      <c r="D54" s="20">
        <v>10.0</v>
      </c>
      <c r="E54" s="22">
        <f>IFERROR(__xludf.DUMMYFUNCTION("IFERROR(MIN(QUERY(FILTER(Recipes!$K$4:$N1003, Recipes!$L$4:$L1003 = A54, Recipes!$K$4:$K1003=TRUE), ""select Col4"")), -1)"),37.8)</f>
        <v>37.8</v>
      </c>
    </row>
    <row r="55">
      <c r="A55" s="7" t="s">
        <v>147</v>
      </c>
      <c r="B55" s="19">
        <f t="shared" si="2"/>
        <v>16.44</v>
      </c>
      <c r="C55" s="30" t="b">
        <v>0</v>
      </c>
      <c r="D55" s="30"/>
      <c r="E55" s="22">
        <f>IFERROR(__xludf.DUMMYFUNCTION("IFERROR(MIN(QUERY(FILTER(Recipes!$K$4:$N1003, Recipes!$L$4:$L1003 = A55, Recipes!$K$4:$K1003=TRUE), ""select Col4"")), -1)"),16.439999999999998)</f>
        <v>16.44</v>
      </c>
    </row>
    <row r="56">
      <c r="A56" s="7" t="s">
        <v>149</v>
      </c>
      <c r="B56" s="19">
        <f t="shared" si="2"/>
        <v>151.24</v>
      </c>
      <c r="C56" s="30" t="b">
        <v>0</v>
      </c>
      <c r="D56" s="30"/>
      <c r="E56" s="22">
        <f>IFERROR(__xludf.DUMMYFUNCTION("IFERROR(MIN(QUERY(FILTER(Recipes!$K$4:$N1003, Recipes!$L$4:$L1003 = A56, Recipes!$K$4:$K1003=TRUE), ""select Col4"")), -1)"),151.24)</f>
        <v>151.24</v>
      </c>
    </row>
    <row r="57">
      <c r="A57" s="7" t="s">
        <v>150</v>
      </c>
      <c r="B57" s="19">
        <f t="shared" si="2"/>
        <v>1.2025</v>
      </c>
      <c r="C57" s="20" t="b">
        <v>0</v>
      </c>
      <c r="D57" s="20">
        <v>4.0</v>
      </c>
      <c r="E57" s="22">
        <f>IFERROR(__xludf.DUMMYFUNCTION("IFERROR(MIN(QUERY(FILTER(Recipes!$K$4:$N1003, Recipes!$L$4:$L1003 = A57, Recipes!$K$4:$K1003=TRUE), ""select Col4"")), -1)"),1.2025)</f>
        <v>1.2025</v>
      </c>
    </row>
    <row r="58">
      <c r="A58" s="7" t="s">
        <v>152</v>
      </c>
      <c r="B58" s="19">
        <f t="shared" si="2"/>
        <v>3.5</v>
      </c>
      <c r="C58" s="20" t="b">
        <v>1</v>
      </c>
      <c r="D58" s="20">
        <v>3.5</v>
      </c>
      <c r="E58" s="22">
        <f>IFERROR(__xludf.DUMMYFUNCTION("IFERROR(MIN(QUERY(FILTER(Recipes!$K$4:$N1003, Recipes!$L$4:$L1003 = A58, Recipes!$K$4:$K1003=TRUE), ""select Col4"")), -1)"),0.0)</f>
        <v>0</v>
      </c>
    </row>
    <row r="59">
      <c r="A59" s="7" t="s">
        <v>153</v>
      </c>
      <c r="B59" s="19">
        <f t="shared" si="2"/>
        <v>124.75</v>
      </c>
      <c r="C59" s="30" t="b">
        <v>0</v>
      </c>
      <c r="D59" s="30"/>
      <c r="E59" s="22">
        <f>IFERROR(__xludf.DUMMYFUNCTION("IFERROR(MIN(QUERY(FILTER(Recipes!$K$4:$N1003, Recipes!$L$4:$L1003 = A59, Recipes!$K$4:$K1003=TRUE), ""select Col4"")), -1)"),124.75)</f>
        <v>124.75</v>
      </c>
    </row>
    <row r="60">
      <c r="A60" s="7" t="s">
        <v>154</v>
      </c>
      <c r="B60" s="19">
        <f t="shared" si="2"/>
        <v>-1</v>
      </c>
      <c r="C60" s="30" t="b">
        <v>0</v>
      </c>
      <c r="D60" s="30"/>
      <c r="E60" s="22">
        <f>IFERROR(__xludf.DUMMYFUNCTION("IFERROR(MIN(QUERY(FILTER(Recipes!$K$4:$N1003, Recipes!$L$4:$L1003 = A60, Recipes!$K$4:$K1003=TRUE), ""select Col4"")), -1)"),-1.0)</f>
        <v>-1</v>
      </c>
    </row>
    <row r="61">
      <c r="A61" s="7" t="s">
        <v>156</v>
      </c>
      <c r="B61" s="19">
        <f t="shared" si="2"/>
        <v>37.3</v>
      </c>
      <c r="C61" s="20" t="b">
        <v>0</v>
      </c>
      <c r="D61" s="30"/>
      <c r="E61" s="22">
        <f>IFERROR(__xludf.DUMMYFUNCTION("IFERROR(MIN(QUERY(FILTER(Recipes!$K$4:$N1003, Recipes!$L$4:$L1003 = A61, Recipes!$K$4:$K1003=TRUE), ""select Col4"")), -1)"),37.3)</f>
        <v>37.3</v>
      </c>
    </row>
    <row r="62">
      <c r="A62" s="7" t="s">
        <v>157</v>
      </c>
      <c r="B62" s="19">
        <f t="shared" si="2"/>
        <v>37.3</v>
      </c>
      <c r="C62" s="20" t="b">
        <v>0</v>
      </c>
      <c r="D62" s="30"/>
      <c r="E62" s="22">
        <f>IFERROR(__xludf.DUMMYFUNCTION("IFERROR(MIN(QUERY(FILTER(Recipes!$K$4:$N1003, Recipes!$L$4:$L1003 = A62, Recipes!$K$4:$K1003=TRUE), ""select Col4"")), -1)"),37.3)</f>
        <v>37.3</v>
      </c>
    </row>
    <row r="63">
      <c r="A63" s="7" t="s">
        <v>160</v>
      </c>
      <c r="B63" s="19">
        <f t="shared" si="2"/>
        <v>19.1</v>
      </c>
      <c r="C63" s="20" t="b">
        <v>0</v>
      </c>
      <c r="D63" s="30"/>
      <c r="E63" s="22">
        <f>IFERROR(__xludf.DUMMYFUNCTION("IFERROR(MIN(QUERY(FILTER(Recipes!$K$4:$N1003, Recipes!$L$4:$L1003 = A63, Recipes!$K$4:$K1003=TRUE), ""select Col4"")), -1)"),19.099999999999998)</f>
        <v>19.1</v>
      </c>
    </row>
    <row r="64">
      <c r="A64" s="7" t="s">
        <v>161</v>
      </c>
      <c r="B64" s="19">
        <f t="shared" si="2"/>
        <v>19.1</v>
      </c>
      <c r="C64" s="20" t="b">
        <v>0</v>
      </c>
      <c r="D64" s="30"/>
      <c r="E64" s="22">
        <f>IFERROR(__xludf.DUMMYFUNCTION("IFERROR(MIN(QUERY(FILTER(Recipes!$K$4:$N1003, Recipes!$L$4:$L1003 = A64, Recipes!$K$4:$K1003=TRUE), ""select Col4"")), -1)"),19.099999999999998)</f>
        <v>19.1</v>
      </c>
    </row>
    <row r="65">
      <c r="A65" s="7" t="s">
        <v>163</v>
      </c>
      <c r="B65" s="19">
        <f t="shared" si="2"/>
        <v>0.25</v>
      </c>
      <c r="C65" s="20" t="b">
        <v>1</v>
      </c>
      <c r="D65" s="20">
        <v>0.25</v>
      </c>
      <c r="E65" s="22">
        <f>IFERROR(__xludf.DUMMYFUNCTION("IFERROR(MIN(QUERY(FILTER(Recipes!$K$4:$N1003, Recipes!$L$4:$L1003 = A65, Recipes!$K$4:$K1003=TRUE), ""select Col4"")), -1)"),-1.0)</f>
        <v>-1</v>
      </c>
    </row>
    <row r="66">
      <c r="A66" s="7" t="s">
        <v>164</v>
      </c>
      <c r="B66" s="19">
        <f t="shared" si="2"/>
        <v>25.95</v>
      </c>
      <c r="C66" s="30" t="b">
        <v>0</v>
      </c>
      <c r="D66" s="30"/>
      <c r="E66" s="22">
        <f>IFERROR(__xludf.DUMMYFUNCTION("IFERROR(MIN(QUERY(FILTER(Recipes!$K$4:$N1003, Recipes!$L$4:$L1003 = A66, Recipes!$K$4:$K1003=TRUE), ""select Col4"")), -1)"),25.95)</f>
        <v>25.95</v>
      </c>
    </row>
    <row r="67">
      <c r="A67" s="7" t="s">
        <v>166</v>
      </c>
      <c r="B67" s="19">
        <f t="shared" si="2"/>
        <v>7.9</v>
      </c>
      <c r="C67" s="30" t="b">
        <v>0</v>
      </c>
      <c r="D67" s="30"/>
      <c r="E67" s="22">
        <f>IFERROR(__xludf.DUMMYFUNCTION("IFERROR(MIN(QUERY(FILTER(Recipes!$K$4:$N1003, Recipes!$L$4:$L1003 = A67, Recipes!$K$4:$K1003=TRUE), ""select Col4"")), -1)"),7.9)</f>
        <v>7.9</v>
      </c>
    </row>
    <row r="68">
      <c r="A68" s="7" t="s">
        <v>168</v>
      </c>
      <c r="B68" s="19">
        <f t="shared" si="2"/>
        <v>7.9</v>
      </c>
      <c r="C68" s="30" t="b">
        <v>0</v>
      </c>
      <c r="D68" s="30"/>
      <c r="E68" s="22">
        <f>IFERROR(__xludf.DUMMYFUNCTION("IFERROR(MIN(QUERY(FILTER(Recipes!$K$4:$N1003, Recipes!$L$4:$L1003 = A68, Recipes!$K$4:$K1003=TRUE), ""select Col4"")), -1)"),7.9)</f>
        <v>7.9</v>
      </c>
    </row>
    <row r="69">
      <c r="A69" s="7" t="s">
        <v>169</v>
      </c>
      <c r="B69" s="19">
        <f t="shared" si="2"/>
        <v>13.4</v>
      </c>
      <c r="C69" s="30" t="b">
        <v>0</v>
      </c>
      <c r="D69" s="30"/>
      <c r="E69" s="22">
        <f>IFERROR(__xludf.DUMMYFUNCTION("IFERROR(MIN(QUERY(FILTER(Recipes!$K$4:$N1003, Recipes!$L$4:$L1003 = A69, Recipes!$K$4:$K1003=TRUE), ""select Col4"")), -1)"),13.4)</f>
        <v>13.4</v>
      </c>
    </row>
    <row r="70">
      <c r="A70" s="7" t="s">
        <v>171</v>
      </c>
      <c r="B70" s="19">
        <f t="shared" si="2"/>
        <v>29.9</v>
      </c>
      <c r="C70" s="30" t="b">
        <v>0</v>
      </c>
      <c r="D70" s="30"/>
      <c r="E70" s="22">
        <f>IFERROR(__xludf.DUMMYFUNCTION("IFERROR(MIN(QUERY(FILTER(Recipes!$K$4:$N1003, Recipes!$L$4:$L1003 = A70, Recipes!$K$4:$K1003=TRUE), ""select Col4"")), -1)"),29.900000000000002)</f>
        <v>29.9</v>
      </c>
    </row>
    <row r="71">
      <c r="A71" s="7" t="s">
        <v>173</v>
      </c>
      <c r="B71" s="19">
        <f t="shared" si="2"/>
        <v>-2</v>
      </c>
      <c r="C71" s="20" t="b">
        <v>1</v>
      </c>
      <c r="D71" s="20">
        <v>-2.0</v>
      </c>
      <c r="E71" s="22">
        <f>IFERROR(__xludf.DUMMYFUNCTION("IFERROR(MIN(QUERY(FILTER(Recipes!$K$4:$N1003, Recipes!$L$4:$L1003 = A71, Recipes!$K$4:$K1003=TRUE), ""select Col4"")), -1)"),-1.0)</f>
        <v>-1</v>
      </c>
    </row>
    <row r="72">
      <c r="A72" s="7" t="s">
        <v>175</v>
      </c>
      <c r="B72" s="19">
        <f t="shared" si="2"/>
        <v>13.839</v>
      </c>
      <c r="C72" s="30" t="b">
        <v>0</v>
      </c>
      <c r="D72" s="30"/>
      <c r="E72" s="22">
        <f>IFERROR(__xludf.DUMMYFUNCTION("IFERROR(MIN(QUERY(FILTER(Recipes!$K$4:$N1003, Recipes!$L$4:$L1003 = A72, Recipes!$K$4:$K1003=TRUE), ""select Col4"")), -1)"),13.839)</f>
        <v>13.839</v>
      </c>
    </row>
    <row r="73">
      <c r="A73" s="7" t="s">
        <v>177</v>
      </c>
      <c r="B73" s="19">
        <f t="shared" si="2"/>
        <v>12.78575</v>
      </c>
      <c r="C73" s="30" t="b">
        <v>0</v>
      </c>
      <c r="D73" s="30"/>
      <c r="E73" s="22">
        <f>IFERROR(__xludf.DUMMYFUNCTION("IFERROR(MIN(QUERY(FILTER(Recipes!$K$4:$N1003, Recipes!$L$4:$L1003 = A73, Recipes!$K$4:$K1003=TRUE), ""select Col4"")), -1)"),12.78575)</f>
        <v>12.78575</v>
      </c>
    </row>
    <row r="74">
      <c r="A74" s="7" t="s">
        <v>179</v>
      </c>
      <c r="B74" s="19">
        <f t="shared" si="2"/>
        <v>20.775</v>
      </c>
      <c r="C74" s="30" t="b">
        <v>0</v>
      </c>
      <c r="D74" s="30"/>
      <c r="E74" s="22">
        <f>IFERROR(__xludf.DUMMYFUNCTION("IFERROR(MIN(QUERY(FILTER(Recipes!$K$4:$N1003, Recipes!$L$4:$L1003 = A74, Recipes!$K$4:$K1003=TRUE), ""select Col4"")), -1)"),20.775000000000002)</f>
        <v>20.775</v>
      </c>
    </row>
    <row r="75">
      <c r="A75" s="7" t="s">
        <v>181</v>
      </c>
      <c r="B75" s="19">
        <f t="shared" si="2"/>
        <v>22.1</v>
      </c>
      <c r="C75" s="30" t="b">
        <v>0</v>
      </c>
      <c r="D75" s="30"/>
      <c r="E75" s="22">
        <f>IFERROR(__xludf.DUMMYFUNCTION("IFERROR(MIN(QUERY(FILTER(Recipes!$K$4:$N1003, Recipes!$L$4:$L1003 = A75, Recipes!$K$4:$K1003=TRUE), ""select Col4"")), -1)"),22.1)</f>
        <v>22.1</v>
      </c>
    </row>
    <row r="76">
      <c r="A76" s="7" t="s">
        <v>183</v>
      </c>
      <c r="B76" s="19">
        <f t="shared" si="2"/>
        <v>25</v>
      </c>
      <c r="C76" s="20" t="b">
        <v>1</v>
      </c>
      <c r="D76" s="20">
        <v>25.0</v>
      </c>
      <c r="E76" s="22">
        <f>IFERROR(__xludf.DUMMYFUNCTION("IFERROR(MIN(QUERY(FILTER(Recipes!$K$4:$N1003, Recipes!$L$4:$L1003 = A76, Recipes!$K$4:$K1003=TRUE), ""select Col4"")), -1)"),-1.0)</f>
        <v>-1</v>
      </c>
    </row>
    <row r="77">
      <c r="A77" s="7" t="s">
        <v>184</v>
      </c>
      <c r="B77" s="19">
        <f t="shared" si="2"/>
        <v>12</v>
      </c>
      <c r="C77" s="20" t="b">
        <v>1</v>
      </c>
      <c r="D77" s="20">
        <v>12.0</v>
      </c>
      <c r="E77" s="22">
        <f>IFERROR(__xludf.DUMMYFUNCTION("IFERROR(MIN(QUERY(FILTER(Recipes!$K$4:$N1003, Recipes!$L$4:$L1003 = A77, Recipes!$K$4:$K1003=TRUE), ""select Col4"")), -1)"),-1.0)</f>
        <v>-1</v>
      </c>
    </row>
    <row r="78">
      <c r="A78" s="7" t="s">
        <v>187</v>
      </c>
      <c r="B78" s="19">
        <f t="shared" si="2"/>
        <v>25</v>
      </c>
      <c r="C78" s="20" t="b">
        <v>1</v>
      </c>
      <c r="D78" s="20">
        <v>25.0</v>
      </c>
      <c r="E78" s="22">
        <f>IFERROR(__xludf.DUMMYFUNCTION("IFERROR(MIN(QUERY(FILTER(Recipes!$K$4:$N1003, Recipes!$L$4:$L1003 = A78, Recipes!$K$4:$K1003=TRUE), ""select Col4"")), -1)"),-1.0)</f>
        <v>-1</v>
      </c>
    </row>
    <row r="79">
      <c r="A79" s="7" t="s">
        <v>188</v>
      </c>
      <c r="B79" s="19">
        <f t="shared" si="2"/>
        <v>8</v>
      </c>
      <c r="C79" s="20" t="b">
        <v>1</v>
      </c>
      <c r="D79" s="20">
        <v>8.0</v>
      </c>
      <c r="E79" s="22">
        <f>IFERROR(__xludf.DUMMYFUNCTION("IFERROR(MIN(QUERY(FILTER(Recipes!$K$4:$N1003, Recipes!$L$4:$L1003 = A79, Recipes!$K$4:$K1003=TRUE), ""select Col4"")), -1)"),-1.0)</f>
        <v>-1</v>
      </c>
    </row>
    <row r="80">
      <c r="A80" s="7" t="s">
        <v>164</v>
      </c>
      <c r="B80" s="19">
        <f t="shared" si="2"/>
        <v>18</v>
      </c>
      <c r="C80" s="20" t="b">
        <v>1</v>
      </c>
      <c r="D80" s="20">
        <v>18.0</v>
      </c>
      <c r="E80" s="22">
        <f>IFERROR(__xludf.DUMMYFUNCTION("IFERROR(MIN(QUERY(FILTER(Recipes!$K$4:$N1003, Recipes!$L$4:$L1003 = A80, Recipes!$K$4:$K1003=TRUE), ""select Col4"")), -1)"),25.95)</f>
        <v>25.95</v>
      </c>
    </row>
    <row r="81">
      <c r="A81" s="7" t="s">
        <v>191</v>
      </c>
      <c r="B81" s="19">
        <f t="shared" si="2"/>
        <v>2.9225</v>
      </c>
      <c r="C81" s="30" t="b">
        <v>0</v>
      </c>
      <c r="D81" s="30"/>
      <c r="E81" s="22">
        <f>IFERROR(__xludf.DUMMYFUNCTION("IFERROR(MIN(QUERY(FILTER(Recipes!$K$4:$N1003, Recipes!$L$4:$L1003 = A81, Recipes!$K$4:$K1003=TRUE), ""select Col4"")), -1)"),2.9225)</f>
        <v>2.9225</v>
      </c>
    </row>
    <row r="82">
      <c r="A82" s="7" t="s">
        <v>193</v>
      </c>
      <c r="B82" s="19">
        <f t="shared" si="2"/>
        <v>0.2</v>
      </c>
      <c r="C82" s="20" t="b">
        <v>1</v>
      </c>
      <c r="D82" s="20">
        <v>0.2</v>
      </c>
      <c r="E82" s="22">
        <f>IFERROR(__xludf.DUMMYFUNCTION("IFERROR(MIN(QUERY(FILTER(Recipes!$K$4:$N1003, Recipes!$L$4:$L1003 = A82, Recipes!$K$4:$K1003=TRUE), ""select Col4"")), -1)"),-1.0)</f>
        <v>-1</v>
      </c>
    </row>
    <row r="83">
      <c r="A83" s="7" t="s">
        <v>195</v>
      </c>
      <c r="B83" s="19">
        <f t="shared" si="2"/>
        <v>2.5</v>
      </c>
      <c r="C83" s="20" t="b">
        <v>1</v>
      </c>
      <c r="D83" s="20">
        <v>2.5</v>
      </c>
      <c r="E83" s="22">
        <f>IFERROR(__xludf.DUMMYFUNCTION("IFERROR(MIN(QUERY(FILTER(Recipes!$K$4:$N1003, Recipes!$L$4:$L1003 = A83, Recipes!$K$4:$K1003=TRUE), ""select Col4"")), -1)"),2.2)</f>
        <v>2.2</v>
      </c>
    </row>
    <row r="84">
      <c r="A84" s="7" t="s">
        <v>196</v>
      </c>
      <c r="B84" s="19">
        <f t="shared" si="2"/>
        <v>11.075</v>
      </c>
      <c r="C84" s="20" t="b">
        <v>0</v>
      </c>
      <c r="D84" s="20">
        <v>5.0</v>
      </c>
      <c r="E84" s="22">
        <f>IFERROR(__xludf.DUMMYFUNCTION("IFERROR(MIN(QUERY(FILTER(Recipes!$K$4:$N1003, Recipes!$L$4:$L1003 = A84, Recipes!$K$4:$K1003=TRUE), ""select Col4"")), -1)"),11.075)</f>
        <v>11.075</v>
      </c>
    </row>
    <row r="85">
      <c r="A85" s="7" t="s">
        <v>199</v>
      </c>
      <c r="B85" s="19">
        <f t="shared" si="2"/>
        <v>4</v>
      </c>
      <c r="C85" s="20" t="b">
        <v>1</v>
      </c>
      <c r="D85" s="20">
        <v>4.0</v>
      </c>
      <c r="E85" s="22">
        <f>IFERROR(__xludf.DUMMYFUNCTION("IFERROR(MIN(QUERY(FILTER(Recipes!$K$4:$N1003, Recipes!$L$4:$L1003 = A85, Recipes!$K$4:$K1003=TRUE), ""select Col4"")), -1)"),2.9907291666666667)</f>
        <v>2.990729167</v>
      </c>
    </row>
    <row r="86">
      <c r="A86" s="7" t="s">
        <v>200</v>
      </c>
      <c r="B86" s="19">
        <f t="shared" si="2"/>
        <v>1</v>
      </c>
      <c r="C86" s="20" t="b">
        <v>1</v>
      </c>
      <c r="D86" s="20">
        <v>1.0</v>
      </c>
      <c r="E86" s="22">
        <f>IFERROR(__xludf.DUMMYFUNCTION("IFERROR(MIN(QUERY(FILTER(Recipes!$K$4:$N1003, Recipes!$L$4:$L1003 = A86, Recipes!$K$4:$K1003=TRUE), ""select Col4"")), -1)"),-1.0)</f>
        <v>-1</v>
      </c>
    </row>
    <row r="87">
      <c r="A87" s="7" t="s">
        <v>203</v>
      </c>
      <c r="B87" s="19">
        <f t="shared" si="2"/>
        <v>5</v>
      </c>
      <c r="C87" s="20" t="b">
        <v>1</v>
      </c>
      <c r="D87" s="20">
        <v>5.0</v>
      </c>
      <c r="E87" s="22">
        <f>IFERROR(__xludf.DUMMYFUNCTION("IFERROR(MIN(QUERY(FILTER(Recipes!$K$4:$N1003, Recipes!$L$4:$L1003 = A87, Recipes!$K$4:$K1003=TRUE), ""select Col4"")), -1)"),5.916875)</f>
        <v>5.916875</v>
      </c>
    </row>
    <row r="88">
      <c r="A88" s="7" t="s">
        <v>204</v>
      </c>
      <c r="B88" s="19">
        <f t="shared" si="2"/>
        <v>20.3</v>
      </c>
      <c r="C88" s="30" t="b">
        <v>0</v>
      </c>
      <c r="D88" s="30"/>
      <c r="E88" s="22">
        <f>IFERROR(__xludf.DUMMYFUNCTION("IFERROR(MIN(QUERY(FILTER(Recipes!$K$4:$N1003, Recipes!$L$4:$L1003 = A88, Recipes!$K$4:$K1003=TRUE), ""select Col4"")), -1)"),20.3)</f>
        <v>20.3</v>
      </c>
    </row>
    <row r="89">
      <c r="A89" s="7" t="s">
        <v>206</v>
      </c>
      <c r="B89" s="19">
        <f t="shared" si="2"/>
        <v>5</v>
      </c>
      <c r="C89" s="20" t="b">
        <v>1</v>
      </c>
      <c r="D89" s="20">
        <v>5.0</v>
      </c>
      <c r="E89" s="22">
        <f>IFERROR(__xludf.DUMMYFUNCTION("IFERROR(MIN(QUERY(FILTER(Recipes!$K$4:$N1003, Recipes!$L$4:$L1003 = A89, Recipes!$K$4:$K1003=TRUE), ""select Col4"")), -1)"),8.259833333333333)</f>
        <v>8.259833333</v>
      </c>
    </row>
    <row r="90">
      <c r="A90" s="7" t="s">
        <v>207</v>
      </c>
      <c r="B90" s="19">
        <f t="shared" si="2"/>
        <v>5.6565625</v>
      </c>
      <c r="C90" s="20" t="b">
        <v>0</v>
      </c>
      <c r="D90" s="20">
        <v>2.0</v>
      </c>
      <c r="E90" s="22">
        <f>IFERROR(__xludf.DUMMYFUNCTION("IFERROR(MIN(QUERY(FILTER(Recipes!$K$4:$N1003, Recipes!$L$4:$L1003 = A90, Recipes!$K$4:$K1003=TRUE), ""select Col4"")), -1)"),5.6565625)</f>
        <v>5.6565625</v>
      </c>
    </row>
    <row r="91">
      <c r="A91" s="7" t="s">
        <v>209</v>
      </c>
      <c r="B91" s="19">
        <f t="shared" si="2"/>
        <v>8.774883333</v>
      </c>
      <c r="C91" s="30" t="b">
        <v>0</v>
      </c>
      <c r="D91" s="30"/>
      <c r="E91" s="22">
        <f>IFERROR(__xludf.DUMMYFUNCTION("IFERROR(MIN(QUERY(FILTER(Recipes!$K$4:$N1003, Recipes!$L$4:$L1003 = A91, Recipes!$K$4:$K1003=TRUE), ""select Col4"")), -1)"),8.774883333333333)</f>
        <v>8.774883333</v>
      </c>
    </row>
    <row r="92">
      <c r="A92" s="7" t="s">
        <v>211</v>
      </c>
      <c r="B92" s="19">
        <f t="shared" si="2"/>
        <v>2.667916667</v>
      </c>
      <c r="C92" s="20" t="b">
        <v>0</v>
      </c>
      <c r="D92" s="20">
        <v>1.0</v>
      </c>
      <c r="E92" s="22">
        <f>IFERROR(__xludf.DUMMYFUNCTION("IFERROR(MIN(QUERY(FILTER(Recipes!$K$4:$N1003, Recipes!$L$4:$L1003 = A92, Recipes!$K$4:$K1003=TRUE), ""select Col4"")), -1)"),2.6679166666666667)</f>
        <v>2.667916667</v>
      </c>
    </row>
    <row r="93">
      <c r="A93" s="7" t="s">
        <v>213</v>
      </c>
      <c r="B93" s="19">
        <f t="shared" si="2"/>
        <v>19.91854167</v>
      </c>
      <c r="C93" s="20" t="b">
        <v>0</v>
      </c>
      <c r="D93" s="20">
        <v>30.0</v>
      </c>
      <c r="E93" s="22">
        <f>IFERROR(__xludf.DUMMYFUNCTION("IFERROR(MIN(QUERY(FILTER(Recipes!$K$4:$N1003, Recipes!$L$4:$L1003 = A93, Recipes!$K$4:$K1003=TRUE), ""select Col4"")), -1)"),19.918541666666666)</f>
        <v>19.91854167</v>
      </c>
    </row>
    <row r="94">
      <c r="A94" s="7" t="s">
        <v>215</v>
      </c>
      <c r="B94" s="19">
        <f t="shared" si="2"/>
        <v>8.791354167</v>
      </c>
      <c r="C94" s="20" t="b">
        <v>0</v>
      </c>
      <c r="D94" s="20">
        <v>7.5</v>
      </c>
      <c r="E94" s="22">
        <f>IFERROR(__xludf.DUMMYFUNCTION("IFERROR(MIN(QUERY(FILTER(Recipes!$K$4:$N1003, Recipes!$L$4:$L1003 = A94, Recipes!$K$4:$K1003=TRUE), ""select Col4"")), -1)"),8.791354166666666)</f>
        <v>8.791354167</v>
      </c>
    </row>
    <row r="95">
      <c r="A95" s="7" t="s">
        <v>216</v>
      </c>
      <c r="B95" s="19">
        <f t="shared" si="2"/>
        <v>5.430554688</v>
      </c>
      <c r="C95" s="30" t="b">
        <v>0</v>
      </c>
      <c r="D95" s="30"/>
      <c r="E95" s="22">
        <f>IFERROR(__xludf.DUMMYFUNCTION("IFERROR(MIN(QUERY(FILTER(Recipes!$K$4:$N1003, Recipes!$L$4:$L1003 = A95, Recipes!$K$4:$K1003=TRUE), ""select Col4"")), -1)"),5.430554687500001)</f>
        <v>5.430554688</v>
      </c>
    </row>
    <row r="96">
      <c r="A96" s="7" t="s">
        <v>218</v>
      </c>
      <c r="B96" s="19">
        <f t="shared" si="2"/>
        <v>4.5115625</v>
      </c>
      <c r="C96" s="20" t="b">
        <v>0</v>
      </c>
      <c r="D96" s="20">
        <v>3.0</v>
      </c>
      <c r="E96" s="22">
        <f>IFERROR(__xludf.DUMMYFUNCTION("IFERROR(MIN(QUERY(FILTER(Recipes!$K$4:$N1003, Recipes!$L$4:$L1003 = A96, Recipes!$K$4:$K1003=TRUE), ""select Col4"")), -1)"),4.5115625)</f>
        <v>4.5115625</v>
      </c>
    </row>
    <row r="97">
      <c r="A97" s="7" t="s">
        <v>219</v>
      </c>
      <c r="B97" s="19">
        <f t="shared" si="2"/>
        <v>7.093515625</v>
      </c>
      <c r="C97" s="30" t="b">
        <v>0</v>
      </c>
      <c r="D97" s="30"/>
      <c r="E97" s="22">
        <f>IFERROR(__xludf.DUMMYFUNCTION("IFERROR(MIN(QUERY(FILTER(Recipes!$K$4:$N1003, Recipes!$L$4:$L1003 = A97, Recipes!$K$4:$K1003=TRUE), ""select Col4"")), -1)"),7.093515625)</f>
        <v>7.093515625</v>
      </c>
    </row>
    <row r="98">
      <c r="A98" s="7" t="s">
        <v>220</v>
      </c>
      <c r="B98" s="19">
        <f t="shared" si="2"/>
        <v>25.96536458</v>
      </c>
      <c r="C98" s="30" t="b">
        <v>0</v>
      </c>
      <c r="D98" s="30"/>
      <c r="E98" s="22">
        <f>IFERROR(__xludf.DUMMYFUNCTION("IFERROR(MIN(QUERY(FILTER(Recipes!$K$4:$N1003, Recipes!$L$4:$L1003 = A98, Recipes!$K$4:$K1003=TRUE), ""select Col4"")), -1)"),25.965364583333333)</f>
        <v>25.96536458</v>
      </c>
    </row>
    <row r="99">
      <c r="A99" s="7" t="s">
        <v>225</v>
      </c>
      <c r="B99" s="19">
        <f t="shared" si="2"/>
        <v>5</v>
      </c>
      <c r="C99" s="20" t="b">
        <v>1</v>
      </c>
      <c r="D99" s="20">
        <v>5.0</v>
      </c>
      <c r="E99" s="22">
        <f>IFERROR(__xludf.DUMMYFUNCTION("IFERROR(MIN(QUERY(FILTER(Recipes!$K$4:$N1003, Recipes!$L$4:$L1003 = A99, Recipes!$K$4:$K1003=TRUE), ""select Col4"")), -1)"),-1.0)</f>
        <v>-1</v>
      </c>
    </row>
    <row r="100">
      <c r="A100" s="7" t="s">
        <v>227</v>
      </c>
      <c r="B100" s="19">
        <f t="shared" si="2"/>
        <v>250</v>
      </c>
      <c r="C100" s="20" t="b">
        <v>1</v>
      </c>
      <c r="D100" s="20">
        <v>250.0</v>
      </c>
      <c r="E100" s="22">
        <f>IFERROR(__xludf.DUMMYFUNCTION("IFERROR(MIN(QUERY(FILTER(Recipes!$K$4:$N1003, Recipes!$L$4:$L1003 = A100, Recipes!$K$4:$K1003=TRUE), ""select Col4"")), -1)"),-1.0)</f>
        <v>-1</v>
      </c>
    </row>
    <row r="101">
      <c r="A101" s="7" t="s">
        <v>230</v>
      </c>
      <c r="B101" s="19">
        <f t="shared" si="2"/>
        <v>30</v>
      </c>
      <c r="C101" s="20" t="b">
        <v>1</v>
      </c>
      <c r="D101" s="20">
        <v>30.0</v>
      </c>
      <c r="E101" s="22">
        <f>IFERROR(__xludf.DUMMYFUNCTION("IFERROR(MIN(QUERY(FILTER(Recipes!$K$4:$N1003, Recipes!$L$4:$L1003 = A101, Recipes!$K$4:$K1003=TRUE), ""select Col4"")), -1)"),-1.0)</f>
        <v>-1</v>
      </c>
    </row>
    <row r="102">
      <c r="A102" s="7" t="s">
        <v>231</v>
      </c>
      <c r="B102" s="19">
        <f t="shared" si="2"/>
        <v>50</v>
      </c>
      <c r="C102" s="20" t="b">
        <v>1</v>
      </c>
      <c r="D102" s="20">
        <v>50.0</v>
      </c>
      <c r="E102" s="22">
        <f>IFERROR(__xludf.DUMMYFUNCTION("IFERROR(MIN(QUERY(FILTER(Recipes!$K$4:$N1003, Recipes!$L$4:$L1003 = A102, Recipes!$K$4:$K1003=TRUE), ""select Col4"")), -1)"),-1.0)</f>
        <v>-1</v>
      </c>
    </row>
    <row r="103">
      <c r="A103" s="7" t="s">
        <v>240</v>
      </c>
      <c r="B103" s="19">
        <f t="shared" si="2"/>
        <v>132.6</v>
      </c>
      <c r="C103" s="20" t="b">
        <v>0</v>
      </c>
      <c r="D103" s="20">
        <v>300.0</v>
      </c>
      <c r="E103" s="22">
        <f>IFERROR(__xludf.DUMMYFUNCTION("IFERROR(MIN(QUERY(FILTER(Recipes!$K$4:$N1003, Recipes!$L$4:$L1003 = A103, Recipes!$K$4:$K1003=TRUE), ""select Col4"")), -1)"),132.6)</f>
        <v>132.6</v>
      </c>
    </row>
    <row r="104">
      <c r="A104" s="7" t="s">
        <v>241</v>
      </c>
      <c r="B104" s="19">
        <f t="shared" si="2"/>
        <v>0.875</v>
      </c>
      <c r="C104" s="20" t="b">
        <v>0</v>
      </c>
      <c r="D104" s="20"/>
      <c r="E104" s="22">
        <f>IFERROR(__xludf.DUMMYFUNCTION("IFERROR(MIN(QUERY(FILTER(Recipes!$K$4:$N1003, Recipes!$L$4:$L1003 = A104, Recipes!$K$4:$K1003=TRUE), ""select Col4"")), -1)"),0.875)</f>
        <v>0.875</v>
      </c>
    </row>
    <row r="105">
      <c r="A105" s="7" t="s">
        <v>242</v>
      </c>
      <c r="B105" s="19">
        <f t="shared" si="2"/>
        <v>1</v>
      </c>
      <c r="C105" s="20" t="b">
        <v>1</v>
      </c>
      <c r="D105" s="20">
        <v>1.0</v>
      </c>
      <c r="E105" s="22">
        <f>IFERROR(__xludf.DUMMYFUNCTION("IFERROR(MIN(QUERY(FILTER(Recipes!$K$4:$N1003, Recipes!$L$4:$L1003 = A105, Recipes!$K$4:$K1003=TRUE), ""select Col4"")), -1)"),-1.0)</f>
        <v>-1</v>
      </c>
    </row>
    <row r="106">
      <c r="B106" s="19">
        <f t="shared" si="2"/>
        <v>0</v>
      </c>
      <c r="C106" s="30" t="b">
        <v>0</v>
      </c>
      <c r="D106" s="30"/>
      <c r="E106" s="22">
        <f>IFERROR(__xludf.DUMMYFUNCTION("IFERROR(MIN(QUERY(FILTER(Recipes!$K$4:$N1003, Recipes!$L$4:$L1003 = A106, Recipes!$K$4:$K1003=TRUE), ""select Col4"")), -1)"),0.0)</f>
        <v>0</v>
      </c>
    </row>
    <row r="107">
      <c r="A107" s="7" t="s">
        <v>243</v>
      </c>
      <c r="B107" s="19">
        <f t="shared" si="2"/>
        <v>11.2</v>
      </c>
      <c r="C107" s="30" t="b">
        <v>0</v>
      </c>
      <c r="D107" s="30"/>
      <c r="E107" s="22">
        <f>IFERROR(__xludf.DUMMYFUNCTION("IFERROR(MIN(QUERY(FILTER(Recipes!$K$4:$N1003, Recipes!$L$4:$L1003 = A107, Recipes!$K$4:$K1003=TRUE), ""select Col4"")), -1)"),11.2)</f>
        <v>11.2</v>
      </c>
    </row>
    <row r="108">
      <c r="A108" s="7" t="s">
        <v>244</v>
      </c>
      <c r="B108" s="19">
        <f t="shared" si="2"/>
        <v>13.6</v>
      </c>
      <c r="C108" s="30" t="b">
        <v>0</v>
      </c>
      <c r="D108" s="30"/>
      <c r="E108" s="22">
        <f>IFERROR(__xludf.DUMMYFUNCTION("IFERROR(MIN(QUERY(FILTER(Recipes!$K$4:$N1003, Recipes!$L$4:$L1003 = A108, Recipes!$K$4:$K1003=TRUE), ""select Col4"")), -1)"),13.6)</f>
        <v>13.6</v>
      </c>
    </row>
    <row r="109">
      <c r="A109" s="7" t="s">
        <v>246</v>
      </c>
      <c r="B109" s="19">
        <f t="shared" si="2"/>
        <v>30.69</v>
      </c>
      <c r="C109" s="30" t="b">
        <v>0</v>
      </c>
      <c r="D109" s="30"/>
      <c r="E109" s="22">
        <f>IFERROR(__xludf.DUMMYFUNCTION("IFERROR(MIN(QUERY(FILTER(Recipes!$K$4:$N1003, Recipes!$L$4:$L1003 = A109, Recipes!$K$4:$K1003=TRUE), ""select Col4"")), -1)"),30.69)</f>
        <v>30.69</v>
      </c>
    </row>
    <row r="110">
      <c r="A110" s="7" t="s">
        <v>248</v>
      </c>
      <c r="B110" s="19">
        <f t="shared" si="2"/>
        <v>42.253125</v>
      </c>
      <c r="C110" s="20" t="b">
        <v>1</v>
      </c>
      <c r="D110" s="20">
        <f>E110*3</f>
        <v>42.253125</v>
      </c>
      <c r="E110" s="22">
        <f>IFERROR(__xludf.DUMMYFUNCTION("IFERROR(MIN(QUERY(FILTER(Recipes!$K$4:$N1003, Recipes!$L$4:$L1003 = A110, Recipes!$K$4:$K1003=TRUE), ""select Col4"")), -1)"),14.084375000000003)</f>
        <v>14.084375</v>
      </c>
    </row>
    <row r="111">
      <c r="A111" s="7" t="s">
        <v>249</v>
      </c>
      <c r="B111" s="19">
        <f t="shared" si="2"/>
        <v>59.29</v>
      </c>
      <c r="C111" s="30" t="b">
        <v>0</v>
      </c>
      <c r="D111" s="30"/>
      <c r="E111" s="22">
        <f>IFERROR(__xludf.DUMMYFUNCTION("IFERROR(MIN(QUERY(FILTER(Recipes!$K$4:$N1003, Recipes!$L$4:$L1003 = A111, Recipes!$K$4:$K1003=TRUE), ""select Col4"")), -1)"),59.29)</f>
        <v>59.29</v>
      </c>
    </row>
    <row r="112">
      <c r="A112" s="7" t="s">
        <v>250</v>
      </c>
      <c r="B112" s="19">
        <f t="shared" si="2"/>
        <v>3.52109375</v>
      </c>
      <c r="C112" s="30" t="b">
        <v>0</v>
      </c>
      <c r="D112" s="30"/>
      <c r="E112" s="22">
        <f>IFERROR(__xludf.DUMMYFUNCTION("IFERROR(MIN(QUERY(FILTER(Recipes!$K$4:$N1003, Recipes!$L$4:$L1003 = A112, Recipes!$K$4:$K1003=TRUE), ""select Col4"")), -1)"),3.521093750000001)</f>
        <v>3.52109375</v>
      </c>
    </row>
    <row r="113">
      <c r="A113" s="7" t="s">
        <v>251</v>
      </c>
      <c r="B113" s="19">
        <f t="shared" si="2"/>
        <v>42.253125</v>
      </c>
      <c r="C113" s="20" t="b">
        <v>1</v>
      </c>
      <c r="D113" s="20">
        <f>E113*3</f>
        <v>42.253125</v>
      </c>
      <c r="E113" s="22">
        <f>IFERROR(__xludf.DUMMYFUNCTION("IFERROR(MIN(QUERY(FILTER(Recipes!$K$4:$N1003, Recipes!$L$4:$L1003 = A113, Recipes!$K$4:$K1003=TRUE), ""select Col4"")), -1)"),14.084375000000003)</f>
        <v>14.084375</v>
      </c>
    </row>
    <row r="114">
      <c r="A114" s="7" t="s">
        <v>252</v>
      </c>
      <c r="B114" s="19">
        <f t="shared" si="2"/>
        <v>14.084375</v>
      </c>
      <c r="C114" s="30" t="b">
        <v>0</v>
      </c>
      <c r="D114" s="30"/>
      <c r="E114" s="22">
        <f>IFERROR(__xludf.DUMMYFUNCTION("IFERROR(MIN(QUERY(FILTER(Recipes!$K$4:$N1003, Recipes!$L$4:$L1003 = A114, Recipes!$K$4:$K1003=TRUE), ""select Col4"")), -1)"),14.084375000000003)</f>
        <v>14.084375</v>
      </c>
    </row>
    <row r="115">
      <c r="A115" s="7" t="s">
        <v>253</v>
      </c>
      <c r="B115" s="19">
        <f t="shared" si="2"/>
        <v>1</v>
      </c>
      <c r="C115" s="20" t="b">
        <v>1</v>
      </c>
      <c r="D115" s="20">
        <v>1.0</v>
      </c>
      <c r="E115" s="22">
        <f>IFERROR(__xludf.DUMMYFUNCTION("IFERROR(MIN(QUERY(FILTER(Recipes!$K$4:$N1003, Recipes!$L$4:$L1003 = A115, Recipes!$K$4:$K1003=TRUE), ""select Col4"")), -1)"),-1.0)</f>
        <v>-1</v>
      </c>
    </row>
    <row r="116">
      <c r="A116" s="7" t="s">
        <v>254</v>
      </c>
      <c r="B116" s="19">
        <f t="shared" si="2"/>
        <v>3</v>
      </c>
      <c r="C116" s="20" t="b">
        <v>1</v>
      </c>
      <c r="D116" s="20">
        <v>3.0</v>
      </c>
      <c r="E116" s="22">
        <f>IFERROR(__xludf.DUMMYFUNCTION("IFERROR(MIN(QUERY(FILTER(Recipes!$K$4:$N1003, Recipes!$L$4:$L1003 = A116, Recipes!$K$4:$K1003=TRUE), ""select Col4"")), -1)"),-1.0)</f>
        <v>-1</v>
      </c>
    </row>
    <row r="117">
      <c r="A117" s="7" t="s">
        <v>255</v>
      </c>
      <c r="B117" s="19">
        <f t="shared" si="2"/>
        <v>3</v>
      </c>
      <c r="C117" s="20" t="b">
        <v>1</v>
      </c>
      <c r="D117" s="20">
        <v>3.0</v>
      </c>
      <c r="E117" s="22">
        <f>IFERROR(__xludf.DUMMYFUNCTION("IFERROR(MIN(QUERY(FILTER(Recipes!$K$4:$N1003, Recipes!$L$4:$L1003 = A117, Recipes!$K$4:$K1003=TRUE), ""select Col4"")), -1)"),2.2675)</f>
        <v>2.2675</v>
      </c>
    </row>
    <row r="118">
      <c r="A118" s="7" t="s">
        <v>256</v>
      </c>
      <c r="B118" s="19">
        <f t="shared" si="2"/>
        <v>178.6125</v>
      </c>
      <c r="C118" s="20" t="b">
        <v>0</v>
      </c>
      <c r="D118" s="30">
        <f>E118+('Shop 1 Prices'!B15-'Shop 1 Prices'!G15)*(4*0.6)</f>
        <v>178.65765</v>
      </c>
      <c r="E118" s="22">
        <f>IFERROR(__xludf.DUMMYFUNCTION("IFERROR(MIN(QUERY(FILTER(Recipes!$K$4:$N1003, Recipes!$L$4:$L1003 = A118, Recipes!$K$4:$K1003=TRUE), ""select Col4"")), -1)"),178.61250000000004)</f>
        <v>178.6125</v>
      </c>
    </row>
    <row r="119">
      <c r="A119" s="7" t="s">
        <v>257</v>
      </c>
      <c r="B119" s="19">
        <f t="shared" si="2"/>
        <v>11.2</v>
      </c>
      <c r="C119" s="20" t="b">
        <v>0</v>
      </c>
      <c r="D119" s="20">
        <v>8.6</v>
      </c>
      <c r="E119" s="22">
        <f>IFERROR(__xludf.DUMMYFUNCTION("IFERROR(MIN(QUERY(FILTER(Recipes!$K$4:$N1003, Recipes!$L$4:$L1003 = A119, Recipes!$K$4:$K1003=TRUE), ""select Col4"")), -1)"),11.2)</f>
        <v>11.2</v>
      </c>
    </row>
    <row r="120">
      <c r="A120" s="7" t="s">
        <v>258</v>
      </c>
      <c r="B120" s="19">
        <f t="shared" si="2"/>
        <v>-1</v>
      </c>
      <c r="C120" s="20" t="b">
        <v>0</v>
      </c>
      <c r="D120" s="20">
        <v>18.0</v>
      </c>
      <c r="E120" s="22">
        <f>IFERROR(__xludf.DUMMYFUNCTION("IFERROR(MIN(QUERY(FILTER(Recipes!$K$4:$N1003, Recipes!$L$4:$L1003 = A120, Recipes!$K$4:$K1003=TRUE), ""select Col4"")), -1)"),-1.0)</f>
        <v>-1</v>
      </c>
    </row>
    <row r="121">
      <c r="A121" s="7" t="s">
        <v>259</v>
      </c>
      <c r="B121" s="19">
        <f t="shared" si="2"/>
        <v>5.25</v>
      </c>
      <c r="C121" s="20" t="b">
        <v>0</v>
      </c>
      <c r="D121" s="20">
        <v>20.0</v>
      </c>
      <c r="E121" s="22">
        <f>IFERROR(__xludf.DUMMYFUNCTION("IFERROR(MIN(QUERY(FILTER(Recipes!$K$4:$N1003, Recipes!$L$4:$L1003 = A121, Recipes!$K$4:$K1003=TRUE), ""select Col4"")), -1)"),5.25)</f>
        <v>5.25</v>
      </c>
    </row>
    <row r="122">
      <c r="A122" s="7" t="s">
        <v>260</v>
      </c>
      <c r="B122" s="19">
        <f t="shared" si="2"/>
        <v>9</v>
      </c>
      <c r="C122" s="20" t="b">
        <v>1</v>
      </c>
      <c r="D122" s="20">
        <v>9.0</v>
      </c>
      <c r="E122" s="22">
        <f>IFERROR(__xludf.DUMMYFUNCTION("IFERROR(MIN(QUERY(FILTER(Recipes!$K$4:$N1003, Recipes!$L$4:$L1003 = A122, Recipes!$K$4:$K1003=TRUE), ""select Col4"")), -1)"),-1.0)</f>
        <v>-1</v>
      </c>
    </row>
    <row r="123">
      <c r="A123" s="7" t="s">
        <v>261</v>
      </c>
      <c r="B123" s="19">
        <f t="shared" si="2"/>
        <v>885.8625</v>
      </c>
      <c r="C123" s="30" t="b">
        <v>0</v>
      </c>
      <c r="D123" s="30"/>
      <c r="E123" s="22">
        <f>IFERROR(__xludf.DUMMYFUNCTION("IFERROR(MIN(QUERY(FILTER(Recipes!$K$4:$N1003, Recipes!$L$4:$L1003 = A123, Recipes!$K$4:$K1003=TRUE), ""select Col4"")), -1)"),885.8625000000002)</f>
        <v>885.8625</v>
      </c>
    </row>
    <row r="124">
      <c r="A124" s="7" t="s">
        <v>262</v>
      </c>
      <c r="B124" s="19">
        <f t="shared" si="2"/>
        <v>3407.805</v>
      </c>
      <c r="C124" s="20" t="b">
        <v>1</v>
      </c>
      <c r="D124" s="20">
        <f t="shared" ref="D124:D125" si="3">E124*1.8</f>
        <v>3407.805</v>
      </c>
      <c r="E124" s="22">
        <f>IFERROR(__xludf.DUMMYFUNCTION("IFERROR(MIN(QUERY(FILTER(Recipes!$K$4:$N1003, Recipes!$L$4:$L1003 = A124, Recipes!$K$4:$K1003=TRUE), ""select Col4"")), -1)"),1893.2250000000004)</f>
        <v>1893.225</v>
      </c>
    </row>
    <row r="125">
      <c r="A125" s="7" t="s">
        <v>263</v>
      </c>
      <c r="B125" s="19">
        <f t="shared" si="2"/>
        <v>3363.165</v>
      </c>
      <c r="C125" s="20" t="b">
        <v>1</v>
      </c>
      <c r="D125" s="20">
        <f t="shared" si="3"/>
        <v>3363.165</v>
      </c>
      <c r="E125" s="22">
        <f>IFERROR(__xludf.DUMMYFUNCTION("IFERROR(MIN(QUERY(FILTER(Recipes!$K$4:$N1003, Recipes!$L$4:$L1003 = A125, Recipes!$K$4:$K1003=TRUE), ""select Col4"")), -1)"),1868.4250000000004)</f>
        <v>1868.425</v>
      </c>
    </row>
    <row r="126">
      <c r="A126" s="7" t="s">
        <v>264</v>
      </c>
      <c r="B126" s="19">
        <f t="shared" si="2"/>
        <v>39.1125</v>
      </c>
      <c r="C126" s="20" t="b">
        <v>0</v>
      </c>
      <c r="D126" s="20">
        <v>100.0</v>
      </c>
      <c r="E126" s="22">
        <f>IFERROR(__xludf.DUMMYFUNCTION("IFERROR(MIN(QUERY(FILTER(Recipes!$K$4:$N1003, Recipes!$L$4:$L1003 = A126, Recipes!$K$4:$K1003=TRUE), ""select Col4"")), -1)"),39.11249999999999)</f>
        <v>39.1125</v>
      </c>
    </row>
    <row r="127">
      <c r="A127" s="7" t="s">
        <v>265</v>
      </c>
      <c r="B127" s="19">
        <f t="shared" si="2"/>
        <v>162154.0617</v>
      </c>
      <c r="C127" s="30" t="b">
        <v>0</v>
      </c>
      <c r="D127" s="30"/>
      <c r="E127" s="22">
        <f>IFERROR(__xludf.DUMMYFUNCTION("IFERROR(MIN(QUERY(FILTER(Recipes!$K$4:$N1003, Recipes!$L$4:$L1003 = A127, Recipes!$K$4:$K1003=TRUE), ""select Col4"")), -1)"),162154.06166666668)</f>
        <v>162154.0617</v>
      </c>
    </row>
    <row r="128">
      <c r="A128" s="7" t="s">
        <v>267</v>
      </c>
      <c r="B128" s="19">
        <f t="shared" si="2"/>
        <v>7711.0725</v>
      </c>
      <c r="C128" s="30" t="b">
        <v>0</v>
      </c>
      <c r="D128" s="30"/>
      <c r="E128" s="22">
        <f>IFERROR(__xludf.DUMMYFUNCTION("IFERROR(MIN(QUERY(FILTER(Recipes!$K$4:$N1003, Recipes!$L$4:$L1003 = A128, Recipes!$K$4:$K1003=TRUE), ""select Col4"")), -1)"),7711.072500000001)</f>
        <v>7711.0725</v>
      </c>
    </row>
    <row r="129">
      <c r="A129" s="7" t="s">
        <v>268</v>
      </c>
      <c r="B129" s="19">
        <f t="shared" si="2"/>
        <v>13827.95083</v>
      </c>
      <c r="C129" s="30" t="b">
        <v>0</v>
      </c>
      <c r="D129" s="30"/>
      <c r="E129" s="22">
        <f>IFERROR(__xludf.DUMMYFUNCTION("IFERROR(MIN(QUERY(FILTER(Recipes!$K$4:$N1003, Recipes!$L$4:$L1003 = A129, Recipes!$K$4:$K1003=TRUE), ""select Col4"")), -1)"),13827.950833333336)</f>
        <v>13827.95083</v>
      </c>
    </row>
    <row r="130">
      <c r="A130" s="7" t="s">
        <v>274</v>
      </c>
      <c r="B130" s="19">
        <f t="shared" si="2"/>
        <v>89080.51625</v>
      </c>
      <c r="C130" s="30" t="b">
        <v>0</v>
      </c>
      <c r="D130" s="30"/>
      <c r="E130" s="22">
        <f>IFERROR(__xludf.DUMMYFUNCTION("IFERROR(MIN(QUERY(FILTER(Recipes!$K$4:$N1003, Recipes!$L$4:$L1003 = A130, Recipes!$K$4:$K1003=TRUE), ""select Col4"")), -1)"),89080.51625000002)</f>
        <v>89080.51625</v>
      </c>
    </row>
    <row r="131">
      <c r="A131" s="7" t="s">
        <v>276</v>
      </c>
      <c r="B131" s="19">
        <f t="shared" si="2"/>
        <v>44566.48083</v>
      </c>
      <c r="C131" s="30" t="b">
        <v>0</v>
      </c>
      <c r="D131" s="30"/>
      <c r="E131" s="22">
        <f>IFERROR(__xludf.DUMMYFUNCTION("IFERROR(MIN(QUERY(FILTER(Recipes!$K$4:$N1003, Recipes!$L$4:$L1003 = A131, Recipes!$K$4:$K1003=TRUE), ""select Col4"")), -1)"),44566.48083333334)</f>
        <v>44566.48083</v>
      </c>
    </row>
    <row r="132">
      <c r="A132" s="7" t="s">
        <v>277</v>
      </c>
      <c r="B132" s="19">
        <f t="shared" si="2"/>
        <v>30</v>
      </c>
      <c r="C132" s="20" t="b">
        <v>1</v>
      </c>
      <c r="D132" s="20">
        <v>30.0</v>
      </c>
      <c r="E132" s="22">
        <f>IFERROR(__xludf.DUMMYFUNCTION("IFERROR(MIN(QUERY(FILTER(Recipes!$K$4:$N1003, Recipes!$L$4:$L1003 = A132, Recipes!$K$4:$K1003=TRUE), ""select Col4"")), -1)"),-1.0)</f>
        <v>-1</v>
      </c>
    </row>
    <row r="133">
      <c r="A133" s="7" t="s">
        <v>279</v>
      </c>
      <c r="B133" s="19">
        <f t="shared" si="2"/>
        <v>5</v>
      </c>
      <c r="C133" s="20" t="b">
        <v>1</v>
      </c>
      <c r="D133" s="20">
        <v>5.0</v>
      </c>
      <c r="E133" s="22">
        <f>IFERROR(__xludf.DUMMYFUNCTION("IFERROR(MIN(QUERY(FILTER(Recipes!$K$4:$N1003, Recipes!$L$4:$L1003 = A133, Recipes!$K$4:$K1003=TRUE), ""select Col4"")), -1)"),22.501458333333332)</f>
        <v>22.50145833</v>
      </c>
    </row>
    <row r="134">
      <c r="A134" s="7" t="s">
        <v>280</v>
      </c>
      <c r="B134" s="19">
        <f t="shared" si="2"/>
        <v>6000</v>
      </c>
      <c r="C134" s="20" t="b">
        <v>1</v>
      </c>
      <c r="D134" s="20">
        <v>6000.0</v>
      </c>
      <c r="E134" s="22">
        <f>IFERROR(__xludf.DUMMYFUNCTION("IFERROR(MIN(QUERY(FILTER(Recipes!$K$4:$N1003, Recipes!$L$4:$L1003 = A134, Recipes!$K$4:$K1003=TRUE), ""select Col4"")), -1)"),-1.0)</f>
        <v>-1</v>
      </c>
    </row>
    <row r="135">
      <c r="A135" s="7" t="s">
        <v>281</v>
      </c>
      <c r="B135" s="19">
        <f t="shared" si="2"/>
        <v>250</v>
      </c>
      <c r="C135" s="20" t="b">
        <v>1</v>
      </c>
      <c r="D135" s="20">
        <v>250.0</v>
      </c>
      <c r="E135" s="22">
        <f>IFERROR(__xludf.DUMMYFUNCTION("IFERROR(MIN(QUERY(FILTER(Recipes!$K$4:$N1003, Recipes!$L$4:$L1003 = A135, Recipes!$K$4:$K1003=TRUE), ""select Col4"")), -1)"),-1.0)</f>
        <v>-1</v>
      </c>
    </row>
    <row r="136">
      <c r="A136" s="7" t="s">
        <v>282</v>
      </c>
      <c r="B136" s="19">
        <f t="shared" si="2"/>
        <v>120</v>
      </c>
      <c r="C136" s="20" t="b">
        <v>1</v>
      </c>
      <c r="D136" s="20">
        <v>120.0</v>
      </c>
      <c r="E136" s="22">
        <f>IFERROR(__xludf.DUMMYFUNCTION("IFERROR(MIN(QUERY(FILTER(Recipes!$K$4:$N1003, Recipes!$L$4:$L1003 = A136, Recipes!$K$4:$K1003=TRUE), ""select Col4"")), -1)"),-1.0)</f>
        <v>-1</v>
      </c>
    </row>
    <row r="137">
      <c r="A137" s="7" t="s">
        <v>283</v>
      </c>
      <c r="B137" s="19">
        <f t="shared" si="2"/>
        <v>28875.7949</v>
      </c>
      <c r="C137" s="30" t="b">
        <v>0</v>
      </c>
      <c r="D137" s="30"/>
      <c r="E137" s="22">
        <f>IFERROR(__xludf.DUMMYFUNCTION("IFERROR(MIN(QUERY(FILTER(Recipes!$K$4:$N1003, Recipes!$L$4:$L1003 = A137, Recipes!$K$4:$K1003=TRUE), ""select Col4"")), -1)"),28875.79489583334)</f>
        <v>28875.7949</v>
      </c>
    </row>
    <row r="138">
      <c r="A138" s="7" t="s">
        <v>284</v>
      </c>
      <c r="B138" s="19">
        <f t="shared" si="2"/>
        <v>30</v>
      </c>
      <c r="C138" s="20" t="b">
        <v>1</v>
      </c>
      <c r="D138" s="20">
        <v>30.0</v>
      </c>
      <c r="E138" s="22">
        <f>IFERROR(__xludf.DUMMYFUNCTION("IFERROR(MIN(QUERY(FILTER(Recipes!$K$4:$N1003, Recipes!$L$4:$L1003 = A138, Recipes!$K$4:$K1003=TRUE), ""select Col4"")), -1)"),-1.0)</f>
        <v>-1</v>
      </c>
    </row>
    <row r="139">
      <c r="A139" s="7" t="s">
        <v>285</v>
      </c>
      <c r="B139" s="19">
        <f t="shared" si="2"/>
        <v>10.54</v>
      </c>
      <c r="C139" s="30" t="b">
        <v>0</v>
      </c>
      <c r="D139" s="30"/>
      <c r="E139" s="22">
        <f>IFERROR(__xludf.DUMMYFUNCTION("IFERROR(MIN(QUERY(FILTER(Recipes!$K$4:$N1003, Recipes!$L$4:$L1003 = A139, Recipes!$K$4:$K1003=TRUE), ""select Col4"")), -1)"),10.540000000000001)</f>
        <v>10.54</v>
      </c>
    </row>
    <row r="140">
      <c r="A140" s="7" t="s">
        <v>286</v>
      </c>
      <c r="B140" s="19">
        <f t="shared" si="2"/>
        <v>2.4</v>
      </c>
      <c r="C140" s="20" t="b">
        <v>1</v>
      </c>
      <c r="D140" s="20">
        <v>2.4</v>
      </c>
      <c r="E140" s="22">
        <f>IFERROR(__xludf.DUMMYFUNCTION("IFERROR(MIN(QUERY(FILTER(Recipes!$K$4:$N1003, Recipes!$L$4:$L1003 = A140, Recipes!$K$4:$K1003=TRUE), ""select Col4"")), -1)"),-1.0)</f>
        <v>-1</v>
      </c>
    </row>
    <row r="141">
      <c r="A141" s="7" t="s">
        <v>288</v>
      </c>
      <c r="B141" s="19">
        <f t="shared" si="2"/>
        <v>165.4774</v>
      </c>
      <c r="C141" s="30" t="b">
        <v>0</v>
      </c>
      <c r="D141" s="30"/>
      <c r="E141" s="22">
        <f>IFERROR(__xludf.DUMMYFUNCTION("IFERROR(MIN(QUERY(FILTER(Recipes!$K$4:$N1003, Recipes!$L$4:$L1003 = A141, Recipes!$K$4:$K1003=TRUE), ""select Col4"")), -1)"),165.4774)</f>
        <v>165.4774</v>
      </c>
    </row>
    <row r="142">
      <c r="A142" s="7" t="s">
        <v>86</v>
      </c>
      <c r="B142" s="19">
        <f t="shared" si="2"/>
        <v>0.134375</v>
      </c>
      <c r="C142" s="30" t="b">
        <v>0</v>
      </c>
      <c r="D142" s="30"/>
      <c r="E142" s="22">
        <f>IFERROR(__xludf.DUMMYFUNCTION("IFERROR(MIN(QUERY(FILTER(Recipes!$K$3:$N1003, Recipes!$L$3:$L1003 = A142, Recipes!$K$3:$K1003=TRUE), ""select Col4"")), -1)"),0.13437500000000002)</f>
        <v>0.134375</v>
      </c>
    </row>
    <row r="143">
      <c r="A143" s="7" t="s">
        <v>291</v>
      </c>
      <c r="B143" s="19">
        <f t="shared" si="2"/>
        <v>2</v>
      </c>
      <c r="C143" s="20" t="b">
        <v>1</v>
      </c>
      <c r="D143" s="20">
        <v>2.0</v>
      </c>
      <c r="E143" s="22">
        <f>IFERROR(__xludf.DUMMYFUNCTION("IFERROR(MIN(QUERY(FILTER(Recipes!$K$4:$N1003, Recipes!$L$4:$L1003 = A143, Recipes!$K$4:$K1003=TRUE), ""select Col4"")), -1)"),-1.0)</f>
        <v>-1</v>
      </c>
    </row>
    <row r="144">
      <c r="A144" s="7" t="s">
        <v>292</v>
      </c>
      <c r="B144" s="19">
        <f t="shared" si="2"/>
        <v>-1</v>
      </c>
      <c r="C144" s="30" t="b">
        <v>0</v>
      </c>
      <c r="D144" s="30"/>
      <c r="E144" s="22">
        <f>IFERROR(__xludf.DUMMYFUNCTION("IFERROR(MIN(QUERY(FILTER(Recipes!$K$4:$N1003, Recipes!$L$4:$L1003 = A144, Recipes!$K$4:$K1003=TRUE), ""select Col4"")), -1)"),-1.0)</f>
        <v>-1</v>
      </c>
    </row>
    <row r="145">
      <c r="A145" s="7" t="s">
        <v>293</v>
      </c>
      <c r="B145" s="19">
        <f t="shared" si="2"/>
        <v>1</v>
      </c>
      <c r="C145" s="20" t="b">
        <v>1</v>
      </c>
      <c r="D145" s="20">
        <v>1.0</v>
      </c>
      <c r="E145" s="22">
        <f>IFERROR(__xludf.DUMMYFUNCTION("IFERROR(MIN(QUERY(FILTER(Recipes!$K$4:$N1003, Recipes!$L$4:$L1003 = A145, Recipes!$K$4:$K1003=TRUE), ""select Col4"")), -1)"),-1.0)</f>
        <v>-1</v>
      </c>
    </row>
    <row r="146">
      <c r="A146" s="7" t="s">
        <v>295</v>
      </c>
      <c r="B146" s="19">
        <f t="shared" si="2"/>
        <v>48.8</v>
      </c>
      <c r="C146" s="30" t="b">
        <v>0</v>
      </c>
      <c r="D146" s="30"/>
      <c r="E146" s="22">
        <f>IFERROR(__xludf.DUMMYFUNCTION("IFERROR(MIN(QUERY(FILTER(Recipes!$K$4:$N1003, Recipes!$L$4:$L1003 = A146, Recipes!$K$4:$K1003=TRUE), ""select Col4"")), -1)"),48.8)</f>
        <v>48.8</v>
      </c>
    </row>
    <row r="147">
      <c r="A147" s="7" t="s">
        <v>120</v>
      </c>
      <c r="B147" s="19">
        <f t="shared" si="2"/>
        <v>0.107</v>
      </c>
      <c r="C147" s="20" t="b">
        <v>0</v>
      </c>
      <c r="D147" s="20">
        <v>0.25</v>
      </c>
      <c r="E147" s="22">
        <f>IFERROR(__xludf.DUMMYFUNCTION("IFERROR(MIN(QUERY(FILTER(Recipes!$K$4:$N1003, Recipes!$L$4:$L1003 = A147, Recipes!$K$4:$K1003=TRUE), ""select Col4"")), -1)"),0.10699999999999998)</f>
        <v>0.107</v>
      </c>
    </row>
    <row r="148">
      <c r="A148" s="7" t="s">
        <v>297</v>
      </c>
      <c r="B148" s="19">
        <f t="shared" si="2"/>
        <v>1.5</v>
      </c>
      <c r="C148" s="20" t="b">
        <v>1</v>
      </c>
      <c r="D148" s="20">
        <v>1.5</v>
      </c>
      <c r="E148" s="22">
        <f>IFERROR(__xludf.DUMMYFUNCTION("IFERROR(MIN(QUERY(FILTER(Recipes!$K$4:$N1003, Recipes!$L$4:$L1003 = A148, Recipes!$K$4:$K1003=TRUE), ""select Col4"")), -1)"),-1.0)</f>
        <v>-1</v>
      </c>
    </row>
    <row r="149">
      <c r="A149" s="7" t="s">
        <v>298</v>
      </c>
      <c r="B149" s="19">
        <f t="shared" si="2"/>
        <v>2</v>
      </c>
      <c r="C149" s="20" t="b">
        <v>1</v>
      </c>
      <c r="D149" s="20">
        <v>2.0</v>
      </c>
      <c r="E149" s="22">
        <f>IFERROR(__xludf.DUMMYFUNCTION("IFERROR(MIN(QUERY(FILTER(Recipes!$K$4:$N1003, Recipes!$L$4:$L1003 = A149, Recipes!$K$4:$K1003=TRUE), ""select Col4"")), -1)"),1.0963500000000002)</f>
        <v>1.09635</v>
      </c>
    </row>
    <row r="150">
      <c r="A150" s="7" t="s">
        <v>226</v>
      </c>
      <c r="B150" s="19">
        <f t="shared" si="2"/>
        <v>1.36935</v>
      </c>
      <c r="C150" s="20" t="b">
        <v>0</v>
      </c>
      <c r="D150" s="20">
        <v>5.0</v>
      </c>
      <c r="E150" s="22">
        <f>IFERROR(__xludf.DUMMYFUNCTION("IFERROR(MIN(QUERY(FILTER(Recipes!$K$4:$N1003, Recipes!$L$4:$L1003 = A150, Recipes!$K$4:$K1003=TRUE), ""select Col4"")), -1)"),1.3693500000000003)</f>
        <v>1.36935</v>
      </c>
    </row>
    <row r="151">
      <c r="A151" s="7" t="s">
        <v>302</v>
      </c>
      <c r="B151" s="19">
        <f t="shared" si="2"/>
        <v>157.8</v>
      </c>
      <c r="C151" s="30" t="b">
        <v>0</v>
      </c>
      <c r="D151" s="30"/>
      <c r="E151" s="22">
        <f>IFERROR(__xludf.DUMMYFUNCTION("IFERROR(MIN(QUERY(FILTER(Recipes!$K$4:$N1003, Recipes!$L$4:$L1003 = A151, Recipes!$K$4:$K1003=TRUE), ""select Col4"")), -1)"),157.8)</f>
        <v>157.8</v>
      </c>
    </row>
    <row r="152">
      <c r="A152" s="7" t="s">
        <v>303</v>
      </c>
      <c r="B152" s="19">
        <f t="shared" si="2"/>
        <v>7</v>
      </c>
      <c r="C152" s="30" t="b">
        <v>0</v>
      </c>
      <c r="D152" s="30"/>
      <c r="E152" s="22">
        <f>IFERROR(__xludf.DUMMYFUNCTION("IFERROR(MIN(QUERY(FILTER(Recipes!$K$4:$N1003, Recipes!$L$4:$L1003 = A152, Recipes!$K$4:$K1003=TRUE), ""select Col4"")), -1)"),7.0)</f>
        <v>7</v>
      </c>
    </row>
    <row r="153">
      <c r="A153" s="7" t="s">
        <v>305</v>
      </c>
      <c r="B153" s="19">
        <f t="shared" si="2"/>
        <v>6.4</v>
      </c>
      <c r="C153" s="30" t="b">
        <v>0</v>
      </c>
      <c r="D153" s="30"/>
      <c r="E153" s="22">
        <f>IFERROR(__xludf.DUMMYFUNCTION("IFERROR(MIN(QUERY(FILTER(Recipes!$K$4:$N1003, Recipes!$L$4:$L1003 = A153, Recipes!$K$4:$K1003=TRUE), ""select Col4"")), -1)"),6.4)</f>
        <v>6.4</v>
      </c>
    </row>
    <row r="154">
      <c r="A154" s="7" t="s">
        <v>306</v>
      </c>
      <c r="B154" s="19">
        <f t="shared" si="2"/>
        <v>102.8</v>
      </c>
      <c r="C154" s="30" t="b">
        <v>0</v>
      </c>
      <c r="D154" s="30"/>
      <c r="E154" s="22">
        <f>IFERROR(__xludf.DUMMYFUNCTION("IFERROR(MIN(QUERY(FILTER(Recipes!$K$4:$N1003, Recipes!$L$4:$L1003 = A154, Recipes!$K$4:$K1003=TRUE), ""select Col4"")), -1)"),102.80000000000001)</f>
        <v>102.8</v>
      </c>
    </row>
    <row r="155">
      <c r="A155" s="7" t="s">
        <v>307</v>
      </c>
      <c r="B155" s="19">
        <f t="shared" si="2"/>
        <v>4</v>
      </c>
      <c r="C155" s="20" t="b">
        <v>1</v>
      </c>
      <c r="D155" s="20">
        <v>4.0</v>
      </c>
      <c r="E155" s="22">
        <f>IFERROR(__xludf.DUMMYFUNCTION("IFERROR(MIN(QUERY(FILTER(Recipes!$K$4:$N1003, Recipes!$L$4:$L1003 = A155, Recipes!$K$4:$K1003=TRUE), ""select Col4"")), -1)"),-1.0)</f>
        <v>-1</v>
      </c>
    </row>
    <row r="156">
      <c r="A156" s="7" t="s">
        <v>309</v>
      </c>
      <c r="B156" s="19">
        <f t="shared" si="2"/>
        <v>1.5</v>
      </c>
      <c r="C156" s="20" t="b">
        <v>1</v>
      </c>
      <c r="D156" s="20">
        <v>1.5</v>
      </c>
      <c r="E156" s="22">
        <f>IFERROR(__xludf.DUMMYFUNCTION("IFERROR(MIN(QUERY(FILTER(Recipes!$K$4:$N1003, Recipes!$L$4:$L1003 = A156, Recipes!$K$4:$K1003=TRUE), ""select Col4"")), -1)"),-1.0)</f>
        <v>-1</v>
      </c>
    </row>
    <row r="157">
      <c r="A157" s="7" t="s">
        <v>310</v>
      </c>
      <c r="B157" s="19">
        <f t="shared" si="2"/>
        <v>162</v>
      </c>
      <c r="C157" s="30" t="b">
        <v>0</v>
      </c>
      <c r="D157" s="30"/>
      <c r="E157" s="22">
        <f>IFERROR(__xludf.DUMMYFUNCTION("IFERROR(MIN(QUERY(FILTER(Recipes!$K$4:$N1003, Recipes!$L$4:$L1003 = A157, Recipes!$K$4:$K1003=TRUE), ""select Col4"")), -1)"),162.0)</f>
        <v>162</v>
      </c>
    </row>
    <row r="158">
      <c r="A158" s="7" t="s">
        <v>311</v>
      </c>
      <c r="B158" s="19">
        <f t="shared" si="2"/>
        <v>7.4</v>
      </c>
      <c r="C158" s="30" t="b">
        <v>0</v>
      </c>
      <c r="D158" s="30"/>
      <c r="E158" s="22">
        <f>IFERROR(__xludf.DUMMYFUNCTION("IFERROR(MIN(QUERY(FILTER(Recipes!$K$4:$N1003, Recipes!$L$4:$L1003 = A158, Recipes!$K$4:$K1003=TRUE), ""select Col4"")), -1)"),7.4)</f>
        <v>7.4</v>
      </c>
    </row>
    <row r="159">
      <c r="A159" s="7" t="s">
        <v>312</v>
      </c>
      <c r="B159" s="19">
        <f t="shared" si="2"/>
        <v>1.25</v>
      </c>
      <c r="C159" s="30" t="b">
        <v>0</v>
      </c>
      <c r="D159" s="30"/>
      <c r="E159" s="22">
        <f>IFERROR(__xludf.DUMMYFUNCTION("IFERROR(MIN(QUERY(FILTER(Recipes!$K$4:$N1003, Recipes!$L$4:$L1003 = A159, Recipes!$K$4:$K1003=TRUE), ""select Col4"")), -1)"),1.25)</f>
        <v>1.25</v>
      </c>
    </row>
    <row r="160">
      <c r="A160" s="7" t="s">
        <v>314</v>
      </c>
      <c r="B160" s="19">
        <f t="shared" si="2"/>
        <v>145.3</v>
      </c>
      <c r="C160" s="30" t="b">
        <v>0</v>
      </c>
      <c r="D160" s="30"/>
      <c r="E160" s="22">
        <f>IFERROR(__xludf.DUMMYFUNCTION("IFERROR(MIN(QUERY(FILTER(Recipes!$K$4:$N1003, Recipes!$L$4:$L1003 = A160, Recipes!$K$4:$K1003=TRUE), ""select Col4"")), -1)"),145.3)</f>
        <v>145.3</v>
      </c>
    </row>
    <row r="161">
      <c r="A161" s="7" t="s">
        <v>315</v>
      </c>
      <c r="B161" s="19">
        <f t="shared" si="2"/>
        <v>104.6</v>
      </c>
      <c r="C161" s="30" t="b">
        <v>0</v>
      </c>
      <c r="D161" s="30"/>
      <c r="E161" s="22">
        <f>IFERROR(__xludf.DUMMYFUNCTION("IFERROR(MIN(QUERY(FILTER(Recipes!$K$4:$N1003, Recipes!$L$4:$L1003 = A161, Recipes!$K$4:$K1003=TRUE), ""select Col4"")), -1)"),104.6)</f>
        <v>104.6</v>
      </c>
    </row>
    <row r="162">
      <c r="A162" s="7" t="s">
        <v>317</v>
      </c>
      <c r="B162" s="19">
        <f t="shared" si="2"/>
        <v>260.75</v>
      </c>
      <c r="C162" s="30" t="b">
        <v>0</v>
      </c>
      <c r="D162" s="30"/>
      <c r="E162" s="22">
        <f>IFERROR(__xludf.DUMMYFUNCTION("IFERROR(MIN(QUERY(FILTER(Recipes!$K$4:$N1003, Recipes!$L$4:$L1003 = A162, Recipes!$K$4:$K1003=TRUE), ""select Col4"")), -1)"),260.75)</f>
        <v>260.75</v>
      </c>
    </row>
    <row r="163">
      <c r="A163" s="7" t="s">
        <v>318</v>
      </c>
      <c r="B163" s="19">
        <f t="shared" si="2"/>
        <v>356.6774</v>
      </c>
      <c r="C163" s="30" t="b">
        <v>0</v>
      </c>
      <c r="D163" s="30"/>
      <c r="E163" s="22">
        <f>IFERROR(__xludf.DUMMYFUNCTION("IFERROR(MIN(QUERY(FILTER(Recipes!$K$4:$N1003, Recipes!$L$4:$L1003 = A163, Recipes!$K$4:$K1003=TRUE), ""select Col4"")), -1)"),356.6774)</f>
        <v>356.6774</v>
      </c>
    </row>
    <row r="164">
      <c r="A164" s="7" t="s">
        <v>319</v>
      </c>
      <c r="B164" s="19">
        <f t="shared" si="2"/>
        <v>11</v>
      </c>
      <c r="C164" s="30" t="b">
        <v>0</v>
      </c>
      <c r="D164" s="30"/>
      <c r="E164" s="22">
        <f>IFERROR(__xludf.DUMMYFUNCTION("IFERROR(MIN(QUERY(FILTER(Recipes!$K$4:$N1003, Recipes!$L$4:$L1003 = A164, Recipes!$K$4:$K1003=TRUE), ""select Col4"")), -1)"),11.0)</f>
        <v>11</v>
      </c>
    </row>
    <row r="165">
      <c r="A165" s="7" t="s">
        <v>320</v>
      </c>
      <c r="B165" s="19">
        <f t="shared" si="2"/>
        <v>8</v>
      </c>
      <c r="C165" s="20" t="b">
        <v>1</v>
      </c>
      <c r="D165" s="20">
        <v>8.0</v>
      </c>
      <c r="E165" s="22">
        <f>IFERROR(__xludf.DUMMYFUNCTION("IFERROR(MIN(QUERY(FILTER(Recipes!$K$4:$N1003, Recipes!$L$4:$L1003 = A165, Recipes!$K$4:$K1003=TRUE), ""select Col4"")), -1)"),-1.0)</f>
        <v>-1</v>
      </c>
    </row>
    <row r="166">
      <c r="A166" s="7" t="s">
        <v>321</v>
      </c>
      <c r="B166" s="19">
        <f t="shared" si="2"/>
        <v>862.4</v>
      </c>
      <c r="C166" s="30" t="b">
        <v>0</v>
      </c>
      <c r="D166" s="30"/>
      <c r="E166" s="22">
        <f>IFERROR(__xludf.DUMMYFUNCTION("IFERROR(MIN(QUERY(FILTER(Recipes!$K$4:$N1003, Recipes!$L$4:$L1003 = A166, Recipes!$K$4:$K1003=TRUE), ""select Col4"")), -1)"),862.4000000000001)</f>
        <v>862.4</v>
      </c>
    </row>
    <row r="167">
      <c r="A167" s="7" t="s">
        <v>322</v>
      </c>
      <c r="B167" s="19">
        <f t="shared" si="2"/>
        <v>18.4</v>
      </c>
      <c r="C167" s="30" t="b">
        <v>0</v>
      </c>
      <c r="D167" s="30"/>
      <c r="E167" s="22">
        <f>IFERROR(__xludf.DUMMYFUNCTION("IFERROR(MIN(QUERY(FILTER(Recipes!$K$4:$N1003, Recipes!$L$4:$L1003 = A167, Recipes!$K$4:$K1003=TRUE), ""select Col4"")), -1)"),18.4)</f>
        <v>18.4</v>
      </c>
    </row>
    <row r="168">
      <c r="A168" s="7" t="s">
        <v>323</v>
      </c>
      <c r="B168" s="19">
        <f t="shared" si="2"/>
        <v>20</v>
      </c>
      <c r="C168" s="20" t="b">
        <v>1</v>
      </c>
      <c r="D168" s="20">
        <v>20.0</v>
      </c>
      <c r="E168" s="22">
        <f>IFERROR(__xludf.DUMMYFUNCTION("IFERROR(MIN(QUERY(FILTER(Recipes!$K$4:$N1003, Recipes!$L$4:$L1003 = A168, Recipes!$K$4:$K1003=TRUE), ""select Col4"")), -1)"),-1.0)</f>
        <v>-1</v>
      </c>
    </row>
    <row r="169">
      <c r="A169" s="7" t="s">
        <v>325</v>
      </c>
      <c r="B169" s="19">
        <f t="shared" si="2"/>
        <v>2</v>
      </c>
      <c r="C169" s="20" t="b">
        <v>1</v>
      </c>
      <c r="D169" s="20">
        <v>2.0</v>
      </c>
      <c r="E169" s="22">
        <f>IFERROR(__xludf.DUMMYFUNCTION("IFERROR(MIN(QUERY(FILTER(Recipes!$K$4:$N1003, Recipes!$L$4:$L1003 = A169, Recipes!$K$4:$K1003=TRUE), ""select Col4"")), -1)"),-1.0)</f>
        <v>-1</v>
      </c>
    </row>
    <row r="170">
      <c r="A170" s="7" t="s">
        <v>326</v>
      </c>
      <c r="B170" s="19">
        <f t="shared" si="2"/>
        <v>1366.425</v>
      </c>
      <c r="C170" s="30" t="b">
        <v>0</v>
      </c>
      <c r="D170" s="30"/>
      <c r="E170" s="22">
        <f>IFERROR(__xludf.DUMMYFUNCTION("IFERROR(MIN(QUERY(FILTER(Recipes!$K$4:$N1003, Recipes!$L$4:$L1003 = A170, Recipes!$K$4:$K1003=TRUE), ""select Col4"")), -1)"),1366.425)</f>
        <v>1366.425</v>
      </c>
    </row>
    <row r="171">
      <c r="A171" s="7" t="s">
        <v>329</v>
      </c>
      <c r="B171" s="19">
        <f t="shared" si="2"/>
        <v>78.5</v>
      </c>
      <c r="C171" s="30" t="b">
        <v>0</v>
      </c>
      <c r="D171" s="30"/>
      <c r="E171" s="22">
        <f>IFERROR(__xludf.DUMMYFUNCTION("IFERROR(MIN(QUERY(FILTER(Recipes!$K$4:$N1003, Recipes!$L$4:$L1003 = A171, Recipes!$K$4:$K1003=TRUE), ""select Col4"")), -1)"),78.5)</f>
        <v>78.5</v>
      </c>
    </row>
    <row r="172">
      <c r="A172" s="7" t="s">
        <v>330</v>
      </c>
      <c r="B172" s="19">
        <f t="shared" si="2"/>
        <v>128.6</v>
      </c>
      <c r="C172" s="30" t="b">
        <v>0</v>
      </c>
      <c r="D172" s="30"/>
      <c r="E172" s="22">
        <f>IFERROR(__xludf.DUMMYFUNCTION("IFERROR(MIN(QUERY(FILTER(Recipes!$K$4:$N1003, Recipes!$L$4:$L1003 = A172, Recipes!$K$4:$K1003=TRUE), ""select Col4"")), -1)"),128.60000000000002)</f>
        <v>128.6</v>
      </c>
    </row>
    <row r="173">
      <c r="A173" s="7" t="s">
        <v>332</v>
      </c>
      <c r="B173" s="19">
        <f t="shared" si="2"/>
        <v>110.5</v>
      </c>
      <c r="C173" s="20" t="b">
        <v>0</v>
      </c>
      <c r="D173" s="30"/>
      <c r="E173" s="22">
        <f>IFERROR(__xludf.DUMMYFUNCTION("IFERROR(MIN(QUERY(FILTER(Recipes!$K$4:$N1003, Recipes!$L$4:$L1003 = A173, Recipes!$K$4:$K1003=TRUE), ""select Col4"")), -1)"),110.5)</f>
        <v>110.5</v>
      </c>
    </row>
    <row r="174">
      <c r="A174" s="7" t="s">
        <v>334</v>
      </c>
      <c r="B174" s="19">
        <f t="shared" si="2"/>
        <v>78.5</v>
      </c>
      <c r="C174" s="30" t="b">
        <v>0</v>
      </c>
      <c r="D174" s="30"/>
      <c r="E174" s="22">
        <f>IFERROR(__xludf.DUMMYFUNCTION("IFERROR(MIN(QUERY(FILTER(Recipes!$K$4:$N1003, Recipes!$L$4:$L1003 = A174, Recipes!$K$4:$K1003=TRUE), ""select Col4"")), -1)"),78.5)</f>
        <v>78.5</v>
      </c>
    </row>
    <row r="175">
      <c r="A175" s="7" t="s">
        <v>336</v>
      </c>
      <c r="B175" s="19">
        <f t="shared" si="2"/>
        <v>1366.425</v>
      </c>
      <c r="C175" s="30" t="b">
        <v>0</v>
      </c>
      <c r="D175" s="30"/>
      <c r="E175" s="22">
        <f>IFERROR(__xludf.DUMMYFUNCTION("IFERROR(MIN(QUERY(FILTER(Recipes!$K$4:$N1003, Recipes!$L$4:$L1003 = A175, Recipes!$K$4:$K1003=TRUE), ""select Col4"")), -1)"),1366.425)</f>
        <v>1366.425</v>
      </c>
    </row>
    <row r="176">
      <c r="A176" s="7" t="s">
        <v>338</v>
      </c>
      <c r="B176" s="19">
        <f t="shared" si="2"/>
        <v>5.1140625</v>
      </c>
      <c r="C176" s="30" t="b">
        <v>0</v>
      </c>
      <c r="D176" s="30"/>
      <c r="E176" s="22">
        <f>IFERROR(__xludf.DUMMYFUNCTION("IFERROR(MIN(QUERY(FILTER(Recipes!$K$4:$N1003, Recipes!$L$4:$L1003 = A176, Recipes!$K$4:$K1003=TRUE), ""select Col4"")), -1)"),5.114062499999999)</f>
        <v>5.1140625</v>
      </c>
    </row>
    <row r="177">
      <c r="A177" s="7" t="s">
        <v>340</v>
      </c>
      <c r="B177" s="19">
        <f t="shared" si="2"/>
        <v>128</v>
      </c>
      <c r="C177" s="30" t="b">
        <v>0</v>
      </c>
      <c r="D177" s="30"/>
      <c r="E177" s="22">
        <f>IFERROR(__xludf.DUMMYFUNCTION("IFERROR(MIN(QUERY(FILTER(Recipes!$K$4:$N1003, Recipes!$L$4:$L1003 = A177, Recipes!$K$4:$K1003=TRUE), ""select Col4"")), -1)"),128.0)</f>
        <v>128</v>
      </c>
    </row>
    <row r="178">
      <c r="A178" s="7" t="s">
        <v>341</v>
      </c>
      <c r="B178" s="19">
        <f t="shared" si="2"/>
        <v>386.4925</v>
      </c>
      <c r="C178" s="30" t="b">
        <v>0</v>
      </c>
      <c r="D178" s="30"/>
      <c r="E178" s="22">
        <f>IFERROR(__xludf.DUMMYFUNCTION("IFERROR(MIN(QUERY(FILTER(Recipes!$K$4:$N1003, Recipes!$L$4:$L1003 = A178, Recipes!$K$4:$K1003=TRUE), ""select Col4"")), -1)"),386.49249999999995)</f>
        <v>386.4925</v>
      </c>
    </row>
    <row r="179">
      <c r="A179" s="7" t="s">
        <v>239</v>
      </c>
      <c r="B179" s="19">
        <f t="shared" si="2"/>
        <v>516.4925</v>
      </c>
      <c r="C179" s="30" t="b">
        <v>0</v>
      </c>
      <c r="D179" s="30"/>
      <c r="E179" s="22">
        <f>IFERROR(__xludf.DUMMYFUNCTION("IFERROR(MIN(QUERY(FILTER(Recipes!$K$4:$N1003, Recipes!$L$4:$L1003 = A179, Recipes!$K$4:$K1003=TRUE), ""select Col4"")), -1)"),516.4925)</f>
        <v>516.4925</v>
      </c>
    </row>
    <row r="180">
      <c r="A180" s="7" t="s">
        <v>324</v>
      </c>
      <c r="B180" s="19">
        <f t="shared" si="2"/>
        <v>235.9308333</v>
      </c>
      <c r="C180" s="30" t="b">
        <v>0</v>
      </c>
      <c r="D180" s="30"/>
      <c r="E180" s="22">
        <f>IFERROR(__xludf.DUMMYFUNCTION("IFERROR(MIN(QUERY(FILTER(Recipes!$K$4:$N1003, Recipes!$L$4:$L1003 = A180, Recipes!$K$4:$K1003=TRUE), ""select Col4"")), -1)"),235.93083333333334)</f>
        <v>235.9308333</v>
      </c>
    </row>
    <row r="181">
      <c r="A181" s="7" t="s">
        <v>343</v>
      </c>
      <c r="B181" s="19">
        <f t="shared" si="2"/>
        <v>128.8</v>
      </c>
      <c r="C181" s="20" t="b">
        <v>0</v>
      </c>
      <c r="D181" s="20">
        <v>1.0</v>
      </c>
      <c r="E181" s="22">
        <f>IFERROR(__xludf.DUMMYFUNCTION("IFERROR(MIN(QUERY(FILTER(Recipes!$K$4:$N1003, Recipes!$L$4:$L1003 = A181, Recipes!$K$4:$K1003=TRUE), ""select Col4"")), -1)"),128.79999999999998)</f>
        <v>128.8</v>
      </c>
    </row>
    <row r="182">
      <c r="A182" s="7" t="s">
        <v>345</v>
      </c>
      <c r="B182" s="19">
        <f t="shared" si="2"/>
        <v>36.9</v>
      </c>
      <c r="C182" s="30" t="b">
        <v>0</v>
      </c>
      <c r="D182" s="30"/>
      <c r="E182" s="22">
        <f>IFERROR(__xludf.DUMMYFUNCTION("IFERROR(MIN(QUERY(FILTER(Recipes!$K$4:$N1003, Recipes!$L$4:$L1003 = A182, Recipes!$K$4:$K1003=TRUE), ""select Col4"")), -1)"),36.9)</f>
        <v>36.9</v>
      </c>
    </row>
    <row r="183">
      <c r="A183" s="7" t="s">
        <v>346</v>
      </c>
      <c r="B183" s="19">
        <f t="shared" si="2"/>
        <v>27</v>
      </c>
      <c r="C183" s="30" t="b">
        <v>0</v>
      </c>
      <c r="D183" s="30"/>
      <c r="E183" s="22">
        <f>IFERROR(__xludf.DUMMYFUNCTION("IFERROR(MIN(QUERY(FILTER(Recipes!$K$4:$N1003, Recipes!$L$4:$L1003 = A183, Recipes!$K$4:$K1003=TRUE), ""select Col4"")), -1)"),27.000000000000004)</f>
        <v>27</v>
      </c>
    </row>
    <row r="184">
      <c r="A184" s="7" t="s">
        <v>347</v>
      </c>
      <c r="B184" s="19">
        <f t="shared" si="2"/>
        <v>37.6</v>
      </c>
      <c r="C184" s="30" t="b">
        <v>0</v>
      </c>
      <c r="D184" s="30"/>
      <c r="E184" s="22">
        <f>IFERROR(__xludf.DUMMYFUNCTION("IFERROR(MIN(QUERY(FILTER(Recipes!$K$4:$N1003, Recipes!$L$4:$L1003 = A184, Recipes!$K$4:$K1003=TRUE), ""select Col4"")), -1)"),37.6)</f>
        <v>37.6</v>
      </c>
    </row>
    <row r="185">
      <c r="A185" s="7" t="s">
        <v>348</v>
      </c>
      <c r="B185" s="19">
        <f t="shared" si="2"/>
        <v>0.5</v>
      </c>
      <c r="C185" s="20" t="b">
        <v>1</v>
      </c>
      <c r="D185" s="20">
        <v>0.5</v>
      </c>
      <c r="E185" s="22">
        <f>IFERROR(__xludf.DUMMYFUNCTION("IFERROR(MIN(QUERY(FILTER(Recipes!$K$4:$N1003, Recipes!$L$4:$L1003 = A185, Recipes!$K$4:$K1003=TRUE), ""select Col4"")), -1)"),-1.0)</f>
        <v>-1</v>
      </c>
    </row>
    <row r="186">
      <c r="A186" s="7" t="s">
        <v>349</v>
      </c>
      <c r="B186" s="19">
        <f t="shared" si="2"/>
        <v>235.6</v>
      </c>
      <c r="C186" s="30" t="b">
        <v>0</v>
      </c>
      <c r="D186" s="30"/>
      <c r="E186" s="22">
        <f>IFERROR(__xludf.DUMMYFUNCTION("IFERROR(MIN(QUERY(FILTER(Recipes!$K$4:$N1003, Recipes!$L$4:$L1003 = A186, Recipes!$K$4:$K1003=TRUE), ""select Col4"")), -1)"),235.6)</f>
        <v>235.6</v>
      </c>
    </row>
    <row r="187">
      <c r="A187" s="7" t="s">
        <v>313</v>
      </c>
      <c r="B187" s="19">
        <f t="shared" si="2"/>
        <v>502.4</v>
      </c>
      <c r="C187" s="30" t="b">
        <v>0</v>
      </c>
      <c r="D187" s="30"/>
      <c r="E187" s="22">
        <f>IFERROR(__xludf.DUMMYFUNCTION("IFERROR(MIN(QUERY(FILTER(Recipes!$K$4:$N1003, Recipes!$L$4:$L1003 = A187, Recipes!$K$4:$K1003=TRUE), ""select Col4"")), -1)"),502.4)</f>
        <v>502.4</v>
      </c>
    </row>
    <row r="188">
      <c r="A188" s="7" t="s">
        <v>316</v>
      </c>
      <c r="B188" s="19">
        <f t="shared" si="2"/>
        <v>179.8</v>
      </c>
      <c r="C188" s="30" t="b">
        <v>0</v>
      </c>
      <c r="D188" s="30"/>
      <c r="E188" s="22">
        <f>IFERROR(__xludf.DUMMYFUNCTION("IFERROR(MIN(QUERY(FILTER(Recipes!$K$4:$N1003, Recipes!$L$4:$L1003 = A188, Recipes!$K$4:$K1003=TRUE), ""select Col4"")), -1)"),179.8)</f>
        <v>179.8</v>
      </c>
    </row>
    <row r="189">
      <c r="A189" s="7" t="s">
        <v>158</v>
      </c>
      <c r="B189" s="19">
        <f t="shared" si="2"/>
        <v>0.62</v>
      </c>
      <c r="C189" s="30" t="b">
        <v>0</v>
      </c>
      <c r="D189" s="30"/>
      <c r="E189" s="22">
        <f>IFERROR(__xludf.DUMMYFUNCTION("IFERROR(MIN(QUERY(FILTER(Recipes!$K$4:$N1003, Recipes!$L$4:$L1003 = A189, Recipes!$K$4:$K1003=TRUE), ""select Col4"")), -1)"),0.62)</f>
        <v>0.62</v>
      </c>
    </row>
    <row r="190">
      <c r="A190" s="7" t="s">
        <v>352</v>
      </c>
      <c r="B190" s="19">
        <f t="shared" si="2"/>
        <v>0.4</v>
      </c>
      <c r="C190" s="20" t="b">
        <v>1</v>
      </c>
      <c r="D190" s="20">
        <v>0.4</v>
      </c>
      <c r="E190" s="22">
        <f>IFERROR(__xludf.DUMMYFUNCTION("IFERROR(MIN(QUERY(FILTER(Recipes!$K$4:$N1003, Recipes!$L$4:$L1003 = A190, Recipes!$K$4:$K1003=TRUE), ""select Col4"")), -1)"),-1.0)</f>
        <v>-1</v>
      </c>
    </row>
    <row r="191">
      <c r="A191" s="7" t="s">
        <v>353</v>
      </c>
      <c r="B191" s="19">
        <f t="shared" si="2"/>
        <v>0.6</v>
      </c>
      <c r="C191" s="20" t="b">
        <v>1</v>
      </c>
      <c r="D191" s="20">
        <v>0.6</v>
      </c>
      <c r="E191" s="22">
        <f>IFERROR(__xludf.DUMMYFUNCTION("IFERROR(MIN(QUERY(FILTER(Recipes!$K$4:$N1003, Recipes!$L$4:$L1003 = A191, Recipes!$K$4:$K1003=TRUE), ""select Col4"")), -1)"),-1.0)</f>
        <v>-1</v>
      </c>
    </row>
    <row r="192">
      <c r="A192" s="7" t="s">
        <v>354</v>
      </c>
      <c r="B192" s="19">
        <f t="shared" si="2"/>
        <v>0.3</v>
      </c>
      <c r="C192" s="20" t="b">
        <v>1</v>
      </c>
      <c r="D192" s="20">
        <v>0.3</v>
      </c>
      <c r="E192" s="22">
        <f>IFERROR(__xludf.DUMMYFUNCTION("IFERROR(MIN(QUERY(FILTER(Recipes!$K$4:$N1003, Recipes!$L$4:$L1003 = A192, Recipes!$K$4:$K1003=TRUE), ""select Col4"")), -1)"),-1.0)</f>
        <v>-1</v>
      </c>
    </row>
    <row r="193">
      <c r="A193" s="7" t="s">
        <v>356</v>
      </c>
      <c r="B193" s="19">
        <f t="shared" si="2"/>
        <v>0.6</v>
      </c>
      <c r="C193" s="20" t="b">
        <v>1</v>
      </c>
      <c r="D193" s="20">
        <v>0.6</v>
      </c>
      <c r="E193" s="22">
        <f>IFERROR(__xludf.DUMMYFUNCTION("IFERROR(MIN(QUERY(FILTER(Recipes!$K$4:$N1003, Recipes!$L$4:$L1003 = A193, Recipes!$K$4:$K1003=TRUE), ""select Col4"")), -1)"),-1.0)</f>
        <v>-1</v>
      </c>
    </row>
    <row r="194">
      <c r="A194" s="7" t="s">
        <v>357</v>
      </c>
      <c r="B194" s="19">
        <f t="shared" si="2"/>
        <v>0.6</v>
      </c>
      <c r="C194" s="20" t="b">
        <v>1</v>
      </c>
      <c r="D194" s="20">
        <v>0.6</v>
      </c>
      <c r="E194" s="22">
        <f>IFERROR(__xludf.DUMMYFUNCTION("IFERROR(MIN(QUERY(FILTER(Recipes!$K$4:$N1003, Recipes!$L$4:$L1003 = A194, Recipes!$K$4:$K1003=TRUE), ""select Col4"")), -1)"),-1.0)</f>
        <v>-1</v>
      </c>
    </row>
    <row r="195">
      <c r="A195" s="7" t="s">
        <v>359</v>
      </c>
      <c r="B195" s="19">
        <f t="shared" si="2"/>
        <v>0.15</v>
      </c>
      <c r="C195" s="20" t="b">
        <v>1</v>
      </c>
      <c r="D195" s="20">
        <v>0.15</v>
      </c>
      <c r="E195" s="22">
        <f>IFERROR(__xludf.DUMMYFUNCTION("IFERROR(MIN(QUERY(FILTER(Recipes!$K$4:$N1003, Recipes!$L$4:$L1003 = A195, Recipes!$K$4:$K1003=TRUE), ""select Col4"")), -1)"),-1.0)</f>
        <v>-1</v>
      </c>
    </row>
    <row r="196">
      <c r="A196" s="7" t="s">
        <v>361</v>
      </c>
      <c r="B196" s="19">
        <f t="shared" si="2"/>
        <v>0.5</v>
      </c>
      <c r="C196" s="20" t="b">
        <v>1</v>
      </c>
      <c r="D196" s="20">
        <v>0.5</v>
      </c>
      <c r="E196" s="22">
        <f>IFERROR(__xludf.DUMMYFUNCTION("IFERROR(MIN(QUERY(FILTER(Recipes!$K$4:$N1003, Recipes!$L$4:$L1003 = A196, Recipes!$K$4:$K1003=TRUE), ""select Col4"")), -1)"),-1.0)</f>
        <v>-1</v>
      </c>
    </row>
    <row r="197">
      <c r="A197" s="7" t="s">
        <v>362</v>
      </c>
      <c r="B197" s="19">
        <f t="shared" si="2"/>
        <v>0.1</v>
      </c>
      <c r="C197" s="20" t="b">
        <v>1</v>
      </c>
      <c r="D197" s="20">
        <v>0.1</v>
      </c>
      <c r="E197" s="22">
        <f>IFERROR(__xludf.DUMMYFUNCTION("IFERROR(MIN(QUERY(FILTER(Recipes!$K$4:$N1003, Recipes!$L$4:$L1003 = A197, Recipes!$K$4:$K1003=TRUE), ""select Col4"")), -1)"),-1.0)</f>
        <v>-1</v>
      </c>
    </row>
    <row r="198">
      <c r="A198" s="7" t="s">
        <v>364</v>
      </c>
      <c r="B198" s="19">
        <f t="shared" si="2"/>
        <v>0.1</v>
      </c>
      <c r="C198" s="20" t="b">
        <v>1</v>
      </c>
      <c r="D198" s="20">
        <v>0.1</v>
      </c>
      <c r="E198" s="22">
        <f>IFERROR(__xludf.DUMMYFUNCTION("IFERROR(MIN(QUERY(FILTER(Recipes!$K$4:$N1003, Recipes!$L$4:$L1003 = A198, Recipes!$K$4:$K1003=TRUE), ""select Col4"")), -1)"),-1.0)</f>
        <v>-1</v>
      </c>
    </row>
    <row r="199">
      <c r="A199" s="7" t="s">
        <v>365</v>
      </c>
      <c r="B199" s="19">
        <f t="shared" si="2"/>
        <v>0.1</v>
      </c>
      <c r="C199" s="20" t="b">
        <v>1</v>
      </c>
      <c r="D199" s="20">
        <v>0.1</v>
      </c>
      <c r="E199" s="22">
        <f>IFERROR(__xludf.DUMMYFUNCTION("IFERROR(MIN(QUERY(FILTER(Recipes!$K$4:$N1003, Recipes!$L$4:$L1003 = A199, Recipes!$K$4:$K1003=TRUE), ""select Col4"")), -1)"),-1.0)</f>
        <v>-1</v>
      </c>
    </row>
    <row r="200">
      <c r="A200" s="7" t="s">
        <v>368</v>
      </c>
      <c r="B200" s="19">
        <f t="shared" si="2"/>
        <v>0.15</v>
      </c>
      <c r="C200" s="20" t="b">
        <v>1</v>
      </c>
      <c r="D200" s="20">
        <v>0.15</v>
      </c>
      <c r="E200" s="22">
        <f>IFERROR(__xludf.DUMMYFUNCTION("IFERROR(MIN(QUERY(FILTER(Recipes!$K$4:$N1003, Recipes!$L$4:$L1003 = A200, Recipes!$K$4:$K1003=TRUE), ""select Col4"")), -1)"),-1.0)</f>
        <v>-1</v>
      </c>
    </row>
    <row r="201">
      <c r="A201" s="7" t="s">
        <v>369</v>
      </c>
      <c r="B201" s="19">
        <f t="shared" si="2"/>
        <v>0.2</v>
      </c>
      <c r="C201" s="20" t="b">
        <v>1</v>
      </c>
      <c r="D201" s="20">
        <v>0.2</v>
      </c>
      <c r="E201" s="22">
        <f>IFERROR(__xludf.DUMMYFUNCTION("IFERROR(MIN(QUERY(FILTER(Recipes!$K$4:$N1003, Recipes!$L$4:$L1003 = A201, Recipes!$K$4:$K1003=TRUE), ""select Col4"")), -1)"),-1.0)</f>
        <v>-1</v>
      </c>
    </row>
    <row r="202">
      <c r="A202" s="7" t="s">
        <v>370</v>
      </c>
      <c r="B202" s="19">
        <f t="shared" si="2"/>
        <v>1</v>
      </c>
      <c r="C202" s="20" t="b">
        <v>1</v>
      </c>
      <c r="D202" s="20">
        <v>1.0</v>
      </c>
      <c r="E202" s="22">
        <f>IFERROR(__xludf.DUMMYFUNCTION("IFERROR(MIN(QUERY(FILTER(Recipes!$K$4:$N1003, Recipes!$L$4:$L1003 = A202, Recipes!$K$4:$K1003=TRUE), ""select Col4"")), -1)"),-1.0)</f>
        <v>-1</v>
      </c>
    </row>
    <row r="203">
      <c r="A203" s="7" t="s">
        <v>371</v>
      </c>
      <c r="B203" s="19">
        <f t="shared" si="2"/>
        <v>0.1</v>
      </c>
      <c r="C203" s="20" t="b">
        <v>1</v>
      </c>
      <c r="D203" s="20">
        <v>0.1</v>
      </c>
      <c r="E203" s="22">
        <f>IFERROR(__xludf.DUMMYFUNCTION("IFERROR(MIN(QUERY(FILTER(Recipes!$K$4:$N1003, Recipes!$L$4:$L1003 = A203, Recipes!$K$4:$K1003=TRUE), ""select Col4"")), -1)"),-1.0)</f>
        <v>-1</v>
      </c>
    </row>
    <row r="204">
      <c r="A204" s="7" t="s">
        <v>372</v>
      </c>
      <c r="B204" s="19">
        <f t="shared" si="2"/>
        <v>0.2</v>
      </c>
      <c r="C204" s="20" t="b">
        <v>1</v>
      </c>
      <c r="D204" s="20">
        <v>0.2</v>
      </c>
      <c r="E204" s="22">
        <f>IFERROR(__xludf.DUMMYFUNCTION("IFERROR(MIN(QUERY(FILTER(Recipes!$K$4:$N1003, Recipes!$L$4:$L1003 = A204, Recipes!$K$4:$K1003=TRUE), ""select Col4"")), -1)"),-1.0)</f>
        <v>-1</v>
      </c>
    </row>
    <row r="205">
      <c r="A205" s="7" t="s">
        <v>373</v>
      </c>
      <c r="B205" s="19">
        <f t="shared" si="2"/>
        <v>1</v>
      </c>
      <c r="C205" s="20" t="b">
        <v>1</v>
      </c>
      <c r="D205" s="20">
        <v>1.0</v>
      </c>
      <c r="E205" s="22">
        <f>IFERROR(__xludf.DUMMYFUNCTION("IFERROR(MIN(QUERY(FILTER(Recipes!$K$4:$N1003, Recipes!$L$4:$L1003 = A205, Recipes!$K$4:$K1003=TRUE), ""select Col4"")), -1)"),-1.0)</f>
        <v>-1</v>
      </c>
    </row>
    <row r="206">
      <c r="A206" s="7" t="s">
        <v>374</v>
      </c>
      <c r="B206" s="19">
        <f t="shared" si="2"/>
        <v>1.1775</v>
      </c>
      <c r="C206" s="30" t="b">
        <v>0</v>
      </c>
      <c r="D206" s="30"/>
      <c r="E206" s="22">
        <f>IFERROR(__xludf.DUMMYFUNCTION("IFERROR(MIN(QUERY(FILTER(Recipes!$K$4:$N1003, Recipes!$L$4:$L1003 = A206, Recipes!$K$4:$K1003=TRUE), ""select Col4"")), -1)"),1.1775)</f>
        <v>1.1775</v>
      </c>
    </row>
    <row r="207">
      <c r="A207" s="7" t="s">
        <v>180</v>
      </c>
      <c r="B207" s="19">
        <f t="shared" si="2"/>
        <v>0.6075</v>
      </c>
      <c r="C207" s="30" t="b">
        <v>0</v>
      </c>
      <c r="D207" s="30"/>
      <c r="E207" s="22">
        <f>IFERROR(__xludf.DUMMYFUNCTION("IFERROR(MIN(QUERY(FILTER(Recipes!$K$4:$N1003, Recipes!$L$4:$L1003 = A207, Recipes!$K$4:$K1003=TRUE), ""select Col4"")), -1)"),0.6074999999999999)</f>
        <v>0.6075</v>
      </c>
    </row>
    <row r="208">
      <c r="A208" s="7" t="s">
        <v>202</v>
      </c>
      <c r="B208" s="19">
        <f t="shared" si="2"/>
        <v>0.9875</v>
      </c>
      <c r="C208" s="30" t="b">
        <v>0</v>
      </c>
      <c r="D208" s="30"/>
      <c r="E208" s="22">
        <f>IFERROR(__xludf.DUMMYFUNCTION("IFERROR(MIN(QUERY(FILTER(Recipes!$K$4:$N1003, Recipes!$L$4:$L1003 = A208, Recipes!$K$4:$K1003=TRUE), ""select Col4"")), -1)"),0.9874999999999999)</f>
        <v>0.9875</v>
      </c>
    </row>
    <row r="209">
      <c r="A209" s="7" t="s">
        <v>98</v>
      </c>
      <c r="B209" s="19">
        <f t="shared" si="2"/>
        <v>0.02625</v>
      </c>
      <c r="C209" s="30" t="b">
        <v>0</v>
      </c>
      <c r="D209" s="30"/>
      <c r="E209" s="22">
        <f>IFERROR(__xludf.DUMMYFUNCTION("IFERROR(MIN(QUERY(FILTER(Recipes!$K$4:$N1003, Recipes!$L$4:$L1003 = A209, Recipes!$K$4:$K1003=TRUE), ""select Col4"")), -1)"),0.026249999999999996)</f>
        <v>0.02625</v>
      </c>
    </row>
    <row r="210">
      <c r="A210" s="7" t="s">
        <v>104</v>
      </c>
      <c r="B210" s="19">
        <f t="shared" si="2"/>
        <v>0.25</v>
      </c>
      <c r="C210" s="30" t="b">
        <v>0</v>
      </c>
      <c r="D210" s="30"/>
      <c r="E210" s="22">
        <f>IFERROR(__xludf.DUMMYFUNCTION("IFERROR(MIN(QUERY(FILTER(Recipes!$K$4:$N1003, Recipes!$L$4:$L1003 = A210, Recipes!$K$4:$K1003=TRUE), ""select Col4"")), -1)"),0.25)</f>
        <v>0.25</v>
      </c>
    </row>
    <row r="211">
      <c r="A211" s="7" t="s">
        <v>109</v>
      </c>
      <c r="B211" s="19">
        <f t="shared" si="2"/>
        <v>0.2029166667</v>
      </c>
      <c r="C211" s="30" t="b">
        <v>0</v>
      </c>
      <c r="D211" s="30"/>
      <c r="E211" s="22">
        <f>IFERROR(__xludf.DUMMYFUNCTION("IFERROR(MIN(QUERY(FILTER(Recipes!$K$4:$N1003, Recipes!$L$4:$L1003 = A211, Recipes!$K$4:$K1003=TRUE), ""select Col4"")), -1)"),0.20291666666666666)</f>
        <v>0.2029166667</v>
      </c>
    </row>
    <row r="212">
      <c r="A212" s="7" t="s">
        <v>176</v>
      </c>
      <c r="B212" s="19">
        <f t="shared" si="2"/>
        <v>0.9175</v>
      </c>
      <c r="C212" s="20" t="b">
        <v>0</v>
      </c>
      <c r="D212" s="30"/>
      <c r="E212" s="22">
        <f>IFERROR(__xludf.DUMMYFUNCTION("IFERROR(MIN(QUERY(FILTER(Recipes!$K$4:$N1003, Recipes!$L$4:$L1003 = A212, Recipes!$K$4:$K1003=TRUE), ""select Col4"")), -1)"),0.9175)</f>
        <v>0.9175</v>
      </c>
    </row>
    <row r="213">
      <c r="A213" s="7" t="s">
        <v>375</v>
      </c>
      <c r="B213" s="19">
        <f t="shared" si="2"/>
        <v>0.13</v>
      </c>
      <c r="C213" s="20" t="b">
        <v>1</v>
      </c>
      <c r="D213" s="20">
        <v>0.13</v>
      </c>
      <c r="E213" s="22">
        <f>IFERROR(__xludf.DUMMYFUNCTION("IFERROR(MIN(QUERY(FILTER(Recipes!$K$4:$N1003, Recipes!$L$4:$L1003 = A213, Recipes!$K$4:$K1003=TRUE), ""select Col4"")), -1)"),-1.0)</f>
        <v>-1</v>
      </c>
    </row>
    <row r="214">
      <c r="A214" s="7" t="s">
        <v>112</v>
      </c>
      <c r="B214" s="19">
        <f t="shared" si="2"/>
        <v>0.09937777778</v>
      </c>
      <c r="C214" s="30" t="b">
        <v>0</v>
      </c>
      <c r="D214" s="30"/>
      <c r="E214" s="22">
        <f>IFERROR(__xludf.DUMMYFUNCTION("IFERROR(MIN(QUERY(FILTER(Recipes!$K$4:$N1003, Recipes!$L$4:$L1003 = A214, Recipes!$K$4:$K1003=TRUE), ""select Col4"")), -1)"),0.09937777777777775)</f>
        <v>0.09937777778</v>
      </c>
    </row>
    <row r="215">
      <c r="A215" s="7" t="s">
        <v>131</v>
      </c>
      <c r="B215" s="19">
        <f t="shared" si="2"/>
        <v>0.0215</v>
      </c>
      <c r="C215" s="30" t="b">
        <v>0</v>
      </c>
      <c r="D215" s="30"/>
      <c r="E215" s="22">
        <f>IFERROR(__xludf.DUMMYFUNCTION("IFERROR(MIN(QUERY(FILTER(Recipes!$K$4:$N1003, Recipes!$L$4:$L1003 = A215, Recipes!$K$4:$K1003=TRUE), ""select Col4"")), -1)"),0.0215)</f>
        <v>0.0215</v>
      </c>
    </row>
    <row r="216">
      <c r="A216" s="7" t="s">
        <v>165</v>
      </c>
      <c r="B216" s="19">
        <f t="shared" si="2"/>
        <v>0.4775</v>
      </c>
      <c r="C216" s="30" t="b">
        <v>0</v>
      </c>
      <c r="D216" s="30"/>
      <c r="E216" s="22">
        <f>IFERROR(__xludf.DUMMYFUNCTION("IFERROR(MIN(QUERY(FILTER(Recipes!$K$4:$N1003, Recipes!$L$4:$L1003 = A216, Recipes!$K$4:$K1003=TRUE), ""select Col4"")), -1)"),0.4774999999999999)</f>
        <v>0.4775</v>
      </c>
    </row>
    <row r="217">
      <c r="A217" s="7" t="s">
        <v>189</v>
      </c>
      <c r="B217" s="19">
        <f t="shared" si="2"/>
        <v>1.4625</v>
      </c>
      <c r="C217" s="30" t="b">
        <v>0</v>
      </c>
      <c r="D217" s="30"/>
      <c r="E217" s="22">
        <f>IFERROR(__xludf.DUMMYFUNCTION("IFERROR(MIN(QUERY(FILTER(Recipes!$K$4:$N1003, Recipes!$L$4:$L1003 = A217, Recipes!$K$4:$K1003=TRUE), ""select Col4"")), -1)"),1.4625000000000001)</f>
        <v>1.4625</v>
      </c>
    </row>
    <row r="218">
      <c r="A218" s="7" t="s">
        <v>116</v>
      </c>
      <c r="B218" s="19">
        <f t="shared" si="2"/>
        <v>0.1559375</v>
      </c>
      <c r="C218" s="30" t="b">
        <v>0</v>
      </c>
      <c r="D218" s="30"/>
      <c r="E218" s="22">
        <f>IFERROR(__xludf.DUMMYFUNCTION("IFERROR(MIN(QUERY(FILTER(Recipes!$K$4:$N1003, Recipes!$L$4:$L1003 = A218, Recipes!$K$4:$K1003=TRUE), ""select Col4"")), -1)"),0.1559375)</f>
        <v>0.1559375</v>
      </c>
    </row>
    <row r="219">
      <c r="A219" s="7" t="s">
        <v>125</v>
      </c>
      <c r="B219" s="19">
        <f t="shared" si="2"/>
        <v>0.107</v>
      </c>
      <c r="C219" s="30" t="b">
        <v>0</v>
      </c>
      <c r="D219" s="30"/>
      <c r="E219" s="22">
        <f>IFERROR(__xludf.DUMMYFUNCTION("IFERROR(MIN(QUERY(FILTER(Recipes!$K$4:$N1003, Recipes!$L$4:$L1003 = A219, Recipes!$K$4:$K1003=TRUE), ""select Col4"")), -1)"),0.10699999999999998)</f>
        <v>0.107</v>
      </c>
    </row>
    <row r="220">
      <c r="B220" s="19">
        <f t="shared" si="2"/>
        <v>0</v>
      </c>
      <c r="C220" s="30" t="b">
        <v>0</v>
      </c>
      <c r="D220" s="30"/>
      <c r="E220" s="22">
        <f>IFERROR(__xludf.DUMMYFUNCTION("IFERROR(MIN(QUERY(FILTER(Recipes!$K$4:$N1003, Recipes!$L$4:$L1003 = A220, Recipes!$K$4:$K1003=TRUE), ""select Col4"")), -1)"),0.0)</f>
        <v>0</v>
      </c>
    </row>
    <row r="221">
      <c r="A221" s="7" t="s">
        <v>172</v>
      </c>
      <c r="B221" s="19">
        <f t="shared" si="2"/>
        <v>0.1925</v>
      </c>
      <c r="C221" s="30" t="b">
        <v>0</v>
      </c>
      <c r="D221" s="30"/>
      <c r="E221" s="22">
        <f>IFERROR(__xludf.DUMMYFUNCTION("IFERROR(MIN(QUERY(FILTER(Recipes!$K$4:$N1003, Recipes!$L$4:$L1003 = A221, Recipes!$K$4:$K1003=TRUE), ""select Col4"")), -1)"),0.19249999999999995)</f>
        <v>0.1925</v>
      </c>
    </row>
    <row r="222">
      <c r="A222" s="7" t="s">
        <v>185</v>
      </c>
      <c r="B222" s="19">
        <f t="shared" si="2"/>
        <v>2.923125</v>
      </c>
      <c r="C222" s="30" t="b">
        <v>0</v>
      </c>
      <c r="D222" s="30"/>
      <c r="E222" s="22">
        <f>IFERROR(__xludf.DUMMYFUNCTION("IFERROR(MIN(QUERY(FILTER(Recipes!$K$4:$N1003, Recipes!$L$4:$L1003 = A222, Recipes!$K$4:$K1003=TRUE), ""select Col4"")), -1)"),2.9231249999999998)</f>
        <v>2.923125</v>
      </c>
    </row>
    <row r="223">
      <c r="A223" s="7" t="s">
        <v>197</v>
      </c>
      <c r="B223" s="19">
        <f t="shared" si="2"/>
        <v>2.35039375</v>
      </c>
      <c r="C223" s="30" t="b">
        <v>0</v>
      </c>
      <c r="D223" s="30"/>
      <c r="E223" s="22">
        <f>IFERROR(__xludf.DUMMYFUNCTION("IFERROR(MIN(QUERY(FILTER(Recipes!$K$4:$N1003, Recipes!$L$4:$L1003 = A223, Recipes!$K$4:$K1003=TRUE), ""select Col4"")), -1)"),2.35039375)</f>
        <v>2.35039375</v>
      </c>
    </row>
    <row r="224">
      <c r="A224" s="7" t="s">
        <v>192</v>
      </c>
      <c r="B224" s="19">
        <f t="shared" si="2"/>
        <v>0.614625</v>
      </c>
      <c r="C224" s="30" t="b">
        <v>0</v>
      </c>
      <c r="D224" s="30"/>
      <c r="E224" s="22">
        <f>IFERROR(__xludf.DUMMYFUNCTION("IFERROR(MIN(QUERY(FILTER(Recipes!$K$4:$N1003, Recipes!$L$4:$L1003 = A224, Recipes!$K$4:$K1003=TRUE), ""select Col4"")), -1)"),0.6146249999999999)</f>
        <v>0.614625</v>
      </c>
    </row>
    <row r="225">
      <c r="A225" s="7" t="s">
        <v>137</v>
      </c>
      <c r="B225" s="19">
        <f t="shared" si="2"/>
        <v>0.04</v>
      </c>
      <c r="C225" s="30" t="b">
        <v>0</v>
      </c>
      <c r="D225" s="30"/>
      <c r="E225" s="22">
        <f>IFERROR(__xludf.DUMMYFUNCTION("IFERROR(MIN(QUERY(FILTER(Recipes!$K$4:$N1003, Recipes!$L$4:$L1003 = A225, Recipes!$K$4:$K1003=TRUE), ""select Col4"")), -1)"),0.04)</f>
        <v>0.04</v>
      </c>
    </row>
    <row r="226">
      <c r="A226" s="7" t="s">
        <v>376</v>
      </c>
      <c r="B226" s="19">
        <f t="shared" si="2"/>
        <v>8</v>
      </c>
      <c r="C226" s="20" t="b">
        <v>1</v>
      </c>
      <c r="D226" s="20">
        <v>8.0</v>
      </c>
      <c r="E226" s="22">
        <f>IFERROR(__xludf.DUMMYFUNCTION("IFERROR(MIN(QUERY(FILTER(Recipes!$K$4:$N1003, Recipes!$L$4:$L1003 = A226, Recipes!$K$4:$K1003=TRUE), ""select Col4"")), -1)"),-1.0)</f>
        <v>-1</v>
      </c>
    </row>
    <row r="227">
      <c r="A227" s="7" t="s">
        <v>377</v>
      </c>
      <c r="B227" s="19">
        <f t="shared" si="2"/>
        <v>0.5031875</v>
      </c>
      <c r="C227" s="30" t="b">
        <v>0</v>
      </c>
      <c r="D227" s="30"/>
      <c r="E227" s="22">
        <f>IFERROR(__xludf.DUMMYFUNCTION("IFERROR(MIN(QUERY(FILTER(Recipes!$K$4:$N1003, Recipes!$L$4:$L1003 = A227, Recipes!$K$4:$K1003=TRUE), ""select Col4"")), -1)"),0.5031875)</f>
        <v>0.5031875</v>
      </c>
    </row>
    <row r="228">
      <c r="A228" s="7" t="s">
        <v>214</v>
      </c>
      <c r="B228" s="19">
        <f t="shared" si="2"/>
        <v>2.410438281</v>
      </c>
      <c r="C228" s="30" t="b">
        <v>0</v>
      </c>
      <c r="D228" s="30"/>
      <c r="E228" s="22">
        <f>IFERROR(__xludf.DUMMYFUNCTION("IFERROR(MIN(QUERY(FILTER(Recipes!$K$4:$N1003, Recipes!$L$4:$L1003 = A228, Recipes!$K$4:$K1003=TRUE), ""select Col4"")), -1)"),2.4104382812500003)</f>
        <v>2.410438281</v>
      </c>
    </row>
    <row r="229">
      <c r="A229" s="7" t="s">
        <v>210</v>
      </c>
      <c r="B229" s="19">
        <f t="shared" si="2"/>
        <v>0.19693</v>
      </c>
      <c r="C229" s="30" t="b">
        <v>0</v>
      </c>
      <c r="D229" s="30"/>
      <c r="E229" s="22">
        <f>IFERROR(__xludf.DUMMYFUNCTION("IFERROR(MIN(QUERY(FILTER(Recipes!$K$4:$N1003, Recipes!$L$4:$L1003 = A229, Recipes!$K$4:$K1003=TRUE), ""select Col4"")), -1)"),0.19693)</f>
        <v>0.19693</v>
      </c>
    </row>
    <row r="230">
      <c r="A230" s="7" t="s">
        <v>232</v>
      </c>
      <c r="B230" s="19">
        <f t="shared" si="2"/>
        <v>37.126285</v>
      </c>
      <c r="C230" s="30" t="b">
        <v>0</v>
      </c>
      <c r="D230" s="30"/>
      <c r="E230" s="22">
        <f>IFERROR(__xludf.DUMMYFUNCTION("IFERROR(MIN(QUERY(FILTER(Recipes!$K$4:$N1003, Recipes!$L$4:$L1003 = A230, Recipes!$K$4:$K1003=TRUE), ""select Col4"")), -1)"),37.126285)</f>
        <v>37.126285</v>
      </c>
    </row>
    <row r="231">
      <c r="B231" s="19">
        <f t="shared" si="2"/>
        <v>0</v>
      </c>
      <c r="C231" s="30" t="b">
        <v>0</v>
      </c>
      <c r="D231" s="30"/>
      <c r="E231" s="22">
        <f>IFERROR(__xludf.DUMMYFUNCTION("IFERROR(MIN(QUERY(FILTER(Recipes!$K$4:$N1003, Recipes!$L$4:$L1003 = A231, Recipes!$K$4:$K1003=TRUE), ""select Col4"")), -1)"),0.0)</f>
        <v>0</v>
      </c>
    </row>
    <row r="232">
      <c r="B232" s="19">
        <f t="shared" si="2"/>
        <v>0</v>
      </c>
      <c r="C232" s="30" t="b">
        <v>0</v>
      </c>
      <c r="D232" s="30"/>
      <c r="E232" s="22">
        <f>IFERROR(__xludf.DUMMYFUNCTION("IFERROR(MIN(QUERY(FILTER(Recipes!$K$4:$N1003, Recipes!$L$4:$L1003 = A232, Recipes!$K$4:$K1003=TRUE), ""select Col4"")), -1)"),0.0)</f>
        <v>0</v>
      </c>
    </row>
    <row r="233">
      <c r="B233" s="19">
        <f t="shared" si="2"/>
        <v>0</v>
      </c>
      <c r="C233" s="30" t="b">
        <v>0</v>
      </c>
      <c r="D233" s="30"/>
      <c r="E233" s="22">
        <f>IFERROR(__xludf.DUMMYFUNCTION("IFERROR(MIN(QUERY(FILTER(Recipes!$K$4:$N1003, Recipes!$L$4:$L1003 = A233, Recipes!$K$4:$K1003=TRUE), ""select Col4"")), -1)"),0.0)</f>
        <v>0</v>
      </c>
    </row>
    <row r="234">
      <c r="B234" s="19">
        <f t="shared" si="2"/>
        <v>0</v>
      </c>
      <c r="C234" s="30" t="b">
        <v>0</v>
      </c>
      <c r="D234" s="30"/>
      <c r="E234" s="22">
        <f>IFERROR(__xludf.DUMMYFUNCTION("IFERROR(MIN(QUERY(FILTER(Recipes!$K$4:$N1003, Recipes!$L$4:$L1003 = A234, Recipes!$K$4:$K1003=TRUE), ""select Col4"")), -1)"),0.0)</f>
        <v>0</v>
      </c>
    </row>
    <row r="235">
      <c r="B235" s="19">
        <f t="shared" si="2"/>
        <v>0</v>
      </c>
      <c r="C235" s="30" t="b">
        <v>0</v>
      </c>
      <c r="D235" s="30"/>
      <c r="E235" s="22">
        <f>IFERROR(__xludf.DUMMYFUNCTION("IFERROR(MIN(QUERY(FILTER(Recipes!$K$4:$N1003, Recipes!$L$4:$L1003 = A235, Recipes!$K$4:$K1003=TRUE), ""select Col4"")), -1)"),0.0)</f>
        <v>0</v>
      </c>
    </row>
    <row r="236">
      <c r="B236" s="19">
        <f t="shared" si="2"/>
        <v>0</v>
      </c>
      <c r="C236" s="30" t="b">
        <v>0</v>
      </c>
      <c r="D236" s="30"/>
      <c r="E236" s="22">
        <f>IFERROR(__xludf.DUMMYFUNCTION("IFERROR(MIN(QUERY(FILTER(Recipes!$K$4:$N1003, Recipes!$L$4:$L1003 = A236, Recipes!$K$4:$K1003=TRUE), ""select Col4"")), -1)"),0.0)</f>
        <v>0</v>
      </c>
    </row>
    <row r="237">
      <c r="B237" s="19">
        <f t="shared" si="2"/>
        <v>0</v>
      </c>
      <c r="C237" s="30" t="b">
        <v>0</v>
      </c>
      <c r="D237" s="30"/>
      <c r="E237" s="22">
        <f>IFERROR(__xludf.DUMMYFUNCTION("IFERROR(MIN(QUERY(FILTER(Recipes!$K$4:$N1003, Recipes!$L$4:$L1003 = A237, Recipes!$K$4:$K1003=TRUE), ""select Col4"")), -1)"),0.0)</f>
        <v>0</v>
      </c>
    </row>
    <row r="238">
      <c r="B238" s="19">
        <f t="shared" si="2"/>
        <v>0</v>
      </c>
      <c r="C238" s="30" t="b">
        <v>0</v>
      </c>
      <c r="D238" s="30"/>
      <c r="E238" s="22">
        <f>IFERROR(__xludf.DUMMYFUNCTION("IFERROR(MIN(QUERY(FILTER(Recipes!$K$4:$N1003, Recipes!$L$4:$L1003 = A238, Recipes!$K$4:$K1003=TRUE), ""select Col4"")), -1)"),0.0)</f>
        <v>0</v>
      </c>
    </row>
    <row r="239">
      <c r="B239" s="19">
        <f t="shared" si="2"/>
        <v>0</v>
      </c>
      <c r="C239" s="30" t="b">
        <v>0</v>
      </c>
      <c r="D239" s="30"/>
      <c r="E239" s="22">
        <f>IFERROR(__xludf.DUMMYFUNCTION("IFERROR(MIN(QUERY(FILTER(Recipes!$K$4:$N1003, Recipes!$L$4:$L1003 = A239, Recipes!$K$4:$K1003=TRUE), ""select Col4"")), -1)"),0.0)</f>
        <v>0</v>
      </c>
    </row>
    <row r="240">
      <c r="B240" s="19">
        <f t="shared" si="2"/>
        <v>0</v>
      </c>
      <c r="C240" s="30" t="b">
        <v>0</v>
      </c>
      <c r="D240" s="30"/>
      <c r="E240" s="22">
        <f>IFERROR(__xludf.DUMMYFUNCTION("IFERROR(MIN(QUERY(FILTER(Recipes!$K$4:$N1003, Recipes!$L$4:$L1003 = A240, Recipes!$K$4:$K1003=TRUE), ""select Col4"")), -1)"),0.0)</f>
        <v>0</v>
      </c>
    </row>
    <row r="241">
      <c r="B241" s="19">
        <f t="shared" si="2"/>
        <v>0</v>
      </c>
      <c r="C241" s="30" t="b">
        <v>0</v>
      </c>
      <c r="D241" s="30"/>
      <c r="E241" s="22">
        <f>IFERROR(__xludf.DUMMYFUNCTION("IFERROR(MIN(QUERY(FILTER(Recipes!$K$4:$N1003, Recipes!$L$4:$L1003 = A241, Recipes!$K$4:$K1003=TRUE), ""select Col4"")), -1)"),0.0)</f>
        <v>0</v>
      </c>
    </row>
    <row r="242">
      <c r="B242" s="19">
        <f t="shared" si="2"/>
        <v>0</v>
      </c>
      <c r="C242" s="30" t="b">
        <v>0</v>
      </c>
      <c r="D242" s="30"/>
      <c r="E242" s="22">
        <f>IFERROR(__xludf.DUMMYFUNCTION("IFERROR(MIN(QUERY(FILTER(Recipes!$K$4:$N1003, Recipes!$L$4:$L1003 = A242, Recipes!$K$4:$K1003=TRUE), ""select Col4"")), -1)"),0.0)</f>
        <v>0</v>
      </c>
    </row>
    <row r="243">
      <c r="B243" s="19">
        <f t="shared" si="2"/>
        <v>0</v>
      </c>
      <c r="C243" s="30" t="b">
        <v>0</v>
      </c>
      <c r="D243" s="30"/>
      <c r="E243" s="22">
        <f>IFERROR(__xludf.DUMMYFUNCTION("IFERROR(MIN(QUERY(FILTER(Recipes!$K$4:$N1003, Recipes!$L$4:$L1003 = A243, Recipes!$K$4:$K1003=TRUE), ""select Col4"")), -1)"),0.0)</f>
        <v>0</v>
      </c>
    </row>
    <row r="244">
      <c r="B244" s="19">
        <f t="shared" si="2"/>
        <v>0</v>
      </c>
      <c r="C244" s="30" t="b">
        <v>0</v>
      </c>
      <c r="D244" s="30"/>
      <c r="E244" s="22">
        <f>IFERROR(__xludf.DUMMYFUNCTION("IFERROR(MIN(QUERY(FILTER(Recipes!$K$4:$N1003, Recipes!$L$4:$L1003 = A244, Recipes!$K$4:$K1003=TRUE), ""select Col4"")), -1)"),0.0)</f>
        <v>0</v>
      </c>
    </row>
    <row r="245">
      <c r="B245" s="19">
        <f t="shared" si="2"/>
        <v>0</v>
      </c>
      <c r="C245" s="30" t="b">
        <v>0</v>
      </c>
      <c r="D245" s="30"/>
      <c r="E245" s="22">
        <f>IFERROR(__xludf.DUMMYFUNCTION("IFERROR(MIN(QUERY(FILTER(Recipes!$K$4:$N1003, Recipes!$L$4:$L1003 = A245, Recipes!$K$4:$K1003=TRUE), ""select Col4"")), -1)"),0.0)</f>
        <v>0</v>
      </c>
    </row>
    <row r="246">
      <c r="B246" s="19">
        <f t="shared" si="2"/>
        <v>0</v>
      </c>
      <c r="C246" s="30" t="b">
        <v>0</v>
      </c>
      <c r="D246" s="30"/>
      <c r="E246" s="22">
        <f>IFERROR(__xludf.DUMMYFUNCTION("IFERROR(MIN(QUERY(FILTER(Recipes!$K$4:$N1003, Recipes!$L$4:$L1003 = A246, Recipes!$K$4:$K1003=TRUE), ""select Col4"")), -1)"),0.0)</f>
        <v>0</v>
      </c>
    </row>
    <row r="247">
      <c r="B247" s="19">
        <f t="shared" si="2"/>
        <v>0</v>
      </c>
      <c r="C247" s="30" t="b">
        <v>0</v>
      </c>
      <c r="D247" s="30"/>
      <c r="E247" s="22">
        <f>IFERROR(__xludf.DUMMYFUNCTION("IFERROR(MIN(QUERY(FILTER(Recipes!$K$4:$N1003, Recipes!$L$4:$L1003 = A247, Recipes!$K$4:$K1003=TRUE), ""select Col4"")), -1)"),0.0)</f>
        <v>0</v>
      </c>
    </row>
    <row r="248">
      <c r="B248" s="19">
        <f t="shared" si="2"/>
        <v>0</v>
      </c>
      <c r="C248" s="30" t="b">
        <v>0</v>
      </c>
      <c r="D248" s="30"/>
      <c r="E248" s="22">
        <f>IFERROR(__xludf.DUMMYFUNCTION("IFERROR(MIN(QUERY(FILTER(Recipes!$K$4:$N1003, Recipes!$L$4:$L1003 = A248, Recipes!$K$4:$K1003=TRUE), ""select Col4"")), -1)"),0.0)</f>
        <v>0</v>
      </c>
    </row>
    <row r="249">
      <c r="B249" s="19">
        <f t="shared" si="2"/>
        <v>0</v>
      </c>
      <c r="C249" s="30" t="b">
        <v>0</v>
      </c>
      <c r="D249" s="30"/>
      <c r="E249" s="22">
        <f>IFERROR(__xludf.DUMMYFUNCTION("IFERROR(MIN(QUERY(FILTER(Recipes!$K$4:$N1003, Recipes!$L$4:$L1003 = A249, Recipes!$K$4:$K1003=TRUE), ""select Col4"")), -1)"),0.0)</f>
        <v>0</v>
      </c>
    </row>
    <row r="250">
      <c r="B250" s="19">
        <f t="shared" si="2"/>
        <v>0</v>
      </c>
      <c r="C250" s="30" t="b">
        <v>0</v>
      </c>
      <c r="D250" s="30"/>
      <c r="E250" s="22">
        <f>IFERROR(__xludf.DUMMYFUNCTION("IFERROR(MIN(QUERY(FILTER(Recipes!$K$4:$N1003, Recipes!$L$4:$L1003 = A250, Recipes!$K$4:$K1003=TRUE), ""select Col4"")), -1)"),0.0)</f>
        <v>0</v>
      </c>
    </row>
    <row r="251">
      <c r="B251" s="19">
        <f t="shared" si="2"/>
        <v>0</v>
      </c>
      <c r="C251" s="30" t="b">
        <v>0</v>
      </c>
      <c r="D251" s="30"/>
      <c r="E251" s="22">
        <f>IFERROR(__xludf.DUMMYFUNCTION("IFERROR(MIN(QUERY(FILTER(Recipes!$K$4:$N1003, Recipes!$L$4:$L1003 = A251, Recipes!$K$4:$K1003=TRUE), ""select Col4"")), -1)"),0.0)</f>
        <v>0</v>
      </c>
    </row>
    <row r="252">
      <c r="B252" s="19">
        <f t="shared" si="2"/>
        <v>0</v>
      </c>
      <c r="C252" s="30" t="b">
        <v>0</v>
      </c>
      <c r="D252" s="30"/>
      <c r="E252" s="22">
        <f>IFERROR(__xludf.DUMMYFUNCTION("IFERROR(MIN(QUERY(FILTER(Recipes!$K$4:$N1003, Recipes!$L$4:$L1003 = A252, Recipes!$K$4:$K1003=TRUE), ""select Col4"")), -1)"),0.0)</f>
        <v>0</v>
      </c>
    </row>
    <row r="253">
      <c r="B253" s="19">
        <f t="shared" si="2"/>
        <v>0</v>
      </c>
      <c r="C253" s="30" t="b">
        <v>0</v>
      </c>
      <c r="D253" s="30"/>
      <c r="E253" s="22">
        <f>IFERROR(__xludf.DUMMYFUNCTION("IFERROR(MIN(QUERY(FILTER(Recipes!$K$4:$N1003, Recipes!$L$4:$L1003 = A253, Recipes!$K$4:$K1003=TRUE), ""select Col4"")), -1)"),0.0)</f>
        <v>0</v>
      </c>
    </row>
    <row r="254">
      <c r="B254" s="19">
        <f t="shared" si="2"/>
        <v>0</v>
      </c>
      <c r="C254" s="30" t="b">
        <v>0</v>
      </c>
      <c r="D254" s="30"/>
      <c r="E254" s="22">
        <f>IFERROR(__xludf.DUMMYFUNCTION("IFERROR(MIN(QUERY(FILTER(Recipes!$K$4:$N1003, Recipes!$L$4:$L1003 = A254, Recipes!$K$4:$K1003=TRUE), ""select Col4"")), -1)"),0.0)</f>
        <v>0</v>
      </c>
    </row>
    <row r="255">
      <c r="B255" s="19">
        <f t="shared" si="2"/>
        <v>0</v>
      </c>
      <c r="C255" s="30" t="b">
        <v>0</v>
      </c>
      <c r="D255" s="30"/>
      <c r="E255" s="22">
        <f>IFERROR(__xludf.DUMMYFUNCTION("IFERROR(MIN(QUERY(FILTER(Recipes!$K$4:$N1003, Recipes!$L$4:$L1003 = A255, Recipes!$K$4:$K1003=TRUE), ""select Col4"")), -1)"),0.0)</f>
        <v>0</v>
      </c>
    </row>
    <row r="256">
      <c r="B256" s="19">
        <f t="shared" si="2"/>
        <v>0</v>
      </c>
      <c r="C256" s="30" t="b">
        <v>0</v>
      </c>
      <c r="D256" s="30"/>
      <c r="E256" s="22">
        <f>IFERROR(__xludf.DUMMYFUNCTION("IFERROR(MIN(QUERY(FILTER(Recipes!$K$4:$N1003, Recipes!$L$4:$L1003 = A256, Recipes!$K$4:$K1003=TRUE), ""select Col4"")), -1)"),0.0)</f>
        <v>0</v>
      </c>
    </row>
    <row r="257">
      <c r="B257" s="19">
        <f t="shared" si="2"/>
        <v>0</v>
      </c>
      <c r="C257" s="30" t="b">
        <v>0</v>
      </c>
      <c r="D257" s="30"/>
      <c r="E257" s="22">
        <f>IFERROR(__xludf.DUMMYFUNCTION("IFERROR(MIN(QUERY(FILTER(Recipes!$K$4:$N1003, Recipes!$L$4:$L1003 = A257, Recipes!$K$4:$K1003=TRUE), ""select Col4"")), -1)"),0.0)</f>
        <v>0</v>
      </c>
    </row>
    <row r="258">
      <c r="B258" s="19">
        <f t="shared" si="2"/>
        <v>0</v>
      </c>
      <c r="C258" s="30" t="b">
        <v>0</v>
      </c>
      <c r="D258" s="30"/>
      <c r="E258" s="22">
        <f>IFERROR(__xludf.DUMMYFUNCTION("IFERROR(MIN(QUERY(FILTER(Recipes!$K$4:$N1003, Recipes!$L$4:$L1003 = A258, Recipes!$K$4:$K1003=TRUE), ""select Col4"")), -1)"),0.0)</f>
        <v>0</v>
      </c>
    </row>
    <row r="259">
      <c r="B259" s="19">
        <f t="shared" si="2"/>
        <v>0</v>
      </c>
      <c r="C259" s="30" t="b">
        <v>0</v>
      </c>
      <c r="D259" s="30"/>
      <c r="E259" s="22">
        <f>IFERROR(__xludf.DUMMYFUNCTION("IFERROR(MIN(QUERY(FILTER(Recipes!$K$4:$N1003, Recipes!$L$4:$L1003 = A259, Recipes!$K$4:$K1003=TRUE), ""select Col4"")), -1)"),0.0)</f>
        <v>0</v>
      </c>
    </row>
    <row r="260">
      <c r="B260" s="19">
        <f t="shared" si="2"/>
        <v>0</v>
      </c>
      <c r="C260" s="30" t="b">
        <v>0</v>
      </c>
      <c r="D260" s="30"/>
      <c r="E260" s="22">
        <f>IFERROR(__xludf.DUMMYFUNCTION("IFERROR(MIN(QUERY(FILTER(Recipes!$K$4:$N1003, Recipes!$L$4:$L1003 = A260, Recipes!$K$4:$K1003=TRUE), ""select Col4"")), -1)"),0.0)</f>
        <v>0</v>
      </c>
    </row>
    <row r="261">
      <c r="B261" s="19">
        <f t="shared" si="2"/>
        <v>0</v>
      </c>
      <c r="C261" s="30" t="b">
        <v>0</v>
      </c>
      <c r="D261" s="30"/>
      <c r="E261" s="22">
        <f>IFERROR(__xludf.DUMMYFUNCTION("IFERROR(MIN(QUERY(FILTER(Recipes!$K$4:$N1003, Recipes!$L$4:$L1003 = A261, Recipes!$K$4:$K1003=TRUE), ""select Col4"")), -1)"),0.0)</f>
        <v>0</v>
      </c>
    </row>
    <row r="262">
      <c r="B262" s="19">
        <f t="shared" si="2"/>
        <v>0</v>
      </c>
      <c r="C262" s="30" t="b">
        <v>0</v>
      </c>
      <c r="D262" s="30"/>
      <c r="E262" s="22">
        <f>IFERROR(__xludf.DUMMYFUNCTION("IFERROR(MIN(QUERY(FILTER(Recipes!$K$4:$N1003, Recipes!$L$4:$L1003 = A262, Recipes!$K$4:$K1003=TRUE), ""select Col4"")), -1)"),0.0)</f>
        <v>0</v>
      </c>
    </row>
    <row r="263">
      <c r="B263" s="19">
        <f t="shared" si="2"/>
        <v>0</v>
      </c>
      <c r="C263" s="30" t="b">
        <v>0</v>
      </c>
      <c r="D263" s="30"/>
      <c r="E263" s="22">
        <f>IFERROR(__xludf.DUMMYFUNCTION("IFERROR(MIN(QUERY(FILTER(Recipes!$K$4:$N1003, Recipes!$L$4:$L1003 = A263, Recipes!$K$4:$K1003=TRUE), ""select Col4"")), -1)"),0.0)</f>
        <v>0</v>
      </c>
    </row>
    <row r="264">
      <c r="B264" s="19">
        <f t="shared" si="2"/>
        <v>0</v>
      </c>
      <c r="C264" s="30" t="b">
        <v>0</v>
      </c>
      <c r="D264" s="30"/>
      <c r="E264" s="22">
        <f>IFERROR(__xludf.DUMMYFUNCTION("IFERROR(MIN(QUERY(FILTER(Recipes!$K$4:$N1003, Recipes!$L$4:$L1003 = A264, Recipes!$K$4:$K1003=TRUE), ""select Col4"")), -1)"),0.0)</f>
        <v>0</v>
      </c>
    </row>
    <row r="265">
      <c r="B265" s="19">
        <f t="shared" si="2"/>
        <v>0</v>
      </c>
      <c r="C265" s="30" t="b">
        <v>0</v>
      </c>
      <c r="D265" s="30"/>
      <c r="E265" s="22">
        <f>IFERROR(__xludf.DUMMYFUNCTION("IFERROR(MIN(QUERY(FILTER(Recipes!$K$4:$N1003, Recipes!$L$4:$L1003 = A265, Recipes!$K$4:$K1003=TRUE), ""select Col4"")), -1)"),0.0)</f>
        <v>0</v>
      </c>
    </row>
    <row r="266">
      <c r="B266" s="19">
        <f t="shared" si="2"/>
        <v>0</v>
      </c>
      <c r="C266" s="30" t="b">
        <v>0</v>
      </c>
      <c r="D266" s="30"/>
      <c r="E266" s="22">
        <f>IFERROR(__xludf.DUMMYFUNCTION("IFERROR(MIN(QUERY(FILTER(Recipes!$K$4:$N1003, Recipes!$L$4:$L1003 = A266, Recipes!$K$4:$K1003=TRUE), ""select Col4"")), -1)"),0.0)</f>
        <v>0</v>
      </c>
    </row>
    <row r="267">
      <c r="B267" s="19">
        <f t="shared" si="2"/>
        <v>0</v>
      </c>
      <c r="C267" s="30" t="b">
        <v>0</v>
      </c>
      <c r="D267" s="30"/>
      <c r="E267" s="22">
        <f>IFERROR(__xludf.DUMMYFUNCTION("IFERROR(MIN(QUERY(FILTER(Recipes!$K$4:$N1003, Recipes!$L$4:$L1003 = A267, Recipes!$K$4:$K1003=TRUE), ""select Col4"")), -1)"),0.0)</f>
        <v>0</v>
      </c>
    </row>
    <row r="268">
      <c r="B268" s="19">
        <f t="shared" si="2"/>
        <v>0</v>
      </c>
      <c r="C268" s="30" t="b">
        <v>0</v>
      </c>
      <c r="D268" s="30"/>
      <c r="E268" s="22">
        <f>IFERROR(__xludf.DUMMYFUNCTION("IFERROR(MIN(QUERY(FILTER(Recipes!$K$4:$N1003, Recipes!$L$4:$L1003 = A268, Recipes!$K$4:$K1003=TRUE), ""select Col4"")), -1)"),0.0)</f>
        <v>0</v>
      </c>
    </row>
    <row r="269">
      <c r="B269" s="19">
        <f t="shared" si="2"/>
        <v>0</v>
      </c>
      <c r="C269" s="30" t="b">
        <v>0</v>
      </c>
      <c r="D269" s="30"/>
      <c r="E269" s="22">
        <f>IFERROR(__xludf.DUMMYFUNCTION("IFERROR(MIN(QUERY(FILTER(Recipes!$K$4:$N1003, Recipes!$L$4:$L1003 = A269, Recipes!$K$4:$K1003=TRUE), ""select Col4"")), -1)"),0.0)</f>
        <v>0</v>
      </c>
    </row>
    <row r="270">
      <c r="B270" s="19">
        <f t="shared" si="2"/>
        <v>0</v>
      </c>
      <c r="C270" s="30" t="b">
        <v>0</v>
      </c>
      <c r="D270" s="30"/>
      <c r="E270" s="22">
        <f>IFERROR(__xludf.DUMMYFUNCTION("IFERROR(MIN(QUERY(FILTER(Recipes!$K$4:$N1003, Recipes!$L$4:$L1003 = A270, Recipes!$K$4:$K1003=TRUE), ""select Col4"")), -1)"),0.0)</f>
        <v>0</v>
      </c>
    </row>
    <row r="271">
      <c r="B271" s="19">
        <f t="shared" si="2"/>
        <v>0</v>
      </c>
      <c r="C271" s="30" t="b">
        <v>0</v>
      </c>
      <c r="D271" s="30"/>
      <c r="E271" s="22">
        <f>IFERROR(__xludf.DUMMYFUNCTION("IFERROR(MIN(QUERY(FILTER(Recipes!$K$4:$N1003, Recipes!$L$4:$L1003 = A271, Recipes!$K$4:$K1003=TRUE), ""select Col4"")), -1)"),0.0)</f>
        <v>0</v>
      </c>
    </row>
    <row r="272">
      <c r="B272" s="19">
        <f t="shared" si="2"/>
        <v>0</v>
      </c>
      <c r="C272" s="30" t="b">
        <v>0</v>
      </c>
      <c r="D272" s="30"/>
      <c r="E272" s="22">
        <f>IFERROR(__xludf.DUMMYFUNCTION("IFERROR(MIN(QUERY(FILTER(Recipes!$K$4:$N1003, Recipes!$L$4:$L1003 = A272, Recipes!$K$4:$K1003=TRUE), ""select Col4"")), -1)"),0.0)</f>
        <v>0</v>
      </c>
    </row>
    <row r="273">
      <c r="B273" s="19">
        <f t="shared" si="2"/>
        <v>0</v>
      </c>
      <c r="C273" s="30" t="b">
        <v>0</v>
      </c>
      <c r="D273" s="30"/>
      <c r="E273" s="22">
        <f>IFERROR(__xludf.DUMMYFUNCTION("IFERROR(MIN(QUERY(FILTER(Recipes!$K$4:$N1003, Recipes!$L$4:$L1003 = A273, Recipes!$K$4:$K1003=TRUE), ""select Col4"")), -1)"),0.0)</f>
        <v>0</v>
      </c>
    </row>
    <row r="274">
      <c r="B274" s="19">
        <f t="shared" si="2"/>
        <v>0</v>
      </c>
      <c r="C274" s="30" t="b">
        <v>0</v>
      </c>
      <c r="D274" s="30"/>
      <c r="E274" s="22">
        <f>IFERROR(__xludf.DUMMYFUNCTION("IFERROR(MIN(QUERY(FILTER(Recipes!$K$4:$N1003, Recipes!$L$4:$L1003 = A274, Recipes!$K$4:$K1003=TRUE), ""select Col4"")), -1)"),0.0)</f>
        <v>0</v>
      </c>
    </row>
    <row r="275">
      <c r="B275" s="19">
        <f t="shared" si="2"/>
        <v>0</v>
      </c>
      <c r="C275" s="30" t="b">
        <v>0</v>
      </c>
      <c r="D275" s="30"/>
      <c r="E275" s="22">
        <f>IFERROR(__xludf.DUMMYFUNCTION("IFERROR(MIN(QUERY(FILTER(Recipes!$K$4:$N1003, Recipes!$L$4:$L1003 = A275, Recipes!$K$4:$K1003=TRUE), ""select Col4"")), -1)"),0.0)</f>
        <v>0</v>
      </c>
    </row>
    <row r="276">
      <c r="B276" s="19">
        <f t="shared" si="2"/>
        <v>0</v>
      </c>
      <c r="C276" s="30" t="b">
        <v>0</v>
      </c>
      <c r="D276" s="30"/>
      <c r="E276" s="22">
        <f>IFERROR(__xludf.DUMMYFUNCTION("IFERROR(MIN(QUERY(FILTER(Recipes!$K$4:$N1003, Recipes!$L$4:$L1003 = A276, Recipes!$K$4:$K1003=TRUE), ""select Col4"")), -1)"),0.0)</f>
        <v>0</v>
      </c>
    </row>
    <row r="277">
      <c r="B277" s="19">
        <f t="shared" si="2"/>
        <v>0</v>
      </c>
      <c r="C277" s="30" t="b">
        <v>0</v>
      </c>
      <c r="D277" s="30"/>
      <c r="E277" s="22">
        <f>IFERROR(__xludf.DUMMYFUNCTION("IFERROR(MIN(QUERY(FILTER(Recipes!$K$4:$N1003, Recipes!$L$4:$L1003 = A277, Recipes!$K$4:$K1003=TRUE), ""select Col4"")), -1)"),0.0)</f>
        <v>0</v>
      </c>
    </row>
    <row r="278">
      <c r="B278" s="19">
        <f t="shared" si="2"/>
        <v>0</v>
      </c>
      <c r="C278" s="30" t="b">
        <v>0</v>
      </c>
      <c r="D278" s="30"/>
      <c r="E278" s="22">
        <f>IFERROR(__xludf.DUMMYFUNCTION("IFERROR(MIN(QUERY(FILTER(Recipes!$K$4:$N1003, Recipes!$L$4:$L1003 = A278, Recipes!$K$4:$K1003=TRUE), ""select Col4"")), -1)"),0.0)</f>
        <v>0</v>
      </c>
    </row>
    <row r="279">
      <c r="B279" s="19">
        <f t="shared" si="2"/>
        <v>0</v>
      </c>
      <c r="C279" s="30" t="b">
        <v>0</v>
      </c>
      <c r="D279" s="30"/>
      <c r="E279" s="22">
        <f>IFERROR(__xludf.DUMMYFUNCTION("IFERROR(MIN(QUERY(FILTER(Recipes!$K$4:$N1003, Recipes!$L$4:$L1003 = A279, Recipes!$K$4:$K1003=TRUE), ""select Col4"")), -1)"),0.0)</f>
        <v>0</v>
      </c>
    </row>
    <row r="280">
      <c r="B280" s="19">
        <f t="shared" si="2"/>
        <v>0</v>
      </c>
      <c r="C280" s="30" t="b">
        <v>0</v>
      </c>
      <c r="D280" s="30"/>
      <c r="E280" s="22">
        <f>IFERROR(__xludf.DUMMYFUNCTION("IFERROR(MIN(QUERY(FILTER(Recipes!$K$4:$N1003, Recipes!$L$4:$L1003 = A280, Recipes!$K$4:$K1003=TRUE), ""select Col4"")), -1)"),0.0)</f>
        <v>0</v>
      </c>
    </row>
    <row r="281">
      <c r="B281" s="19">
        <f t="shared" si="2"/>
        <v>0</v>
      </c>
      <c r="C281" s="30" t="b">
        <v>0</v>
      </c>
      <c r="D281" s="30"/>
      <c r="E281" s="22">
        <f>IFERROR(__xludf.DUMMYFUNCTION("IFERROR(MIN(QUERY(FILTER(Recipes!$K$4:$N1003, Recipes!$L$4:$L1003 = A281, Recipes!$K$4:$K1003=TRUE), ""select Col4"")), -1)"),0.0)</f>
        <v>0</v>
      </c>
    </row>
    <row r="282">
      <c r="B282" s="19">
        <f t="shared" si="2"/>
        <v>0</v>
      </c>
      <c r="C282" s="30" t="b">
        <v>0</v>
      </c>
      <c r="D282" s="30"/>
      <c r="E282" s="22">
        <f>IFERROR(__xludf.DUMMYFUNCTION("IFERROR(MIN(QUERY(FILTER(Recipes!$K$4:$N1003, Recipes!$L$4:$L1003 = A282, Recipes!$K$4:$K1003=TRUE), ""select Col4"")), -1)"),0.0)</f>
        <v>0</v>
      </c>
    </row>
    <row r="283">
      <c r="B283" s="19">
        <f t="shared" si="2"/>
        <v>0</v>
      </c>
      <c r="C283" s="30" t="b">
        <v>0</v>
      </c>
      <c r="D283" s="30"/>
      <c r="E283" s="22">
        <f>IFERROR(__xludf.DUMMYFUNCTION("IFERROR(MIN(QUERY(FILTER(Recipes!$K$4:$N1003, Recipes!$L$4:$L1003 = A283, Recipes!$K$4:$K1003=TRUE), ""select Col4"")), -1)"),0.0)</f>
        <v>0</v>
      </c>
    </row>
    <row r="284">
      <c r="B284" s="19">
        <f t="shared" si="2"/>
        <v>0</v>
      </c>
      <c r="C284" s="30" t="b">
        <v>0</v>
      </c>
      <c r="D284" s="30"/>
      <c r="E284" s="22">
        <f>IFERROR(__xludf.DUMMYFUNCTION("IFERROR(MIN(QUERY(FILTER(Recipes!$K$4:$N1003, Recipes!$L$4:$L1003 = A284, Recipes!$K$4:$K1003=TRUE), ""select Col4"")), -1)"),0.0)</f>
        <v>0</v>
      </c>
    </row>
    <row r="285">
      <c r="B285" s="19">
        <f t="shared" si="2"/>
        <v>0</v>
      </c>
      <c r="C285" s="30" t="b">
        <v>0</v>
      </c>
      <c r="D285" s="30"/>
      <c r="E285" s="22">
        <f>IFERROR(__xludf.DUMMYFUNCTION("IFERROR(MIN(QUERY(FILTER(Recipes!$K$4:$N1003, Recipes!$L$4:$L1003 = A285, Recipes!$K$4:$K1003=TRUE), ""select Col4"")), -1)"),0.0)</f>
        <v>0</v>
      </c>
    </row>
    <row r="286">
      <c r="B286" s="19">
        <f t="shared" si="2"/>
        <v>0</v>
      </c>
      <c r="C286" s="30" t="b">
        <v>0</v>
      </c>
      <c r="D286" s="30"/>
      <c r="E286" s="22">
        <f>IFERROR(__xludf.DUMMYFUNCTION("IFERROR(MIN(QUERY(FILTER(Recipes!$K$4:$N1003, Recipes!$L$4:$L1003 = A286, Recipes!$K$4:$K1003=TRUE), ""select Col4"")), -1)"),0.0)</f>
        <v>0</v>
      </c>
    </row>
    <row r="287">
      <c r="B287" s="19">
        <f t="shared" si="2"/>
        <v>0</v>
      </c>
      <c r="C287" s="30" t="b">
        <v>0</v>
      </c>
      <c r="D287" s="30"/>
      <c r="E287" s="22">
        <f>IFERROR(__xludf.DUMMYFUNCTION("IFERROR(MIN(QUERY(FILTER(Recipes!$K$4:$N1003, Recipes!$L$4:$L1003 = A287, Recipes!$K$4:$K1003=TRUE), ""select Col4"")), -1)"),0.0)</f>
        <v>0</v>
      </c>
    </row>
    <row r="288">
      <c r="B288" s="19">
        <f t="shared" si="2"/>
        <v>0</v>
      </c>
      <c r="C288" s="30" t="b">
        <v>0</v>
      </c>
      <c r="D288" s="30"/>
      <c r="E288" s="22">
        <f>IFERROR(__xludf.DUMMYFUNCTION("IFERROR(MIN(QUERY(FILTER(Recipes!$K$4:$N1003, Recipes!$L$4:$L1003 = A288, Recipes!$K$4:$K1003=TRUE), ""select Col4"")), -1)"),0.0)</f>
        <v>0</v>
      </c>
    </row>
    <row r="289">
      <c r="B289" s="19">
        <f t="shared" si="2"/>
        <v>0</v>
      </c>
      <c r="C289" s="30" t="b">
        <v>0</v>
      </c>
      <c r="D289" s="30"/>
      <c r="E289" s="22">
        <f>IFERROR(__xludf.DUMMYFUNCTION("IFERROR(MIN(QUERY(FILTER(Recipes!$K$4:$N1003, Recipes!$L$4:$L1003 = A289, Recipes!$K$4:$K1003=TRUE), ""select Col4"")), -1)"),0.0)</f>
        <v>0</v>
      </c>
    </row>
    <row r="290">
      <c r="B290" s="19">
        <f t="shared" si="2"/>
        <v>0</v>
      </c>
      <c r="C290" s="30" t="b">
        <v>0</v>
      </c>
      <c r="D290" s="30"/>
      <c r="E290" s="22">
        <f>IFERROR(__xludf.DUMMYFUNCTION("IFERROR(MIN(QUERY(FILTER(Recipes!$K$4:$N1003, Recipes!$L$4:$L1003 = A290, Recipes!$K$4:$K1003=TRUE), ""select Col4"")), -1)"),0.0)</f>
        <v>0</v>
      </c>
    </row>
    <row r="291">
      <c r="B291" s="19">
        <f t="shared" si="2"/>
        <v>0</v>
      </c>
      <c r="C291" s="30" t="b">
        <v>0</v>
      </c>
      <c r="D291" s="30"/>
      <c r="E291" s="22">
        <f>IFERROR(__xludf.DUMMYFUNCTION("IFERROR(MIN(QUERY(FILTER(Recipes!$K$4:$N1003, Recipes!$L$4:$L1003 = A291, Recipes!$K$4:$K1003=TRUE), ""select Col4"")), -1)"),0.0)</f>
        <v>0</v>
      </c>
    </row>
    <row r="292">
      <c r="B292" s="19">
        <f t="shared" si="2"/>
        <v>0</v>
      </c>
      <c r="C292" s="30" t="b">
        <v>0</v>
      </c>
      <c r="D292" s="30"/>
      <c r="E292" s="22">
        <f>IFERROR(__xludf.DUMMYFUNCTION("IFERROR(MIN(QUERY(FILTER(Recipes!$K$4:$N1003, Recipes!$L$4:$L1003 = A292, Recipes!$K$4:$K1003=TRUE), ""select Col4"")), -1)"),0.0)</f>
        <v>0</v>
      </c>
    </row>
    <row r="293">
      <c r="B293" s="19">
        <f t="shared" si="2"/>
        <v>0</v>
      </c>
      <c r="C293" s="30" t="b">
        <v>0</v>
      </c>
      <c r="D293" s="30"/>
      <c r="E293" s="22">
        <f>IFERROR(__xludf.DUMMYFUNCTION("IFERROR(MIN(QUERY(FILTER(Recipes!$K$4:$N1003, Recipes!$L$4:$L1003 = A293, Recipes!$K$4:$K1003=TRUE), ""select Col4"")), -1)"),0.0)</f>
        <v>0</v>
      </c>
    </row>
    <row r="294">
      <c r="B294" s="19">
        <f t="shared" si="2"/>
        <v>0</v>
      </c>
      <c r="C294" s="30" t="b">
        <v>0</v>
      </c>
      <c r="D294" s="30"/>
      <c r="E294" s="22">
        <f>IFERROR(__xludf.DUMMYFUNCTION("IFERROR(MIN(QUERY(FILTER(Recipes!$K$4:$N1003, Recipes!$L$4:$L1003 = A294, Recipes!$K$4:$K1003=TRUE), ""select Col4"")), -1)"),0.0)</f>
        <v>0</v>
      </c>
    </row>
    <row r="295">
      <c r="B295" s="19">
        <f t="shared" si="2"/>
        <v>0</v>
      </c>
      <c r="C295" s="30" t="b">
        <v>0</v>
      </c>
      <c r="D295" s="30"/>
      <c r="E295" s="22">
        <f>IFERROR(__xludf.DUMMYFUNCTION("IFERROR(MIN(QUERY(FILTER(Recipes!$K$4:$N1003, Recipes!$L$4:$L1003 = A295, Recipes!$K$4:$K1003=TRUE), ""select Col4"")), -1)"),0.0)</f>
        <v>0</v>
      </c>
    </row>
    <row r="296">
      <c r="B296" s="19">
        <f t="shared" si="2"/>
        <v>0</v>
      </c>
      <c r="C296" s="30" t="b">
        <v>0</v>
      </c>
      <c r="D296" s="30"/>
      <c r="E296" s="22">
        <f>IFERROR(__xludf.DUMMYFUNCTION("IFERROR(MIN(QUERY(FILTER(Recipes!$K$4:$N1003, Recipes!$L$4:$L1003 = A296, Recipes!$K$4:$K1003=TRUE), ""select Col4"")), -1)"),0.0)</f>
        <v>0</v>
      </c>
    </row>
    <row r="297">
      <c r="B297" s="19">
        <f t="shared" si="2"/>
        <v>0</v>
      </c>
      <c r="C297" s="30" t="b">
        <v>0</v>
      </c>
      <c r="D297" s="30"/>
      <c r="E297" s="22">
        <f>IFERROR(__xludf.DUMMYFUNCTION("IFERROR(MIN(QUERY(FILTER(Recipes!$K$4:$N1003, Recipes!$L$4:$L1003 = A297, Recipes!$K$4:$K1003=TRUE), ""select Col4"")), -1)"),0.0)</f>
        <v>0</v>
      </c>
    </row>
    <row r="298">
      <c r="B298" s="19">
        <f t="shared" si="2"/>
        <v>0</v>
      </c>
      <c r="C298" s="30" t="b">
        <v>0</v>
      </c>
      <c r="D298" s="30"/>
      <c r="E298" s="22">
        <f>IFERROR(__xludf.DUMMYFUNCTION("IFERROR(MIN(QUERY(FILTER(Recipes!$K$4:$N1003, Recipes!$L$4:$L1003 = A298, Recipes!$K$4:$K1003=TRUE), ""select Col4"")), -1)"),0.0)</f>
        <v>0</v>
      </c>
    </row>
    <row r="299">
      <c r="B299" s="19">
        <f t="shared" si="2"/>
        <v>0</v>
      </c>
      <c r="C299" s="30" t="b">
        <v>0</v>
      </c>
      <c r="D299" s="30"/>
      <c r="E299" s="22">
        <f>IFERROR(__xludf.DUMMYFUNCTION("IFERROR(MIN(QUERY(FILTER(Recipes!$K$4:$N1003, Recipes!$L$4:$L1003 = A299, Recipes!$K$4:$K1003=TRUE), ""select Col4"")), -1)"),0.0)</f>
        <v>0</v>
      </c>
    </row>
    <row r="300">
      <c r="B300" s="19">
        <f t="shared" si="2"/>
        <v>0</v>
      </c>
      <c r="C300" s="30" t="b">
        <v>0</v>
      </c>
      <c r="D300" s="30"/>
      <c r="E300" s="22">
        <f>IFERROR(__xludf.DUMMYFUNCTION("IFERROR(MIN(QUERY(FILTER(Recipes!$K$4:$N1003, Recipes!$L$4:$L1003 = A300, Recipes!$K$4:$K1003=TRUE), ""select Col4"")), -1)"),0.0)</f>
        <v>0</v>
      </c>
    </row>
    <row r="301">
      <c r="B301" s="19">
        <f t="shared" si="2"/>
        <v>0</v>
      </c>
      <c r="C301" s="30" t="b">
        <v>0</v>
      </c>
      <c r="D301" s="30"/>
      <c r="E301" s="22">
        <f>IFERROR(__xludf.DUMMYFUNCTION("IFERROR(MIN(QUERY(FILTER(Recipes!$K$4:$N1003, Recipes!$L$4:$L1003 = A301, Recipes!$K$4:$K1003=TRUE), ""select Col4"")), -1)"),0.0)</f>
        <v>0</v>
      </c>
    </row>
    <row r="302">
      <c r="B302" s="19">
        <f t="shared" si="2"/>
        <v>0</v>
      </c>
      <c r="C302" s="30" t="b">
        <v>0</v>
      </c>
      <c r="D302" s="30"/>
      <c r="E302" s="22">
        <f>IFERROR(__xludf.DUMMYFUNCTION("IFERROR(MIN(QUERY(FILTER(Recipes!$K$4:$N1003, Recipes!$L$4:$L1003 = A302, Recipes!$K$4:$K1003=TRUE), ""select Col4"")), -1)"),0.0)</f>
        <v>0</v>
      </c>
    </row>
    <row r="303">
      <c r="B303" s="19">
        <f t="shared" si="2"/>
        <v>0</v>
      </c>
      <c r="C303" s="30" t="b">
        <v>0</v>
      </c>
      <c r="D303" s="30"/>
      <c r="E303" s="22">
        <f>IFERROR(__xludf.DUMMYFUNCTION("IFERROR(MIN(QUERY(FILTER(Recipes!$K$4:$N1003, Recipes!$L$4:$L1003 = A303, Recipes!$K$4:$K1003=TRUE), ""select Col4"")), -1)"),0.0)</f>
        <v>0</v>
      </c>
    </row>
    <row r="304">
      <c r="B304" s="21"/>
      <c r="C304" s="30"/>
      <c r="D304" s="30"/>
      <c r="E304" s="22">
        <f>IFERROR(__xludf.DUMMYFUNCTION("IFERROR(MIN(QUERY(FILTER(Recipes!$K$4:$N1003, Recipes!$L$4:$L1003 = A304, Recipes!$K$4:$K1003=TRUE), ""select Col4"")), -1)"),0.0)</f>
        <v>0</v>
      </c>
    </row>
    <row r="305">
      <c r="B305" s="21"/>
      <c r="C305" s="30"/>
      <c r="D305" s="30"/>
      <c r="E305" s="22">
        <f>IFERROR(__xludf.DUMMYFUNCTION("IFERROR(MIN(QUERY(FILTER(Recipes!$K$4:$N1003, Recipes!$L$4:$L1003 = A305, Recipes!$K$4:$K1003=TRUE), ""select Col4"")), -1)"),0.0)</f>
        <v>0</v>
      </c>
    </row>
    <row r="306">
      <c r="B306" s="21"/>
      <c r="C306" s="30"/>
      <c r="D306" s="30"/>
      <c r="E306" s="22">
        <f>IFERROR(__xludf.DUMMYFUNCTION("IFERROR(MIN(QUERY(FILTER(Recipes!$K$4:$N1003, Recipes!$L$4:$L1003 = A306, Recipes!$K$4:$K1003=TRUE), ""select Col4"")), -1)"),0.0)</f>
        <v>0</v>
      </c>
    </row>
    <row r="307">
      <c r="B307" s="21"/>
      <c r="C307" s="30"/>
      <c r="D307" s="30"/>
      <c r="E307" s="22">
        <f>IFERROR(__xludf.DUMMYFUNCTION("IFERROR(MIN(QUERY(FILTER(Recipes!$K$4:$N1003, Recipes!$L$4:$L1003 = A307, Recipes!$K$4:$K1003=TRUE), ""select Col4"")), -1)"),0.0)</f>
        <v>0</v>
      </c>
    </row>
    <row r="308">
      <c r="B308" s="21"/>
      <c r="C308" s="30"/>
      <c r="D308" s="30"/>
      <c r="E308" s="22">
        <f>IFERROR(__xludf.DUMMYFUNCTION("IFERROR(MIN(QUERY(FILTER(Recipes!$K$4:$N1003, Recipes!$L$4:$L1003 = A308, Recipes!$K$4:$K1003=TRUE), ""select Col4"")), -1)"),0.0)</f>
        <v>0</v>
      </c>
    </row>
    <row r="309">
      <c r="B309" s="21"/>
      <c r="C309" s="30"/>
      <c r="D309" s="30"/>
      <c r="E309" s="22">
        <f>IFERROR(__xludf.DUMMYFUNCTION("IFERROR(MIN(QUERY(FILTER(Recipes!$K$4:$N1003, Recipes!$L$4:$L1003 = A309, Recipes!$K$4:$K1003=TRUE), ""select Col4"")), -1)"),0.0)</f>
        <v>0</v>
      </c>
    </row>
    <row r="310">
      <c r="B310" s="21"/>
      <c r="C310" s="30"/>
      <c r="D310" s="30"/>
      <c r="E310" s="22">
        <f>IFERROR(__xludf.DUMMYFUNCTION("IFERROR(MIN(QUERY(FILTER(Recipes!$K$4:$N1003, Recipes!$L$4:$L1003 = A310, Recipes!$K$4:$K1003=TRUE), ""select Col4"")), -1)"),0.0)</f>
        <v>0</v>
      </c>
    </row>
    <row r="311">
      <c r="B311" s="21"/>
      <c r="C311" s="30"/>
      <c r="D311" s="30"/>
      <c r="E311" s="22">
        <f>IFERROR(__xludf.DUMMYFUNCTION("IFERROR(MIN(QUERY(FILTER(Recipes!$K$4:$N1003, Recipes!$L$4:$L1003 = A311, Recipes!$K$4:$K1003=TRUE), ""select Col4"")), -1)"),0.0)</f>
        <v>0</v>
      </c>
    </row>
    <row r="312">
      <c r="B312" s="21"/>
      <c r="C312" s="30"/>
      <c r="D312" s="30"/>
      <c r="E312" s="22">
        <f>IFERROR(__xludf.DUMMYFUNCTION("IFERROR(MIN(QUERY(FILTER(Recipes!$K$4:$N1003, Recipes!$L$4:$L1003 = A312, Recipes!$K$4:$K1003=TRUE), ""select Col4"")), -1)"),0.0)</f>
        <v>0</v>
      </c>
    </row>
    <row r="313">
      <c r="B313" s="21"/>
      <c r="C313" s="30"/>
      <c r="D313" s="30"/>
      <c r="E313" s="22">
        <f>IFERROR(__xludf.DUMMYFUNCTION("IFERROR(MIN(QUERY(FILTER(Recipes!$K$4:$N1003, Recipes!$L$4:$L1003 = A313, Recipes!$K$4:$K1003=TRUE), ""select Col4"")), -1)"),0.0)</f>
        <v>0</v>
      </c>
    </row>
    <row r="314">
      <c r="B314" s="21"/>
      <c r="C314" s="30"/>
      <c r="D314" s="30"/>
      <c r="E314" s="22">
        <f>IFERROR(__xludf.DUMMYFUNCTION("IFERROR(MIN(QUERY(FILTER(Recipes!$K$4:$N1003, Recipes!$L$4:$L1003 = A314, Recipes!$K$4:$K1003=TRUE), ""select Col4"")), -1)"),0.0)</f>
        <v>0</v>
      </c>
    </row>
    <row r="315">
      <c r="B315" s="21"/>
      <c r="C315" s="30"/>
      <c r="D315" s="30"/>
      <c r="E315" s="22">
        <f>IFERROR(__xludf.DUMMYFUNCTION("IFERROR(MIN(QUERY(FILTER(Recipes!$K$4:$N1003, Recipes!$L$4:$L1003 = A315, Recipes!$K$4:$K1003=TRUE), ""select Col4"")), -1)"),0.0)</f>
        <v>0</v>
      </c>
    </row>
    <row r="316">
      <c r="B316" s="21"/>
      <c r="C316" s="30"/>
      <c r="D316" s="30"/>
      <c r="E316" s="22">
        <f>IFERROR(__xludf.DUMMYFUNCTION("IFERROR(MIN(QUERY(FILTER(Recipes!$K$4:$N1003, Recipes!$L$4:$L1003 = A316, Recipes!$K$4:$K1003=TRUE), ""select Col4"")), -1)"),0.0)</f>
        <v>0</v>
      </c>
    </row>
    <row r="317">
      <c r="B317" s="21"/>
      <c r="C317" s="30"/>
      <c r="D317" s="30"/>
      <c r="E317" s="22">
        <f>IFERROR(__xludf.DUMMYFUNCTION("IFERROR(MIN(QUERY(FILTER(Recipes!$K$4:$N1003, Recipes!$L$4:$L1003 = A317, Recipes!$K$4:$K1003=TRUE), ""select Col4"")), -1)"),0.0)</f>
        <v>0</v>
      </c>
    </row>
    <row r="318">
      <c r="B318" s="21"/>
      <c r="C318" s="30"/>
      <c r="D318" s="30"/>
      <c r="E318" s="22">
        <f>IFERROR(__xludf.DUMMYFUNCTION("IFERROR(MIN(QUERY(FILTER(Recipes!$K$4:$N1003, Recipes!$L$4:$L1003 = A318, Recipes!$K$4:$K1003=TRUE), ""select Col4"")), -1)"),0.0)</f>
        <v>0</v>
      </c>
    </row>
    <row r="319">
      <c r="B319" s="21"/>
      <c r="C319" s="30"/>
      <c r="D319" s="30"/>
      <c r="E319" s="22">
        <f>IFERROR(__xludf.DUMMYFUNCTION("IFERROR(MIN(QUERY(FILTER(Recipes!$K$4:$N1003, Recipes!$L$4:$L1003 = A319, Recipes!$K$4:$K1003=TRUE), ""select Col4"")), -1)"),0.0)</f>
        <v>0</v>
      </c>
    </row>
    <row r="320">
      <c r="B320" s="21"/>
      <c r="C320" s="30"/>
      <c r="D320" s="30"/>
      <c r="E320" s="22">
        <f>IFERROR(__xludf.DUMMYFUNCTION("IFERROR(MIN(QUERY(FILTER(Recipes!$K$4:$N1003, Recipes!$L$4:$L1003 = A320, Recipes!$K$4:$K1003=TRUE), ""select Col4"")), -1)"),0.0)</f>
        <v>0</v>
      </c>
    </row>
    <row r="321">
      <c r="B321" s="21"/>
      <c r="C321" s="30"/>
      <c r="D321" s="30"/>
      <c r="E321" s="22">
        <f>IFERROR(__xludf.DUMMYFUNCTION("IFERROR(MIN(QUERY(FILTER(Recipes!$K$4:$N1003, Recipes!$L$4:$L1003 = A321, Recipes!$K$4:$K1003=TRUE), ""select Col4"")), -1)"),0.0)</f>
        <v>0</v>
      </c>
    </row>
    <row r="322">
      <c r="B322" s="21"/>
      <c r="C322" s="30"/>
      <c r="D322" s="30"/>
      <c r="E322" s="22">
        <f>IFERROR(__xludf.DUMMYFUNCTION("IFERROR(MIN(QUERY(FILTER(Recipes!$K$4:$N1003, Recipes!$L$4:$L1003 = A322, Recipes!$K$4:$K1003=TRUE), ""select Col4"")), -1)"),0.0)</f>
        <v>0</v>
      </c>
    </row>
    <row r="323">
      <c r="B323" s="21"/>
      <c r="C323" s="30"/>
      <c r="D323" s="30"/>
      <c r="E323" s="22">
        <f>IFERROR(__xludf.DUMMYFUNCTION("IFERROR(MIN(QUERY(FILTER(Recipes!$K$4:$N1003, Recipes!$L$4:$L1003 = A323, Recipes!$K$4:$K1003=TRUE), ""select Col4"")), -1)"),0.0)</f>
        <v>0</v>
      </c>
    </row>
    <row r="324">
      <c r="B324" s="21"/>
      <c r="C324" s="30"/>
      <c r="D324" s="30"/>
      <c r="E324" s="22">
        <f>IFERROR(__xludf.DUMMYFUNCTION("IFERROR(MIN(QUERY(FILTER(Recipes!$K$4:$N1003, Recipes!$L$4:$L1003 = A324, Recipes!$K$4:$K1003=TRUE), ""select Col4"")), -1)"),0.0)</f>
        <v>0</v>
      </c>
    </row>
    <row r="325">
      <c r="B325" s="21"/>
      <c r="C325" s="30"/>
      <c r="D325" s="30"/>
      <c r="E325" s="22">
        <f>IFERROR(__xludf.DUMMYFUNCTION("IFERROR(MIN(QUERY(FILTER(Recipes!$K$4:$N1003, Recipes!$L$4:$L1003 = A325, Recipes!$K$4:$K1003=TRUE), ""select Col4"")), -1)"),0.0)</f>
        <v>0</v>
      </c>
    </row>
    <row r="326">
      <c r="B326" s="21"/>
      <c r="C326" s="30"/>
      <c r="D326" s="30"/>
      <c r="E326" s="22">
        <f>IFERROR(__xludf.DUMMYFUNCTION("IFERROR(MIN(QUERY(FILTER(Recipes!$K$4:$N1003, Recipes!$L$4:$L1003 = A326, Recipes!$K$4:$K1003=TRUE), ""select Col4"")), -1)"),0.0)</f>
        <v>0</v>
      </c>
    </row>
    <row r="327">
      <c r="B327" s="21"/>
      <c r="C327" s="30"/>
      <c r="D327" s="30"/>
      <c r="E327" s="22">
        <f>IFERROR(__xludf.DUMMYFUNCTION("IFERROR(MIN(QUERY(FILTER(Recipes!$K$4:$N1003, Recipes!$L$4:$L1003 = A327, Recipes!$K$4:$K1003=TRUE), ""select Col4"")), -1)"),0.0)</f>
        <v>0</v>
      </c>
    </row>
    <row r="328">
      <c r="B328" s="21"/>
      <c r="C328" s="30"/>
      <c r="D328" s="30"/>
      <c r="E328" s="22">
        <f>IFERROR(__xludf.DUMMYFUNCTION("IFERROR(MIN(QUERY(FILTER(Recipes!$K$4:$N1003, Recipes!$L$4:$L1003 = A328, Recipes!$K$4:$K1003=TRUE), ""select Col4"")), -1)"),0.0)</f>
        <v>0</v>
      </c>
    </row>
    <row r="329">
      <c r="B329" s="21"/>
      <c r="C329" s="30"/>
      <c r="D329" s="30"/>
      <c r="E329" s="22">
        <f>IFERROR(__xludf.DUMMYFUNCTION("IFERROR(MIN(QUERY(FILTER(Recipes!$K$4:$N1003, Recipes!$L$4:$L1003 = A329, Recipes!$K$4:$K1003=TRUE), ""select Col4"")), -1)"),0.0)</f>
        <v>0</v>
      </c>
    </row>
    <row r="330">
      <c r="B330" s="21"/>
      <c r="C330" s="30"/>
      <c r="D330" s="30"/>
      <c r="E330" s="22">
        <f>IFERROR(__xludf.DUMMYFUNCTION("IFERROR(MIN(QUERY(FILTER(Recipes!$K$4:$N1003, Recipes!$L$4:$L1003 = A330, Recipes!$K$4:$K1003=TRUE), ""select Col4"")), -1)"),0.0)</f>
        <v>0</v>
      </c>
    </row>
    <row r="331">
      <c r="B331" s="21"/>
      <c r="C331" s="30"/>
      <c r="D331" s="30"/>
      <c r="E331" s="22">
        <f>IFERROR(__xludf.DUMMYFUNCTION("IFERROR(MIN(QUERY(FILTER(Recipes!$K$4:$N1003, Recipes!$L$4:$L1003 = A331, Recipes!$K$4:$K1003=TRUE), ""select Col4"")), -1)"),0.0)</f>
        <v>0</v>
      </c>
    </row>
    <row r="332">
      <c r="B332" s="21"/>
      <c r="C332" s="30"/>
      <c r="D332" s="30"/>
      <c r="E332" s="22">
        <f>IFERROR(__xludf.DUMMYFUNCTION("IFERROR(MIN(QUERY(FILTER(Recipes!$K$4:$N1003, Recipes!$L$4:$L1003 = A332, Recipes!$K$4:$K1003=TRUE), ""select Col4"")), -1)"),0.0)</f>
        <v>0</v>
      </c>
    </row>
    <row r="333">
      <c r="B333" s="21"/>
      <c r="C333" s="30"/>
      <c r="D333" s="30"/>
      <c r="E333" s="22">
        <f>IFERROR(__xludf.DUMMYFUNCTION("IFERROR(MIN(QUERY(FILTER(Recipes!$K$4:$N1003, Recipes!$L$4:$L1003 = A333, Recipes!$K$4:$K1003=TRUE), ""select Col4"")), -1)"),0.0)</f>
        <v>0</v>
      </c>
    </row>
    <row r="334">
      <c r="B334" s="21"/>
      <c r="C334" s="30"/>
      <c r="D334" s="30"/>
      <c r="E334" s="22">
        <f>IFERROR(__xludf.DUMMYFUNCTION("IFERROR(MIN(QUERY(FILTER(Recipes!$K$4:$N1003, Recipes!$L$4:$L1003 = A334, Recipes!$K$4:$K1003=TRUE), ""select Col4"")), -1)"),0.0)</f>
        <v>0</v>
      </c>
    </row>
    <row r="335">
      <c r="B335" s="21"/>
      <c r="C335" s="30"/>
      <c r="D335" s="30"/>
      <c r="E335" s="22">
        <f>IFERROR(__xludf.DUMMYFUNCTION("IFERROR(MIN(QUERY(FILTER(Recipes!$K$4:$N1003, Recipes!$L$4:$L1003 = A335, Recipes!$K$4:$K1003=TRUE), ""select Col4"")), -1)"),0.0)</f>
        <v>0</v>
      </c>
    </row>
    <row r="336">
      <c r="B336" s="21"/>
      <c r="C336" s="30"/>
      <c r="D336" s="30"/>
      <c r="E336" s="22">
        <f>IFERROR(__xludf.DUMMYFUNCTION("IFERROR(MIN(QUERY(FILTER(Recipes!$K$4:$N1003, Recipes!$L$4:$L1003 = A336, Recipes!$K$4:$K1003=TRUE), ""select Col4"")), -1)"),0.0)</f>
        <v>0</v>
      </c>
    </row>
    <row r="337">
      <c r="B337" s="21"/>
      <c r="C337" s="30"/>
      <c r="D337" s="30"/>
      <c r="E337" s="22">
        <f>IFERROR(__xludf.DUMMYFUNCTION("IFERROR(MIN(QUERY(FILTER(Recipes!$K$4:$N1003, Recipes!$L$4:$L1003 = A337, Recipes!$K$4:$K1003=TRUE), ""select Col4"")), -1)"),0.0)</f>
        <v>0</v>
      </c>
    </row>
    <row r="338">
      <c r="B338" s="21"/>
      <c r="C338" s="30"/>
      <c r="D338" s="30"/>
      <c r="E338" s="22">
        <f>IFERROR(__xludf.DUMMYFUNCTION("IFERROR(MIN(QUERY(FILTER(Recipes!$K$4:$N1003, Recipes!$L$4:$L1003 = A338, Recipes!$K$4:$K1003=TRUE), ""select Col4"")), -1)"),0.0)</f>
        <v>0</v>
      </c>
    </row>
    <row r="339">
      <c r="B339" s="21"/>
      <c r="C339" s="30"/>
      <c r="D339" s="30"/>
      <c r="E339" s="22">
        <f>IFERROR(__xludf.DUMMYFUNCTION("IFERROR(MIN(QUERY(FILTER(Recipes!$K$4:$N1003, Recipes!$L$4:$L1003 = A339, Recipes!$K$4:$K1003=TRUE), ""select Col4"")), -1)"),0.0)</f>
        <v>0</v>
      </c>
    </row>
    <row r="340">
      <c r="B340" s="21"/>
      <c r="C340" s="30"/>
      <c r="D340" s="30"/>
      <c r="E340" s="22">
        <f>IFERROR(__xludf.DUMMYFUNCTION("IFERROR(MIN(QUERY(FILTER(Recipes!$K$4:$N1003, Recipes!$L$4:$L1003 = A340, Recipes!$K$4:$K1003=TRUE), ""select Col4"")), -1)"),0.0)</f>
        <v>0</v>
      </c>
    </row>
    <row r="341">
      <c r="B341" s="21"/>
      <c r="C341" s="30"/>
      <c r="D341" s="30"/>
      <c r="E341" s="22">
        <f>IFERROR(__xludf.DUMMYFUNCTION("IFERROR(MIN(QUERY(FILTER(Recipes!$K$4:$N1003, Recipes!$L$4:$L1003 = A341, Recipes!$K$4:$K1003=TRUE), ""select Col4"")), -1)"),0.0)</f>
        <v>0</v>
      </c>
    </row>
    <row r="342">
      <c r="B342" s="21"/>
      <c r="C342" s="30"/>
      <c r="D342" s="30"/>
      <c r="E342" s="22">
        <f>IFERROR(__xludf.DUMMYFUNCTION("IFERROR(MIN(QUERY(FILTER(Recipes!$K$4:$N1003, Recipes!$L$4:$L1003 = A342, Recipes!$K$4:$K1003=TRUE), ""select Col4"")), -1)"),0.0)</f>
        <v>0</v>
      </c>
    </row>
    <row r="343">
      <c r="B343" s="21"/>
      <c r="C343" s="30"/>
      <c r="D343" s="30"/>
      <c r="E343" s="22">
        <f>IFERROR(__xludf.DUMMYFUNCTION("IFERROR(MIN(QUERY(FILTER(Recipes!$K$4:$N1003, Recipes!$L$4:$L1003 = A343, Recipes!$K$4:$K1003=TRUE), ""select Col4"")), -1)"),0.0)</f>
        <v>0</v>
      </c>
    </row>
    <row r="344">
      <c r="B344" s="21"/>
      <c r="C344" s="30"/>
      <c r="D344" s="30"/>
      <c r="E344" s="22">
        <f>IFERROR(__xludf.DUMMYFUNCTION("IFERROR(MIN(QUERY(FILTER(Recipes!$K$4:$N1003, Recipes!$L$4:$L1003 = A344, Recipes!$K$4:$K1003=TRUE), ""select Col4"")), -1)"),0.0)</f>
        <v>0</v>
      </c>
    </row>
    <row r="345">
      <c r="B345" s="21"/>
      <c r="C345" s="30"/>
      <c r="D345" s="30"/>
      <c r="E345" s="22">
        <f>IFERROR(__xludf.DUMMYFUNCTION("IFERROR(MIN(QUERY(FILTER(Recipes!$K$4:$N1003, Recipes!$L$4:$L1003 = A345, Recipes!$K$4:$K1003=TRUE), ""select Col4"")), -1)"),0.0)</f>
        <v>0</v>
      </c>
    </row>
    <row r="346">
      <c r="B346" s="21"/>
      <c r="C346" s="30"/>
      <c r="D346" s="30"/>
      <c r="E346" s="22">
        <f>IFERROR(__xludf.DUMMYFUNCTION("IFERROR(MIN(QUERY(FILTER(Recipes!$K$4:$N1003, Recipes!$L$4:$L1003 = A346, Recipes!$K$4:$K1003=TRUE), ""select Col4"")), -1)"),0.0)</f>
        <v>0</v>
      </c>
    </row>
    <row r="347">
      <c r="B347" s="21"/>
      <c r="C347" s="30"/>
      <c r="D347" s="30"/>
      <c r="E347" s="22">
        <f>IFERROR(__xludf.DUMMYFUNCTION("IFERROR(MIN(QUERY(FILTER(Recipes!$K$4:$N1003, Recipes!$L$4:$L1003 = A347, Recipes!$K$4:$K1003=TRUE), ""select Col4"")), -1)"),0.0)</f>
        <v>0</v>
      </c>
    </row>
    <row r="348">
      <c r="B348" s="21"/>
      <c r="C348" s="30"/>
      <c r="D348" s="30"/>
      <c r="E348" s="22">
        <f>IFERROR(__xludf.DUMMYFUNCTION("IFERROR(MIN(QUERY(FILTER(Recipes!$K$4:$N1003, Recipes!$L$4:$L1003 = A348, Recipes!$K$4:$K1003=TRUE), ""select Col4"")), -1)"),0.0)</f>
        <v>0</v>
      </c>
    </row>
    <row r="349">
      <c r="B349" s="21"/>
      <c r="C349" s="30"/>
      <c r="D349" s="30"/>
      <c r="E349" s="22">
        <f>IFERROR(__xludf.DUMMYFUNCTION("IFERROR(MIN(QUERY(FILTER(Recipes!$K$4:$N1003, Recipes!$L$4:$L1003 = A349, Recipes!$K$4:$K1003=TRUE), ""select Col4"")), -1)"),0.0)</f>
        <v>0</v>
      </c>
    </row>
    <row r="350">
      <c r="B350" s="21"/>
      <c r="C350" s="30"/>
      <c r="D350" s="30"/>
      <c r="E350" s="22">
        <f>IFERROR(__xludf.DUMMYFUNCTION("IFERROR(MIN(QUERY(FILTER(Recipes!$K$4:$N1003, Recipes!$L$4:$L1003 = A350, Recipes!$K$4:$K1003=TRUE), ""select Col4"")), -1)"),0.0)</f>
        <v>0</v>
      </c>
    </row>
    <row r="351">
      <c r="B351" s="21"/>
      <c r="C351" s="30"/>
      <c r="D351" s="30"/>
      <c r="E351" s="22">
        <f>IFERROR(__xludf.DUMMYFUNCTION("IFERROR(MIN(QUERY(FILTER(Recipes!$K$4:$N1003, Recipes!$L$4:$L1003 = A351, Recipes!$K$4:$K1003=TRUE), ""select Col4"")), -1)"),0.0)</f>
        <v>0</v>
      </c>
    </row>
    <row r="352">
      <c r="B352" s="21"/>
      <c r="C352" s="30"/>
      <c r="D352" s="30"/>
      <c r="E352" s="22">
        <f>IFERROR(__xludf.DUMMYFUNCTION("IFERROR(MIN(QUERY(FILTER(Recipes!$K$4:$N1003, Recipes!$L$4:$L1003 = A352, Recipes!$K$4:$K1003=TRUE), ""select Col4"")), -1)"),0.0)</f>
        <v>0</v>
      </c>
    </row>
    <row r="353">
      <c r="B353" s="21"/>
      <c r="C353" s="30"/>
      <c r="D353" s="30"/>
      <c r="E353" s="22">
        <f>IFERROR(__xludf.DUMMYFUNCTION("IFERROR(MIN(QUERY(FILTER(Recipes!$K$4:$N1003, Recipes!$L$4:$L1003 = A353, Recipes!$K$4:$K1003=TRUE), ""select Col4"")), -1)"),0.0)</f>
        <v>0</v>
      </c>
    </row>
    <row r="354">
      <c r="B354" s="21"/>
      <c r="C354" s="30"/>
      <c r="D354" s="30"/>
      <c r="E354" s="22">
        <f>IFERROR(__xludf.DUMMYFUNCTION("IFERROR(MIN(QUERY(FILTER(Recipes!$K$4:$N1003, Recipes!$L$4:$L1003 = A354, Recipes!$K$4:$K1003=TRUE), ""select Col4"")), -1)"),0.0)</f>
        <v>0</v>
      </c>
    </row>
    <row r="355">
      <c r="B355" s="21"/>
      <c r="C355" s="30"/>
      <c r="D355" s="30"/>
      <c r="E355" s="22">
        <f>IFERROR(__xludf.DUMMYFUNCTION("IFERROR(MIN(QUERY(FILTER(Recipes!$K$4:$N1003, Recipes!$L$4:$L1003 = A355, Recipes!$K$4:$K1003=TRUE), ""select Col4"")), -1)"),0.0)</f>
        <v>0</v>
      </c>
    </row>
    <row r="356">
      <c r="B356" s="21"/>
      <c r="C356" s="30"/>
      <c r="D356" s="30"/>
      <c r="E356" s="22">
        <f>IFERROR(__xludf.DUMMYFUNCTION("IFERROR(MIN(QUERY(FILTER(Recipes!$K$4:$N1003, Recipes!$L$4:$L1003 = A356, Recipes!$K$4:$K1003=TRUE), ""select Col4"")), -1)"),0.0)</f>
        <v>0</v>
      </c>
    </row>
    <row r="357">
      <c r="B357" s="21"/>
      <c r="C357" s="30"/>
      <c r="D357" s="30"/>
      <c r="E357" s="22">
        <f>IFERROR(__xludf.DUMMYFUNCTION("IFERROR(MIN(QUERY(FILTER(Recipes!$K$4:$N1003, Recipes!$L$4:$L1003 = A357, Recipes!$K$4:$K1003=TRUE), ""select Col4"")), -1)"),0.0)</f>
        <v>0</v>
      </c>
    </row>
    <row r="358">
      <c r="B358" s="21"/>
      <c r="C358" s="30"/>
      <c r="D358" s="30"/>
      <c r="E358" s="22">
        <f>IFERROR(__xludf.DUMMYFUNCTION("IFERROR(MIN(QUERY(FILTER(Recipes!$K$4:$N1003, Recipes!$L$4:$L1003 = A358, Recipes!$K$4:$K1003=TRUE), ""select Col4"")), -1)"),0.0)</f>
        <v>0</v>
      </c>
    </row>
    <row r="359">
      <c r="B359" s="21"/>
      <c r="C359" s="30"/>
      <c r="D359" s="30"/>
      <c r="E359" s="22">
        <f>IFERROR(__xludf.DUMMYFUNCTION("IFERROR(MIN(QUERY(FILTER(Recipes!$K$4:$N1003, Recipes!$L$4:$L1003 = A359, Recipes!$K$4:$K1003=TRUE), ""select Col4"")), -1)"),0.0)</f>
        <v>0</v>
      </c>
    </row>
    <row r="360">
      <c r="B360" s="21"/>
      <c r="C360" s="30"/>
      <c r="D360" s="30"/>
      <c r="E360" s="22">
        <f>IFERROR(__xludf.DUMMYFUNCTION("IFERROR(MIN(QUERY(FILTER(Recipes!$K$4:$N1003, Recipes!$L$4:$L1003 = A360, Recipes!$K$4:$K1003=TRUE), ""select Col4"")), -1)"),0.0)</f>
        <v>0</v>
      </c>
    </row>
    <row r="361">
      <c r="B361" s="21"/>
      <c r="C361" s="30"/>
      <c r="D361" s="30"/>
      <c r="E361" s="22">
        <f>IFERROR(__xludf.DUMMYFUNCTION("IFERROR(MIN(QUERY(FILTER(Recipes!$K$4:$N1003, Recipes!$L$4:$L1003 = A361, Recipes!$K$4:$K1003=TRUE), ""select Col4"")), -1)"),0.0)</f>
        <v>0</v>
      </c>
    </row>
    <row r="362">
      <c r="B362" s="21"/>
      <c r="C362" s="30"/>
      <c r="D362" s="30"/>
      <c r="E362" s="22">
        <f>IFERROR(__xludf.DUMMYFUNCTION("IFERROR(MIN(QUERY(FILTER(Recipes!$K$4:$N1003, Recipes!$L$4:$L1003 = A362, Recipes!$K$4:$K1003=TRUE), ""select Col4"")), -1)"),0.0)</f>
        <v>0</v>
      </c>
    </row>
    <row r="363">
      <c r="B363" s="21"/>
      <c r="C363" s="30"/>
      <c r="D363" s="30"/>
      <c r="E363" s="22">
        <f>IFERROR(__xludf.DUMMYFUNCTION("IFERROR(MIN(QUERY(FILTER(Recipes!$K$4:$N1003, Recipes!$L$4:$L1003 = A363, Recipes!$K$4:$K1003=TRUE), ""select Col4"")), -1)"),0.0)</f>
        <v>0</v>
      </c>
    </row>
    <row r="364">
      <c r="B364" s="21"/>
      <c r="C364" s="30"/>
      <c r="D364" s="30"/>
      <c r="E364" s="22">
        <f>IFERROR(__xludf.DUMMYFUNCTION("IFERROR(MIN(QUERY(FILTER(Recipes!$K$4:$N1003, Recipes!$L$4:$L1003 = A364, Recipes!$K$4:$K1003=TRUE), ""select Col4"")), -1)"),0.0)</f>
        <v>0</v>
      </c>
    </row>
    <row r="365">
      <c r="B365" s="21"/>
      <c r="C365" s="30"/>
      <c r="D365" s="30"/>
      <c r="E365" s="22">
        <f>IFERROR(__xludf.DUMMYFUNCTION("IFERROR(MIN(QUERY(FILTER(Recipes!$K$4:$N1003, Recipes!$L$4:$L1003 = A365, Recipes!$K$4:$K1003=TRUE), ""select Col4"")), -1)"),0.0)</f>
        <v>0</v>
      </c>
    </row>
    <row r="366">
      <c r="B366" s="21"/>
      <c r="C366" s="30"/>
      <c r="D366" s="30"/>
      <c r="E366" s="22">
        <f>IFERROR(__xludf.DUMMYFUNCTION("IFERROR(MIN(QUERY(FILTER(Recipes!$K$4:$N1003, Recipes!$L$4:$L1003 = A366, Recipes!$K$4:$K1003=TRUE), ""select Col4"")), -1)"),0.0)</f>
        <v>0</v>
      </c>
    </row>
    <row r="367">
      <c r="B367" s="21"/>
      <c r="C367" s="30"/>
      <c r="D367" s="30"/>
      <c r="E367" s="22">
        <f>IFERROR(__xludf.DUMMYFUNCTION("IFERROR(MIN(QUERY(FILTER(Recipes!$K$4:$N1003, Recipes!$L$4:$L1003 = A367, Recipes!$K$4:$K1003=TRUE), ""select Col4"")), -1)"),0.0)</f>
        <v>0</v>
      </c>
    </row>
    <row r="368">
      <c r="B368" s="21"/>
      <c r="C368" s="30"/>
      <c r="D368" s="30"/>
      <c r="E368" s="22">
        <f>IFERROR(__xludf.DUMMYFUNCTION("IFERROR(MIN(QUERY(FILTER(Recipes!$K$4:$N1003, Recipes!$L$4:$L1003 = A368, Recipes!$K$4:$K1003=TRUE), ""select Col4"")), -1)"),0.0)</f>
        <v>0</v>
      </c>
    </row>
    <row r="369">
      <c r="B369" s="21"/>
      <c r="C369" s="30"/>
      <c r="D369" s="30"/>
      <c r="E369" s="22">
        <f>IFERROR(__xludf.DUMMYFUNCTION("IFERROR(MIN(QUERY(FILTER(Recipes!$K$4:$N1003, Recipes!$L$4:$L1003 = A369, Recipes!$K$4:$K1003=TRUE), ""select Col4"")), -1)"),0.0)</f>
        <v>0</v>
      </c>
    </row>
    <row r="370">
      <c r="B370" s="21"/>
      <c r="C370" s="30"/>
      <c r="D370" s="30"/>
      <c r="E370" s="22">
        <f>IFERROR(__xludf.DUMMYFUNCTION("IFERROR(MIN(QUERY(FILTER(Recipes!$K$4:$N1003, Recipes!$L$4:$L1003 = A370, Recipes!$K$4:$K1003=TRUE), ""select Col4"")), -1)"),0.0)</f>
        <v>0</v>
      </c>
    </row>
    <row r="371">
      <c r="B371" s="21"/>
      <c r="C371" s="30"/>
      <c r="D371" s="30"/>
      <c r="E371" s="22">
        <f>IFERROR(__xludf.DUMMYFUNCTION("IFERROR(MIN(QUERY(FILTER(Recipes!$K$4:$N1003, Recipes!$L$4:$L1003 = A371, Recipes!$K$4:$K1003=TRUE), ""select Col4"")), -1)"),0.0)</f>
        <v>0</v>
      </c>
    </row>
    <row r="372">
      <c r="B372" s="21"/>
      <c r="C372" s="30"/>
      <c r="D372" s="30"/>
      <c r="E372" s="22">
        <f>IFERROR(__xludf.DUMMYFUNCTION("IFERROR(MIN(QUERY(FILTER(Recipes!$K$4:$N1003, Recipes!$L$4:$L1003 = A372, Recipes!$K$4:$K1003=TRUE), ""select Col4"")), -1)"),0.0)</f>
        <v>0</v>
      </c>
    </row>
    <row r="373">
      <c r="B373" s="21"/>
      <c r="C373" s="30"/>
      <c r="D373" s="30"/>
      <c r="E373" s="22">
        <f>IFERROR(__xludf.DUMMYFUNCTION("IFERROR(MIN(QUERY(FILTER(Recipes!$K$4:$N1003, Recipes!$L$4:$L1003 = A373, Recipes!$K$4:$K1003=TRUE), ""select Col4"")), -1)"),0.0)</f>
        <v>0</v>
      </c>
    </row>
    <row r="374">
      <c r="B374" s="21"/>
      <c r="C374" s="30"/>
      <c r="D374" s="30"/>
      <c r="E374" s="22">
        <f>IFERROR(__xludf.DUMMYFUNCTION("IFERROR(MIN(QUERY(FILTER(Recipes!$K$4:$N1003, Recipes!$L$4:$L1003 = A374, Recipes!$K$4:$K1003=TRUE), ""select Col4"")), -1)"),0.0)</f>
        <v>0</v>
      </c>
    </row>
    <row r="375">
      <c r="B375" s="21"/>
      <c r="C375" s="30"/>
      <c r="D375" s="30"/>
      <c r="E375" s="22">
        <f>IFERROR(__xludf.DUMMYFUNCTION("IFERROR(MIN(QUERY(FILTER(Recipes!$K$4:$N1003, Recipes!$L$4:$L1003 = A375, Recipes!$K$4:$K1003=TRUE), ""select Col4"")), -1)"),0.0)</f>
        <v>0</v>
      </c>
    </row>
    <row r="376">
      <c r="B376" s="21"/>
      <c r="C376" s="30"/>
      <c r="D376" s="30"/>
      <c r="E376" s="22">
        <f>IFERROR(__xludf.DUMMYFUNCTION("IFERROR(MIN(QUERY(FILTER(Recipes!$K$4:$N1003, Recipes!$L$4:$L1003 = A376, Recipes!$K$4:$K1003=TRUE), ""select Col4"")), -1)"),0.0)</f>
        <v>0</v>
      </c>
    </row>
    <row r="377">
      <c r="B377" s="21"/>
      <c r="C377" s="30"/>
      <c r="D377" s="30"/>
      <c r="E377" s="22">
        <f>IFERROR(__xludf.DUMMYFUNCTION("IFERROR(MIN(QUERY(FILTER(Recipes!$K$4:$N1003, Recipes!$L$4:$L1003 = A377, Recipes!$K$4:$K1003=TRUE), ""select Col4"")), -1)"),0.0)</f>
        <v>0</v>
      </c>
    </row>
    <row r="378">
      <c r="B378" s="21"/>
      <c r="C378" s="30"/>
      <c r="D378" s="30"/>
      <c r="E378" s="22">
        <f>IFERROR(__xludf.DUMMYFUNCTION("IFERROR(MIN(QUERY(FILTER(Recipes!$K$4:$N1003, Recipes!$L$4:$L1003 = A378, Recipes!$K$4:$K1003=TRUE), ""select Col4"")), -1)"),0.0)</f>
        <v>0</v>
      </c>
    </row>
    <row r="379">
      <c r="B379" s="21"/>
      <c r="C379" s="30"/>
      <c r="D379" s="30"/>
      <c r="E379" s="22">
        <f>IFERROR(__xludf.DUMMYFUNCTION("IFERROR(MIN(QUERY(FILTER(Recipes!$K$4:$N1003, Recipes!$L$4:$L1003 = A379, Recipes!$K$4:$K1003=TRUE), ""select Col4"")), -1)"),0.0)</f>
        <v>0</v>
      </c>
    </row>
    <row r="380">
      <c r="B380" s="21"/>
      <c r="C380" s="30"/>
      <c r="D380" s="30"/>
      <c r="E380" s="22">
        <f>IFERROR(__xludf.DUMMYFUNCTION("IFERROR(MIN(QUERY(FILTER(Recipes!$K$4:$N1003, Recipes!$L$4:$L1003 = A380, Recipes!$K$4:$K1003=TRUE), ""select Col4"")), -1)"),0.0)</f>
        <v>0</v>
      </c>
    </row>
    <row r="381">
      <c r="B381" s="21"/>
      <c r="C381" s="30"/>
      <c r="D381" s="30"/>
      <c r="E381" s="22">
        <f>IFERROR(__xludf.DUMMYFUNCTION("IFERROR(MIN(QUERY(FILTER(Recipes!$K$4:$N1003, Recipes!$L$4:$L1003 = A381, Recipes!$K$4:$K1003=TRUE), ""select Col4"")), -1)"),0.0)</f>
        <v>0</v>
      </c>
    </row>
    <row r="382">
      <c r="B382" s="21"/>
      <c r="C382" s="30"/>
      <c r="D382" s="30"/>
      <c r="E382" s="22">
        <f>IFERROR(__xludf.DUMMYFUNCTION("IFERROR(MIN(QUERY(FILTER(Recipes!$K$4:$N1003, Recipes!$L$4:$L1003 = A382, Recipes!$K$4:$K1003=TRUE), ""select Col4"")), -1)"),0.0)</f>
        <v>0</v>
      </c>
    </row>
    <row r="383">
      <c r="B383" s="21"/>
      <c r="C383" s="30"/>
      <c r="D383" s="30"/>
      <c r="E383" s="22">
        <f>IFERROR(__xludf.DUMMYFUNCTION("IFERROR(MIN(QUERY(FILTER(Recipes!$K$4:$N1003, Recipes!$L$4:$L1003 = A383, Recipes!$K$4:$K1003=TRUE), ""select Col4"")), -1)"),0.0)</f>
        <v>0</v>
      </c>
    </row>
    <row r="384">
      <c r="B384" s="21"/>
      <c r="C384" s="30"/>
      <c r="D384" s="30"/>
      <c r="E384" s="22">
        <f>IFERROR(__xludf.DUMMYFUNCTION("IFERROR(MIN(QUERY(FILTER(Recipes!$K$4:$N1003, Recipes!$L$4:$L1003 = A384, Recipes!$K$4:$K1003=TRUE), ""select Col4"")), -1)"),0.0)</f>
        <v>0</v>
      </c>
    </row>
    <row r="385">
      <c r="B385" s="21"/>
      <c r="C385" s="30"/>
      <c r="D385" s="30"/>
      <c r="E385" s="22">
        <f>IFERROR(__xludf.DUMMYFUNCTION("IFERROR(MIN(QUERY(FILTER(Recipes!$K$4:$N1003, Recipes!$L$4:$L1003 = A385, Recipes!$K$4:$K1003=TRUE), ""select Col4"")), -1)"),0.0)</f>
        <v>0</v>
      </c>
    </row>
    <row r="386">
      <c r="B386" s="21"/>
      <c r="C386" s="30"/>
      <c r="D386" s="30"/>
      <c r="E386" s="22">
        <f>IFERROR(__xludf.DUMMYFUNCTION("IFERROR(MIN(QUERY(FILTER(Recipes!$K$4:$N1003, Recipes!$L$4:$L1003 = A386, Recipes!$K$4:$K1003=TRUE), ""select Col4"")), -1)"),0.0)</f>
        <v>0</v>
      </c>
    </row>
    <row r="387">
      <c r="B387" s="21"/>
      <c r="C387" s="30"/>
      <c r="D387" s="30"/>
      <c r="E387" s="22">
        <f>IFERROR(__xludf.DUMMYFUNCTION("IFERROR(MIN(QUERY(FILTER(Recipes!$K$4:$N1003, Recipes!$L$4:$L1003 = A387, Recipes!$K$4:$K1003=TRUE), ""select Col4"")), -1)"),0.0)</f>
        <v>0</v>
      </c>
    </row>
    <row r="388">
      <c r="B388" s="21"/>
      <c r="C388" s="30"/>
      <c r="D388" s="30"/>
      <c r="E388" s="22">
        <f>IFERROR(__xludf.DUMMYFUNCTION("IFERROR(MIN(QUERY(FILTER(Recipes!$K$4:$N1003, Recipes!$L$4:$L1003 = A388, Recipes!$K$4:$K1003=TRUE), ""select Col4"")), -1)"),0.0)</f>
        <v>0</v>
      </c>
    </row>
    <row r="389">
      <c r="B389" s="21"/>
      <c r="C389" s="30"/>
      <c r="D389" s="30"/>
      <c r="E389" s="22">
        <f>IFERROR(__xludf.DUMMYFUNCTION("IFERROR(MIN(QUERY(FILTER(Recipes!$K$4:$N1003, Recipes!$L$4:$L1003 = A389, Recipes!$K$4:$K1003=TRUE), ""select Col4"")), -1)"),0.0)</f>
        <v>0</v>
      </c>
    </row>
    <row r="390">
      <c r="B390" s="21"/>
      <c r="C390" s="30"/>
      <c r="D390" s="30"/>
      <c r="E390" s="22">
        <f>IFERROR(__xludf.DUMMYFUNCTION("IFERROR(MIN(QUERY(FILTER(Recipes!$K$4:$N1003, Recipes!$L$4:$L1003 = A390, Recipes!$K$4:$K1003=TRUE), ""select Col4"")), -1)"),0.0)</f>
        <v>0</v>
      </c>
    </row>
    <row r="391">
      <c r="B391" s="21"/>
      <c r="C391" s="30"/>
      <c r="D391" s="30"/>
      <c r="E391" s="22">
        <f>IFERROR(__xludf.DUMMYFUNCTION("IFERROR(MIN(QUERY(FILTER(Recipes!$K$4:$N1003, Recipes!$L$4:$L1003 = A391, Recipes!$K$4:$K1003=TRUE), ""select Col4"")), -1)"),0.0)</f>
        <v>0</v>
      </c>
    </row>
    <row r="392">
      <c r="B392" s="21"/>
      <c r="C392" s="30"/>
      <c r="D392" s="30"/>
      <c r="E392" s="22">
        <f>IFERROR(__xludf.DUMMYFUNCTION("IFERROR(MIN(QUERY(FILTER(Recipes!$K$4:$N1003, Recipes!$L$4:$L1003 = A392, Recipes!$K$4:$K1003=TRUE), ""select Col4"")), -1)"),0.0)</f>
        <v>0</v>
      </c>
    </row>
    <row r="393">
      <c r="B393" s="21"/>
      <c r="C393" s="30"/>
      <c r="D393" s="30"/>
      <c r="E393" s="22">
        <f>IFERROR(__xludf.DUMMYFUNCTION("IFERROR(MIN(QUERY(FILTER(Recipes!$K$4:$N1003, Recipes!$L$4:$L1003 = A393, Recipes!$K$4:$K1003=TRUE), ""select Col4"")), -1)"),0.0)</f>
        <v>0</v>
      </c>
    </row>
    <row r="394">
      <c r="B394" s="21"/>
      <c r="C394" s="30"/>
      <c r="D394" s="30"/>
      <c r="E394" s="22">
        <f>IFERROR(__xludf.DUMMYFUNCTION("IFERROR(MIN(QUERY(FILTER(Recipes!$K$4:$N1003, Recipes!$L$4:$L1003 = A394, Recipes!$K$4:$K1003=TRUE), ""select Col4"")), -1)"),0.0)</f>
        <v>0</v>
      </c>
    </row>
    <row r="395">
      <c r="B395" s="21"/>
      <c r="C395" s="30"/>
      <c r="D395" s="30"/>
      <c r="E395" s="22">
        <f>IFERROR(__xludf.DUMMYFUNCTION("IFERROR(MIN(QUERY(FILTER(Recipes!$K$4:$N1003, Recipes!$L$4:$L1003 = A395, Recipes!$K$4:$K1003=TRUE), ""select Col4"")), -1)"),0.0)</f>
        <v>0</v>
      </c>
    </row>
    <row r="396">
      <c r="B396" s="21"/>
      <c r="C396" s="30"/>
      <c r="D396" s="30"/>
      <c r="E396" s="22">
        <f>IFERROR(__xludf.DUMMYFUNCTION("IFERROR(MIN(QUERY(FILTER(Recipes!$K$4:$N1003, Recipes!$L$4:$L1003 = A396, Recipes!$K$4:$K1003=TRUE), ""select Col4"")), -1)"),0.0)</f>
        <v>0</v>
      </c>
    </row>
    <row r="397">
      <c r="B397" s="21"/>
      <c r="C397" s="30"/>
      <c r="D397" s="30"/>
      <c r="E397" s="22">
        <f>IFERROR(__xludf.DUMMYFUNCTION("IFERROR(MIN(QUERY(FILTER(Recipes!$K$4:$N1003, Recipes!$L$4:$L1003 = A397, Recipes!$K$4:$K1003=TRUE), ""select Col4"")), -1)"),0.0)</f>
        <v>0</v>
      </c>
    </row>
    <row r="398">
      <c r="B398" s="21"/>
      <c r="C398" s="30"/>
      <c r="D398" s="30"/>
      <c r="E398" s="22">
        <f>IFERROR(__xludf.DUMMYFUNCTION("IFERROR(MIN(QUERY(FILTER(Recipes!$K$4:$N1003, Recipes!$L$4:$L1003 = A398, Recipes!$K$4:$K1003=TRUE), ""select Col4"")), -1)"),0.0)</f>
        <v>0</v>
      </c>
    </row>
    <row r="399">
      <c r="B399" s="21"/>
      <c r="C399" s="30"/>
      <c r="D399" s="30"/>
      <c r="E399" s="22">
        <f>IFERROR(__xludf.DUMMYFUNCTION("IFERROR(MIN(QUERY(FILTER(Recipes!$K$4:$N1003, Recipes!$L$4:$L1003 = A399, Recipes!$K$4:$K1003=TRUE), ""select Col4"")), -1)"),0.0)</f>
        <v>0</v>
      </c>
    </row>
    <row r="400">
      <c r="B400" s="21"/>
      <c r="C400" s="30"/>
      <c r="D400" s="30"/>
      <c r="E400" s="22">
        <f>IFERROR(__xludf.DUMMYFUNCTION("IFERROR(MIN(QUERY(FILTER(Recipes!$K$4:$N1003, Recipes!$L$4:$L1003 = A400, Recipes!$K$4:$K1003=TRUE), ""select Col4"")), -1)"),0.0)</f>
        <v>0</v>
      </c>
    </row>
    <row r="401">
      <c r="B401" s="21"/>
      <c r="C401" s="30"/>
      <c r="D401" s="30"/>
      <c r="E401" s="22">
        <f>IFERROR(__xludf.DUMMYFUNCTION("IFERROR(MIN(QUERY(FILTER(Recipes!$K$4:$N1003, Recipes!$L$4:$L1003 = A401, Recipes!$K$4:$K1003=TRUE), ""select Col4"")), -1)"),0.0)</f>
        <v>0</v>
      </c>
    </row>
    <row r="402">
      <c r="B402" s="21"/>
      <c r="C402" s="30"/>
      <c r="D402" s="30"/>
      <c r="E402" s="22">
        <f>IFERROR(__xludf.DUMMYFUNCTION("IFERROR(MIN(QUERY(FILTER(Recipes!$K$4:$N1003, Recipes!$L$4:$L1003 = A402, Recipes!$K$4:$K1003=TRUE), ""select Col4"")), -1)"),0.0)</f>
        <v>0</v>
      </c>
    </row>
    <row r="403">
      <c r="B403" s="21"/>
      <c r="C403" s="30"/>
      <c r="D403" s="30"/>
      <c r="E403" s="22">
        <f>IFERROR(__xludf.DUMMYFUNCTION("IFERROR(MIN(QUERY(FILTER(Recipes!$K$4:$N1003, Recipes!$L$4:$L1003 = A403, Recipes!$K$4:$K1003=TRUE), ""select Col4"")), -1)"),0.0)</f>
        <v>0</v>
      </c>
    </row>
    <row r="404">
      <c r="B404" s="21"/>
      <c r="C404" s="30"/>
      <c r="D404" s="30"/>
      <c r="E404" s="22">
        <f>IFERROR(__xludf.DUMMYFUNCTION("IFERROR(MIN(QUERY(FILTER(Recipes!$K$4:$N1003, Recipes!$L$4:$L1003 = A404, Recipes!$K$4:$K1003=TRUE), ""select Col4"")), -1)"),0.0)</f>
        <v>0</v>
      </c>
    </row>
    <row r="405">
      <c r="B405" s="21"/>
      <c r="C405" s="30"/>
      <c r="D405" s="30"/>
      <c r="E405" s="22">
        <f>IFERROR(__xludf.DUMMYFUNCTION("IFERROR(MIN(QUERY(FILTER(Recipes!$K$4:$N1003, Recipes!$L$4:$L1003 = A405, Recipes!$K$4:$K1003=TRUE), ""select Col4"")), -1)"),0.0)</f>
        <v>0</v>
      </c>
    </row>
    <row r="406">
      <c r="B406" s="21"/>
      <c r="C406" s="30"/>
      <c r="D406" s="30"/>
      <c r="E406" s="22">
        <f>IFERROR(__xludf.DUMMYFUNCTION("IFERROR(MIN(QUERY(FILTER(Recipes!$K$4:$N1003, Recipes!$L$4:$L1003 = A406, Recipes!$K$4:$K1003=TRUE), ""select Col4"")), -1)"),0.0)</f>
        <v>0</v>
      </c>
    </row>
    <row r="407">
      <c r="B407" s="21"/>
      <c r="C407" s="30"/>
      <c r="D407" s="30"/>
      <c r="E407" s="22">
        <f>IFERROR(__xludf.DUMMYFUNCTION("IFERROR(MIN(QUERY(FILTER(Recipes!$K$4:$N1003, Recipes!$L$4:$L1003 = A407, Recipes!$K$4:$K1003=TRUE), ""select Col4"")), -1)"),0.0)</f>
        <v>0</v>
      </c>
    </row>
    <row r="408">
      <c r="B408" s="21"/>
      <c r="C408" s="30"/>
      <c r="D408" s="30"/>
      <c r="E408" s="22">
        <f>IFERROR(__xludf.DUMMYFUNCTION("IFERROR(MIN(QUERY(FILTER(Recipes!$K$4:$N1003, Recipes!$L$4:$L1003 = A408, Recipes!$K$4:$K1003=TRUE), ""select Col4"")), -1)"),0.0)</f>
        <v>0</v>
      </c>
    </row>
    <row r="409">
      <c r="B409" s="21"/>
      <c r="C409" s="30"/>
      <c r="D409" s="30"/>
      <c r="E409" s="22">
        <f>IFERROR(__xludf.DUMMYFUNCTION("IFERROR(MIN(QUERY(FILTER(Recipes!$K$4:$N1003, Recipes!$L$4:$L1003 = A409, Recipes!$K$4:$K1003=TRUE), ""select Col4"")), -1)"),0.0)</f>
        <v>0</v>
      </c>
    </row>
    <row r="410">
      <c r="B410" s="21"/>
      <c r="C410" s="30"/>
      <c r="D410" s="30"/>
      <c r="E410" s="22">
        <f>IFERROR(__xludf.DUMMYFUNCTION("IFERROR(MIN(QUERY(FILTER(Recipes!$K$4:$N1003, Recipes!$L$4:$L1003 = A410, Recipes!$K$4:$K1003=TRUE), ""select Col4"")), -1)"),0.0)</f>
        <v>0</v>
      </c>
    </row>
    <row r="411">
      <c r="B411" s="21"/>
      <c r="C411" s="30"/>
      <c r="D411" s="30"/>
      <c r="E411" s="22">
        <f>IFERROR(__xludf.DUMMYFUNCTION("IFERROR(MIN(QUERY(FILTER(Recipes!$K$4:$N1003, Recipes!$L$4:$L1003 = A411, Recipes!$K$4:$K1003=TRUE), ""select Col4"")), -1)"),0.0)</f>
        <v>0</v>
      </c>
    </row>
    <row r="412">
      <c r="B412" s="21"/>
      <c r="C412" s="30"/>
      <c r="D412" s="30"/>
      <c r="E412" s="22">
        <f>IFERROR(__xludf.DUMMYFUNCTION("IFERROR(MIN(QUERY(FILTER(Recipes!$K$4:$N1003, Recipes!$L$4:$L1003 = A412, Recipes!$K$4:$K1003=TRUE), ""select Col4"")), -1)"),0.0)</f>
        <v>0</v>
      </c>
    </row>
    <row r="413">
      <c r="B413" s="21"/>
      <c r="C413" s="30"/>
      <c r="D413" s="30"/>
      <c r="E413" s="22">
        <f>IFERROR(__xludf.DUMMYFUNCTION("IFERROR(MIN(QUERY(FILTER(Recipes!$K$4:$N1003, Recipes!$L$4:$L1003 = A413, Recipes!$K$4:$K1003=TRUE), ""select Col4"")), -1)"),0.0)</f>
        <v>0</v>
      </c>
    </row>
    <row r="414">
      <c r="B414" s="21"/>
      <c r="C414" s="30"/>
      <c r="D414" s="30"/>
      <c r="E414" s="22">
        <f>IFERROR(__xludf.DUMMYFUNCTION("IFERROR(MIN(QUERY(FILTER(Recipes!$K$4:$N1003, Recipes!$L$4:$L1003 = A414, Recipes!$K$4:$K1003=TRUE), ""select Col4"")), -1)"),0.0)</f>
        <v>0</v>
      </c>
    </row>
    <row r="415">
      <c r="B415" s="21"/>
      <c r="C415" s="30"/>
      <c r="D415" s="30"/>
      <c r="E415" s="22">
        <f>IFERROR(__xludf.DUMMYFUNCTION("IFERROR(MIN(QUERY(FILTER(Recipes!$K$4:$N1003, Recipes!$L$4:$L1003 = A415, Recipes!$K$4:$K1003=TRUE), ""select Col4"")), -1)"),0.0)</f>
        <v>0</v>
      </c>
    </row>
    <row r="416">
      <c r="B416" s="21"/>
      <c r="C416" s="30"/>
      <c r="D416" s="30"/>
      <c r="E416" s="22">
        <f>IFERROR(__xludf.DUMMYFUNCTION("IFERROR(MIN(QUERY(FILTER(Recipes!$K$4:$N1003, Recipes!$L$4:$L1003 = A416, Recipes!$K$4:$K1003=TRUE), ""select Col4"")), -1)"),0.0)</f>
        <v>0</v>
      </c>
    </row>
    <row r="417">
      <c r="B417" s="21"/>
      <c r="C417" s="30"/>
      <c r="D417" s="30"/>
      <c r="E417" s="22">
        <f>IFERROR(__xludf.DUMMYFUNCTION("IFERROR(MIN(QUERY(FILTER(Recipes!$K$4:$N1003, Recipes!$L$4:$L1003 = A417, Recipes!$K$4:$K1003=TRUE), ""select Col4"")), -1)"),0.0)</f>
        <v>0</v>
      </c>
    </row>
    <row r="418">
      <c r="B418" s="21"/>
      <c r="C418" s="30"/>
      <c r="D418" s="30"/>
      <c r="E418" s="22">
        <f>IFERROR(__xludf.DUMMYFUNCTION("IFERROR(MIN(QUERY(FILTER(Recipes!$K$4:$N1003, Recipes!$L$4:$L1003 = A418, Recipes!$K$4:$K1003=TRUE), ""select Col4"")), -1)"),0.0)</f>
        <v>0</v>
      </c>
    </row>
    <row r="419">
      <c r="B419" s="21"/>
      <c r="C419" s="30"/>
      <c r="D419" s="30"/>
      <c r="E419" s="22">
        <f>IFERROR(__xludf.DUMMYFUNCTION("IFERROR(MIN(QUERY(FILTER(Recipes!$K$4:$N1003, Recipes!$L$4:$L1003 = A419, Recipes!$K$4:$K1003=TRUE), ""select Col4"")), -1)"),0.0)</f>
        <v>0</v>
      </c>
    </row>
    <row r="420">
      <c r="B420" s="21"/>
      <c r="C420" s="30"/>
      <c r="D420" s="30"/>
      <c r="E420" s="22">
        <f>IFERROR(__xludf.DUMMYFUNCTION("IFERROR(MIN(QUERY(FILTER(Recipes!$K$4:$N1003, Recipes!$L$4:$L1003 = A420, Recipes!$K$4:$K1003=TRUE), ""select Col4"")), -1)"),0.0)</f>
        <v>0</v>
      </c>
    </row>
    <row r="421">
      <c r="B421" s="21"/>
      <c r="C421" s="30"/>
      <c r="D421" s="30"/>
      <c r="E421" s="22">
        <f>IFERROR(__xludf.DUMMYFUNCTION("IFERROR(MIN(QUERY(FILTER(Recipes!$K$4:$N1003, Recipes!$L$4:$L1003 = A421, Recipes!$K$4:$K1003=TRUE), ""select Col4"")), -1)"),0.0)</f>
        <v>0</v>
      </c>
    </row>
    <row r="422">
      <c r="B422" s="21"/>
      <c r="C422" s="30"/>
      <c r="D422" s="30"/>
      <c r="E422" s="22">
        <f>IFERROR(__xludf.DUMMYFUNCTION("IFERROR(MIN(QUERY(FILTER(Recipes!$K$4:$N1003, Recipes!$L$4:$L1003 = A422, Recipes!$K$4:$K1003=TRUE), ""select Col4"")), -1)"),0.0)</f>
        <v>0</v>
      </c>
    </row>
    <row r="423">
      <c r="B423" s="21"/>
      <c r="C423" s="30"/>
      <c r="D423" s="30"/>
      <c r="E423" s="22">
        <f>IFERROR(__xludf.DUMMYFUNCTION("IFERROR(MIN(QUERY(FILTER(Recipes!$K$4:$N1003, Recipes!$L$4:$L1003 = A423, Recipes!$K$4:$K1003=TRUE), ""select Col4"")), -1)"),0.0)</f>
        <v>0</v>
      </c>
    </row>
    <row r="424">
      <c r="B424" s="21"/>
      <c r="C424" s="30"/>
      <c r="D424" s="30"/>
      <c r="E424" s="22">
        <f>IFERROR(__xludf.DUMMYFUNCTION("IFERROR(MIN(QUERY(FILTER(Recipes!$K$4:$N1003, Recipes!$L$4:$L1003 = A424, Recipes!$K$4:$K1003=TRUE), ""select Col4"")), -1)"),0.0)</f>
        <v>0</v>
      </c>
    </row>
    <row r="425">
      <c r="B425" s="21"/>
      <c r="C425" s="30"/>
      <c r="D425" s="30"/>
      <c r="E425" s="22">
        <f>IFERROR(__xludf.DUMMYFUNCTION("IFERROR(MIN(QUERY(FILTER(Recipes!$K$4:$N1003, Recipes!$L$4:$L1003 = A425, Recipes!$K$4:$K1003=TRUE), ""select Col4"")), -1)"),0.0)</f>
        <v>0</v>
      </c>
    </row>
    <row r="426">
      <c r="B426" s="21"/>
      <c r="C426" s="30"/>
      <c r="D426" s="30"/>
      <c r="E426" s="22">
        <f>IFERROR(__xludf.DUMMYFUNCTION("IFERROR(MIN(QUERY(FILTER(Recipes!$K$4:$N1003, Recipes!$L$4:$L1003 = A426, Recipes!$K$4:$K1003=TRUE), ""select Col4"")), -1)"),0.0)</f>
        <v>0</v>
      </c>
    </row>
    <row r="427">
      <c r="B427" s="21"/>
      <c r="C427" s="30"/>
      <c r="D427" s="30"/>
      <c r="E427" s="22">
        <f>IFERROR(__xludf.DUMMYFUNCTION("IFERROR(MIN(QUERY(FILTER(Recipes!$K$4:$N1003, Recipes!$L$4:$L1003 = A427, Recipes!$K$4:$K1003=TRUE), ""select Col4"")), -1)"),0.0)</f>
        <v>0</v>
      </c>
    </row>
    <row r="428">
      <c r="B428" s="21"/>
      <c r="C428" s="30"/>
      <c r="D428" s="30"/>
      <c r="E428" s="22">
        <f>IFERROR(__xludf.DUMMYFUNCTION("IFERROR(MIN(QUERY(FILTER(Recipes!$K$4:$N1003, Recipes!$L$4:$L1003 = A428, Recipes!$K$4:$K1003=TRUE), ""select Col4"")), -1)"),0.0)</f>
        <v>0</v>
      </c>
    </row>
    <row r="429">
      <c r="B429" s="21"/>
      <c r="C429" s="30"/>
      <c r="D429" s="30"/>
      <c r="E429" s="22">
        <f>IFERROR(__xludf.DUMMYFUNCTION("IFERROR(MIN(QUERY(FILTER(Recipes!$K$4:$N1003, Recipes!$L$4:$L1003 = A429, Recipes!$K$4:$K1003=TRUE), ""select Col4"")), -1)"),0.0)</f>
        <v>0</v>
      </c>
    </row>
    <row r="430">
      <c r="B430" s="21"/>
      <c r="C430" s="30"/>
      <c r="D430" s="30"/>
      <c r="E430" s="22">
        <f>IFERROR(__xludf.DUMMYFUNCTION("IFERROR(MIN(QUERY(FILTER(Recipes!$K$4:$N1003, Recipes!$L$4:$L1003 = A430, Recipes!$K$4:$K1003=TRUE), ""select Col4"")), -1)"),0.0)</f>
        <v>0</v>
      </c>
    </row>
    <row r="431">
      <c r="B431" s="21"/>
      <c r="C431" s="30"/>
      <c r="D431" s="30"/>
      <c r="E431" s="22">
        <f>IFERROR(__xludf.DUMMYFUNCTION("IFERROR(MIN(QUERY(FILTER(Recipes!$K$4:$N1003, Recipes!$L$4:$L1003 = A431, Recipes!$K$4:$K1003=TRUE), ""select Col4"")), -1)"),0.0)</f>
        <v>0</v>
      </c>
    </row>
    <row r="432">
      <c r="B432" s="21"/>
      <c r="C432" s="30"/>
      <c r="D432" s="30"/>
      <c r="E432" s="22">
        <f>IFERROR(__xludf.DUMMYFUNCTION("IFERROR(MIN(QUERY(FILTER(Recipes!$K$4:$N1003, Recipes!$L$4:$L1003 = A432, Recipes!$K$4:$K1003=TRUE), ""select Col4"")), -1)"),0.0)</f>
        <v>0</v>
      </c>
    </row>
    <row r="433">
      <c r="B433" s="21"/>
      <c r="C433" s="30"/>
      <c r="D433" s="30"/>
      <c r="E433" s="22">
        <f>IFERROR(__xludf.DUMMYFUNCTION("IFERROR(MIN(QUERY(FILTER(Recipes!$K$4:$N1003, Recipes!$L$4:$L1003 = A433, Recipes!$K$4:$K1003=TRUE), ""select Col4"")), -1)"),0.0)</f>
        <v>0</v>
      </c>
    </row>
    <row r="434">
      <c r="B434" s="21"/>
      <c r="C434" s="30"/>
      <c r="D434" s="30"/>
      <c r="E434" s="22">
        <f>IFERROR(__xludf.DUMMYFUNCTION("IFERROR(MIN(QUERY(FILTER(Recipes!$K$4:$N1003, Recipes!$L$4:$L1003 = A434, Recipes!$K$4:$K1003=TRUE), ""select Col4"")), -1)"),0.0)</f>
        <v>0</v>
      </c>
    </row>
    <row r="435">
      <c r="B435" s="21"/>
      <c r="C435" s="30"/>
      <c r="D435" s="30"/>
      <c r="E435" s="22">
        <f>IFERROR(__xludf.DUMMYFUNCTION("IFERROR(MIN(QUERY(FILTER(Recipes!$K$4:$N1003, Recipes!$L$4:$L1003 = A435, Recipes!$K$4:$K1003=TRUE), ""select Col4"")), -1)"),0.0)</f>
        <v>0</v>
      </c>
    </row>
    <row r="436">
      <c r="B436" s="21"/>
      <c r="C436" s="30"/>
      <c r="D436" s="30"/>
      <c r="E436" s="22">
        <f>IFERROR(__xludf.DUMMYFUNCTION("IFERROR(MIN(QUERY(FILTER(Recipes!$K$4:$N1003, Recipes!$L$4:$L1003 = A436, Recipes!$K$4:$K1003=TRUE), ""select Col4"")), -1)"),0.0)</f>
        <v>0</v>
      </c>
    </row>
    <row r="437">
      <c r="B437" s="21"/>
      <c r="C437" s="30"/>
      <c r="D437" s="30"/>
      <c r="E437" s="22">
        <f>IFERROR(__xludf.DUMMYFUNCTION("IFERROR(MIN(QUERY(FILTER(Recipes!$K$4:$N1003, Recipes!$L$4:$L1003 = A437, Recipes!$K$4:$K1003=TRUE), ""select Col4"")), -1)"),0.0)</f>
        <v>0</v>
      </c>
    </row>
    <row r="438">
      <c r="B438" s="21"/>
      <c r="C438" s="30"/>
      <c r="D438" s="30"/>
      <c r="E438" s="22">
        <f>IFERROR(__xludf.DUMMYFUNCTION("IFERROR(MIN(QUERY(FILTER(Recipes!$K$4:$N1003, Recipes!$L$4:$L1003 = A438, Recipes!$K$4:$K1003=TRUE), ""select Col4"")), -1)"),0.0)</f>
        <v>0</v>
      </c>
    </row>
    <row r="439">
      <c r="B439" s="21"/>
      <c r="C439" s="30"/>
      <c r="D439" s="30"/>
      <c r="E439" s="22">
        <f>IFERROR(__xludf.DUMMYFUNCTION("IFERROR(MIN(QUERY(FILTER(Recipes!$K$4:$N1003, Recipes!$L$4:$L1003 = A439, Recipes!$K$4:$K1003=TRUE), ""select Col4"")), -1)"),0.0)</f>
        <v>0</v>
      </c>
    </row>
    <row r="440">
      <c r="B440" s="21"/>
      <c r="C440" s="30"/>
      <c r="D440" s="30"/>
      <c r="E440" s="22">
        <f>IFERROR(__xludf.DUMMYFUNCTION("IFERROR(MIN(QUERY(FILTER(Recipes!$K$4:$N1003, Recipes!$L$4:$L1003 = A440, Recipes!$K$4:$K1003=TRUE), ""select Col4"")), -1)"),0.0)</f>
        <v>0</v>
      </c>
    </row>
    <row r="441">
      <c r="B441" s="21"/>
      <c r="C441" s="30"/>
      <c r="D441" s="30"/>
      <c r="E441" s="22">
        <f>IFERROR(__xludf.DUMMYFUNCTION("IFERROR(MIN(QUERY(FILTER(Recipes!$K$4:$N1003, Recipes!$L$4:$L1003 = A441, Recipes!$K$4:$K1003=TRUE), ""select Col4"")), -1)"),0.0)</f>
        <v>0</v>
      </c>
    </row>
    <row r="442">
      <c r="B442" s="21"/>
      <c r="C442" s="30"/>
      <c r="D442" s="30"/>
      <c r="E442" s="22">
        <f>IFERROR(__xludf.DUMMYFUNCTION("IFERROR(MIN(QUERY(FILTER(Recipes!$K$4:$N1003, Recipes!$L$4:$L1003 = A442, Recipes!$K$4:$K1003=TRUE), ""select Col4"")), -1)"),0.0)</f>
        <v>0</v>
      </c>
    </row>
    <row r="443">
      <c r="B443" s="21"/>
      <c r="C443" s="30"/>
      <c r="D443" s="30"/>
      <c r="E443" s="22">
        <f>IFERROR(__xludf.DUMMYFUNCTION("IFERROR(MIN(QUERY(FILTER(Recipes!$K$4:$N1003, Recipes!$L$4:$L1003 = A443, Recipes!$K$4:$K1003=TRUE), ""select Col4"")), -1)"),0.0)</f>
        <v>0</v>
      </c>
    </row>
    <row r="444">
      <c r="B444" s="21"/>
      <c r="C444" s="30"/>
      <c r="D444" s="30"/>
      <c r="E444" s="22">
        <f>IFERROR(__xludf.DUMMYFUNCTION("IFERROR(MIN(QUERY(FILTER(Recipes!$K$4:$N1003, Recipes!$L$4:$L1003 = A444, Recipes!$K$4:$K1003=TRUE), ""select Col4"")), -1)"),0.0)</f>
        <v>0</v>
      </c>
    </row>
    <row r="445">
      <c r="B445" s="21"/>
      <c r="C445" s="30"/>
      <c r="D445" s="30"/>
      <c r="E445" s="22">
        <f>IFERROR(__xludf.DUMMYFUNCTION("IFERROR(MIN(QUERY(FILTER(Recipes!$K$4:$N1003, Recipes!$L$4:$L1003 = A445, Recipes!$K$4:$K1003=TRUE), ""select Col4"")), -1)"),0.0)</f>
        <v>0</v>
      </c>
    </row>
    <row r="446">
      <c r="B446" s="21"/>
      <c r="C446" s="30"/>
      <c r="D446" s="30"/>
      <c r="E446" s="22">
        <f>IFERROR(__xludf.DUMMYFUNCTION("IFERROR(MIN(QUERY(FILTER(Recipes!$K$4:$N1003, Recipes!$L$4:$L1003 = A446, Recipes!$K$4:$K1003=TRUE), ""select Col4"")), -1)"),0.0)</f>
        <v>0</v>
      </c>
    </row>
    <row r="447">
      <c r="B447" s="21"/>
      <c r="C447" s="30"/>
      <c r="D447" s="30"/>
      <c r="E447" s="22">
        <f>IFERROR(__xludf.DUMMYFUNCTION("IFERROR(MIN(QUERY(FILTER(Recipes!$K$4:$N1003, Recipes!$L$4:$L1003 = A447, Recipes!$K$4:$K1003=TRUE), ""select Col4"")), -1)"),0.0)</f>
        <v>0</v>
      </c>
    </row>
    <row r="448">
      <c r="B448" s="21"/>
      <c r="C448" s="30"/>
      <c r="D448" s="30"/>
      <c r="E448" s="22">
        <f>IFERROR(__xludf.DUMMYFUNCTION("IFERROR(MIN(QUERY(FILTER(Recipes!$K$4:$N1003, Recipes!$L$4:$L1003 = A448, Recipes!$K$4:$K1003=TRUE), ""select Col4"")), -1)"),0.0)</f>
        <v>0</v>
      </c>
    </row>
    <row r="449">
      <c r="B449" s="21"/>
      <c r="C449" s="30"/>
      <c r="D449" s="30"/>
      <c r="E449" s="22">
        <f>IFERROR(__xludf.DUMMYFUNCTION("IFERROR(MIN(QUERY(FILTER(Recipes!$K$4:$N1003, Recipes!$L$4:$L1003 = A449, Recipes!$K$4:$K1003=TRUE), ""select Col4"")), -1)"),0.0)</f>
        <v>0</v>
      </c>
    </row>
    <row r="450">
      <c r="B450" s="21"/>
      <c r="C450" s="30"/>
      <c r="D450" s="30"/>
      <c r="E450" s="22">
        <f>IFERROR(__xludf.DUMMYFUNCTION("IFERROR(MIN(QUERY(FILTER(Recipes!$K$4:$N1003, Recipes!$L$4:$L1003 = A450, Recipes!$K$4:$K1003=TRUE), ""select Col4"")), -1)"),0.0)</f>
        <v>0</v>
      </c>
    </row>
    <row r="451">
      <c r="B451" s="21"/>
      <c r="C451" s="30"/>
      <c r="D451" s="30"/>
      <c r="E451" s="22">
        <f>IFERROR(__xludf.DUMMYFUNCTION("IFERROR(MIN(QUERY(FILTER(Recipes!$K$4:$N1003, Recipes!$L$4:$L1003 = A451, Recipes!$K$4:$K1003=TRUE), ""select Col4"")), -1)"),0.0)</f>
        <v>0</v>
      </c>
    </row>
    <row r="452">
      <c r="B452" s="21"/>
      <c r="C452" s="30"/>
      <c r="D452" s="30"/>
      <c r="E452" s="22">
        <f>IFERROR(__xludf.DUMMYFUNCTION("IFERROR(MIN(QUERY(FILTER(Recipes!$K$4:$N1003, Recipes!$L$4:$L1003 = A452, Recipes!$K$4:$K1003=TRUE), ""select Col4"")), -1)"),0.0)</f>
        <v>0</v>
      </c>
    </row>
    <row r="453">
      <c r="B453" s="21"/>
      <c r="C453" s="30"/>
      <c r="D453" s="30"/>
      <c r="E453" s="22">
        <f>IFERROR(__xludf.DUMMYFUNCTION("IFERROR(MIN(QUERY(FILTER(Recipes!$K$4:$N1003, Recipes!$L$4:$L1003 = A453, Recipes!$K$4:$K1003=TRUE), ""select Col4"")), -1)"),0.0)</f>
        <v>0</v>
      </c>
    </row>
    <row r="454">
      <c r="B454" s="21"/>
      <c r="C454" s="30"/>
      <c r="D454" s="30"/>
      <c r="E454" s="22">
        <f>IFERROR(__xludf.DUMMYFUNCTION("IFERROR(MIN(QUERY(FILTER(Recipes!$K$4:$N1003, Recipes!$L$4:$L1003 = A454, Recipes!$K$4:$K1003=TRUE), ""select Col4"")), -1)"),0.0)</f>
        <v>0</v>
      </c>
    </row>
    <row r="455">
      <c r="B455" s="21"/>
      <c r="C455" s="30"/>
      <c r="D455" s="30"/>
      <c r="E455" s="22">
        <f>IFERROR(__xludf.DUMMYFUNCTION("IFERROR(MIN(QUERY(FILTER(Recipes!$K$4:$N1003, Recipes!$L$4:$L1003 = A455, Recipes!$K$4:$K1003=TRUE), ""select Col4"")), -1)"),0.0)</f>
        <v>0</v>
      </c>
    </row>
    <row r="456">
      <c r="B456" s="21"/>
      <c r="C456" s="30"/>
      <c r="D456" s="30"/>
      <c r="E456" s="22">
        <f>IFERROR(__xludf.DUMMYFUNCTION("IFERROR(MIN(QUERY(FILTER(Recipes!$K$4:$N1003, Recipes!$L$4:$L1003 = A456, Recipes!$K$4:$K1003=TRUE), ""select Col4"")), -1)"),0.0)</f>
        <v>0</v>
      </c>
    </row>
    <row r="457">
      <c r="B457" s="21"/>
      <c r="C457" s="30"/>
      <c r="D457" s="30"/>
      <c r="E457" s="22">
        <f>IFERROR(__xludf.DUMMYFUNCTION("IFERROR(MIN(QUERY(FILTER(Recipes!$K$4:$N1003, Recipes!$L$4:$L1003 = A457, Recipes!$K$4:$K1003=TRUE), ""select Col4"")), -1)"),0.0)</f>
        <v>0</v>
      </c>
    </row>
    <row r="458">
      <c r="B458" s="21"/>
      <c r="C458" s="30"/>
      <c r="D458" s="30"/>
      <c r="E458" s="22">
        <f>IFERROR(__xludf.DUMMYFUNCTION("IFERROR(MIN(QUERY(FILTER(Recipes!$K$4:$N1003, Recipes!$L$4:$L1003 = A458, Recipes!$K$4:$K1003=TRUE), ""select Col4"")), -1)"),0.0)</f>
        <v>0</v>
      </c>
    </row>
    <row r="459">
      <c r="B459" s="21"/>
      <c r="C459" s="30"/>
      <c r="D459" s="30"/>
      <c r="E459" s="22">
        <f>IFERROR(__xludf.DUMMYFUNCTION("IFERROR(MIN(QUERY(FILTER(Recipes!$K$4:$N1003, Recipes!$L$4:$L1003 = A459, Recipes!$K$4:$K1003=TRUE), ""select Col4"")), -1)"),0.0)</f>
        <v>0</v>
      </c>
    </row>
    <row r="460">
      <c r="B460" s="21"/>
      <c r="C460" s="30"/>
      <c r="D460" s="30"/>
      <c r="E460" s="22">
        <f>IFERROR(__xludf.DUMMYFUNCTION("IFERROR(MIN(QUERY(FILTER(Recipes!$K$4:$N1003, Recipes!$L$4:$L1003 = A460, Recipes!$K$4:$K1003=TRUE), ""select Col4"")), -1)"),0.0)</f>
        <v>0</v>
      </c>
    </row>
    <row r="461">
      <c r="B461" s="21"/>
      <c r="C461" s="30"/>
      <c r="D461" s="30"/>
      <c r="E461" s="22">
        <f>IFERROR(__xludf.DUMMYFUNCTION("IFERROR(MIN(QUERY(FILTER(Recipes!$K$4:$N1003, Recipes!$L$4:$L1003 = A461, Recipes!$K$4:$K1003=TRUE), ""select Col4"")), -1)"),0.0)</f>
        <v>0</v>
      </c>
    </row>
    <row r="462">
      <c r="B462" s="21"/>
      <c r="C462" s="30"/>
      <c r="D462" s="30"/>
      <c r="E462" s="22">
        <f>IFERROR(__xludf.DUMMYFUNCTION("IFERROR(MIN(QUERY(FILTER(Recipes!$K$4:$N1003, Recipes!$L$4:$L1003 = A462, Recipes!$K$4:$K1003=TRUE), ""select Col4"")), -1)"),0.0)</f>
        <v>0</v>
      </c>
    </row>
    <row r="463">
      <c r="B463" s="21"/>
      <c r="C463" s="30"/>
      <c r="D463" s="30"/>
      <c r="E463" s="22">
        <f>IFERROR(__xludf.DUMMYFUNCTION("IFERROR(MIN(QUERY(FILTER(Recipes!$K$4:$N1003, Recipes!$L$4:$L1003 = A463, Recipes!$K$4:$K1003=TRUE), ""select Col4"")), -1)"),0.0)</f>
        <v>0</v>
      </c>
    </row>
    <row r="464">
      <c r="B464" s="21"/>
      <c r="C464" s="30"/>
      <c r="D464" s="30"/>
      <c r="E464" s="22">
        <f>IFERROR(__xludf.DUMMYFUNCTION("IFERROR(MIN(QUERY(FILTER(Recipes!$K$4:$N1003, Recipes!$L$4:$L1003 = A464, Recipes!$K$4:$K1003=TRUE), ""select Col4"")), -1)"),0.0)</f>
        <v>0</v>
      </c>
    </row>
    <row r="465">
      <c r="B465" s="21"/>
      <c r="C465" s="30"/>
      <c r="D465" s="30"/>
      <c r="E465" s="22">
        <f>IFERROR(__xludf.DUMMYFUNCTION("IFERROR(MIN(QUERY(FILTER(Recipes!$K$4:$N1003, Recipes!$L$4:$L1003 = A465, Recipes!$K$4:$K1003=TRUE), ""select Col4"")), -1)"),0.0)</f>
        <v>0</v>
      </c>
    </row>
    <row r="466">
      <c r="B466" s="21"/>
      <c r="C466" s="30"/>
      <c r="D466" s="30"/>
      <c r="E466" s="22">
        <f>IFERROR(__xludf.DUMMYFUNCTION("IFERROR(MIN(QUERY(FILTER(Recipes!$K$4:$N1003, Recipes!$L$4:$L1003 = A466, Recipes!$K$4:$K1003=TRUE), ""select Col4"")), -1)"),0.0)</f>
        <v>0</v>
      </c>
    </row>
    <row r="467">
      <c r="B467" s="21"/>
      <c r="C467" s="30"/>
      <c r="D467" s="30"/>
      <c r="E467" s="22">
        <f>IFERROR(__xludf.DUMMYFUNCTION("IFERROR(MIN(QUERY(FILTER(Recipes!$K$4:$N1003, Recipes!$L$4:$L1003 = A467, Recipes!$K$4:$K1003=TRUE), ""select Col4"")), -1)"),0.0)</f>
        <v>0</v>
      </c>
    </row>
    <row r="468">
      <c r="B468" s="21"/>
      <c r="C468" s="30"/>
      <c r="D468" s="30"/>
      <c r="E468" s="22">
        <f>IFERROR(__xludf.DUMMYFUNCTION("IFERROR(MIN(QUERY(FILTER(Recipes!$K$4:$N1003, Recipes!$L$4:$L1003 = A468, Recipes!$K$4:$K1003=TRUE), ""select Col4"")), -1)"),0.0)</f>
        <v>0</v>
      </c>
    </row>
    <row r="469">
      <c r="B469" s="21"/>
      <c r="C469" s="30"/>
      <c r="D469" s="30"/>
      <c r="E469" s="22">
        <f>IFERROR(__xludf.DUMMYFUNCTION("IFERROR(MIN(QUERY(FILTER(Recipes!$K$4:$N1003, Recipes!$L$4:$L1003 = A469, Recipes!$K$4:$K1003=TRUE), ""select Col4"")), -1)"),0.0)</f>
        <v>0</v>
      </c>
    </row>
    <row r="470">
      <c r="B470" s="21"/>
      <c r="C470" s="30"/>
      <c r="D470" s="30"/>
      <c r="E470" s="22">
        <f>IFERROR(__xludf.DUMMYFUNCTION("IFERROR(MIN(QUERY(FILTER(Recipes!$K$4:$N1003, Recipes!$L$4:$L1003 = A470, Recipes!$K$4:$K1003=TRUE), ""select Col4"")), -1)"),0.0)</f>
        <v>0</v>
      </c>
    </row>
    <row r="471">
      <c r="B471" s="21"/>
      <c r="C471" s="30"/>
      <c r="D471" s="30"/>
      <c r="E471" s="22">
        <f>IFERROR(__xludf.DUMMYFUNCTION("IFERROR(MIN(QUERY(FILTER(Recipes!$K$4:$N1003, Recipes!$L$4:$L1003 = A471, Recipes!$K$4:$K1003=TRUE), ""select Col4"")), -1)"),0.0)</f>
        <v>0</v>
      </c>
    </row>
    <row r="472">
      <c r="B472" s="21"/>
      <c r="C472" s="30"/>
      <c r="D472" s="30"/>
      <c r="E472" s="22">
        <f>IFERROR(__xludf.DUMMYFUNCTION("IFERROR(MIN(QUERY(FILTER(Recipes!$K$4:$N1003, Recipes!$L$4:$L1003 = A472, Recipes!$K$4:$K1003=TRUE), ""select Col4"")), -1)"),0.0)</f>
        <v>0</v>
      </c>
    </row>
    <row r="473">
      <c r="B473" s="21"/>
      <c r="C473" s="30"/>
      <c r="D473" s="30"/>
      <c r="E473" s="22">
        <f>IFERROR(__xludf.DUMMYFUNCTION("IFERROR(MIN(QUERY(FILTER(Recipes!$K$4:$N1003, Recipes!$L$4:$L1003 = A473, Recipes!$K$4:$K1003=TRUE), ""select Col4"")), -1)"),0.0)</f>
        <v>0</v>
      </c>
    </row>
    <row r="474">
      <c r="B474" s="21"/>
      <c r="C474" s="30"/>
      <c r="D474" s="30"/>
      <c r="E474" s="22">
        <f>IFERROR(__xludf.DUMMYFUNCTION("IFERROR(MIN(QUERY(FILTER(Recipes!$K$4:$N1003, Recipes!$L$4:$L1003 = A474, Recipes!$K$4:$K1003=TRUE), ""select Col4"")), -1)"),0.0)</f>
        <v>0</v>
      </c>
    </row>
    <row r="475">
      <c r="B475" s="21"/>
      <c r="C475" s="30"/>
      <c r="D475" s="30"/>
      <c r="E475" s="22">
        <f>IFERROR(__xludf.DUMMYFUNCTION("IFERROR(MIN(QUERY(FILTER(Recipes!$K$4:$N1003, Recipes!$L$4:$L1003 = A475, Recipes!$K$4:$K1003=TRUE), ""select Col4"")), -1)"),0.0)</f>
        <v>0</v>
      </c>
    </row>
    <row r="476">
      <c r="B476" s="21"/>
      <c r="C476" s="30"/>
      <c r="D476" s="30"/>
      <c r="E476" s="22">
        <f>IFERROR(__xludf.DUMMYFUNCTION("IFERROR(MIN(QUERY(FILTER(Recipes!$K$4:$N1003, Recipes!$L$4:$L1003 = A476, Recipes!$K$4:$K1003=TRUE), ""select Col4"")), -1)"),0.0)</f>
        <v>0</v>
      </c>
    </row>
    <row r="477">
      <c r="B477" s="21"/>
      <c r="C477" s="30"/>
      <c r="D477" s="30"/>
      <c r="E477" s="22">
        <f>IFERROR(__xludf.DUMMYFUNCTION("IFERROR(MIN(QUERY(FILTER(Recipes!$K$4:$N1003, Recipes!$L$4:$L1003 = A477, Recipes!$K$4:$K1003=TRUE), ""select Col4"")), -1)"),0.0)</f>
        <v>0</v>
      </c>
    </row>
    <row r="478">
      <c r="B478" s="21"/>
      <c r="C478" s="30"/>
      <c r="D478" s="30"/>
      <c r="E478" s="22">
        <f>IFERROR(__xludf.DUMMYFUNCTION("IFERROR(MIN(QUERY(FILTER(Recipes!$K$4:$N1003, Recipes!$L$4:$L1003 = A478, Recipes!$K$4:$K1003=TRUE), ""select Col4"")), -1)"),0.0)</f>
        <v>0</v>
      </c>
    </row>
    <row r="479">
      <c r="B479" s="21"/>
      <c r="C479" s="30"/>
      <c r="D479" s="30"/>
      <c r="E479" s="22">
        <f>IFERROR(__xludf.DUMMYFUNCTION("IFERROR(MIN(QUERY(FILTER(Recipes!$K$4:$N1003, Recipes!$L$4:$L1003 = A479, Recipes!$K$4:$K1003=TRUE), ""select Col4"")), -1)"),0.0)</f>
        <v>0</v>
      </c>
    </row>
    <row r="480">
      <c r="B480" s="21"/>
      <c r="C480" s="30"/>
      <c r="D480" s="30"/>
      <c r="E480" s="22">
        <f>IFERROR(__xludf.DUMMYFUNCTION("IFERROR(MIN(QUERY(FILTER(Recipes!$K$4:$N1003, Recipes!$L$4:$L1003 = A480, Recipes!$K$4:$K1003=TRUE), ""select Col4"")), -1)"),0.0)</f>
        <v>0</v>
      </c>
    </row>
    <row r="481">
      <c r="B481" s="21"/>
      <c r="C481" s="30"/>
      <c r="D481" s="30"/>
      <c r="E481" s="22">
        <f>IFERROR(__xludf.DUMMYFUNCTION("IFERROR(MIN(QUERY(FILTER(Recipes!$K$4:$N1003, Recipes!$L$4:$L1003 = A481, Recipes!$K$4:$K1003=TRUE), ""select Col4"")), -1)"),0.0)</f>
        <v>0</v>
      </c>
    </row>
    <row r="482">
      <c r="B482" s="21"/>
      <c r="C482" s="30"/>
      <c r="D482" s="30"/>
      <c r="E482" s="22">
        <f>IFERROR(__xludf.DUMMYFUNCTION("IFERROR(MIN(QUERY(FILTER(Recipes!$K$4:$N1003, Recipes!$L$4:$L1003 = A482, Recipes!$K$4:$K1003=TRUE), ""select Col4"")), -1)"),0.0)</f>
        <v>0</v>
      </c>
    </row>
    <row r="483">
      <c r="B483" s="21"/>
      <c r="C483" s="30"/>
      <c r="D483" s="30"/>
      <c r="E483" s="22">
        <f>IFERROR(__xludf.DUMMYFUNCTION("IFERROR(MIN(QUERY(FILTER(Recipes!$K$4:$N1003, Recipes!$L$4:$L1003 = A483, Recipes!$K$4:$K1003=TRUE), ""select Col4"")), -1)"),0.0)</f>
        <v>0</v>
      </c>
    </row>
    <row r="484">
      <c r="B484" s="21"/>
      <c r="C484" s="30"/>
      <c r="D484" s="30"/>
      <c r="E484" s="22">
        <f>IFERROR(__xludf.DUMMYFUNCTION("IFERROR(MIN(QUERY(FILTER(Recipes!$K$4:$N1003, Recipes!$L$4:$L1003 = A484, Recipes!$K$4:$K1003=TRUE), ""select Col4"")), -1)"),0.0)</f>
        <v>0</v>
      </c>
    </row>
    <row r="485">
      <c r="B485" s="21"/>
      <c r="C485" s="30"/>
      <c r="D485" s="30"/>
      <c r="E485" s="22">
        <f>IFERROR(__xludf.DUMMYFUNCTION("IFERROR(MIN(QUERY(FILTER(Recipes!$K$4:$N1003, Recipes!$L$4:$L1003 = A485, Recipes!$K$4:$K1003=TRUE), ""select Col4"")), -1)"),0.0)</f>
        <v>0</v>
      </c>
    </row>
    <row r="486">
      <c r="B486" s="21"/>
      <c r="C486" s="30"/>
      <c r="D486" s="30"/>
      <c r="E486" s="22">
        <f>IFERROR(__xludf.DUMMYFUNCTION("IFERROR(MIN(QUERY(FILTER(Recipes!$K$4:$N1003, Recipes!$L$4:$L1003 = A486, Recipes!$K$4:$K1003=TRUE), ""select Col4"")), -1)"),0.0)</f>
        <v>0</v>
      </c>
    </row>
    <row r="487">
      <c r="B487" s="21"/>
      <c r="C487" s="30"/>
      <c r="D487" s="30"/>
      <c r="E487" s="22">
        <f>IFERROR(__xludf.DUMMYFUNCTION("IFERROR(MIN(QUERY(FILTER(Recipes!$K$4:$N1003, Recipes!$L$4:$L1003 = A487, Recipes!$K$4:$K1003=TRUE), ""select Col4"")), -1)"),0.0)</f>
        <v>0</v>
      </c>
    </row>
    <row r="488">
      <c r="B488" s="21"/>
      <c r="C488" s="30"/>
      <c r="D488" s="30"/>
      <c r="E488" s="22">
        <f>IFERROR(__xludf.DUMMYFUNCTION("IFERROR(MIN(QUERY(FILTER(Recipes!$K$4:$N1003, Recipes!$L$4:$L1003 = A488, Recipes!$K$4:$K1003=TRUE), ""select Col4"")), -1)"),0.0)</f>
        <v>0</v>
      </c>
    </row>
    <row r="489">
      <c r="B489" s="21"/>
      <c r="C489" s="30"/>
      <c r="D489" s="30"/>
      <c r="E489" s="22">
        <f>IFERROR(__xludf.DUMMYFUNCTION("IFERROR(MIN(QUERY(FILTER(Recipes!$K$4:$N1003, Recipes!$L$4:$L1003 = A489, Recipes!$K$4:$K1003=TRUE), ""select Col4"")), -1)"),0.0)</f>
        <v>0</v>
      </c>
    </row>
    <row r="490">
      <c r="B490" s="21"/>
      <c r="C490" s="30"/>
      <c r="D490" s="30"/>
      <c r="E490" s="22">
        <f>IFERROR(__xludf.DUMMYFUNCTION("IFERROR(MIN(QUERY(FILTER(Recipes!$K$4:$N1003, Recipes!$L$4:$L1003 = A490, Recipes!$K$4:$K1003=TRUE), ""select Col4"")), -1)"),0.0)</f>
        <v>0</v>
      </c>
    </row>
    <row r="491">
      <c r="B491" s="21"/>
      <c r="C491" s="30"/>
      <c r="D491" s="30"/>
      <c r="E491" s="22">
        <f>IFERROR(__xludf.DUMMYFUNCTION("IFERROR(MIN(QUERY(FILTER(Recipes!$K$4:$N1003, Recipes!$L$4:$L1003 = A491, Recipes!$K$4:$K1003=TRUE), ""select Col4"")), -1)"),0.0)</f>
        <v>0</v>
      </c>
    </row>
    <row r="492">
      <c r="B492" s="21"/>
      <c r="C492" s="30"/>
      <c r="D492" s="30"/>
      <c r="E492" s="22">
        <f>IFERROR(__xludf.DUMMYFUNCTION("IFERROR(MIN(QUERY(FILTER(Recipes!$K$4:$N1003, Recipes!$L$4:$L1003 = A492, Recipes!$K$4:$K1003=TRUE), ""select Col4"")), -1)"),0.0)</f>
        <v>0</v>
      </c>
    </row>
    <row r="493">
      <c r="B493" s="21"/>
      <c r="C493" s="30"/>
      <c r="D493" s="30"/>
      <c r="E493" s="22">
        <f>IFERROR(__xludf.DUMMYFUNCTION("IFERROR(MIN(QUERY(FILTER(Recipes!$K$4:$N1003, Recipes!$L$4:$L1003 = A493, Recipes!$K$4:$K1003=TRUE), ""select Col4"")), -1)"),0.0)</f>
        <v>0</v>
      </c>
    </row>
    <row r="494">
      <c r="B494" s="21"/>
      <c r="C494" s="30"/>
      <c r="D494" s="30"/>
      <c r="E494" s="22">
        <f>IFERROR(__xludf.DUMMYFUNCTION("IFERROR(MIN(QUERY(FILTER(Recipes!$K$4:$N1003, Recipes!$L$4:$L1003 = A494, Recipes!$K$4:$K1003=TRUE), ""select Col4"")), -1)"),0.0)</f>
        <v>0</v>
      </c>
    </row>
    <row r="495">
      <c r="B495" s="21"/>
      <c r="C495" s="30"/>
      <c r="D495" s="30"/>
      <c r="E495" s="22">
        <f>IFERROR(__xludf.DUMMYFUNCTION("IFERROR(MIN(QUERY(FILTER(Recipes!$K$4:$N1003, Recipes!$L$4:$L1003 = A495, Recipes!$K$4:$K1003=TRUE), ""select Col4"")), -1)"),0.0)</f>
        <v>0</v>
      </c>
    </row>
    <row r="496">
      <c r="B496" s="21"/>
      <c r="C496" s="30"/>
      <c r="D496" s="30"/>
      <c r="E496" s="22">
        <f>IFERROR(__xludf.DUMMYFUNCTION("IFERROR(MIN(QUERY(FILTER(Recipes!$K$4:$N1003, Recipes!$L$4:$L1003 = A496, Recipes!$K$4:$K1003=TRUE), ""select Col4"")), -1)"),0.0)</f>
        <v>0</v>
      </c>
    </row>
    <row r="497">
      <c r="B497" s="21"/>
      <c r="C497" s="30"/>
      <c r="D497" s="30"/>
      <c r="E497" s="22">
        <f>IFERROR(__xludf.DUMMYFUNCTION("IFERROR(MIN(QUERY(FILTER(Recipes!$K$4:$N1003, Recipes!$L$4:$L1003 = A497, Recipes!$K$4:$K1003=TRUE), ""select Col4"")), -1)"),0.0)</f>
        <v>0</v>
      </c>
    </row>
    <row r="498">
      <c r="B498" s="21"/>
      <c r="C498" s="30"/>
      <c r="D498" s="30"/>
      <c r="E498" s="22">
        <f>IFERROR(__xludf.DUMMYFUNCTION("IFERROR(MIN(QUERY(FILTER(Recipes!$K$4:$N1003, Recipes!$L$4:$L1003 = A498, Recipes!$K$4:$K1003=TRUE), ""select Col4"")), -1)"),0.0)</f>
        <v>0</v>
      </c>
    </row>
    <row r="499">
      <c r="B499" s="21"/>
      <c r="C499" s="30"/>
      <c r="D499" s="30"/>
      <c r="E499" s="22">
        <f>IFERROR(__xludf.DUMMYFUNCTION("IFERROR(MIN(QUERY(FILTER(Recipes!$K$4:$N1003, Recipes!$L$4:$L1003 = A499, Recipes!$K$4:$K1003=TRUE), ""select Col4"")), -1)"),0.0)</f>
        <v>0</v>
      </c>
    </row>
    <row r="500">
      <c r="B500" s="21"/>
      <c r="C500" s="30"/>
      <c r="D500" s="30"/>
      <c r="E500" s="22">
        <f>IFERROR(__xludf.DUMMYFUNCTION("IFERROR(MIN(QUERY(FILTER(Recipes!$K$4:$N1003, Recipes!$L$4:$L1003 = A500, Recipes!$K$4:$K1003=TRUE), ""select Col4"")), -1)"),0.0)</f>
        <v>0</v>
      </c>
    </row>
    <row r="501">
      <c r="B501" s="21"/>
      <c r="C501" s="30"/>
      <c r="D501" s="30"/>
      <c r="E501" s="22">
        <f>IFERROR(__xludf.DUMMYFUNCTION("IFERROR(MIN(QUERY(FILTER(Recipes!$K$4:$N1003, Recipes!$L$4:$L1003 = A501, Recipes!$K$4:$K1003=TRUE), ""select Col4"")), -1)"),0.0)</f>
        <v>0</v>
      </c>
    </row>
    <row r="502">
      <c r="B502" s="21"/>
      <c r="C502" s="30"/>
      <c r="D502" s="30"/>
      <c r="E502" s="22">
        <f>IFERROR(__xludf.DUMMYFUNCTION("IFERROR(MIN(QUERY(FILTER(Recipes!$K$4:$N1003, Recipes!$L$4:$L1003 = A502, Recipes!$K$4:$K1003=TRUE), ""select Col4"")), -1)"),0.0)</f>
        <v>0</v>
      </c>
    </row>
    <row r="503">
      <c r="B503" s="21"/>
      <c r="C503" s="30"/>
      <c r="D503" s="30"/>
      <c r="E503" s="22">
        <f>IFERROR(__xludf.DUMMYFUNCTION("IFERROR(MIN(QUERY(FILTER(Recipes!$K$4:$N1003, Recipes!$L$4:$L1003 = A503, Recipes!$K$4:$K1003=TRUE), ""select Col4"")), -1)"),0.0)</f>
        <v>0</v>
      </c>
    </row>
    <row r="504">
      <c r="B504" s="21"/>
      <c r="C504" s="30"/>
      <c r="D504" s="30"/>
      <c r="E504" s="22">
        <f>IFERROR(__xludf.DUMMYFUNCTION("IFERROR(MIN(QUERY(FILTER(Recipes!$K$4:$N1003, Recipes!$L$4:$L1003 = A504, Recipes!$K$4:$K1003=TRUE), ""select Col4"")), -1)"),0.0)</f>
        <v>0</v>
      </c>
    </row>
    <row r="505">
      <c r="B505" s="21"/>
      <c r="C505" s="30"/>
      <c r="D505" s="30"/>
      <c r="E505" s="22">
        <f>IFERROR(__xludf.DUMMYFUNCTION("IFERROR(MIN(QUERY(FILTER(Recipes!$K$4:$N1003, Recipes!$L$4:$L1003 = A505, Recipes!$K$4:$K1003=TRUE), ""select Col4"")), -1)"),0.0)</f>
        <v>0</v>
      </c>
    </row>
    <row r="506">
      <c r="B506" s="21"/>
      <c r="C506" s="30"/>
      <c r="D506" s="30"/>
      <c r="E506" s="22">
        <f>IFERROR(__xludf.DUMMYFUNCTION("IFERROR(MIN(QUERY(FILTER(Recipes!$K$4:$N1003, Recipes!$L$4:$L1003 = A506, Recipes!$K$4:$K1003=TRUE), ""select Col4"")), -1)"),0.0)</f>
        <v>0</v>
      </c>
    </row>
    <row r="507">
      <c r="B507" s="21"/>
      <c r="C507" s="30"/>
      <c r="D507" s="30"/>
      <c r="E507" s="22">
        <f>IFERROR(__xludf.DUMMYFUNCTION("IFERROR(MIN(QUERY(FILTER(Recipes!$K$4:$N1003, Recipes!$L$4:$L1003 = A507, Recipes!$K$4:$K1003=TRUE), ""select Col4"")), -1)"),0.0)</f>
        <v>0</v>
      </c>
    </row>
    <row r="508">
      <c r="B508" s="21"/>
      <c r="C508" s="30"/>
      <c r="D508" s="30"/>
      <c r="E508" s="22">
        <f>IFERROR(__xludf.DUMMYFUNCTION("IFERROR(MIN(QUERY(FILTER(Recipes!$K$4:$N1003, Recipes!$L$4:$L1003 = A508, Recipes!$K$4:$K1003=TRUE), ""select Col4"")), -1)"),0.0)</f>
        <v>0</v>
      </c>
    </row>
    <row r="509">
      <c r="B509" s="21"/>
      <c r="C509" s="30"/>
      <c r="D509" s="30"/>
      <c r="E509" s="22">
        <f>IFERROR(__xludf.DUMMYFUNCTION("IFERROR(MIN(QUERY(FILTER(Recipes!$K$4:$N1003, Recipes!$L$4:$L1003 = A509, Recipes!$K$4:$K1003=TRUE), ""select Col4"")), -1)"),0.0)</f>
        <v>0</v>
      </c>
    </row>
    <row r="510">
      <c r="B510" s="21"/>
      <c r="C510" s="30"/>
      <c r="D510" s="30"/>
      <c r="E510" s="22">
        <f>IFERROR(__xludf.DUMMYFUNCTION("IFERROR(MIN(QUERY(FILTER(Recipes!$K$4:$N1003, Recipes!$L$4:$L1003 = A510, Recipes!$K$4:$K1003=TRUE), ""select Col4"")), -1)"),0.0)</f>
        <v>0</v>
      </c>
    </row>
    <row r="511">
      <c r="B511" s="21"/>
      <c r="C511" s="30"/>
      <c r="D511" s="30"/>
      <c r="E511" s="22">
        <f>IFERROR(__xludf.DUMMYFUNCTION("IFERROR(MIN(QUERY(FILTER(Recipes!$K$4:$N1003, Recipes!$L$4:$L1003 = A511, Recipes!$K$4:$K1003=TRUE), ""select Col4"")), -1)"),0.0)</f>
        <v>0</v>
      </c>
    </row>
    <row r="512">
      <c r="B512" s="21"/>
      <c r="C512" s="30"/>
      <c r="D512" s="30"/>
      <c r="E512" s="22">
        <f>IFERROR(__xludf.DUMMYFUNCTION("IFERROR(MIN(QUERY(FILTER(Recipes!$K$4:$N1003, Recipes!$L$4:$L1003 = A512, Recipes!$K$4:$K1003=TRUE), ""select Col4"")), -1)"),0.0)</f>
        <v>0</v>
      </c>
    </row>
    <row r="513">
      <c r="B513" s="21"/>
      <c r="C513" s="30"/>
      <c r="D513" s="30"/>
      <c r="E513" s="22">
        <f>IFERROR(__xludf.DUMMYFUNCTION("IFERROR(MIN(QUERY(FILTER(Recipes!$K$4:$N1003, Recipes!$L$4:$L1003 = A513, Recipes!$K$4:$K1003=TRUE), ""select Col4"")), -1)"),0.0)</f>
        <v>0</v>
      </c>
    </row>
    <row r="514">
      <c r="B514" s="21"/>
      <c r="C514" s="30"/>
      <c r="D514" s="30"/>
      <c r="E514" s="22">
        <f>IFERROR(__xludf.DUMMYFUNCTION("IFERROR(MIN(QUERY(FILTER(Recipes!$K$4:$N1003, Recipes!$L$4:$L1003 = A514, Recipes!$K$4:$K1003=TRUE), ""select Col4"")), -1)"),0.0)</f>
        <v>0</v>
      </c>
    </row>
    <row r="515">
      <c r="B515" s="21"/>
      <c r="C515" s="30"/>
      <c r="D515" s="30"/>
      <c r="E515" s="22">
        <f>IFERROR(__xludf.DUMMYFUNCTION("IFERROR(MIN(QUERY(FILTER(Recipes!$K$4:$N1003, Recipes!$L$4:$L1003 = A515, Recipes!$K$4:$K1003=TRUE), ""select Col4"")), -1)"),0.0)</f>
        <v>0</v>
      </c>
    </row>
    <row r="516">
      <c r="B516" s="21"/>
      <c r="C516" s="30"/>
      <c r="D516" s="30"/>
      <c r="E516" s="22">
        <f>IFERROR(__xludf.DUMMYFUNCTION("IFERROR(MIN(QUERY(FILTER(Recipes!$K$4:$N1003, Recipes!$L$4:$L1003 = A516, Recipes!$K$4:$K1003=TRUE), ""select Col4"")), -1)"),0.0)</f>
        <v>0</v>
      </c>
    </row>
    <row r="517">
      <c r="B517" s="21"/>
      <c r="C517" s="30"/>
      <c r="D517" s="30"/>
      <c r="E517" s="22">
        <f>IFERROR(__xludf.DUMMYFUNCTION("IFERROR(MIN(QUERY(FILTER(Recipes!$K$4:$N1003, Recipes!$L$4:$L1003 = A517, Recipes!$K$4:$K1003=TRUE), ""select Col4"")), -1)"),0.0)</f>
        <v>0</v>
      </c>
    </row>
    <row r="518">
      <c r="B518" s="21"/>
      <c r="C518" s="30"/>
      <c r="D518" s="30"/>
      <c r="E518" s="22">
        <f>IFERROR(__xludf.DUMMYFUNCTION("IFERROR(MIN(QUERY(FILTER(Recipes!$K$4:$N1003, Recipes!$L$4:$L1003 = A518, Recipes!$K$4:$K1003=TRUE), ""select Col4"")), -1)"),0.0)</f>
        <v>0</v>
      </c>
    </row>
    <row r="519">
      <c r="B519" s="21"/>
      <c r="C519" s="30"/>
      <c r="D519" s="30"/>
      <c r="E519" s="22">
        <f>IFERROR(__xludf.DUMMYFUNCTION("IFERROR(MIN(QUERY(FILTER(Recipes!$K$4:$N1003, Recipes!$L$4:$L1003 = A519, Recipes!$K$4:$K1003=TRUE), ""select Col4"")), -1)"),0.0)</f>
        <v>0</v>
      </c>
    </row>
    <row r="520">
      <c r="B520" s="21"/>
      <c r="C520" s="30"/>
      <c r="D520" s="30"/>
      <c r="E520" s="22">
        <f>IFERROR(__xludf.DUMMYFUNCTION("IFERROR(MIN(QUERY(FILTER(Recipes!$K$4:$N1003, Recipes!$L$4:$L1003 = A520, Recipes!$K$4:$K1003=TRUE), ""select Col4"")), -1)"),0.0)</f>
        <v>0</v>
      </c>
    </row>
    <row r="521">
      <c r="B521" s="21"/>
      <c r="C521" s="30"/>
      <c r="D521" s="30"/>
      <c r="E521" s="22">
        <f>IFERROR(__xludf.DUMMYFUNCTION("IFERROR(MIN(QUERY(FILTER(Recipes!$K$4:$N1003, Recipes!$L$4:$L1003 = A521, Recipes!$K$4:$K1003=TRUE), ""select Col4"")), -1)"),0.0)</f>
        <v>0</v>
      </c>
    </row>
    <row r="522">
      <c r="B522" s="21"/>
      <c r="C522" s="30"/>
      <c r="D522" s="30"/>
      <c r="E522" s="22">
        <f>IFERROR(__xludf.DUMMYFUNCTION("IFERROR(MIN(QUERY(FILTER(Recipes!$K$4:$N1003, Recipes!$L$4:$L1003 = A522, Recipes!$K$4:$K1003=TRUE), ""select Col4"")), -1)"),0.0)</f>
        <v>0</v>
      </c>
    </row>
    <row r="523">
      <c r="B523" s="21"/>
      <c r="C523" s="30"/>
      <c r="D523" s="30"/>
      <c r="E523" s="22">
        <f>IFERROR(__xludf.DUMMYFUNCTION("IFERROR(MIN(QUERY(FILTER(Recipes!$K$4:$N1003, Recipes!$L$4:$L1003 = A523, Recipes!$K$4:$K1003=TRUE), ""select Col4"")), -1)"),0.0)</f>
        <v>0</v>
      </c>
    </row>
    <row r="524">
      <c r="B524" s="21"/>
      <c r="C524" s="30"/>
      <c r="D524" s="30"/>
      <c r="E524" s="22">
        <f>IFERROR(__xludf.DUMMYFUNCTION("IFERROR(MIN(QUERY(FILTER(Recipes!$K$4:$N1003, Recipes!$L$4:$L1003 = A524, Recipes!$K$4:$K1003=TRUE), ""select Col4"")), -1)"),0.0)</f>
        <v>0</v>
      </c>
    </row>
    <row r="525">
      <c r="B525" s="21"/>
      <c r="C525" s="30"/>
      <c r="D525" s="30"/>
      <c r="E525" s="22">
        <f>IFERROR(__xludf.DUMMYFUNCTION("IFERROR(MIN(QUERY(FILTER(Recipes!$K$4:$N1003, Recipes!$L$4:$L1003 = A525, Recipes!$K$4:$K1003=TRUE), ""select Col4"")), -1)"),0.0)</f>
        <v>0</v>
      </c>
    </row>
    <row r="526">
      <c r="B526" s="21"/>
      <c r="C526" s="30"/>
      <c r="D526" s="30"/>
      <c r="E526" s="22">
        <f>IFERROR(__xludf.DUMMYFUNCTION("IFERROR(MIN(QUERY(FILTER(Recipes!$K$4:$N1003, Recipes!$L$4:$L1003 = A526, Recipes!$K$4:$K1003=TRUE), ""select Col4"")), -1)"),0.0)</f>
        <v>0</v>
      </c>
    </row>
    <row r="527">
      <c r="B527" s="21"/>
      <c r="C527" s="30"/>
      <c r="D527" s="30"/>
      <c r="E527" s="22">
        <f>IFERROR(__xludf.DUMMYFUNCTION("IFERROR(MIN(QUERY(FILTER(Recipes!$K$4:$N1003, Recipes!$L$4:$L1003 = A527, Recipes!$K$4:$K1003=TRUE), ""select Col4"")), -1)"),0.0)</f>
        <v>0</v>
      </c>
    </row>
    <row r="528">
      <c r="B528" s="21"/>
      <c r="C528" s="30"/>
      <c r="D528" s="30"/>
      <c r="E528" s="22">
        <f>IFERROR(__xludf.DUMMYFUNCTION("IFERROR(MIN(QUERY(FILTER(Recipes!$K$4:$N1003, Recipes!$L$4:$L1003 = A528, Recipes!$K$4:$K1003=TRUE), ""select Col4"")), -1)"),0.0)</f>
        <v>0</v>
      </c>
    </row>
    <row r="529">
      <c r="B529" s="21"/>
      <c r="C529" s="30"/>
      <c r="D529" s="30"/>
      <c r="E529" s="22">
        <f>IFERROR(__xludf.DUMMYFUNCTION("IFERROR(MIN(QUERY(FILTER(Recipes!$K$4:$N1003, Recipes!$L$4:$L1003 = A529, Recipes!$K$4:$K1003=TRUE), ""select Col4"")), -1)"),0.0)</f>
        <v>0</v>
      </c>
    </row>
    <row r="530">
      <c r="B530" s="21"/>
      <c r="C530" s="30"/>
      <c r="D530" s="30"/>
      <c r="E530" s="22">
        <f>IFERROR(__xludf.DUMMYFUNCTION("IFERROR(MIN(QUERY(FILTER(Recipes!$K$4:$N1003, Recipes!$L$4:$L1003 = A530, Recipes!$K$4:$K1003=TRUE), ""select Col4"")), -1)"),0.0)</f>
        <v>0</v>
      </c>
    </row>
    <row r="531">
      <c r="B531" s="21"/>
      <c r="C531" s="30"/>
      <c r="D531" s="30"/>
      <c r="E531" s="22">
        <f>IFERROR(__xludf.DUMMYFUNCTION("IFERROR(MIN(QUERY(FILTER(Recipes!$K$4:$N1003, Recipes!$L$4:$L1003 = A531, Recipes!$K$4:$K1003=TRUE), ""select Col4"")), -1)"),0.0)</f>
        <v>0</v>
      </c>
    </row>
    <row r="532">
      <c r="B532" s="21"/>
      <c r="C532" s="30"/>
      <c r="D532" s="30"/>
      <c r="E532" s="22">
        <f>IFERROR(__xludf.DUMMYFUNCTION("IFERROR(MIN(QUERY(FILTER(Recipes!$K$4:$N1003, Recipes!$L$4:$L1003 = A532, Recipes!$K$4:$K1003=TRUE), ""select Col4"")), -1)"),0.0)</f>
        <v>0</v>
      </c>
    </row>
    <row r="533">
      <c r="B533" s="21"/>
      <c r="C533" s="30"/>
      <c r="D533" s="30"/>
      <c r="E533" s="22">
        <f>IFERROR(__xludf.DUMMYFUNCTION("IFERROR(MIN(QUERY(FILTER(Recipes!$K$4:$N1003, Recipes!$L$4:$L1003 = A533, Recipes!$K$4:$K1003=TRUE), ""select Col4"")), -1)"),0.0)</f>
        <v>0</v>
      </c>
    </row>
    <row r="534">
      <c r="B534" s="21"/>
      <c r="C534" s="30"/>
      <c r="D534" s="30"/>
      <c r="E534" s="22">
        <f>IFERROR(__xludf.DUMMYFUNCTION("IFERROR(MIN(QUERY(FILTER(Recipes!$K$4:$N1003, Recipes!$L$4:$L1003 = A534, Recipes!$K$4:$K1003=TRUE), ""select Col4"")), -1)"),0.0)</f>
        <v>0</v>
      </c>
    </row>
    <row r="535">
      <c r="B535" s="21"/>
      <c r="C535" s="30"/>
      <c r="D535" s="30"/>
      <c r="E535" s="22">
        <f>IFERROR(__xludf.DUMMYFUNCTION("IFERROR(MIN(QUERY(FILTER(Recipes!$K$4:$N1003, Recipes!$L$4:$L1003 = A535, Recipes!$K$4:$K1003=TRUE), ""select Col4"")), -1)"),0.0)</f>
        <v>0</v>
      </c>
    </row>
    <row r="536">
      <c r="B536" s="21"/>
      <c r="C536" s="30"/>
      <c r="D536" s="30"/>
      <c r="E536" s="22">
        <f>IFERROR(__xludf.DUMMYFUNCTION("IFERROR(MIN(QUERY(FILTER(Recipes!$K$4:$N1003, Recipes!$L$4:$L1003 = A536, Recipes!$K$4:$K1003=TRUE), ""select Col4"")), -1)"),0.0)</f>
        <v>0</v>
      </c>
    </row>
    <row r="537">
      <c r="B537" s="21"/>
      <c r="C537" s="30"/>
      <c r="D537" s="30"/>
      <c r="E537" s="22">
        <f>IFERROR(__xludf.DUMMYFUNCTION("IFERROR(MIN(QUERY(FILTER(Recipes!$K$4:$N1003, Recipes!$L$4:$L1003 = A537, Recipes!$K$4:$K1003=TRUE), ""select Col4"")), -1)"),0.0)</f>
        <v>0</v>
      </c>
    </row>
    <row r="538">
      <c r="B538" s="21"/>
      <c r="C538" s="30"/>
      <c r="D538" s="30"/>
      <c r="E538" s="22">
        <f>IFERROR(__xludf.DUMMYFUNCTION("IFERROR(MIN(QUERY(FILTER(Recipes!$K$4:$N1003, Recipes!$L$4:$L1003 = A538, Recipes!$K$4:$K1003=TRUE), ""select Col4"")), -1)"),0.0)</f>
        <v>0</v>
      </c>
    </row>
    <row r="539">
      <c r="B539" s="21"/>
      <c r="C539" s="30"/>
      <c r="D539" s="30"/>
      <c r="E539" s="22">
        <f>IFERROR(__xludf.DUMMYFUNCTION("IFERROR(MIN(QUERY(FILTER(Recipes!$K$4:$N1003, Recipes!$L$4:$L1003 = A539, Recipes!$K$4:$K1003=TRUE), ""select Col4"")), -1)"),0.0)</f>
        <v>0</v>
      </c>
    </row>
    <row r="540">
      <c r="B540" s="21"/>
      <c r="C540" s="30"/>
      <c r="D540" s="30"/>
      <c r="E540" s="22">
        <f>IFERROR(__xludf.DUMMYFUNCTION("IFERROR(MIN(QUERY(FILTER(Recipes!$K$4:$N1003, Recipes!$L$4:$L1003 = A540, Recipes!$K$4:$K1003=TRUE), ""select Col4"")), -1)"),0.0)</f>
        <v>0</v>
      </c>
    </row>
    <row r="541">
      <c r="B541" s="21"/>
      <c r="C541" s="30"/>
      <c r="D541" s="30"/>
      <c r="E541" s="22">
        <f>IFERROR(__xludf.DUMMYFUNCTION("IFERROR(MIN(QUERY(FILTER(Recipes!$K$4:$N1003, Recipes!$L$4:$L1003 = A541, Recipes!$K$4:$K1003=TRUE), ""select Col4"")), -1)"),0.0)</f>
        <v>0</v>
      </c>
    </row>
    <row r="542">
      <c r="B542" s="21"/>
      <c r="C542" s="30"/>
      <c r="D542" s="30"/>
      <c r="E542" s="22">
        <f>IFERROR(__xludf.DUMMYFUNCTION("IFERROR(MIN(QUERY(FILTER(Recipes!$K$4:$N1003, Recipes!$L$4:$L1003 = A542, Recipes!$K$4:$K1003=TRUE), ""select Col4"")), -1)"),0.0)</f>
        <v>0</v>
      </c>
    </row>
    <row r="543">
      <c r="B543" s="21"/>
      <c r="C543" s="30"/>
      <c r="D543" s="30"/>
      <c r="E543" s="22">
        <f>IFERROR(__xludf.DUMMYFUNCTION("IFERROR(MIN(QUERY(FILTER(Recipes!$K$4:$N1003, Recipes!$L$4:$L1003 = A543, Recipes!$K$4:$K1003=TRUE), ""select Col4"")), -1)"),0.0)</f>
        <v>0</v>
      </c>
    </row>
    <row r="544">
      <c r="B544" s="21"/>
      <c r="C544" s="30"/>
      <c r="D544" s="30"/>
      <c r="E544" s="22">
        <f>IFERROR(__xludf.DUMMYFUNCTION("IFERROR(MIN(QUERY(FILTER(Recipes!$K$4:$N1003, Recipes!$L$4:$L1003 = A544, Recipes!$K$4:$K1003=TRUE), ""select Col4"")), -1)"),0.0)</f>
        <v>0</v>
      </c>
    </row>
    <row r="545">
      <c r="B545" s="21"/>
      <c r="C545" s="30"/>
      <c r="D545" s="30"/>
      <c r="E545" s="22">
        <f>IFERROR(__xludf.DUMMYFUNCTION("IFERROR(MIN(QUERY(FILTER(Recipes!$K$4:$N1003, Recipes!$L$4:$L1003 = A545, Recipes!$K$4:$K1003=TRUE), ""select Col4"")), -1)"),0.0)</f>
        <v>0</v>
      </c>
    </row>
    <row r="546">
      <c r="B546" s="21"/>
      <c r="C546" s="30"/>
      <c r="D546" s="30"/>
      <c r="E546" s="22">
        <f>IFERROR(__xludf.DUMMYFUNCTION("IFERROR(MIN(QUERY(FILTER(Recipes!$K$4:$N1003, Recipes!$L$4:$L1003 = A546, Recipes!$K$4:$K1003=TRUE), ""select Col4"")), -1)"),0.0)</f>
        <v>0</v>
      </c>
    </row>
    <row r="547">
      <c r="B547" s="21"/>
      <c r="C547" s="30"/>
      <c r="D547" s="30"/>
      <c r="E547" s="22">
        <f>IFERROR(__xludf.DUMMYFUNCTION("IFERROR(MIN(QUERY(FILTER(Recipes!$K$4:$N1003, Recipes!$L$4:$L1003 = A547, Recipes!$K$4:$K1003=TRUE), ""select Col4"")), -1)"),0.0)</f>
        <v>0</v>
      </c>
    </row>
    <row r="548">
      <c r="B548" s="21"/>
      <c r="C548" s="30"/>
      <c r="D548" s="30"/>
      <c r="E548" s="22">
        <f>IFERROR(__xludf.DUMMYFUNCTION("IFERROR(MIN(QUERY(FILTER(Recipes!$K$4:$N1003, Recipes!$L$4:$L1003 = A548, Recipes!$K$4:$K1003=TRUE), ""select Col4"")), -1)"),0.0)</f>
        <v>0</v>
      </c>
    </row>
    <row r="549">
      <c r="B549" s="21"/>
      <c r="C549" s="30"/>
      <c r="D549" s="30"/>
      <c r="E549" s="22">
        <f>IFERROR(__xludf.DUMMYFUNCTION("IFERROR(MIN(QUERY(FILTER(Recipes!$K$4:$N1003, Recipes!$L$4:$L1003 = A549, Recipes!$K$4:$K1003=TRUE), ""select Col4"")), -1)"),0.0)</f>
        <v>0</v>
      </c>
    </row>
    <row r="550">
      <c r="B550" s="21"/>
      <c r="C550" s="30"/>
      <c r="D550" s="30"/>
      <c r="E550" s="22">
        <f>IFERROR(__xludf.DUMMYFUNCTION("IFERROR(MIN(QUERY(FILTER(Recipes!$K$4:$N1003, Recipes!$L$4:$L1003 = A550, Recipes!$K$4:$K1003=TRUE), ""select Col4"")), -1)"),0.0)</f>
        <v>0</v>
      </c>
    </row>
    <row r="551">
      <c r="B551" s="21"/>
      <c r="C551" s="30"/>
      <c r="D551" s="30"/>
      <c r="E551" s="22">
        <f>IFERROR(__xludf.DUMMYFUNCTION("IFERROR(MIN(QUERY(FILTER(Recipes!$K$4:$N1003, Recipes!$L$4:$L1003 = A551, Recipes!$K$4:$K1003=TRUE), ""select Col4"")), -1)"),0.0)</f>
        <v>0</v>
      </c>
    </row>
    <row r="552">
      <c r="B552" s="21"/>
      <c r="C552" s="30"/>
      <c r="D552" s="30"/>
      <c r="E552" s="22">
        <f>IFERROR(__xludf.DUMMYFUNCTION("IFERROR(MIN(QUERY(FILTER(Recipes!$K$4:$N1003, Recipes!$L$4:$L1003 = A552, Recipes!$K$4:$K1003=TRUE), ""select Col4"")), -1)"),0.0)</f>
        <v>0</v>
      </c>
    </row>
    <row r="553">
      <c r="B553" s="21"/>
      <c r="C553" s="30"/>
      <c r="D553" s="30"/>
      <c r="E553" s="22">
        <f>IFERROR(__xludf.DUMMYFUNCTION("IFERROR(MIN(QUERY(FILTER(Recipes!$K$4:$N1003, Recipes!$L$4:$L1003 = A553, Recipes!$K$4:$K1003=TRUE), ""select Col4"")), -1)"),0.0)</f>
        <v>0</v>
      </c>
    </row>
    <row r="554">
      <c r="B554" s="21"/>
      <c r="C554" s="30"/>
      <c r="D554" s="30"/>
      <c r="E554" s="22">
        <f>IFERROR(__xludf.DUMMYFUNCTION("IFERROR(MIN(QUERY(FILTER(Recipes!$K$4:$N1003, Recipes!$L$4:$L1003 = A554, Recipes!$K$4:$K1003=TRUE), ""select Col4"")), -1)"),0.0)</f>
        <v>0</v>
      </c>
    </row>
    <row r="555">
      <c r="B555" s="21"/>
      <c r="C555" s="30"/>
      <c r="D555" s="30"/>
      <c r="E555" s="22">
        <f>IFERROR(__xludf.DUMMYFUNCTION("IFERROR(MIN(QUERY(FILTER(Recipes!$K$4:$N1003, Recipes!$L$4:$L1003 = A555, Recipes!$K$4:$K1003=TRUE), ""select Col4"")), -1)"),0.0)</f>
        <v>0</v>
      </c>
    </row>
    <row r="556">
      <c r="B556" s="21"/>
      <c r="C556" s="30"/>
      <c r="D556" s="30"/>
      <c r="E556" s="22">
        <f>IFERROR(__xludf.DUMMYFUNCTION("IFERROR(MIN(QUERY(FILTER(Recipes!$K$4:$N1003, Recipes!$L$4:$L1003 = A556, Recipes!$K$4:$K1003=TRUE), ""select Col4"")), -1)"),0.0)</f>
        <v>0</v>
      </c>
    </row>
    <row r="557">
      <c r="B557" s="21"/>
      <c r="C557" s="30"/>
      <c r="D557" s="30"/>
      <c r="E557" s="22">
        <f>IFERROR(__xludf.DUMMYFUNCTION("IFERROR(MIN(QUERY(FILTER(Recipes!$K$4:$N1003, Recipes!$L$4:$L1003 = A557, Recipes!$K$4:$K1003=TRUE), ""select Col4"")), -1)"),0.0)</f>
        <v>0</v>
      </c>
    </row>
    <row r="558">
      <c r="B558" s="21"/>
      <c r="C558" s="30"/>
      <c r="D558" s="30"/>
      <c r="E558" s="22">
        <f>IFERROR(__xludf.DUMMYFUNCTION("IFERROR(MIN(QUERY(FILTER(Recipes!$K$4:$N1003, Recipes!$L$4:$L1003 = A558, Recipes!$K$4:$K1003=TRUE), ""select Col4"")), -1)"),0.0)</f>
        <v>0</v>
      </c>
    </row>
    <row r="559">
      <c r="B559" s="21"/>
      <c r="C559" s="30"/>
      <c r="D559" s="30"/>
      <c r="E559" s="22">
        <f>IFERROR(__xludf.DUMMYFUNCTION("IFERROR(MIN(QUERY(FILTER(Recipes!$K$4:$N1003, Recipes!$L$4:$L1003 = A559, Recipes!$K$4:$K1003=TRUE), ""select Col4"")), -1)"),0.0)</f>
        <v>0</v>
      </c>
    </row>
    <row r="560">
      <c r="B560" s="21"/>
      <c r="C560" s="30"/>
      <c r="D560" s="30"/>
      <c r="E560" s="22">
        <f>IFERROR(__xludf.DUMMYFUNCTION("IFERROR(MIN(QUERY(FILTER(Recipes!$K$4:$N1003, Recipes!$L$4:$L1003 = A560, Recipes!$K$4:$K1003=TRUE), ""select Col4"")), -1)"),0.0)</f>
        <v>0</v>
      </c>
    </row>
    <row r="561">
      <c r="B561" s="21"/>
      <c r="C561" s="30"/>
      <c r="D561" s="30"/>
      <c r="E561" s="22">
        <f>IFERROR(__xludf.DUMMYFUNCTION("IFERROR(MIN(QUERY(FILTER(Recipes!$K$4:$N1003, Recipes!$L$4:$L1003 = A561, Recipes!$K$4:$K1003=TRUE), ""select Col4"")), -1)"),0.0)</f>
        <v>0</v>
      </c>
    </row>
    <row r="562">
      <c r="B562" s="21"/>
      <c r="C562" s="30"/>
      <c r="D562" s="30"/>
      <c r="E562" s="22">
        <f>IFERROR(__xludf.DUMMYFUNCTION("IFERROR(MIN(QUERY(FILTER(Recipes!$K$4:$N1003, Recipes!$L$4:$L1003 = A562, Recipes!$K$4:$K1003=TRUE), ""select Col4"")), -1)"),0.0)</f>
        <v>0</v>
      </c>
    </row>
    <row r="563">
      <c r="B563" s="21"/>
      <c r="C563" s="30"/>
      <c r="D563" s="30"/>
      <c r="E563" s="22">
        <f>IFERROR(__xludf.DUMMYFUNCTION("IFERROR(MIN(QUERY(FILTER(Recipes!$K$4:$N1003, Recipes!$L$4:$L1003 = A563, Recipes!$K$4:$K1003=TRUE), ""select Col4"")), -1)"),0.0)</f>
        <v>0</v>
      </c>
    </row>
    <row r="564">
      <c r="B564" s="21"/>
      <c r="C564" s="30"/>
      <c r="D564" s="30"/>
      <c r="E564" s="22">
        <f>IFERROR(__xludf.DUMMYFUNCTION("IFERROR(MIN(QUERY(FILTER(Recipes!$K$4:$N1003, Recipes!$L$4:$L1003 = A564, Recipes!$K$4:$K1003=TRUE), ""select Col4"")), -1)"),0.0)</f>
        <v>0</v>
      </c>
    </row>
    <row r="565">
      <c r="B565" s="21"/>
      <c r="C565" s="30"/>
      <c r="D565" s="30"/>
      <c r="E565" s="22">
        <f>IFERROR(__xludf.DUMMYFUNCTION("IFERROR(MIN(QUERY(FILTER(Recipes!$K$4:$N1003, Recipes!$L$4:$L1003 = A565, Recipes!$K$4:$K1003=TRUE), ""select Col4"")), -1)"),0.0)</f>
        <v>0</v>
      </c>
    </row>
    <row r="566">
      <c r="B566" s="21"/>
      <c r="C566" s="30"/>
      <c r="D566" s="30"/>
      <c r="E566" s="22">
        <f>IFERROR(__xludf.DUMMYFUNCTION("IFERROR(MIN(QUERY(FILTER(Recipes!$K$4:$N1003, Recipes!$L$4:$L1003 = A566, Recipes!$K$4:$K1003=TRUE), ""select Col4"")), -1)"),0.0)</f>
        <v>0</v>
      </c>
    </row>
    <row r="567">
      <c r="B567" s="21"/>
      <c r="C567" s="30"/>
      <c r="D567" s="30"/>
      <c r="E567" s="22">
        <f>IFERROR(__xludf.DUMMYFUNCTION("IFERROR(MIN(QUERY(FILTER(Recipes!$K$4:$N1003, Recipes!$L$4:$L1003 = A567, Recipes!$K$4:$K1003=TRUE), ""select Col4"")), -1)"),0.0)</f>
        <v>0</v>
      </c>
    </row>
    <row r="568">
      <c r="B568" s="21"/>
      <c r="C568" s="30"/>
      <c r="D568" s="30"/>
      <c r="E568" s="22">
        <f>IFERROR(__xludf.DUMMYFUNCTION("IFERROR(MIN(QUERY(FILTER(Recipes!$K$4:$N1003, Recipes!$L$4:$L1003 = A568, Recipes!$K$4:$K1003=TRUE), ""select Col4"")), -1)"),0.0)</f>
        <v>0</v>
      </c>
    </row>
    <row r="569">
      <c r="B569" s="21"/>
      <c r="C569" s="30"/>
      <c r="D569" s="30"/>
      <c r="E569" s="22">
        <f>IFERROR(__xludf.DUMMYFUNCTION("IFERROR(MIN(QUERY(FILTER(Recipes!$K$4:$N1003, Recipes!$L$4:$L1003 = A569, Recipes!$K$4:$K1003=TRUE), ""select Col4"")), -1)"),0.0)</f>
        <v>0</v>
      </c>
    </row>
    <row r="570">
      <c r="B570" s="21"/>
      <c r="C570" s="30"/>
      <c r="D570" s="30"/>
      <c r="E570" s="22">
        <f>IFERROR(__xludf.DUMMYFUNCTION("IFERROR(MIN(QUERY(FILTER(Recipes!$K$4:$N1003, Recipes!$L$4:$L1003 = A570, Recipes!$K$4:$K1003=TRUE), ""select Col4"")), -1)"),0.0)</f>
        <v>0</v>
      </c>
    </row>
    <row r="571">
      <c r="B571" s="21"/>
      <c r="C571" s="30"/>
      <c r="D571" s="30"/>
      <c r="E571" s="22">
        <f>IFERROR(__xludf.DUMMYFUNCTION("IFERROR(MIN(QUERY(FILTER(Recipes!$K$4:$N1003, Recipes!$L$4:$L1003 = A571, Recipes!$K$4:$K1003=TRUE), ""select Col4"")), -1)"),0.0)</f>
        <v>0</v>
      </c>
    </row>
    <row r="572">
      <c r="B572" s="21"/>
      <c r="C572" s="30"/>
      <c r="D572" s="30"/>
      <c r="E572" s="22">
        <f>IFERROR(__xludf.DUMMYFUNCTION("IFERROR(MIN(QUERY(FILTER(Recipes!$K$4:$N1003, Recipes!$L$4:$L1003 = A572, Recipes!$K$4:$K1003=TRUE), ""select Col4"")), -1)"),0.0)</f>
        <v>0</v>
      </c>
    </row>
    <row r="573">
      <c r="B573" s="21"/>
      <c r="C573" s="30"/>
      <c r="D573" s="30"/>
      <c r="E573" s="22">
        <f>IFERROR(__xludf.DUMMYFUNCTION("IFERROR(MIN(QUERY(FILTER(Recipes!$K$4:$N1003, Recipes!$L$4:$L1003 = A573, Recipes!$K$4:$K1003=TRUE), ""select Col4"")), -1)"),0.0)</f>
        <v>0</v>
      </c>
    </row>
    <row r="574">
      <c r="B574" s="21"/>
      <c r="C574" s="30"/>
      <c r="D574" s="30"/>
      <c r="E574" s="22">
        <f>IFERROR(__xludf.DUMMYFUNCTION("IFERROR(MIN(QUERY(FILTER(Recipes!$K$4:$N1003, Recipes!$L$4:$L1003 = A574, Recipes!$K$4:$K1003=TRUE), ""select Col4"")), -1)"),0.0)</f>
        <v>0</v>
      </c>
    </row>
    <row r="575">
      <c r="B575" s="21"/>
      <c r="C575" s="30"/>
      <c r="D575" s="30"/>
      <c r="E575" s="22">
        <f>IFERROR(__xludf.DUMMYFUNCTION("IFERROR(MIN(QUERY(FILTER(Recipes!$K$4:$N1003, Recipes!$L$4:$L1003 = A575, Recipes!$K$4:$K1003=TRUE), ""select Col4"")), -1)"),0.0)</f>
        <v>0</v>
      </c>
    </row>
    <row r="576">
      <c r="B576" s="21"/>
      <c r="C576" s="30"/>
      <c r="D576" s="30"/>
      <c r="E576" s="22">
        <f>IFERROR(__xludf.DUMMYFUNCTION("IFERROR(MIN(QUERY(FILTER(Recipes!$K$4:$N1003, Recipes!$L$4:$L1003 = A576, Recipes!$K$4:$K1003=TRUE), ""select Col4"")), -1)"),0.0)</f>
        <v>0</v>
      </c>
    </row>
    <row r="577">
      <c r="B577" s="21"/>
      <c r="C577" s="30"/>
      <c r="D577" s="30"/>
      <c r="E577" s="22">
        <f>IFERROR(__xludf.DUMMYFUNCTION("IFERROR(MIN(QUERY(FILTER(Recipes!$K$4:$N1003, Recipes!$L$4:$L1003 = A577, Recipes!$K$4:$K1003=TRUE), ""select Col4"")), -1)"),0.0)</f>
        <v>0</v>
      </c>
    </row>
    <row r="578">
      <c r="B578" s="21"/>
      <c r="C578" s="30"/>
      <c r="D578" s="30"/>
      <c r="E578" s="22">
        <f>IFERROR(__xludf.DUMMYFUNCTION("IFERROR(MIN(QUERY(FILTER(Recipes!$K$4:$N1003, Recipes!$L$4:$L1003 = A578, Recipes!$K$4:$K1003=TRUE), ""select Col4"")), -1)"),0.0)</f>
        <v>0</v>
      </c>
    </row>
    <row r="579">
      <c r="B579" s="21"/>
      <c r="C579" s="30"/>
      <c r="D579" s="30"/>
      <c r="E579" s="22">
        <f>IFERROR(__xludf.DUMMYFUNCTION("IFERROR(MIN(QUERY(FILTER(Recipes!$K$4:$N1003, Recipes!$L$4:$L1003 = A579, Recipes!$K$4:$K1003=TRUE), ""select Col4"")), -1)"),0.0)</f>
        <v>0</v>
      </c>
    </row>
    <row r="580">
      <c r="B580" s="21"/>
      <c r="C580" s="30"/>
      <c r="D580" s="30"/>
      <c r="E580" s="22">
        <f>IFERROR(__xludf.DUMMYFUNCTION("IFERROR(MIN(QUERY(FILTER(Recipes!$K$4:$N1003, Recipes!$L$4:$L1003 = A580, Recipes!$K$4:$K1003=TRUE), ""select Col4"")), -1)"),0.0)</f>
        <v>0</v>
      </c>
    </row>
    <row r="581">
      <c r="B581" s="21"/>
      <c r="C581" s="30"/>
      <c r="D581" s="30"/>
      <c r="E581" s="22">
        <f>IFERROR(__xludf.DUMMYFUNCTION("IFERROR(MIN(QUERY(FILTER(Recipes!$K$4:$N1003, Recipes!$L$4:$L1003 = A581, Recipes!$K$4:$K1003=TRUE), ""select Col4"")), -1)"),0.0)</f>
        <v>0</v>
      </c>
    </row>
    <row r="582">
      <c r="B582" s="21"/>
      <c r="C582" s="30"/>
      <c r="D582" s="30"/>
      <c r="E582" s="22">
        <f>IFERROR(__xludf.DUMMYFUNCTION("IFERROR(MIN(QUERY(FILTER(Recipes!$K$4:$N1003, Recipes!$L$4:$L1003 = A582, Recipes!$K$4:$K1003=TRUE), ""select Col4"")), -1)"),0.0)</f>
        <v>0</v>
      </c>
    </row>
    <row r="583">
      <c r="B583" s="21"/>
      <c r="C583" s="30"/>
      <c r="D583" s="30"/>
      <c r="E583" s="22">
        <f>IFERROR(__xludf.DUMMYFUNCTION("IFERROR(MIN(QUERY(FILTER(Recipes!$K$4:$N1003, Recipes!$L$4:$L1003 = A583, Recipes!$K$4:$K1003=TRUE), ""select Col4"")), -1)"),0.0)</f>
        <v>0</v>
      </c>
    </row>
    <row r="584">
      <c r="B584" s="21"/>
      <c r="C584" s="30"/>
      <c r="D584" s="30"/>
      <c r="E584" s="22">
        <f>IFERROR(__xludf.DUMMYFUNCTION("IFERROR(MIN(QUERY(FILTER(Recipes!$K$4:$N1003, Recipes!$L$4:$L1003 = A584, Recipes!$K$4:$K1003=TRUE), ""select Col4"")), -1)"),0.0)</f>
        <v>0</v>
      </c>
    </row>
    <row r="585">
      <c r="B585" s="21"/>
      <c r="C585" s="30"/>
      <c r="D585" s="30"/>
      <c r="E585" s="22">
        <f>IFERROR(__xludf.DUMMYFUNCTION("IFERROR(MIN(QUERY(FILTER(Recipes!$K$4:$N1003, Recipes!$L$4:$L1003 = A585, Recipes!$K$4:$K1003=TRUE), ""select Col4"")), -1)"),0.0)</f>
        <v>0</v>
      </c>
    </row>
    <row r="586">
      <c r="B586" s="21"/>
      <c r="C586" s="30"/>
      <c r="D586" s="30"/>
      <c r="E586" s="22">
        <f>IFERROR(__xludf.DUMMYFUNCTION("IFERROR(MIN(QUERY(FILTER(Recipes!$K$4:$N1003, Recipes!$L$4:$L1003 = A586, Recipes!$K$4:$K1003=TRUE), ""select Col4"")), -1)"),0.0)</f>
        <v>0</v>
      </c>
    </row>
    <row r="587">
      <c r="B587" s="21"/>
      <c r="C587" s="30"/>
      <c r="D587" s="30"/>
      <c r="E587" s="22">
        <f>IFERROR(__xludf.DUMMYFUNCTION("IFERROR(MIN(QUERY(FILTER(Recipes!$K$4:$N1003, Recipes!$L$4:$L1003 = A587, Recipes!$K$4:$K1003=TRUE), ""select Col4"")), -1)"),0.0)</f>
        <v>0</v>
      </c>
    </row>
    <row r="588">
      <c r="B588" s="21"/>
      <c r="C588" s="30"/>
      <c r="D588" s="30"/>
      <c r="E588" s="22">
        <f>IFERROR(__xludf.DUMMYFUNCTION("IFERROR(MIN(QUERY(FILTER(Recipes!$K$4:$N1003, Recipes!$L$4:$L1003 = A588, Recipes!$K$4:$K1003=TRUE), ""select Col4"")), -1)"),0.0)</f>
        <v>0</v>
      </c>
    </row>
    <row r="589">
      <c r="B589" s="21"/>
      <c r="C589" s="30"/>
      <c r="D589" s="30"/>
      <c r="E589" s="22">
        <f>IFERROR(__xludf.DUMMYFUNCTION("IFERROR(MIN(QUERY(FILTER(Recipes!$K$4:$N1003, Recipes!$L$4:$L1003 = A589, Recipes!$K$4:$K1003=TRUE), ""select Col4"")), -1)"),0.0)</f>
        <v>0</v>
      </c>
    </row>
    <row r="590">
      <c r="B590" s="21"/>
      <c r="C590" s="30"/>
      <c r="D590" s="30"/>
      <c r="E590" s="22">
        <f>IFERROR(__xludf.DUMMYFUNCTION("IFERROR(MIN(QUERY(FILTER(Recipes!$K$4:$N1003, Recipes!$L$4:$L1003 = A590, Recipes!$K$4:$K1003=TRUE), ""select Col4"")), -1)"),0.0)</f>
        <v>0</v>
      </c>
    </row>
    <row r="591">
      <c r="B591" s="21"/>
      <c r="C591" s="30"/>
      <c r="D591" s="30"/>
      <c r="E591" s="22">
        <f>IFERROR(__xludf.DUMMYFUNCTION("IFERROR(MIN(QUERY(FILTER(Recipes!$K$4:$N1003, Recipes!$L$4:$L1003 = A591, Recipes!$K$4:$K1003=TRUE), ""select Col4"")), -1)"),0.0)</f>
        <v>0</v>
      </c>
    </row>
    <row r="592">
      <c r="B592" s="21"/>
      <c r="C592" s="30"/>
      <c r="D592" s="30"/>
      <c r="E592" s="22">
        <f>IFERROR(__xludf.DUMMYFUNCTION("IFERROR(MIN(QUERY(FILTER(Recipes!$K$4:$N1003, Recipes!$L$4:$L1003 = A592, Recipes!$K$4:$K1003=TRUE), ""select Col4"")), -1)"),0.0)</f>
        <v>0</v>
      </c>
    </row>
    <row r="593">
      <c r="B593" s="21"/>
      <c r="C593" s="30"/>
      <c r="D593" s="30"/>
      <c r="E593" s="22">
        <f>IFERROR(__xludf.DUMMYFUNCTION("IFERROR(MIN(QUERY(FILTER(Recipes!$K$4:$N1003, Recipes!$L$4:$L1003 = A593, Recipes!$K$4:$K1003=TRUE), ""select Col4"")), -1)"),0.0)</f>
        <v>0</v>
      </c>
    </row>
    <row r="594">
      <c r="B594" s="21"/>
      <c r="C594" s="30"/>
      <c r="D594" s="30"/>
      <c r="E594" s="22">
        <f>IFERROR(__xludf.DUMMYFUNCTION("IFERROR(MIN(QUERY(FILTER(Recipes!$K$4:$N1003, Recipes!$L$4:$L1003 = A594, Recipes!$K$4:$K1003=TRUE), ""select Col4"")), -1)"),0.0)</f>
        <v>0</v>
      </c>
    </row>
    <row r="595">
      <c r="B595" s="21"/>
      <c r="C595" s="30"/>
      <c r="D595" s="30"/>
      <c r="E595" s="22">
        <f>IFERROR(__xludf.DUMMYFUNCTION("IFERROR(MIN(QUERY(FILTER(Recipes!$K$4:$N1003, Recipes!$L$4:$L1003 = A595, Recipes!$K$4:$K1003=TRUE), ""select Col4"")), -1)"),0.0)</f>
        <v>0</v>
      </c>
    </row>
    <row r="596">
      <c r="B596" s="21"/>
      <c r="C596" s="30"/>
      <c r="D596" s="30"/>
      <c r="E596" s="22">
        <f>IFERROR(__xludf.DUMMYFUNCTION("IFERROR(MIN(QUERY(FILTER(Recipes!$K$4:$N1003, Recipes!$L$4:$L1003 = A596, Recipes!$K$4:$K1003=TRUE), ""select Col4"")), -1)"),0.0)</f>
        <v>0</v>
      </c>
    </row>
    <row r="597">
      <c r="B597" s="21"/>
      <c r="C597" s="30"/>
      <c r="D597" s="30"/>
      <c r="E597" s="22">
        <f>IFERROR(__xludf.DUMMYFUNCTION("IFERROR(MIN(QUERY(FILTER(Recipes!$K$4:$N1003, Recipes!$L$4:$L1003 = A597, Recipes!$K$4:$K1003=TRUE), ""select Col4"")), -1)"),0.0)</f>
        <v>0</v>
      </c>
    </row>
    <row r="598">
      <c r="B598" s="21"/>
      <c r="C598" s="30"/>
      <c r="D598" s="30"/>
      <c r="E598" s="22">
        <f>IFERROR(__xludf.DUMMYFUNCTION("IFERROR(MIN(QUERY(FILTER(Recipes!$K$4:$N1003, Recipes!$L$4:$L1003 = A598, Recipes!$K$4:$K1003=TRUE), ""select Col4"")), -1)"),0.0)</f>
        <v>0</v>
      </c>
    </row>
    <row r="599">
      <c r="B599" s="21"/>
      <c r="C599" s="30"/>
      <c r="D599" s="30"/>
      <c r="E599" s="22">
        <f>IFERROR(__xludf.DUMMYFUNCTION("IFERROR(MIN(QUERY(FILTER(Recipes!$K$4:$N1003, Recipes!$L$4:$L1003 = A599, Recipes!$K$4:$K1003=TRUE), ""select Col4"")), -1)"),0.0)</f>
        <v>0</v>
      </c>
    </row>
    <row r="600">
      <c r="B600" s="21"/>
      <c r="C600" s="30"/>
      <c r="D600" s="30"/>
      <c r="E600" s="22">
        <f>IFERROR(__xludf.DUMMYFUNCTION("IFERROR(MIN(QUERY(FILTER(Recipes!$K$4:$N1003, Recipes!$L$4:$L1003 = A600, Recipes!$K$4:$K1003=TRUE), ""select Col4"")), -1)"),0.0)</f>
        <v>0</v>
      </c>
    </row>
    <row r="601">
      <c r="B601" s="21"/>
      <c r="C601" s="30"/>
      <c r="D601" s="30"/>
      <c r="E601" s="22">
        <f>IFERROR(__xludf.DUMMYFUNCTION("IFERROR(MIN(QUERY(FILTER(Recipes!$K$4:$N1003, Recipes!$L$4:$L1003 = A601, Recipes!$K$4:$K1003=TRUE), ""select Col4"")), -1)"),0.0)</f>
        <v>0</v>
      </c>
    </row>
    <row r="602">
      <c r="B602" s="21"/>
      <c r="C602" s="30"/>
      <c r="D602" s="30"/>
      <c r="E602" s="22">
        <f>IFERROR(__xludf.DUMMYFUNCTION("IFERROR(MIN(QUERY(FILTER(Recipes!$K$4:$N1003, Recipes!$L$4:$L1003 = A602, Recipes!$K$4:$K1003=TRUE), ""select Col4"")), -1)"),0.0)</f>
        <v>0</v>
      </c>
    </row>
    <row r="603">
      <c r="B603" s="21"/>
      <c r="C603" s="30"/>
      <c r="D603" s="30"/>
      <c r="E603" s="22">
        <f>IFERROR(__xludf.DUMMYFUNCTION("IFERROR(MIN(QUERY(FILTER(Recipes!$K$4:$N1003, Recipes!$L$4:$L1003 = A603, Recipes!$K$4:$K1003=TRUE), ""select Col4"")), -1)"),0.0)</f>
        <v>0</v>
      </c>
    </row>
    <row r="604">
      <c r="B604" s="21"/>
      <c r="C604" s="30"/>
      <c r="D604" s="30"/>
      <c r="E604" s="22">
        <f>IFERROR(__xludf.DUMMYFUNCTION("IFERROR(MIN(QUERY(FILTER(Recipes!$K$4:$N1003, Recipes!$L$4:$L1003 = A604, Recipes!$K$4:$K1003=TRUE), ""select Col4"")), -1)"),0.0)</f>
        <v>0</v>
      </c>
    </row>
    <row r="605">
      <c r="B605" s="21"/>
      <c r="C605" s="30"/>
      <c r="D605" s="30"/>
      <c r="E605" s="22">
        <f>IFERROR(__xludf.DUMMYFUNCTION("IFERROR(MIN(QUERY(FILTER(Recipes!$K$4:$N1003, Recipes!$L$4:$L1003 = A605, Recipes!$K$4:$K1003=TRUE), ""select Col4"")), -1)"),0.0)</f>
        <v>0</v>
      </c>
    </row>
    <row r="606">
      <c r="B606" s="21"/>
      <c r="C606" s="30"/>
      <c r="D606" s="30"/>
      <c r="E606" s="22">
        <f>IFERROR(__xludf.DUMMYFUNCTION("IFERROR(MIN(QUERY(FILTER(Recipes!$K$4:$N1003, Recipes!$L$4:$L1003 = A606, Recipes!$K$4:$K1003=TRUE), ""select Col4"")), -1)"),0.0)</f>
        <v>0</v>
      </c>
    </row>
    <row r="607">
      <c r="B607" s="21"/>
      <c r="C607" s="30"/>
      <c r="D607" s="30"/>
      <c r="E607" s="22">
        <f>IFERROR(__xludf.DUMMYFUNCTION("IFERROR(MIN(QUERY(FILTER(Recipes!$K$4:$N1003, Recipes!$L$4:$L1003 = A607, Recipes!$K$4:$K1003=TRUE), ""select Col4"")), -1)"),0.0)</f>
        <v>0</v>
      </c>
    </row>
    <row r="608">
      <c r="B608" s="21"/>
      <c r="C608" s="30"/>
      <c r="D608" s="30"/>
      <c r="E608" s="22">
        <f>IFERROR(__xludf.DUMMYFUNCTION("IFERROR(MIN(QUERY(FILTER(Recipes!$K$4:$N1003, Recipes!$L$4:$L1003 = A608, Recipes!$K$4:$K1003=TRUE), ""select Col4"")), -1)"),0.0)</f>
        <v>0</v>
      </c>
    </row>
    <row r="609">
      <c r="B609" s="21"/>
      <c r="C609" s="30"/>
      <c r="D609" s="30"/>
      <c r="E609" s="22">
        <f>IFERROR(__xludf.DUMMYFUNCTION("IFERROR(MIN(QUERY(FILTER(Recipes!$K$4:$N1003, Recipes!$L$4:$L1003 = A609, Recipes!$K$4:$K1003=TRUE), ""select Col4"")), -1)"),0.0)</f>
        <v>0</v>
      </c>
    </row>
    <row r="610">
      <c r="B610" s="21"/>
      <c r="C610" s="30"/>
      <c r="D610" s="30"/>
      <c r="E610" s="22">
        <f>IFERROR(__xludf.DUMMYFUNCTION("IFERROR(MIN(QUERY(FILTER(Recipes!$K$4:$N1003, Recipes!$L$4:$L1003 = A610, Recipes!$K$4:$K1003=TRUE), ""select Col4"")), -1)"),0.0)</f>
        <v>0</v>
      </c>
    </row>
    <row r="611">
      <c r="B611" s="21"/>
      <c r="C611" s="30"/>
      <c r="D611" s="30"/>
      <c r="E611" s="22">
        <f>IFERROR(__xludf.DUMMYFUNCTION("IFERROR(MIN(QUERY(FILTER(Recipes!$K$4:$N1003, Recipes!$L$4:$L1003 = A611, Recipes!$K$4:$K1003=TRUE), ""select Col4"")), -1)"),0.0)</f>
        <v>0</v>
      </c>
    </row>
    <row r="612">
      <c r="B612" s="21"/>
      <c r="C612" s="30"/>
      <c r="D612" s="30"/>
      <c r="E612" s="22">
        <f>IFERROR(__xludf.DUMMYFUNCTION("IFERROR(MIN(QUERY(FILTER(Recipes!$K$4:$N1003, Recipes!$L$4:$L1003 = A612, Recipes!$K$4:$K1003=TRUE), ""select Col4"")), -1)"),0.0)</f>
        <v>0</v>
      </c>
    </row>
    <row r="613">
      <c r="B613" s="21"/>
      <c r="C613" s="30"/>
      <c r="D613" s="30"/>
      <c r="E613" s="22">
        <f>IFERROR(__xludf.DUMMYFUNCTION("IFERROR(MIN(QUERY(FILTER(Recipes!$K$4:$N1003, Recipes!$L$4:$L1003 = A613, Recipes!$K$4:$K1003=TRUE), ""select Col4"")), -1)"),0.0)</f>
        <v>0</v>
      </c>
    </row>
    <row r="614">
      <c r="B614" s="21"/>
      <c r="C614" s="30"/>
      <c r="D614" s="30"/>
      <c r="E614" s="22">
        <f>IFERROR(__xludf.DUMMYFUNCTION("IFERROR(MIN(QUERY(FILTER(Recipes!$K$4:$N1003, Recipes!$L$4:$L1003 = A614, Recipes!$K$4:$K1003=TRUE), ""select Col4"")), -1)"),0.0)</f>
        <v>0</v>
      </c>
    </row>
    <row r="615">
      <c r="B615" s="21"/>
      <c r="C615" s="30"/>
      <c r="D615" s="30"/>
      <c r="E615" s="22">
        <f>IFERROR(__xludf.DUMMYFUNCTION("IFERROR(MIN(QUERY(FILTER(Recipes!$K$4:$N1003, Recipes!$L$4:$L1003 = A615, Recipes!$K$4:$K1003=TRUE), ""select Col4"")), -1)"),0.0)</f>
        <v>0</v>
      </c>
    </row>
    <row r="616">
      <c r="B616" s="21"/>
      <c r="C616" s="30"/>
      <c r="D616" s="30"/>
      <c r="E616" s="22">
        <f>IFERROR(__xludf.DUMMYFUNCTION("IFERROR(MIN(QUERY(FILTER(Recipes!$K$4:$N1003, Recipes!$L$4:$L1003 = A616, Recipes!$K$4:$K1003=TRUE), ""select Col4"")), -1)"),0.0)</f>
        <v>0</v>
      </c>
    </row>
    <row r="617">
      <c r="B617" s="21"/>
      <c r="C617" s="30"/>
      <c r="D617" s="30"/>
      <c r="E617" s="22">
        <f>IFERROR(__xludf.DUMMYFUNCTION("IFERROR(MIN(QUERY(FILTER(Recipes!$K$4:$N1003, Recipes!$L$4:$L1003 = A617, Recipes!$K$4:$K1003=TRUE), ""select Col4"")), -1)"),0.0)</f>
        <v>0</v>
      </c>
    </row>
    <row r="618">
      <c r="B618" s="21"/>
      <c r="C618" s="30"/>
      <c r="D618" s="30"/>
      <c r="E618" s="22">
        <f>IFERROR(__xludf.DUMMYFUNCTION("IFERROR(MIN(QUERY(FILTER(Recipes!$K$4:$N1003, Recipes!$L$4:$L1003 = A618, Recipes!$K$4:$K1003=TRUE), ""select Col4"")), -1)"),0.0)</f>
        <v>0</v>
      </c>
    </row>
    <row r="619">
      <c r="B619" s="21"/>
      <c r="C619" s="30"/>
      <c r="D619" s="30"/>
      <c r="E619" s="22">
        <f>IFERROR(__xludf.DUMMYFUNCTION("IFERROR(MIN(QUERY(FILTER(Recipes!$K$4:$N1003, Recipes!$L$4:$L1003 = A619, Recipes!$K$4:$K1003=TRUE), ""select Col4"")), -1)"),0.0)</f>
        <v>0</v>
      </c>
    </row>
    <row r="620">
      <c r="B620" s="21"/>
      <c r="C620" s="30"/>
      <c r="D620" s="30"/>
      <c r="E620" s="22">
        <f>IFERROR(__xludf.DUMMYFUNCTION("IFERROR(MIN(QUERY(FILTER(Recipes!$K$4:$N1003, Recipes!$L$4:$L1003 = A620, Recipes!$K$4:$K1003=TRUE), ""select Col4"")), -1)"),0.0)</f>
        <v>0</v>
      </c>
    </row>
    <row r="621">
      <c r="B621" s="21"/>
      <c r="C621" s="30"/>
      <c r="D621" s="30"/>
      <c r="E621" s="22">
        <f>IFERROR(__xludf.DUMMYFUNCTION("IFERROR(MIN(QUERY(FILTER(Recipes!$K$4:$N1003, Recipes!$L$4:$L1003 = A621, Recipes!$K$4:$K1003=TRUE), ""select Col4"")), -1)"),0.0)</f>
        <v>0</v>
      </c>
    </row>
    <row r="622">
      <c r="B622" s="21"/>
      <c r="C622" s="30"/>
      <c r="D622" s="30"/>
      <c r="E622" s="22">
        <f>IFERROR(__xludf.DUMMYFUNCTION("IFERROR(MIN(QUERY(FILTER(Recipes!$K$4:$N1003, Recipes!$L$4:$L1003 = A622, Recipes!$K$4:$K1003=TRUE), ""select Col4"")), -1)"),0.0)</f>
        <v>0</v>
      </c>
    </row>
    <row r="623">
      <c r="B623" s="21"/>
      <c r="C623" s="30"/>
      <c r="D623" s="30"/>
      <c r="E623" s="22">
        <f>IFERROR(__xludf.DUMMYFUNCTION("IFERROR(MIN(QUERY(FILTER(Recipes!$K$4:$N1003, Recipes!$L$4:$L1003 = A623, Recipes!$K$4:$K1003=TRUE), ""select Col4"")), -1)"),0.0)</f>
        <v>0</v>
      </c>
    </row>
    <row r="624">
      <c r="B624" s="21"/>
      <c r="C624" s="30"/>
      <c r="D624" s="30"/>
      <c r="E624" s="22">
        <f>IFERROR(__xludf.DUMMYFUNCTION("IFERROR(MIN(QUERY(FILTER(Recipes!$K$4:$N1003, Recipes!$L$4:$L1003 = A624, Recipes!$K$4:$K1003=TRUE), ""select Col4"")), -1)"),0.0)</f>
        <v>0</v>
      </c>
    </row>
    <row r="625">
      <c r="B625" s="21"/>
      <c r="C625" s="30"/>
      <c r="D625" s="30"/>
      <c r="E625" s="22">
        <f>IFERROR(__xludf.DUMMYFUNCTION("IFERROR(MIN(QUERY(FILTER(Recipes!$K$4:$N1003, Recipes!$L$4:$L1003 = A625, Recipes!$K$4:$K1003=TRUE), ""select Col4"")), -1)"),0.0)</f>
        <v>0</v>
      </c>
    </row>
    <row r="626">
      <c r="B626" s="21"/>
      <c r="C626" s="30"/>
      <c r="D626" s="30"/>
      <c r="E626" s="22">
        <f>IFERROR(__xludf.DUMMYFUNCTION("IFERROR(MIN(QUERY(FILTER(Recipes!$K$4:$N1003, Recipes!$L$4:$L1003 = A626, Recipes!$K$4:$K1003=TRUE), ""select Col4"")), -1)"),0.0)</f>
        <v>0</v>
      </c>
    </row>
    <row r="627">
      <c r="B627" s="21"/>
      <c r="C627" s="30"/>
      <c r="D627" s="30"/>
      <c r="E627" s="22">
        <f>IFERROR(__xludf.DUMMYFUNCTION("IFERROR(MIN(QUERY(FILTER(Recipes!$K$4:$N1003, Recipes!$L$4:$L1003 = A627, Recipes!$K$4:$K1003=TRUE), ""select Col4"")), -1)"),0.0)</f>
        <v>0</v>
      </c>
    </row>
    <row r="628">
      <c r="B628" s="21"/>
      <c r="C628" s="30"/>
      <c r="D628" s="30"/>
      <c r="E628" s="22">
        <f>IFERROR(__xludf.DUMMYFUNCTION("IFERROR(MIN(QUERY(FILTER(Recipes!$K$4:$N1003, Recipes!$L$4:$L1003 = A628, Recipes!$K$4:$K1003=TRUE), ""select Col4"")), -1)"),0.0)</f>
        <v>0</v>
      </c>
    </row>
    <row r="629">
      <c r="B629" s="21"/>
      <c r="C629" s="30"/>
      <c r="D629" s="30"/>
      <c r="E629" s="22">
        <f>IFERROR(__xludf.DUMMYFUNCTION("IFERROR(MIN(QUERY(FILTER(Recipes!$K$4:$N1003, Recipes!$L$4:$L1003 = A629, Recipes!$K$4:$K1003=TRUE), ""select Col4"")), -1)"),0.0)</f>
        <v>0</v>
      </c>
    </row>
    <row r="630">
      <c r="B630" s="21"/>
      <c r="C630" s="30"/>
      <c r="D630" s="30"/>
      <c r="E630" s="22">
        <f>IFERROR(__xludf.DUMMYFUNCTION("IFERROR(MIN(QUERY(FILTER(Recipes!$K$4:$N1003, Recipes!$L$4:$L1003 = A630, Recipes!$K$4:$K1003=TRUE), ""select Col4"")), -1)"),0.0)</f>
        <v>0</v>
      </c>
    </row>
    <row r="631">
      <c r="B631" s="21"/>
      <c r="C631" s="30"/>
      <c r="D631" s="30"/>
      <c r="E631" s="22">
        <f>IFERROR(__xludf.DUMMYFUNCTION("IFERROR(MIN(QUERY(FILTER(Recipes!$K$4:$N1003, Recipes!$L$4:$L1003 = A631, Recipes!$K$4:$K1003=TRUE), ""select Col4"")), -1)"),0.0)</f>
        <v>0</v>
      </c>
    </row>
    <row r="632">
      <c r="B632" s="21"/>
      <c r="C632" s="30"/>
      <c r="D632" s="30"/>
      <c r="E632" s="22">
        <f>IFERROR(__xludf.DUMMYFUNCTION("IFERROR(MIN(QUERY(FILTER(Recipes!$K$4:$N1003, Recipes!$L$4:$L1003 = A632, Recipes!$K$4:$K1003=TRUE), ""select Col4"")), -1)"),0.0)</f>
        <v>0</v>
      </c>
    </row>
    <row r="633">
      <c r="B633" s="21"/>
      <c r="C633" s="30"/>
      <c r="D633" s="30"/>
      <c r="E633" s="22">
        <f>IFERROR(__xludf.DUMMYFUNCTION("IFERROR(MIN(QUERY(FILTER(Recipes!$K$4:$N1003, Recipes!$L$4:$L1003 = A633, Recipes!$K$4:$K1003=TRUE), ""select Col4"")), -1)"),0.0)</f>
        <v>0</v>
      </c>
    </row>
    <row r="634">
      <c r="B634" s="21"/>
      <c r="C634" s="30"/>
      <c r="D634" s="30"/>
      <c r="E634" s="22">
        <f>IFERROR(__xludf.DUMMYFUNCTION("IFERROR(MIN(QUERY(FILTER(Recipes!$K$4:$N1003, Recipes!$L$4:$L1003 = A634, Recipes!$K$4:$K1003=TRUE), ""select Col4"")), -1)"),0.0)</f>
        <v>0</v>
      </c>
    </row>
    <row r="635">
      <c r="B635" s="21"/>
      <c r="C635" s="30"/>
      <c r="D635" s="30"/>
      <c r="E635" s="22">
        <f>IFERROR(__xludf.DUMMYFUNCTION("IFERROR(MIN(QUERY(FILTER(Recipes!$K$4:$N1003, Recipes!$L$4:$L1003 = A635, Recipes!$K$4:$K1003=TRUE), ""select Col4"")), -1)"),0.0)</f>
        <v>0</v>
      </c>
    </row>
    <row r="636">
      <c r="B636" s="21"/>
      <c r="C636" s="30"/>
      <c r="D636" s="30"/>
      <c r="E636" s="22">
        <f>IFERROR(__xludf.DUMMYFUNCTION("IFERROR(MIN(QUERY(FILTER(Recipes!$K$4:$N1003, Recipes!$L$4:$L1003 = A636, Recipes!$K$4:$K1003=TRUE), ""select Col4"")), -1)"),0.0)</f>
        <v>0</v>
      </c>
    </row>
    <row r="637">
      <c r="B637" s="21"/>
      <c r="C637" s="30"/>
      <c r="D637" s="30"/>
      <c r="E637" s="22">
        <f>IFERROR(__xludf.DUMMYFUNCTION("IFERROR(MIN(QUERY(FILTER(Recipes!$K$4:$N1003, Recipes!$L$4:$L1003 = A637, Recipes!$K$4:$K1003=TRUE), ""select Col4"")), -1)"),0.0)</f>
        <v>0</v>
      </c>
    </row>
    <row r="638">
      <c r="B638" s="21"/>
      <c r="C638" s="30"/>
      <c r="D638" s="30"/>
      <c r="E638" s="22">
        <f>IFERROR(__xludf.DUMMYFUNCTION("IFERROR(MIN(QUERY(FILTER(Recipes!$K$4:$N1003, Recipes!$L$4:$L1003 = A638, Recipes!$K$4:$K1003=TRUE), ""select Col4"")), -1)"),0.0)</f>
        <v>0</v>
      </c>
    </row>
    <row r="639">
      <c r="B639" s="21"/>
      <c r="C639" s="30"/>
      <c r="D639" s="30"/>
      <c r="E639" s="22">
        <f>IFERROR(__xludf.DUMMYFUNCTION("IFERROR(MIN(QUERY(FILTER(Recipes!$K$4:$N1003, Recipes!$L$4:$L1003 = A639, Recipes!$K$4:$K1003=TRUE), ""select Col4"")), -1)"),0.0)</f>
        <v>0</v>
      </c>
    </row>
    <row r="640">
      <c r="B640" s="21"/>
      <c r="C640" s="30"/>
      <c r="D640" s="30"/>
      <c r="E640" s="22">
        <f>IFERROR(__xludf.DUMMYFUNCTION("IFERROR(MIN(QUERY(FILTER(Recipes!$K$4:$N1003, Recipes!$L$4:$L1003 = A640, Recipes!$K$4:$K1003=TRUE), ""select Col4"")), -1)"),0.0)</f>
        <v>0</v>
      </c>
    </row>
    <row r="641">
      <c r="B641" s="21"/>
      <c r="C641" s="30"/>
      <c r="D641" s="30"/>
      <c r="E641" s="22">
        <f>IFERROR(__xludf.DUMMYFUNCTION("IFERROR(MIN(QUERY(FILTER(Recipes!$K$4:$N1003, Recipes!$L$4:$L1003 = A641, Recipes!$K$4:$K1003=TRUE), ""select Col4"")), -1)"),0.0)</f>
        <v>0</v>
      </c>
    </row>
    <row r="642">
      <c r="B642" s="21"/>
      <c r="C642" s="30"/>
      <c r="D642" s="30"/>
      <c r="E642" s="22">
        <f>IFERROR(__xludf.DUMMYFUNCTION("IFERROR(MIN(QUERY(FILTER(Recipes!$K$4:$N1003, Recipes!$L$4:$L1003 = A642, Recipes!$K$4:$K1003=TRUE), ""select Col4"")), -1)"),0.0)</f>
        <v>0</v>
      </c>
    </row>
    <row r="643">
      <c r="B643" s="21"/>
      <c r="C643" s="30"/>
      <c r="D643" s="30"/>
      <c r="E643" s="22">
        <f>IFERROR(__xludf.DUMMYFUNCTION("IFERROR(MIN(QUERY(FILTER(Recipes!$K$4:$N1003, Recipes!$L$4:$L1003 = A643, Recipes!$K$4:$K1003=TRUE), ""select Col4"")), -1)"),0.0)</f>
        <v>0</v>
      </c>
    </row>
    <row r="644">
      <c r="B644" s="21"/>
      <c r="C644" s="30"/>
      <c r="D644" s="30"/>
      <c r="E644" s="22">
        <f>IFERROR(__xludf.DUMMYFUNCTION("IFERROR(MIN(QUERY(FILTER(Recipes!$K$4:$N1003, Recipes!$L$4:$L1003 = A644, Recipes!$K$4:$K1003=TRUE), ""select Col4"")), -1)"),0.0)</f>
        <v>0</v>
      </c>
    </row>
    <row r="645">
      <c r="B645" s="21"/>
      <c r="C645" s="30"/>
      <c r="D645" s="30"/>
      <c r="E645" s="22">
        <f>IFERROR(__xludf.DUMMYFUNCTION("IFERROR(MIN(QUERY(FILTER(Recipes!$K$4:$N1003, Recipes!$L$4:$L1003 = A645, Recipes!$K$4:$K1003=TRUE), ""select Col4"")), -1)"),0.0)</f>
        <v>0</v>
      </c>
    </row>
    <row r="646">
      <c r="B646" s="21"/>
      <c r="C646" s="30"/>
      <c r="D646" s="30"/>
      <c r="E646" s="22">
        <f>IFERROR(__xludf.DUMMYFUNCTION("IFERROR(MIN(QUERY(FILTER(Recipes!$K$4:$N1003, Recipes!$L$4:$L1003 = A646, Recipes!$K$4:$K1003=TRUE), ""select Col4"")), -1)"),0.0)</f>
        <v>0</v>
      </c>
    </row>
    <row r="647">
      <c r="B647" s="21"/>
      <c r="C647" s="30"/>
      <c r="D647" s="30"/>
      <c r="E647" s="22">
        <f>IFERROR(__xludf.DUMMYFUNCTION("IFERROR(MIN(QUERY(FILTER(Recipes!$K$4:$N1003, Recipes!$L$4:$L1003 = A647, Recipes!$K$4:$K1003=TRUE), ""select Col4"")), -1)"),0.0)</f>
        <v>0</v>
      </c>
    </row>
    <row r="648">
      <c r="B648" s="21"/>
      <c r="C648" s="30"/>
      <c r="D648" s="30"/>
      <c r="E648" s="22">
        <f>IFERROR(__xludf.DUMMYFUNCTION("IFERROR(MIN(QUERY(FILTER(Recipes!$K$4:$N1003, Recipes!$L$4:$L1003 = A648, Recipes!$K$4:$K1003=TRUE), ""select Col4"")), -1)"),0.0)</f>
        <v>0</v>
      </c>
    </row>
    <row r="649">
      <c r="B649" s="21"/>
      <c r="C649" s="30"/>
      <c r="D649" s="30"/>
      <c r="E649" s="22">
        <f>IFERROR(__xludf.DUMMYFUNCTION("IFERROR(MIN(QUERY(FILTER(Recipes!$K$4:$N1003, Recipes!$L$4:$L1003 = A649, Recipes!$K$4:$K1003=TRUE), ""select Col4"")), -1)"),0.0)</f>
        <v>0</v>
      </c>
    </row>
    <row r="650">
      <c r="B650" s="21"/>
      <c r="C650" s="30"/>
      <c r="D650" s="30"/>
      <c r="E650" s="22">
        <f>IFERROR(__xludf.DUMMYFUNCTION("IFERROR(MIN(QUERY(FILTER(Recipes!$K$4:$N1003, Recipes!$L$4:$L1003 = A650, Recipes!$K$4:$K1003=TRUE), ""select Col4"")), -1)"),0.0)</f>
        <v>0</v>
      </c>
    </row>
    <row r="651">
      <c r="B651" s="21"/>
      <c r="C651" s="30"/>
      <c r="D651" s="30"/>
      <c r="E651" s="22">
        <f>IFERROR(__xludf.DUMMYFUNCTION("IFERROR(MIN(QUERY(FILTER(Recipes!$K$4:$N1003, Recipes!$L$4:$L1003 = A651, Recipes!$K$4:$K1003=TRUE), ""select Col4"")), -1)"),0.0)</f>
        <v>0</v>
      </c>
    </row>
    <row r="652">
      <c r="B652" s="21"/>
      <c r="C652" s="30"/>
      <c r="D652" s="30"/>
      <c r="E652" s="22">
        <f>IFERROR(__xludf.DUMMYFUNCTION("IFERROR(MIN(QUERY(FILTER(Recipes!$K$4:$N1003, Recipes!$L$4:$L1003 = A652, Recipes!$K$4:$K1003=TRUE), ""select Col4"")), -1)"),0.0)</f>
        <v>0</v>
      </c>
    </row>
    <row r="653">
      <c r="B653" s="21"/>
      <c r="C653" s="30"/>
      <c r="D653" s="30"/>
      <c r="E653" s="22">
        <f>IFERROR(__xludf.DUMMYFUNCTION("IFERROR(MIN(QUERY(FILTER(Recipes!$K$4:$N1003, Recipes!$L$4:$L1003 = A653, Recipes!$K$4:$K1003=TRUE), ""select Col4"")), -1)"),0.0)</f>
        <v>0</v>
      </c>
    </row>
    <row r="654">
      <c r="B654" s="21"/>
      <c r="C654" s="30"/>
      <c r="D654" s="30"/>
      <c r="E654" s="22">
        <f>IFERROR(__xludf.DUMMYFUNCTION("IFERROR(MIN(QUERY(FILTER(Recipes!$K$4:$N1003, Recipes!$L$4:$L1003 = A654, Recipes!$K$4:$K1003=TRUE), ""select Col4"")), -1)"),0.0)</f>
        <v>0</v>
      </c>
    </row>
    <row r="655">
      <c r="B655" s="21"/>
      <c r="C655" s="30"/>
      <c r="D655" s="30"/>
      <c r="E655" s="22">
        <f>IFERROR(__xludf.DUMMYFUNCTION("IFERROR(MIN(QUERY(FILTER(Recipes!$K$4:$N1003, Recipes!$L$4:$L1003 = A655, Recipes!$K$4:$K1003=TRUE), ""select Col4"")), -1)"),0.0)</f>
        <v>0</v>
      </c>
    </row>
    <row r="656">
      <c r="B656" s="21"/>
      <c r="C656" s="30"/>
      <c r="D656" s="30"/>
      <c r="E656" s="22">
        <f>IFERROR(__xludf.DUMMYFUNCTION("IFERROR(MIN(QUERY(FILTER(Recipes!$K$4:$N1003, Recipes!$L$4:$L1003 = A656, Recipes!$K$4:$K1003=TRUE), ""select Col4"")), -1)"),0.0)</f>
        <v>0</v>
      </c>
    </row>
    <row r="657">
      <c r="B657" s="21"/>
      <c r="C657" s="30"/>
      <c r="D657" s="30"/>
      <c r="E657" s="22">
        <f>IFERROR(__xludf.DUMMYFUNCTION("IFERROR(MIN(QUERY(FILTER(Recipes!$K$4:$N1003, Recipes!$L$4:$L1003 = A657, Recipes!$K$4:$K1003=TRUE), ""select Col4"")), -1)"),0.0)</f>
        <v>0</v>
      </c>
    </row>
    <row r="658">
      <c r="B658" s="21"/>
      <c r="C658" s="30"/>
      <c r="D658" s="30"/>
      <c r="E658" s="22">
        <f>IFERROR(__xludf.DUMMYFUNCTION("IFERROR(MIN(QUERY(FILTER(Recipes!$K$4:$N1003, Recipes!$L$4:$L1003 = A658, Recipes!$K$4:$K1003=TRUE), ""select Col4"")), -1)"),0.0)</f>
        <v>0</v>
      </c>
    </row>
    <row r="659">
      <c r="B659" s="21"/>
      <c r="C659" s="30"/>
      <c r="D659" s="30"/>
      <c r="E659" s="22">
        <f>IFERROR(__xludf.DUMMYFUNCTION("IFERROR(MIN(QUERY(FILTER(Recipes!$K$4:$N1003, Recipes!$L$4:$L1003 = A659, Recipes!$K$4:$K1003=TRUE), ""select Col4"")), -1)"),0.0)</f>
        <v>0</v>
      </c>
    </row>
    <row r="660">
      <c r="B660" s="21"/>
      <c r="C660" s="30"/>
      <c r="D660" s="30"/>
      <c r="E660" s="22">
        <f>IFERROR(__xludf.DUMMYFUNCTION("IFERROR(MIN(QUERY(FILTER(Recipes!$K$4:$N1003, Recipes!$L$4:$L1003 = A660, Recipes!$K$4:$K1003=TRUE), ""select Col4"")), -1)"),0.0)</f>
        <v>0</v>
      </c>
    </row>
    <row r="661">
      <c r="B661" s="21"/>
      <c r="C661" s="30"/>
      <c r="D661" s="30"/>
      <c r="E661" s="22">
        <f>IFERROR(__xludf.DUMMYFUNCTION("IFERROR(MIN(QUERY(FILTER(Recipes!$K$4:$N1003, Recipes!$L$4:$L1003 = A661, Recipes!$K$4:$K1003=TRUE), ""select Col4"")), -1)"),0.0)</f>
        <v>0</v>
      </c>
    </row>
    <row r="662">
      <c r="B662" s="21"/>
      <c r="C662" s="30"/>
      <c r="D662" s="30"/>
      <c r="E662" s="22">
        <f>IFERROR(__xludf.DUMMYFUNCTION("IFERROR(MIN(QUERY(FILTER(Recipes!$K$4:$N1003, Recipes!$L$4:$L1003 = A662, Recipes!$K$4:$K1003=TRUE), ""select Col4"")), -1)"),0.0)</f>
        <v>0</v>
      </c>
    </row>
    <row r="663">
      <c r="B663" s="21"/>
      <c r="C663" s="30"/>
      <c r="D663" s="30"/>
      <c r="E663" s="22">
        <f>IFERROR(__xludf.DUMMYFUNCTION("IFERROR(MIN(QUERY(FILTER(Recipes!$K$4:$N1003, Recipes!$L$4:$L1003 = A663, Recipes!$K$4:$K1003=TRUE), ""select Col4"")), -1)"),0.0)</f>
        <v>0</v>
      </c>
    </row>
    <row r="664">
      <c r="B664" s="21"/>
      <c r="C664" s="30"/>
      <c r="D664" s="30"/>
      <c r="E664" s="22">
        <f>IFERROR(__xludf.DUMMYFUNCTION("IFERROR(MIN(QUERY(FILTER(Recipes!$K$4:$N1003, Recipes!$L$4:$L1003 = A664, Recipes!$K$4:$K1003=TRUE), ""select Col4"")), -1)"),0.0)</f>
        <v>0</v>
      </c>
    </row>
    <row r="665">
      <c r="B665" s="21"/>
      <c r="C665" s="30"/>
      <c r="D665" s="30"/>
      <c r="E665" s="22">
        <f>IFERROR(__xludf.DUMMYFUNCTION("IFERROR(MIN(QUERY(FILTER(Recipes!$K$4:$N1003, Recipes!$L$4:$L1003 = A665, Recipes!$K$4:$K1003=TRUE), ""select Col4"")), -1)"),0.0)</f>
        <v>0</v>
      </c>
    </row>
    <row r="666">
      <c r="B666" s="21"/>
      <c r="C666" s="30"/>
      <c r="D666" s="30"/>
      <c r="E666" s="22">
        <f>IFERROR(__xludf.DUMMYFUNCTION("IFERROR(MIN(QUERY(FILTER(Recipes!$K$4:$N1003, Recipes!$L$4:$L1003 = A666, Recipes!$K$4:$K1003=TRUE), ""select Col4"")), -1)"),0.0)</f>
        <v>0</v>
      </c>
    </row>
    <row r="667">
      <c r="B667" s="21"/>
      <c r="C667" s="30"/>
      <c r="D667" s="30"/>
      <c r="E667" s="22">
        <f>IFERROR(__xludf.DUMMYFUNCTION("IFERROR(MIN(QUERY(FILTER(Recipes!$K$4:$N1003, Recipes!$L$4:$L1003 = A667, Recipes!$K$4:$K1003=TRUE), ""select Col4"")), -1)"),0.0)</f>
        <v>0</v>
      </c>
    </row>
    <row r="668">
      <c r="B668" s="21"/>
      <c r="C668" s="30"/>
      <c r="D668" s="30"/>
      <c r="E668" s="22">
        <f>IFERROR(__xludf.DUMMYFUNCTION("IFERROR(MIN(QUERY(FILTER(Recipes!$K$4:$N1003, Recipes!$L$4:$L1003 = A668, Recipes!$K$4:$K1003=TRUE), ""select Col4"")), -1)"),0.0)</f>
        <v>0</v>
      </c>
    </row>
    <row r="669">
      <c r="B669" s="21"/>
      <c r="C669" s="30"/>
      <c r="D669" s="30"/>
      <c r="E669" s="22">
        <f>IFERROR(__xludf.DUMMYFUNCTION("IFERROR(MIN(QUERY(FILTER(Recipes!$K$4:$N1003, Recipes!$L$4:$L1003 = A669, Recipes!$K$4:$K1003=TRUE), ""select Col4"")), -1)"),0.0)</f>
        <v>0</v>
      </c>
    </row>
    <row r="670">
      <c r="B670" s="21"/>
      <c r="C670" s="30"/>
      <c r="D670" s="30"/>
      <c r="E670" s="22">
        <f>IFERROR(__xludf.DUMMYFUNCTION("IFERROR(MIN(QUERY(FILTER(Recipes!$K$4:$N1003, Recipes!$L$4:$L1003 = A670, Recipes!$K$4:$K1003=TRUE), ""select Col4"")), -1)"),0.0)</f>
        <v>0</v>
      </c>
    </row>
    <row r="671">
      <c r="B671" s="21"/>
      <c r="C671" s="30"/>
      <c r="D671" s="30"/>
      <c r="E671" s="22">
        <f>IFERROR(__xludf.DUMMYFUNCTION("IFERROR(MIN(QUERY(FILTER(Recipes!$K$4:$N1003, Recipes!$L$4:$L1003 = A671, Recipes!$K$4:$K1003=TRUE), ""select Col4"")), -1)"),0.0)</f>
        <v>0</v>
      </c>
    </row>
    <row r="672">
      <c r="B672" s="21"/>
      <c r="C672" s="30"/>
      <c r="D672" s="30"/>
      <c r="E672" s="22">
        <f>IFERROR(__xludf.DUMMYFUNCTION("IFERROR(MIN(QUERY(FILTER(Recipes!$K$4:$N1003, Recipes!$L$4:$L1003 = A672, Recipes!$K$4:$K1003=TRUE), ""select Col4"")), -1)"),0.0)</f>
        <v>0</v>
      </c>
    </row>
    <row r="673">
      <c r="B673" s="21"/>
      <c r="C673" s="30"/>
      <c r="D673" s="30"/>
      <c r="E673" s="22">
        <f>IFERROR(__xludf.DUMMYFUNCTION("IFERROR(MIN(QUERY(FILTER(Recipes!$K$4:$N1003, Recipes!$L$4:$L1003 = A673, Recipes!$K$4:$K1003=TRUE), ""select Col4"")), -1)"),0.0)</f>
        <v>0</v>
      </c>
    </row>
    <row r="674">
      <c r="B674" s="21"/>
      <c r="C674" s="30"/>
      <c r="D674" s="30"/>
      <c r="E674" s="22">
        <f>IFERROR(__xludf.DUMMYFUNCTION("IFERROR(MIN(QUERY(FILTER(Recipes!$K$4:$N1003, Recipes!$L$4:$L1003 = A674, Recipes!$K$4:$K1003=TRUE), ""select Col4"")), -1)"),0.0)</f>
        <v>0</v>
      </c>
    </row>
    <row r="675">
      <c r="B675" s="21"/>
      <c r="C675" s="30"/>
      <c r="D675" s="30"/>
      <c r="E675" s="22">
        <f>IFERROR(__xludf.DUMMYFUNCTION("IFERROR(MIN(QUERY(FILTER(Recipes!$K$4:$N1003, Recipes!$L$4:$L1003 = A675, Recipes!$K$4:$K1003=TRUE), ""select Col4"")), -1)"),0.0)</f>
        <v>0</v>
      </c>
    </row>
    <row r="676">
      <c r="B676" s="21"/>
      <c r="C676" s="30"/>
      <c r="D676" s="30"/>
      <c r="E676" s="22">
        <f>IFERROR(__xludf.DUMMYFUNCTION("IFERROR(MIN(QUERY(FILTER(Recipes!$K$4:$N1003, Recipes!$L$4:$L1003 = A676, Recipes!$K$4:$K1003=TRUE), ""select Col4"")), -1)"),0.0)</f>
        <v>0</v>
      </c>
    </row>
    <row r="677">
      <c r="B677" s="21"/>
      <c r="C677" s="30"/>
      <c r="D677" s="30"/>
      <c r="E677" s="22">
        <f>IFERROR(__xludf.DUMMYFUNCTION("IFERROR(MIN(QUERY(FILTER(Recipes!$K$4:$N1003, Recipes!$L$4:$L1003 = A677, Recipes!$K$4:$K1003=TRUE), ""select Col4"")), -1)"),0.0)</f>
        <v>0</v>
      </c>
    </row>
    <row r="678">
      <c r="B678" s="21"/>
      <c r="C678" s="30"/>
      <c r="D678" s="30"/>
      <c r="E678" s="22">
        <f>IFERROR(__xludf.DUMMYFUNCTION("IFERROR(MIN(QUERY(FILTER(Recipes!$K$4:$N1003, Recipes!$L$4:$L1003 = A678, Recipes!$K$4:$K1003=TRUE), ""select Col4"")), -1)"),0.0)</f>
        <v>0</v>
      </c>
    </row>
    <row r="679">
      <c r="B679" s="21"/>
      <c r="C679" s="30"/>
      <c r="D679" s="30"/>
      <c r="E679" s="22">
        <f>IFERROR(__xludf.DUMMYFUNCTION("IFERROR(MIN(QUERY(FILTER(Recipes!$K$4:$N1003, Recipes!$L$4:$L1003 = A679, Recipes!$K$4:$K1003=TRUE), ""select Col4"")), -1)"),0.0)</f>
        <v>0</v>
      </c>
    </row>
    <row r="680">
      <c r="B680" s="21"/>
      <c r="C680" s="30"/>
      <c r="D680" s="30"/>
      <c r="E680" s="22">
        <f>IFERROR(__xludf.DUMMYFUNCTION("IFERROR(MIN(QUERY(FILTER(Recipes!$K$4:$N1003, Recipes!$L$4:$L1003 = A680, Recipes!$K$4:$K1003=TRUE), ""select Col4"")), -1)"),0.0)</f>
        <v>0</v>
      </c>
    </row>
    <row r="681">
      <c r="B681" s="21"/>
      <c r="C681" s="30"/>
      <c r="D681" s="30"/>
      <c r="E681" s="22">
        <f>IFERROR(__xludf.DUMMYFUNCTION("IFERROR(MIN(QUERY(FILTER(Recipes!$K$4:$N1003, Recipes!$L$4:$L1003 = A681, Recipes!$K$4:$K1003=TRUE), ""select Col4"")), -1)"),0.0)</f>
        <v>0</v>
      </c>
    </row>
    <row r="682">
      <c r="B682" s="21"/>
      <c r="C682" s="30"/>
      <c r="D682" s="30"/>
      <c r="E682" s="22">
        <f>IFERROR(__xludf.DUMMYFUNCTION("IFERROR(MIN(QUERY(FILTER(Recipes!$K$4:$N1003, Recipes!$L$4:$L1003 = A682, Recipes!$K$4:$K1003=TRUE), ""select Col4"")), -1)"),0.0)</f>
        <v>0</v>
      </c>
    </row>
    <row r="683">
      <c r="B683" s="21"/>
      <c r="C683" s="30"/>
      <c r="D683" s="30"/>
      <c r="E683" s="22">
        <f>IFERROR(__xludf.DUMMYFUNCTION("IFERROR(MIN(QUERY(FILTER(Recipes!$K$4:$N1003, Recipes!$L$4:$L1003 = A683, Recipes!$K$4:$K1003=TRUE), ""select Col4"")), -1)"),0.0)</f>
        <v>0</v>
      </c>
    </row>
    <row r="684">
      <c r="B684" s="21"/>
      <c r="C684" s="30"/>
      <c r="D684" s="30"/>
      <c r="E684" s="22">
        <f>IFERROR(__xludf.DUMMYFUNCTION("IFERROR(MIN(QUERY(FILTER(Recipes!$K$4:$N1003, Recipes!$L$4:$L1003 = A684, Recipes!$K$4:$K1003=TRUE), ""select Col4"")), -1)"),0.0)</f>
        <v>0</v>
      </c>
    </row>
    <row r="685">
      <c r="B685" s="21"/>
      <c r="C685" s="30"/>
      <c r="D685" s="30"/>
      <c r="E685" s="22">
        <f>IFERROR(__xludf.DUMMYFUNCTION("IFERROR(MIN(QUERY(FILTER(Recipes!$K$4:$N1003, Recipes!$L$4:$L1003 = A685, Recipes!$K$4:$K1003=TRUE), ""select Col4"")), -1)"),0.0)</f>
        <v>0</v>
      </c>
    </row>
    <row r="686">
      <c r="B686" s="21"/>
      <c r="C686" s="30"/>
      <c r="D686" s="30"/>
      <c r="E686" s="22">
        <f>IFERROR(__xludf.DUMMYFUNCTION("IFERROR(MIN(QUERY(FILTER(Recipes!$K$4:$N1003, Recipes!$L$4:$L1003 = A686, Recipes!$K$4:$K1003=TRUE), ""select Col4"")), -1)"),0.0)</f>
        <v>0</v>
      </c>
    </row>
    <row r="687">
      <c r="B687" s="21"/>
      <c r="C687" s="30"/>
      <c r="D687" s="30"/>
      <c r="E687" s="22">
        <f>IFERROR(__xludf.DUMMYFUNCTION("IFERROR(MIN(QUERY(FILTER(Recipes!$K$4:$N1003, Recipes!$L$4:$L1003 = A687, Recipes!$K$4:$K1003=TRUE), ""select Col4"")), -1)"),0.0)</f>
        <v>0</v>
      </c>
    </row>
    <row r="688">
      <c r="B688" s="21"/>
      <c r="C688" s="30"/>
      <c r="D688" s="30"/>
      <c r="E688" s="22">
        <f>IFERROR(__xludf.DUMMYFUNCTION("IFERROR(MIN(QUERY(FILTER(Recipes!$K$4:$N1003, Recipes!$L$4:$L1003 = A688, Recipes!$K$4:$K1003=TRUE), ""select Col4"")), -1)"),0.0)</f>
        <v>0</v>
      </c>
    </row>
    <row r="689">
      <c r="B689" s="21"/>
      <c r="C689" s="30"/>
      <c r="D689" s="30"/>
      <c r="E689" s="22">
        <f>IFERROR(__xludf.DUMMYFUNCTION("IFERROR(MIN(QUERY(FILTER(Recipes!$K$4:$N1003, Recipes!$L$4:$L1003 = A689, Recipes!$K$4:$K1003=TRUE), ""select Col4"")), -1)"),0.0)</f>
        <v>0</v>
      </c>
    </row>
    <row r="690">
      <c r="B690" s="21"/>
      <c r="C690" s="30"/>
      <c r="D690" s="30"/>
      <c r="E690" s="22">
        <f>IFERROR(__xludf.DUMMYFUNCTION("IFERROR(MIN(QUERY(FILTER(Recipes!$K$4:$N1003, Recipes!$L$4:$L1003 = A690, Recipes!$K$4:$K1003=TRUE), ""select Col4"")), -1)"),0.0)</f>
        <v>0</v>
      </c>
    </row>
    <row r="691">
      <c r="B691" s="21"/>
      <c r="C691" s="30"/>
      <c r="D691" s="30"/>
      <c r="E691" s="22">
        <f>IFERROR(__xludf.DUMMYFUNCTION("IFERROR(MIN(QUERY(FILTER(Recipes!$K$4:$N1003, Recipes!$L$4:$L1003 = A691, Recipes!$K$4:$K1003=TRUE), ""select Col4"")), -1)"),0.0)</f>
        <v>0</v>
      </c>
    </row>
    <row r="692">
      <c r="B692" s="21"/>
      <c r="C692" s="30"/>
      <c r="D692" s="30"/>
      <c r="E692" s="22">
        <f>IFERROR(__xludf.DUMMYFUNCTION("IFERROR(MIN(QUERY(FILTER(Recipes!$K$4:$N1003, Recipes!$L$4:$L1003 = A692, Recipes!$K$4:$K1003=TRUE), ""select Col4"")), -1)"),0.0)</f>
        <v>0</v>
      </c>
    </row>
    <row r="693">
      <c r="B693" s="21"/>
      <c r="C693" s="30"/>
      <c r="D693" s="30"/>
      <c r="E693" s="22">
        <f>IFERROR(__xludf.DUMMYFUNCTION("IFERROR(MIN(QUERY(FILTER(Recipes!$K$4:$N1003, Recipes!$L$4:$L1003 = A693, Recipes!$K$4:$K1003=TRUE), ""select Col4"")), -1)"),0.0)</f>
        <v>0</v>
      </c>
    </row>
    <row r="694">
      <c r="B694" s="21"/>
      <c r="C694" s="30"/>
      <c r="D694" s="30"/>
      <c r="E694" s="22">
        <f>IFERROR(__xludf.DUMMYFUNCTION("IFERROR(MIN(QUERY(FILTER(Recipes!$K$4:$N1003, Recipes!$L$4:$L1003 = A694, Recipes!$K$4:$K1003=TRUE), ""select Col4"")), -1)"),0.0)</f>
        <v>0</v>
      </c>
    </row>
    <row r="695">
      <c r="B695" s="21"/>
      <c r="C695" s="30"/>
      <c r="D695" s="30"/>
      <c r="E695" s="22">
        <f>IFERROR(__xludf.DUMMYFUNCTION("IFERROR(MIN(QUERY(FILTER(Recipes!$K$4:$N1003, Recipes!$L$4:$L1003 = A695, Recipes!$K$4:$K1003=TRUE), ""select Col4"")), -1)"),0.0)</f>
        <v>0</v>
      </c>
    </row>
    <row r="696">
      <c r="B696" s="21"/>
      <c r="C696" s="30"/>
      <c r="D696" s="30"/>
      <c r="E696" s="22">
        <f>IFERROR(__xludf.DUMMYFUNCTION("IFERROR(MIN(QUERY(FILTER(Recipes!$K$4:$N1003, Recipes!$L$4:$L1003 = A696, Recipes!$K$4:$K1003=TRUE), ""select Col4"")), -1)"),0.0)</f>
        <v>0</v>
      </c>
    </row>
    <row r="697">
      <c r="B697" s="21"/>
      <c r="C697" s="30"/>
      <c r="D697" s="30"/>
      <c r="E697" s="22">
        <f>IFERROR(__xludf.DUMMYFUNCTION("IFERROR(MIN(QUERY(FILTER(Recipes!$K$4:$N1003, Recipes!$L$4:$L1003 = A697, Recipes!$K$4:$K1003=TRUE), ""select Col4"")), -1)"),0.0)</f>
        <v>0</v>
      </c>
    </row>
    <row r="698">
      <c r="B698" s="21"/>
      <c r="C698" s="30"/>
      <c r="D698" s="30"/>
      <c r="E698" s="22">
        <f>IFERROR(__xludf.DUMMYFUNCTION("IFERROR(MIN(QUERY(FILTER(Recipes!$K$4:$N1003, Recipes!$L$4:$L1003 = A698, Recipes!$K$4:$K1003=TRUE), ""select Col4"")), -1)"),0.0)</f>
        <v>0</v>
      </c>
    </row>
    <row r="699">
      <c r="B699" s="21"/>
      <c r="C699" s="30"/>
      <c r="D699" s="30"/>
      <c r="E699" s="22">
        <f>IFERROR(__xludf.DUMMYFUNCTION("IFERROR(MIN(QUERY(FILTER(Recipes!$K$4:$N1003, Recipes!$L$4:$L1003 = A699, Recipes!$K$4:$K1003=TRUE), ""select Col4"")), -1)"),0.0)</f>
        <v>0</v>
      </c>
    </row>
    <row r="700">
      <c r="B700" s="21"/>
      <c r="C700" s="30"/>
      <c r="D700" s="30"/>
      <c r="E700" s="22">
        <f>IFERROR(__xludf.DUMMYFUNCTION("IFERROR(MIN(QUERY(FILTER(Recipes!$K$4:$N1003, Recipes!$L$4:$L1003 = A700, Recipes!$K$4:$K1003=TRUE), ""select Col4"")), -1)"),0.0)</f>
        <v>0</v>
      </c>
    </row>
    <row r="701">
      <c r="B701" s="21"/>
      <c r="C701" s="30"/>
      <c r="D701" s="30"/>
      <c r="E701" s="22">
        <f>IFERROR(__xludf.DUMMYFUNCTION("IFERROR(MIN(QUERY(FILTER(Recipes!$K$4:$N1003, Recipes!$L$4:$L1003 = A701, Recipes!$K$4:$K1003=TRUE), ""select Col4"")), -1)"),0.0)</f>
        <v>0</v>
      </c>
    </row>
    <row r="702">
      <c r="B702" s="21"/>
      <c r="C702" s="30"/>
      <c r="D702" s="30"/>
      <c r="E702" s="22">
        <f>IFERROR(__xludf.DUMMYFUNCTION("IFERROR(MIN(QUERY(FILTER(Recipes!$K$4:$N1003, Recipes!$L$4:$L1003 = A702, Recipes!$K$4:$K1003=TRUE), ""select Col4"")), -1)"),0.0)</f>
        <v>0</v>
      </c>
    </row>
    <row r="703">
      <c r="B703" s="21"/>
      <c r="C703" s="30"/>
      <c r="D703" s="30"/>
      <c r="E703" s="22">
        <f>IFERROR(__xludf.DUMMYFUNCTION("IFERROR(MIN(QUERY(FILTER(Recipes!$K$4:$N1003, Recipes!$L$4:$L1003 = A703, Recipes!$K$4:$K1003=TRUE), ""select Col4"")), -1)"),0.0)</f>
        <v>0</v>
      </c>
    </row>
    <row r="704">
      <c r="B704" s="21"/>
      <c r="C704" s="30"/>
      <c r="D704" s="30"/>
      <c r="E704" s="22">
        <f>IFERROR(__xludf.DUMMYFUNCTION("IFERROR(MIN(QUERY(FILTER(Recipes!$K$4:$N1003, Recipes!$L$4:$L1003 = A704, Recipes!$K$4:$K1003=TRUE), ""select Col4"")), -1)"),0.0)</f>
        <v>0</v>
      </c>
    </row>
    <row r="705">
      <c r="B705" s="21"/>
      <c r="C705" s="30"/>
      <c r="D705" s="30"/>
      <c r="E705" s="22">
        <f>IFERROR(__xludf.DUMMYFUNCTION("IFERROR(MIN(QUERY(FILTER(Recipes!$K$4:$N1003, Recipes!$L$4:$L1003 = A705, Recipes!$K$4:$K1003=TRUE), ""select Col4"")), -1)"),0.0)</f>
        <v>0</v>
      </c>
    </row>
    <row r="706">
      <c r="B706" s="21"/>
      <c r="C706" s="30"/>
      <c r="D706" s="30"/>
      <c r="E706" s="22">
        <f>IFERROR(__xludf.DUMMYFUNCTION("IFERROR(MIN(QUERY(FILTER(Recipes!$K$4:$N1003, Recipes!$L$4:$L1003 = A706, Recipes!$K$4:$K1003=TRUE), ""select Col4"")), -1)"),0.0)</f>
        <v>0</v>
      </c>
    </row>
    <row r="707">
      <c r="B707" s="21"/>
      <c r="C707" s="30"/>
      <c r="D707" s="30"/>
      <c r="E707" s="22">
        <f>IFERROR(__xludf.DUMMYFUNCTION("IFERROR(MIN(QUERY(FILTER(Recipes!$K$4:$N1003, Recipes!$L$4:$L1003 = A707, Recipes!$K$4:$K1003=TRUE), ""select Col4"")), -1)"),0.0)</f>
        <v>0</v>
      </c>
    </row>
    <row r="708">
      <c r="B708" s="21"/>
      <c r="C708" s="30"/>
      <c r="D708" s="30"/>
      <c r="E708" s="22">
        <f>IFERROR(__xludf.DUMMYFUNCTION("IFERROR(MIN(QUERY(FILTER(Recipes!$K$4:$N1003, Recipes!$L$4:$L1003 = A708, Recipes!$K$4:$K1003=TRUE), ""select Col4"")), -1)"),0.0)</f>
        <v>0</v>
      </c>
    </row>
    <row r="709">
      <c r="B709" s="21"/>
      <c r="C709" s="30"/>
      <c r="D709" s="30"/>
      <c r="E709" s="22">
        <f>IFERROR(__xludf.DUMMYFUNCTION("IFERROR(MIN(QUERY(FILTER(Recipes!$K$4:$N1003, Recipes!$L$4:$L1003 = A709, Recipes!$K$4:$K1003=TRUE), ""select Col4"")), -1)"),0.0)</f>
        <v>0</v>
      </c>
    </row>
    <row r="710">
      <c r="B710" s="21"/>
      <c r="C710" s="30"/>
      <c r="D710" s="30"/>
      <c r="E710" s="22">
        <f>IFERROR(__xludf.DUMMYFUNCTION("IFERROR(MIN(QUERY(FILTER(Recipes!$K$4:$N1003, Recipes!$L$4:$L1003 = A710, Recipes!$K$4:$K1003=TRUE), ""select Col4"")), -1)"),0.0)</f>
        <v>0</v>
      </c>
    </row>
    <row r="711">
      <c r="B711" s="21"/>
      <c r="C711" s="30"/>
      <c r="D711" s="30"/>
      <c r="E711" s="22">
        <f>IFERROR(__xludf.DUMMYFUNCTION("IFERROR(MIN(QUERY(FILTER(Recipes!$K$4:$N1003, Recipes!$L$4:$L1003 = A711, Recipes!$K$4:$K1003=TRUE), ""select Col4"")), -1)"),0.0)</f>
        <v>0</v>
      </c>
    </row>
    <row r="712">
      <c r="B712" s="21"/>
      <c r="C712" s="30"/>
      <c r="D712" s="30"/>
      <c r="E712" s="22">
        <f>IFERROR(__xludf.DUMMYFUNCTION("IFERROR(MIN(QUERY(FILTER(Recipes!$K$4:$N1003, Recipes!$L$4:$L1003 = A712, Recipes!$K$4:$K1003=TRUE), ""select Col4"")), -1)"),0.0)</f>
        <v>0</v>
      </c>
    </row>
    <row r="713">
      <c r="B713" s="21"/>
      <c r="C713" s="30"/>
      <c r="D713" s="30"/>
      <c r="E713" s="22">
        <f>IFERROR(__xludf.DUMMYFUNCTION("IFERROR(MIN(QUERY(FILTER(Recipes!$K$4:$N1003, Recipes!$L$4:$L1003 = A713, Recipes!$K$4:$K1003=TRUE), ""select Col4"")), -1)"),0.0)</f>
        <v>0</v>
      </c>
    </row>
    <row r="714">
      <c r="B714" s="21"/>
      <c r="C714" s="30"/>
      <c r="D714" s="30"/>
      <c r="E714" s="22">
        <f>IFERROR(__xludf.DUMMYFUNCTION("IFERROR(MIN(QUERY(FILTER(Recipes!$K$4:$N1003, Recipes!$L$4:$L1003 = A714, Recipes!$K$4:$K1003=TRUE), ""select Col4"")), -1)"),0.0)</f>
        <v>0</v>
      </c>
    </row>
    <row r="715">
      <c r="B715" s="21"/>
      <c r="C715" s="30"/>
      <c r="D715" s="30"/>
      <c r="E715" s="22">
        <f>IFERROR(__xludf.DUMMYFUNCTION("IFERROR(MIN(QUERY(FILTER(Recipes!$K$4:$N1003, Recipes!$L$4:$L1003 = A715, Recipes!$K$4:$K1003=TRUE), ""select Col4"")), -1)"),0.0)</f>
        <v>0</v>
      </c>
    </row>
    <row r="716">
      <c r="B716" s="21"/>
      <c r="C716" s="30"/>
      <c r="D716" s="30"/>
      <c r="E716" s="22">
        <f>IFERROR(__xludf.DUMMYFUNCTION("IFERROR(MIN(QUERY(FILTER(Recipes!$K$4:$N1003, Recipes!$L$4:$L1003 = A716, Recipes!$K$4:$K1003=TRUE), ""select Col4"")), -1)"),0.0)</f>
        <v>0</v>
      </c>
    </row>
    <row r="717">
      <c r="B717" s="21"/>
      <c r="C717" s="30"/>
      <c r="D717" s="30"/>
      <c r="E717" s="22">
        <f>IFERROR(__xludf.DUMMYFUNCTION("IFERROR(MIN(QUERY(FILTER(Recipes!$K$4:$N1003, Recipes!$L$4:$L1003 = A717, Recipes!$K$4:$K1003=TRUE), ""select Col4"")), -1)"),0.0)</f>
        <v>0</v>
      </c>
    </row>
    <row r="718">
      <c r="B718" s="21"/>
      <c r="C718" s="30"/>
      <c r="D718" s="30"/>
      <c r="E718" s="22">
        <f>IFERROR(__xludf.DUMMYFUNCTION("IFERROR(MIN(QUERY(FILTER(Recipes!$K$4:$N1003, Recipes!$L$4:$L1003 = A718, Recipes!$K$4:$K1003=TRUE), ""select Col4"")), -1)"),0.0)</f>
        <v>0</v>
      </c>
    </row>
    <row r="719">
      <c r="B719" s="21"/>
      <c r="C719" s="30"/>
      <c r="D719" s="30"/>
      <c r="E719" s="22">
        <f>IFERROR(__xludf.DUMMYFUNCTION("IFERROR(MIN(QUERY(FILTER(Recipes!$K$4:$N1003, Recipes!$L$4:$L1003 = A719, Recipes!$K$4:$K1003=TRUE), ""select Col4"")), -1)"),0.0)</f>
        <v>0</v>
      </c>
    </row>
    <row r="720">
      <c r="B720" s="21"/>
      <c r="C720" s="30"/>
      <c r="D720" s="30"/>
      <c r="E720" s="22">
        <f>IFERROR(__xludf.DUMMYFUNCTION("IFERROR(MIN(QUERY(FILTER(Recipes!$K$4:$N1003, Recipes!$L$4:$L1003 = A720, Recipes!$K$4:$K1003=TRUE), ""select Col4"")), -1)"),0.0)</f>
        <v>0</v>
      </c>
    </row>
    <row r="721">
      <c r="B721" s="21"/>
      <c r="C721" s="30"/>
      <c r="D721" s="30"/>
      <c r="E721" s="22">
        <f>IFERROR(__xludf.DUMMYFUNCTION("IFERROR(MIN(QUERY(FILTER(Recipes!$K$4:$N1003, Recipes!$L$4:$L1003 = A721, Recipes!$K$4:$K1003=TRUE), ""select Col4"")), -1)"),0.0)</f>
        <v>0</v>
      </c>
    </row>
    <row r="722">
      <c r="B722" s="21"/>
      <c r="C722" s="30"/>
      <c r="D722" s="30"/>
      <c r="E722" s="22">
        <f>IFERROR(__xludf.DUMMYFUNCTION("IFERROR(MIN(QUERY(FILTER(Recipes!$K$4:$N1003, Recipes!$L$4:$L1003 = A722, Recipes!$K$4:$K1003=TRUE), ""select Col4"")), -1)"),0.0)</f>
        <v>0</v>
      </c>
    </row>
    <row r="723">
      <c r="B723" s="21"/>
      <c r="C723" s="30"/>
      <c r="D723" s="30"/>
      <c r="E723" s="22">
        <f>IFERROR(__xludf.DUMMYFUNCTION("IFERROR(MIN(QUERY(FILTER(Recipes!$K$4:$N1003, Recipes!$L$4:$L1003 = A723, Recipes!$K$4:$K1003=TRUE), ""select Col4"")), -1)"),0.0)</f>
        <v>0</v>
      </c>
    </row>
    <row r="724">
      <c r="B724" s="21"/>
      <c r="C724" s="30"/>
      <c r="D724" s="30"/>
      <c r="E724" s="22">
        <f>IFERROR(__xludf.DUMMYFUNCTION("IFERROR(MIN(QUERY(FILTER(Recipes!$K$4:$N1003, Recipes!$L$4:$L1003 = A724, Recipes!$K$4:$K1003=TRUE), ""select Col4"")), -1)"),0.0)</f>
        <v>0</v>
      </c>
    </row>
    <row r="725">
      <c r="B725" s="21"/>
      <c r="C725" s="30"/>
      <c r="D725" s="30"/>
      <c r="E725" s="22">
        <f>IFERROR(__xludf.DUMMYFUNCTION("IFERROR(MIN(QUERY(FILTER(Recipes!$K$4:$N1003, Recipes!$L$4:$L1003 = A725, Recipes!$K$4:$K1003=TRUE), ""select Col4"")), -1)"),0.0)</f>
        <v>0</v>
      </c>
    </row>
    <row r="726">
      <c r="B726" s="21"/>
      <c r="C726" s="30"/>
      <c r="D726" s="30"/>
      <c r="E726" s="22">
        <f>IFERROR(__xludf.DUMMYFUNCTION("IFERROR(MIN(QUERY(FILTER(Recipes!$K$4:$N1003, Recipes!$L$4:$L1003 = A726, Recipes!$K$4:$K1003=TRUE), ""select Col4"")), -1)"),0.0)</f>
        <v>0</v>
      </c>
    </row>
    <row r="727">
      <c r="B727" s="21"/>
      <c r="C727" s="30"/>
      <c r="D727" s="30"/>
      <c r="E727" s="22">
        <f>IFERROR(__xludf.DUMMYFUNCTION("IFERROR(MIN(QUERY(FILTER(Recipes!$K$4:$N1003, Recipes!$L$4:$L1003 = A727, Recipes!$K$4:$K1003=TRUE), ""select Col4"")), -1)"),0.0)</f>
        <v>0</v>
      </c>
    </row>
    <row r="728">
      <c r="B728" s="21"/>
      <c r="C728" s="30"/>
      <c r="D728" s="30"/>
      <c r="E728" s="22">
        <f>IFERROR(__xludf.DUMMYFUNCTION("IFERROR(MIN(QUERY(FILTER(Recipes!$K$4:$N1003, Recipes!$L$4:$L1003 = A728, Recipes!$K$4:$K1003=TRUE), ""select Col4"")), -1)"),0.0)</f>
        <v>0</v>
      </c>
    </row>
    <row r="729">
      <c r="B729" s="21"/>
      <c r="C729" s="30"/>
      <c r="D729" s="30"/>
      <c r="E729" s="22">
        <f>IFERROR(__xludf.DUMMYFUNCTION("IFERROR(MIN(QUERY(FILTER(Recipes!$K$4:$N1003, Recipes!$L$4:$L1003 = A729, Recipes!$K$4:$K1003=TRUE), ""select Col4"")), -1)"),0.0)</f>
        <v>0</v>
      </c>
    </row>
    <row r="730">
      <c r="B730" s="21"/>
      <c r="C730" s="30"/>
      <c r="D730" s="30"/>
      <c r="E730" s="22">
        <f>IFERROR(__xludf.DUMMYFUNCTION("IFERROR(MIN(QUERY(FILTER(Recipes!$K$4:$N1003, Recipes!$L$4:$L1003 = A730, Recipes!$K$4:$K1003=TRUE), ""select Col4"")), -1)"),0.0)</f>
        <v>0</v>
      </c>
    </row>
    <row r="731">
      <c r="B731" s="21"/>
      <c r="C731" s="30"/>
      <c r="D731" s="30"/>
      <c r="E731" s="22">
        <f>IFERROR(__xludf.DUMMYFUNCTION("IFERROR(MIN(QUERY(FILTER(Recipes!$K$4:$N1003, Recipes!$L$4:$L1003 = A731, Recipes!$K$4:$K1003=TRUE), ""select Col4"")), -1)"),0.0)</f>
        <v>0</v>
      </c>
    </row>
    <row r="732">
      <c r="B732" s="21"/>
      <c r="C732" s="30"/>
      <c r="D732" s="30"/>
      <c r="E732" s="22">
        <f>IFERROR(__xludf.DUMMYFUNCTION("IFERROR(MIN(QUERY(FILTER(Recipes!$K$4:$N1003, Recipes!$L$4:$L1003 = A732, Recipes!$K$4:$K1003=TRUE), ""select Col4"")), -1)"),0.0)</f>
        <v>0</v>
      </c>
    </row>
    <row r="733">
      <c r="B733" s="21"/>
      <c r="C733" s="30"/>
      <c r="D733" s="30"/>
      <c r="E733" s="22">
        <f>IFERROR(__xludf.DUMMYFUNCTION("IFERROR(MIN(QUERY(FILTER(Recipes!$K$4:$N1003, Recipes!$L$4:$L1003 = A733, Recipes!$K$4:$K1003=TRUE), ""select Col4"")), -1)"),0.0)</f>
        <v>0</v>
      </c>
    </row>
    <row r="734">
      <c r="B734" s="21"/>
      <c r="C734" s="30"/>
      <c r="D734" s="30"/>
      <c r="E734" s="22">
        <f>IFERROR(__xludf.DUMMYFUNCTION("IFERROR(MIN(QUERY(FILTER(Recipes!$K$4:$N1003, Recipes!$L$4:$L1003 = A734, Recipes!$K$4:$K1003=TRUE), ""select Col4"")), -1)"),0.0)</f>
        <v>0</v>
      </c>
    </row>
    <row r="735">
      <c r="B735" s="21"/>
      <c r="C735" s="30"/>
      <c r="D735" s="30"/>
      <c r="E735" s="22">
        <f>IFERROR(__xludf.DUMMYFUNCTION("IFERROR(MIN(QUERY(FILTER(Recipes!$K$4:$N1003, Recipes!$L$4:$L1003 = A735, Recipes!$K$4:$K1003=TRUE), ""select Col4"")), -1)"),0.0)</f>
        <v>0</v>
      </c>
    </row>
    <row r="736">
      <c r="B736" s="21"/>
      <c r="C736" s="30"/>
      <c r="D736" s="30"/>
      <c r="E736" s="22">
        <f>IFERROR(__xludf.DUMMYFUNCTION("IFERROR(MIN(QUERY(FILTER(Recipes!$K$4:$N1003, Recipes!$L$4:$L1003 = A736, Recipes!$K$4:$K1003=TRUE), ""select Col4"")), -1)"),0.0)</f>
        <v>0</v>
      </c>
    </row>
    <row r="737">
      <c r="B737" s="21"/>
      <c r="C737" s="30"/>
      <c r="D737" s="30"/>
      <c r="E737" s="22">
        <f>IFERROR(__xludf.DUMMYFUNCTION("IFERROR(MIN(QUERY(FILTER(Recipes!$K$4:$N1003, Recipes!$L$4:$L1003 = A737, Recipes!$K$4:$K1003=TRUE), ""select Col4"")), -1)"),0.0)</f>
        <v>0</v>
      </c>
    </row>
    <row r="738">
      <c r="B738" s="21"/>
      <c r="C738" s="30"/>
      <c r="D738" s="30"/>
      <c r="E738" s="22">
        <f>IFERROR(__xludf.DUMMYFUNCTION("IFERROR(MIN(QUERY(FILTER(Recipes!$K$4:$N1003, Recipes!$L$4:$L1003 = A738, Recipes!$K$4:$K1003=TRUE), ""select Col4"")), -1)"),0.0)</f>
        <v>0</v>
      </c>
    </row>
    <row r="739">
      <c r="B739" s="21"/>
      <c r="C739" s="30"/>
      <c r="D739" s="30"/>
      <c r="E739" s="22">
        <f>IFERROR(__xludf.DUMMYFUNCTION("IFERROR(MIN(QUERY(FILTER(Recipes!$K$4:$N1003, Recipes!$L$4:$L1003 = A739, Recipes!$K$4:$K1003=TRUE), ""select Col4"")), -1)"),0.0)</f>
        <v>0</v>
      </c>
    </row>
    <row r="740">
      <c r="B740" s="21"/>
      <c r="C740" s="30"/>
      <c r="D740" s="30"/>
      <c r="E740" s="22">
        <f>IFERROR(__xludf.DUMMYFUNCTION("IFERROR(MIN(QUERY(FILTER(Recipes!$K$4:$N1003, Recipes!$L$4:$L1003 = A740, Recipes!$K$4:$K1003=TRUE), ""select Col4"")), -1)"),0.0)</f>
        <v>0</v>
      </c>
    </row>
    <row r="741">
      <c r="B741" s="21"/>
      <c r="C741" s="30"/>
      <c r="D741" s="30"/>
      <c r="E741" s="22">
        <f>IFERROR(__xludf.DUMMYFUNCTION("IFERROR(MIN(QUERY(FILTER(Recipes!$K$4:$N1003, Recipes!$L$4:$L1003 = A741, Recipes!$K$4:$K1003=TRUE), ""select Col4"")), -1)"),0.0)</f>
        <v>0</v>
      </c>
    </row>
    <row r="742">
      <c r="B742" s="21"/>
      <c r="C742" s="30"/>
      <c r="D742" s="30"/>
      <c r="E742" s="22">
        <f>IFERROR(__xludf.DUMMYFUNCTION("IFERROR(MIN(QUERY(FILTER(Recipes!$K$4:$N1003, Recipes!$L$4:$L1003 = A742, Recipes!$K$4:$K1003=TRUE), ""select Col4"")), -1)"),0.0)</f>
        <v>0</v>
      </c>
    </row>
    <row r="743">
      <c r="B743" s="21"/>
      <c r="C743" s="30"/>
      <c r="D743" s="30"/>
      <c r="E743" s="22">
        <f>IFERROR(__xludf.DUMMYFUNCTION("IFERROR(MIN(QUERY(FILTER(Recipes!$K$4:$N1003, Recipes!$L$4:$L1003 = A743, Recipes!$K$4:$K1003=TRUE), ""select Col4"")), -1)"),0.0)</f>
        <v>0</v>
      </c>
    </row>
    <row r="744">
      <c r="B744" s="21"/>
      <c r="C744" s="30"/>
      <c r="D744" s="30"/>
      <c r="E744" s="22">
        <f>IFERROR(__xludf.DUMMYFUNCTION("IFERROR(MIN(QUERY(FILTER(Recipes!$K$4:$N1003, Recipes!$L$4:$L1003 = A744, Recipes!$K$4:$K1003=TRUE), ""select Col4"")), -1)"),0.0)</f>
        <v>0</v>
      </c>
    </row>
    <row r="745">
      <c r="B745" s="21"/>
      <c r="C745" s="30"/>
      <c r="D745" s="30"/>
      <c r="E745" s="22">
        <f>IFERROR(__xludf.DUMMYFUNCTION("IFERROR(MIN(QUERY(FILTER(Recipes!$K$4:$N1003, Recipes!$L$4:$L1003 = A745, Recipes!$K$4:$K1003=TRUE), ""select Col4"")), -1)"),0.0)</f>
        <v>0</v>
      </c>
    </row>
    <row r="746">
      <c r="B746" s="21"/>
      <c r="C746" s="30"/>
      <c r="D746" s="30"/>
      <c r="E746" s="22">
        <f>IFERROR(__xludf.DUMMYFUNCTION("IFERROR(MIN(QUERY(FILTER(Recipes!$K$4:$N1003, Recipes!$L$4:$L1003 = A746, Recipes!$K$4:$K1003=TRUE), ""select Col4"")), -1)"),0.0)</f>
        <v>0</v>
      </c>
    </row>
    <row r="747">
      <c r="B747" s="21"/>
      <c r="C747" s="30"/>
      <c r="D747" s="30"/>
      <c r="E747" s="22">
        <f>IFERROR(__xludf.DUMMYFUNCTION("IFERROR(MIN(QUERY(FILTER(Recipes!$K$4:$N1003, Recipes!$L$4:$L1003 = A747, Recipes!$K$4:$K1003=TRUE), ""select Col4"")), -1)"),0.0)</f>
        <v>0</v>
      </c>
    </row>
    <row r="748">
      <c r="B748" s="21"/>
      <c r="C748" s="30"/>
      <c r="D748" s="30"/>
      <c r="E748" s="22">
        <f>IFERROR(__xludf.DUMMYFUNCTION("IFERROR(MIN(QUERY(FILTER(Recipes!$K$4:$N1003, Recipes!$L$4:$L1003 = A748, Recipes!$K$4:$K1003=TRUE), ""select Col4"")), -1)"),0.0)</f>
        <v>0</v>
      </c>
    </row>
    <row r="749">
      <c r="B749" s="21"/>
      <c r="C749" s="30"/>
      <c r="D749" s="30"/>
      <c r="E749" s="22">
        <f>IFERROR(__xludf.DUMMYFUNCTION("IFERROR(MIN(QUERY(FILTER(Recipes!$K$4:$N1003, Recipes!$L$4:$L1003 = A749, Recipes!$K$4:$K1003=TRUE), ""select Col4"")), -1)"),0.0)</f>
        <v>0</v>
      </c>
    </row>
    <row r="750">
      <c r="B750" s="21"/>
      <c r="C750" s="30"/>
      <c r="D750" s="30"/>
      <c r="E750" s="22">
        <f>IFERROR(__xludf.DUMMYFUNCTION("IFERROR(MIN(QUERY(FILTER(Recipes!$K$4:$N1003, Recipes!$L$4:$L1003 = A750, Recipes!$K$4:$K1003=TRUE), ""select Col4"")), -1)"),0.0)</f>
        <v>0</v>
      </c>
    </row>
    <row r="751">
      <c r="B751" s="21"/>
      <c r="C751" s="30"/>
      <c r="D751" s="30"/>
      <c r="E751" s="22">
        <f>IFERROR(__xludf.DUMMYFUNCTION("IFERROR(MIN(QUERY(FILTER(Recipes!$K$4:$N1003, Recipes!$L$4:$L1003 = A751, Recipes!$K$4:$K1003=TRUE), ""select Col4"")), -1)"),0.0)</f>
        <v>0</v>
      </c>
    </row>
    <row r="752">
      <c r="B752" s="21"/>
      <c r="C752" s="30"/>
      <c r="D752" s="30"/>
      <c r="E752" s="22">
        <f>IFERROR(__xludf.DUMMYFUNCTION("IFERROR(MIN(QUERY(FILTER(Recipes!$K$4:$N1003, Recipes!$L$4:$L1003 = A752, Recipes!$K$4:$K1003=TRUE), ""select Col4"")), -1)"),0.0)</f>
        <v>0</v>
      </c>
    </row>
    <row r="753">
      <c r="B753" s="21"/>
      <c r="C753" s="30"/>
      <c r="D753" s="30"/>
      <c r="E753" s="22">
        <f>IFERROR(__xludf.DUMMYFUNCTION("IFERROR(MIN(QUERY(FILTER(Recipes!$K$4:$N1003, Recipes!$L$4:$L1003 = A753, Recipes!$K$4:$K1003=TRUE), ""select Col4"")), -1)"),0.0)</f>
        <v>0</v>
      </c>
    </row>
    <row r="754">
      <c r="B754" s="21"/>
      <c r="C754" s="30"/>
      <c r="D754" s="30"/>
      <c r="E754" s="22">
        <f>IFERROR(__xludf.DUMMYFUNCTION("IFERROR(MIN(QUERY(FILTER(Recipes!$K$4:$N1003, Recipes!$L$4:$L1003 = A754, Recipes!$K$4:$K1003=TRUE), ""select Col4"")), -1)"),0.0)</f>
        <v>0</v>
      </c>
    </row>
    <row r="755">
      <c r="B755" s="21"/>
      <c r="C755" s="30"/>
      <c r="D755" s="30"/>
      <c r="E755" s="22">
        <f>IFERROR(__xludf.DUMMYFUNCTION("IFERROR(MIN(QUERY(FILTER(Recipes!$K$4:$N1003, Recipes!$L$4:$L1003 = A755, Recipes!$K$4:$K1003=TRUE), ""select Col4"")), -1)"),0.0)</f>
        <v>0</v>
      </c>
    </row>
    <row r="756">
      <c r="B756" s="21"/>
      <c r="C756" s="30"/>
      <c r="D756" s="30"/>
      <c r="E756" s="22">
        <f>IFERROR(__xludf.DUMMYFUNCTION("IFERROR(MIN(QUERY(FILTER(Recipes!$K$4:$N1003, Recipes!$L$4:$L1003 = A756, Recipes!$K$4:$K1003=TRUE), ""select Col4"")), -1)"),0.0)</f>
        <v>0</v>
      </c>
    </row>
    <row r="757">
      <c r="B757" s="21"/>
      <c r="C757" s="30"/>
      <c r="D757" s="30"/>
      <c r="E757" s="22">
        <f>IFERROR(__xludf.DUMMYFUNCTION("IFERROR(MIN(QUERY(FILTER(Recipes!$K$4:$N1003, Recipes!$L$4:$L1003 = A757, Recipes!$K$4:$K1003=TRUE), ""select Col4"")), -1)"),0.0)</f>
        <v>0</v>
      </c>
    </row>
    <row r="758">
      <c r="B758" s="21"/>
      <c r="C758" s="30"/>
      <c r="D758" s="30"/>
      <c r="E758" s="22">
        <f>IFERROR(__xludf.DUMMYFUNCTION("IFERROR(MIN(QUERY(FILTER(Recipes!$K$4:$N1003, Recipes!$L$4:$L1003 = A758, Recipes!$K$4:$K1003=TRUE), ""select Col4"")), -1)"),0.0)</f>
        <v>0</v>
      </c>
    </row>
    <row r="759">
      <c r="B759" s="21"/>
      <c r="C759" s="30"/>
      <c r="D759" s="30"/>
      <c r="E759" s="22">
        <f>IFERROR(__xludf.DUMMYFUNCTION("IFERROR(MIN(QUERY(FILTER(Recipes!$K$4:$N1003, Recipes!$L$4:$L1003 = A759, Recipes!$K$4:$K1003=TRUE), ""select Col4"")), -1)"),0.0)</f>
        <v>0</v>
      </c>
    </row>
    <row r="760">
      <c r="B760" s="21"/>
      <c r="C760" s="30"/>
      <c r="D760" s="30"/>
      <c r="E760" s="22">
        <f>IFERROR(__xludf.DUMMYFUNCTION("IFERROR(MIN(QUERY(FILTER(Recipes!$K$4:$N1003, Recipes!$L$4:$L1003 = A760, Recipes!$K$4:$K1003=TRUE), ""select Col4"")), -1)"),0.0)</f>
        <v>0</v>
      </c>
    </row>
    <row r="761">
      <c r="B761" s="21"/>
      <c r="C761" s="30"/>
      <c r="D761" s="30"/>
      <c r="E761" s="22">
        <f>IFERROR(__xludf.DUMMYFUNCTION("IFERROR(MIN(QUERY(FILTER(Recipes!$K$4:$N1003, Recipes!$L$4:$L1003 = A761, Recipes!$K$4:$K1003=TRUE), ""select Col4"")), -1)"),0.0)</f>
        <v>0</v>
      </c>
    </row>
    <row r="762">
      <c r="B762" s="21"/>
      <c r="C762" s="30"/>
      <c r="D762" s="30"/>
      <c r="E762" s="22">
        <f>IFERROR(__xludf.DUMMYFUNCTION("IFERROR(MIN(QUERY(FILTER(Recipes!$K$4:$N1003, Recipes!$L$4:$L1003 = A762, Recipes!$K$4:$K1003=TRUE), ""select Col4"")), -1)"),0.0)</f>
        <v>0</v>
      </c>
    </row>
    <row r="763">
      <c r="B763" s="21"/>
      <c r="C763" s="30"/>
      <c r="D763" s="30"/>
      <c r="E763" s="22">
        <f>IFERROR(__xludf.DUMMYFUNCTION("IFERROR(MIN(QUERY(FILTER(Recipes!$K$4:$N1003, Recipes!$L$4:$L1003 = A763, Recipes!$K$4:$K1003=TRUE), ""select Col4"")), -1)"),0.0)</f>
        <v>0</v>
      </c>
    </row>
    <row r="764">
      <c r="B764" s="21"/>
      <c r="C764" s="30"/>
      <c r="D764" s="30"/>
      <c r="E764" s="22">
        <f>IFERROR(__xludf.DUMMYFUNCTION("IFERROR(MIN(QUERY(FILTER(Recipes!$K$4:$N1003, Recipes!$L$4:$L1003 = A764, Recipes!$K$4:$K1003=TRUE), ""select Col4"")), -1)"),0.0)</f>
        <v>0</v>
      </c>
    </row>
    <row r="765">
      <c r="B765" s="21"/>
      <c r="C765" s="30"/>
      <c r="D765" s="30"/>
      <c r="E765" s="22">
        <f>IFERROR(__xludf.DUMMYFUNCTION("IFERROR(MIN(QUERY(FILTER(Recipes!$K$4:$N1003, Recipes!$L$4:$L1003 = A765, Recipes!$K$4:$K1003=TRUE), ""select Col4"")), -1)"),0.0)</f>
        <v>0</v>
      </c>
    </row>
    <row r="766">
      <c r="B766" s="21"/>
      <c r="C766" s="30"/>
      <c r="D766" s="30"/>
      <c r="E766" s="22">
        <f>IFERROR(__xludf.DUMMYFUNCTION("IFERROR(MIN(QUERY(FILTER(Recipes!$K$4:$N1003, Recipes!$L$4:$L1003 = A766, Recipes!$K$4:$K1003=TRUE), ""select Col4"")), -1)"),0.0)</f>
        <v>0</v>
      </c>
    </row>
    <row r="767">
      <c r="B767" s="21"/>
      <c r="C767" s="30"/>
      <c r="D767" s="30"/>
      <c r="E767" s="22">
        <f>IFERROR(__xludf.DUMMYFUNCTION("IFERROR(MIN(QUERY(FILTER(Recipes!$K$4:$N1003, Recipes!$L$4:$L1003 = A767, Recipes!$K$4:$K1003=TRUE), ""select Col4"")), -1)"),0.0)</f>
        <v>0</v>
      </c>
    </row>
    <row r="768">
      <c r="B768" s="21"/>
      <c r="C768" s="30"/>
      <c r="D768" s="30"/>
      <c r="E768" s="22">
        <f>IFERROR(__xludf.DUMMYFUNCTION("IFERROR(MIN(QUERY(FILTER(Recipes!$K$4:$N1003, Recipes!$L$4:$L1003 = A768, Recipes!$K$4:$K1003=TRUE), ""select Col4"")), -1)"),0.0)</f>
        <v>0</v>
      </c>
    </row>
    <row r="769">
      <c r="B769" s="21"/>
      <c r="C769" s="30"/>
      <c r="D769" s="30"/>
      <c r="E769" s="22">
        <f>IFERROR(__xludf.DUMMYFUNCTION("IFERROR(MIN(QUERY(FILTER(Recipes!$K$4:$N1003, Recipes!$L$4:$L1003 = A769, Recipes!$K$4:$K1003=TRUE), ""select Col4"")), -1)"),0.0)</f>
        <v>0</v>
      </c>
    </row>
    <row r="770">
      <c r="B770" s="21"/>
      <c r="C770" s="30"/>
      <c r="D770" s="30"/>
      <c r="E770" s="22">
        <f>IFERROR(__xludf.DUMMYFUNCTION("IFERROR(MIN(QUERY(FILTER(Recipes!$K$4:$N1003, Recipes!$L$4:$L1003 = A770, Recipes!$K$4:$K1003=TRUE), ""select Col4"")), -1)"),0.0)</f>
        <v>0</v>
      </c>
    </row>
    <row r="771">
      <c r="B771" s="21"/>
      <c r="C771" s="30"/>
      <c r="D771" s="30"/>
      <c r="E771" s="22">
        <f>IFERROR(__xludf.DUMMYFUNCTION("IFERROR(MIN(QUERY(FILTER(Recipes!$K$4:$N1003, Recipes!$L$4:$L1003 = A771, Recipes!$K$4:$K1003=TRUE), ""select Col4"")), -1)"),0.0)</f>
        <v>0</v>
      </c>
    </row>
    <row r="772">
      <c r="B772" s="21"/>
      <c r="C772" s="30"/>
      <c r="D772" s="30"/>
      <c r="E772" s="22">
        <f>IFERROR(__xludf.DUMMYFUNCTION("IFERROR(MIN(QUERY(FILTER(Recipes!$K$4:$N1003, Recipes!$L$4:$L1003 = A772, Recipes!$K$4:$K1003=TRUE), ""select Col4"")), -1)"),0.0)</f>
        <v>0</v>
      </c>
    </row>
    <row r="773">
      <c r="B773" s="21"/>
      <c r="C773" s="30"/>
      <c r="D773" s="30"/>
      <c r="E773" s="22">
        <f>IFERROR(__xludf.DUMMYFUNCTION("IFERROR(MIN(QUERY(FILTER(Recipes!$K$4:$N1003, Recipes!$L$4:$L1003 = A773, Recipes!$K$4:$K1003=TRUE), ""select Col4"")), -1)"),0.0)</f>
        <v>0</v>
      </c>
    </row>
    <row r="774">
      <c r="B774" s="21"/>
      <c r="C774" s="30"/>
      <c r="D774" s="30"/>
      <c r="E774" s="22">
        <f>IFERROR(__xludf.DUMMYFUNCTION("IFERROR(MIN(QUERY(FILTER(Recipes!$K$4:$N1003, Recipes!$L$4:$L1003 = A774, Recipes!$K$4:$K1003=TRUE), ""select Col4"")), -1)"),0.0)</f>
        <v>0</v>
      </c>
    </row>
    <row r="775">
      <c r="B775" s="21"/>
      <c r="C775" s="30"/>
      <c r="D775" s="30"/>
      <c r="E775" s="22">
        <f>IFERROR(__xludf.DUMMYFUNCTION("IFERROR(MIN(QUERY(FILTER(Recipes!$K$4:$N1003, Recipes!$L$4:$L1003 = A775, Recipes!$K$4:$K1003=TRUE), ""select Col4"")), -1)"),0.0)</f>
        <v>0</v>
      </c>
    </row>
    <row r="776">
      <c r="B776" s="21"/>
      <c r="C776" s="30"/>
      <c r="D776" s="30"/>
      <c r="E776" s="22">
        <f>IFERROR(__xludf.DUMMYFUNCTION("IFERROR(MIN(QUERY(FILTER(Recipes!$K$4:$N1003, Recipes!$L$4:$L1003 = A776, Recipes!$K$4:$K1003=TRUE), ""select Col4"")), -1)"),0.0)</f>
        <v>0</v>
      </c>
    </row>
    <row r="777">
      <c r="B777" s="21"/>
      <c r="C777" s="30"/>
      <c r="D777" s="30"/>
      <c r="E777" s="22">
        <f>IFERROR(__xludf.DUMMYFUNCTION("IFERROR(MIN(QUERY(FILTER(Recipes!$K$4:$N1003, Recipes!$L$4:$L1003 = A777, Recipes!$K$4:$K1003=TRUE), ""select Col4"")), -1)"),0.0)</f>
        <v>0</v>
      </c>
    </row>
    <row r="778">
      <c r="B778" s="21"/>
      <c r="C778" s="30"/>
      <c r="D778" s="30"/>
      <c r="E778" s="22">
        <f>IFERROR(__xludf.DUMMYFUNCTION("IFERROR(MIN(QUERY(FILTER(Recipes!$K$4:$N1003, Recipes!$L$4:$L1003 = A778, Recipes!$K$4:$K1003=TRUE), ""select Col4"")), -1)"),0.0)</f>
        <v>0</v>
      </c>
    </row>
    <row r="779">
      <c r="B779" s="21"/>
      <c r="C779" s="30"/>
      <c r="D779" s="30"/>
      <c r="E779" s="22">
        <f>IFERROR(__xludf.DUMMYFUNCTION("IFERROR(MIN(QUERY(FILTER(Recipes!$K$4:$N1003, Recipes!$L$4:$L1003 = A779, Recipes!$K$4:$K1003=TRUE), ""select Col4"")), -1)"),0.0)</f>
        <v>0</v>
      </c>
    </row>
    <row r="780">
      <c r="B780" s="21"/>
      <c r="C780" s="30"/>
      <c r="D780" s="30"/>
      <c r="E780" s="22">
        <f>IFERROR(__xludf.DUMMYFUNCTION("IFERROR(MIN(QUERY(FILTER(Recipes!$K$4:$N1003, Recipes!$L$4:$L1003 = A780, Recipes!$K$4:$K1003=TRUE), ""select Col4"")), -1)"),0.0)</f>
        <v>0</v>
      </c>
    </row>
    <row r="781">
      <c r="B781" s="21"/>
      <c r="C781" s="30"/>
      <c r="D781" s="30"/>
      <c r="E781" s="22">
        <f>IFERROR(__xludf.DUMMYFUNCTION("IFERROR(MIN(QUERY(FILTER(Recipes!$K$4:$N1003, Recipes!$L$4:$L1003 = A781, Recipes!$K$4:$K1003=TRUE), ""select Col4"")), -1)"),0.0)</f>
        <v>0</v>
      </c>
    </row>
    <row r="782">
      <c r="B782" s="21"/>
      <c r="C782" s="30"/>
      <c r="D782" s="30"/>
      <c r="E782" s="22">
        <f>IFERROR(__xludf.DUMMYFUNCTION("IFERROR(MIN(QUERY(FILTER(Recipes!$K$4:$N1003, Recipes!$L$4:$L1003 = A782, Recipes!$K$4:$K1003=TRUE), ""select Col4"")), -1)"),0.0)</f>
        <v>0</v>
      </c>
    </row>
    <row r="783">
      <c r="B783" s="21"/>
      <c r="C783" s="30"/>
      <c r="D783" s="30"/>
      <c r="E783" s="22">
        <f>IFERROR(__xludf.DUMMYFUNCTION("IFERROR(MIN(QUERY(FILTER(Recipes!$K$4:$N1003, Recipes!$L$4:$L1003 = A783, Recipes!$K$4:$K1003=TRUE), ""select Col4"")), -1)"),0.0)</f>
        <v>0</v>
      </c>
    </row>
    <row r="784">
      <c r="B784" s="21"/>
      <c r="C784" s="30"/>
      <c r="D784" s="30"/>
      <c r="E784" s="22">
        <f>IFERROR(__xludf.DUMMYFUNCTION("IFERROR(MIN(QUERY(FILTER(Recipes!$K$4:$N1003, Recipes!$L$4:$L1003 = A784, Recipes!$K$4:$K1003=TRUE), ""select Col4"")), -1)"),0.0)</f>
        <v>0</v>
      </c>
    </row>
    <row r="785">
      <c r="B785" s="21"/>
      <c r="C785" s="30"/>
      <c r="D785" s="30"/>
      <c r="E785" s="22">
        <f>IFERROR(__xludf.DUMMYFUNCTION("IFERROR(MIN(QUERY(FILTER(Recipes!$K$4:$N1003, Recipes!$L$4:$L1003 = A785, Recipes!$K$4:$K1003=TRUE), ""select Col4"")), -1)"),0.0)</f>
        <v>0</v>
      </c>
    </row>
    <row r="786">
      <c r="B786" s="21"/>
      <c r="C786" s="30"/>
      <c r="D786" s="30"/>
      <c r="E786" s="22">
        <f>IFERROR(__xludf.DUMMYFUNCTION("IFERROR(MIN(QUERY(FILTER(Recipes!$K$4:$N1003, Recipes!$L$4:$L1003 = A786, Recipes!$K$4:$K1003=TRUE), ""select Col4"")), -1)"),0.0)</f>
        <v>0</v>
      </c>
    </row>
    <row r="787">
      <c r="B787" s="21"/>
      <c r="C787" s="30"/>
      <c r="D787" s="30"/>
      <c r="E787" s="22">
        <f>IFERROR(__xludf.DUMMYFUNCTION("IFERROR(MIN(QUERY(FILTER(Recipes!$K$4:$N1003, Recipes!$L$4:$L1003 = A787, Recipes!$K$4:$K1003=TRUE), ""select Col4"")), -1)"),0.0)</f>
        <v>0</v>
      </c>
    </row>
    <row r="788">
      <c r="B788" s="21"/>
      <c r="C788" s="30"/>
      <c r="D788" s="30"/>
      <c r="E788" s="22">
        <f>IFERROR(__xludf.DUMMYFUNCTION("IFERROR(MIN(QUERY(FILTER(Recipes!$K$4:$N1003, Recipes!$L$4:$L1003 = A788, Recipes!$K$4:$K1003=TRUE), ""select Col4"")), -1)"),0.0)</f>
        <v>0</v>
      </c>
    </row>
    <row r="789">
      <c r="B789" s="21"/>
      <c r="C789" s="30"/>
      <c r="D789" s="30"/>
      <c r="E789" s="22">
        <f>IFERROR(__xludf.DUMMYFUNCTION("IFERROR(MIN(QUERY(FILTER(Recipes!$K$4:$N1003, Recipes!$L$4:$L1003 = A789, Recipes!$K$4:$K1003=TRUE), ""select Col4"")), -1)"),0.0)</f>
        <v>0</v>
      </c>
    </row>
    <row r="790">
      <c r="B790" s="21"/>
      <c r="C790" s="30"/>
      <c r="D790" s="30"/>
      <c r="E790" s="22">
        <f>IFERROR(__xludf.DUMMYFUNCTION("IFERROR(MIN(QUERY(FILTER(Recipes!$K$4:$N1003, Recipes!$L$4:$L1003 = A790, Recipes!$K$4:$K1003=TRUE), ""select Col4"")), -1)"),0.0)</f>
        <v>0</v>
      </c>
    </row>
    <row r="791">
      <c r="B791" s="21"/>
      <c r="C791" s="30"/>
      <c r="D791" s="30"/>
      <c r="E791" s="22">
        <f>IFERROR(__xludf.DUMMYFUNCTION("IFERROR(MIN(QUERY(FILTER(Recipes!$K$4:$N1003, Recipes!$L$4:$L1003 = A791, Recipes!$K$4:$K1003=TRUE), ""select Col4"")), -1)"),0.0)</f>
        <v>0</v>
      </c>
    </row>
    <row r="792">
      <c r="B792" s="21"/>
      <c r="C792" s="30"/>
      <c r="D792" s="30"/>
      <c r="E792" s="22">
        <f>IFERROR(__xludf.DUMMYFUNCTION("IFERROR(MIN(QUERY(FILTER(Recipes!$K$4:$N1003, Recipes!$L$4:$L1003 = A792, Recipes!$K$4:$K1003=TRUE), ""select Col4"")), -1)"),0.0)</f>
        <v>0</v>
      </c>
    </row>
    <row r="793">
      <c r="B793" s="21"/>
      <c r="C793" s="30"/>
      <c r="D793" s="30"/>
      <c r="E793" s="22">
        <f>IFERROR(__xludf.DUMMYFUNCTION("IFERROR(MIN(QUERY(FILTER(Recipes!$K$4:$N1003, Recipes!$L$4:$L1003 = A793, Recipes!$K$4:$K1003=TRUE), ""select Col4"")), -1)"),0.0)</f>
        <v>0</v>
      </c>
    </row>
    <row r="794">
      <c r="B794" s="21"/>
      <c r="C794" s="30"/>
      <c r="D794" s="30"/>
      <c r="E794" s="22">
        <f>IFERROR(__xludf.DUMMYFUNCTION("IFERROR(MIN(QUERY(FILTER(Recipes!$K$4:$N1003, Recipes!$L$4:$L1003 = A794, Recipes!$K$4:$K1003=TRUE), ""select Col4"")), -1)"),0.0)</f>
        <v>0</v>
      </c>
    </row>
    <row r="795">
      <c r="B795" s="21"/>
      <c r="C795" s="30"/>
      <c r="D795" s="30"/>
      <c r="E795" s="22">
        <f>IFERROR(__xludf.DUMMYFUNCTION("IFERROR(MIN(QUERY(FILTER(Recipes!$K$4:$N1003, Recipes!$L$4:$L1003 = A795, Recipes!$K$4:$K1003=TRUE), ""select Col4"")), -1)"),0.0)</f>
        <v>0</v>
      </c>
    </row>
    <row r="796">
      <c r="B796" s="21"/>
      <c r="C796" s="30"/>
      <c r="D796" s="30"/>
      <c r="E796" s="22">
        <f>IFERROR(__xludf.DUMMYFUNCTION("IFERROR(MIN(QUERY(FILTER(Recipes!$K$4:$N1003, Recipes!$L$4:$L1003 = A796, Recipes!$K$4:$K1003=TRUE), ""select Col4"")), -1)"),0.0)</f>
        <v>0</v>
      </c>
    </row>
    <row r="797">
      <c r="B797" s="21"/>
      <c r="C797" s="30"/>
      <c r="D797" s="30"/>
      <c r="E797" s="22">
        <f>IFERROR(__xludf.DUMMYFUNCTION("IFERROR(MIN(QUERY(FILTER(Recipes!$K$4:$N1003, Recipes!$L$4:$L1003 = A797, Recipes!$K$4:$K1003=TRUE), ""select Col4"")), -1)"),0.0)</f>
        <v>0</v>
      </c>
    </row>
    <row r="798">
      <c r="B798" s="21"/>
      <c r="C798" s="30"/>
      <c r="D798" s="30"/>
      <c r="E798" s="22">
        <f>IFERROR(__xludf.DUMMYFUNCTION("IFERROR(MIN(QUERY(FILTER(Recipes!$K$4:$N1003, Recipes!$L$4:$L1003 = A798, Recipes!$K$4:$K1003=TRUE), ""select Col4"")), -1)"),0.0)</f>
        <v>0</v>
      </c>
    </row>
    <row r="799">
      <c r="B799" s="21"/>
      <c r="C799" s="30"/>
      <c r="D799" s="30"/>
      <c r="E799" s="22">
        <f>IFERROR(__xludf.DUMMYFUNCTION("IFERROR(MIN(QUERY(FILTER(Recipes!$K$4:$N1003, Recipes!$L$4:$L1003 = A799, Recipes!$K$4:$K1003=TRUE), ""select Col4"")), -1)"),0.0)</f>
        <v>0</v>
      </c>
    </row>
    <row r="800">
      <c r="B800" s="21"/>
      <c r="C800" s="30"/>
      <c r="D800" s="30"/>
      <c r="E800" s="22">
        <f>IFERROR(__xludf.DUMMYFUNCTION("IFERROR(MIN(QUERY(FILTER(Recipes!$K$4:$N1003, Recipes!$L$4:$L1003 = A800, Recipes!$K$4:$K1003=TRUE), ""select Col4"")), -1)"),0.0)</f>
        <v>0</v>
      </c>
    </row>
    <row r="801">
      <c r="B801" s="21"/>
      <c r="C801" s="30"/>
      <c r="D801" s="30"/>
      <c r="E801" s="22">
        <f>IFERROR(__xludf.DUMMYFUNCTION("IFERROR(MIN(QUERY(FILTER(Recipes!$K$4:$N1003, Recipes!$L$4:$L1003 = A801, Recipes!$K$4:$K1003=TRUE), ""select Col4"")), -1)"),0.0)</f>
        <v>0</v>
      </c>
    </row>
    <row r="802">
      <c r="B802" s="21"/>
      <c r="C802" s="30"/>
      <c r="D802" s="30"/>
      <c r="E802" s="22">
        <f>IFERROR(__xludf.DUMMYFUNCTION("IFERROR(MIN(QUERY(FILTER(Recipes!$K$4:$N1003, Recipes!$L$4:$L1003 = A802, Recipes!$K$4:$K1003=TRUE), ""select Col4"")), -1)"),0.0)</f>
        <v>0</v>
      </c>
    </row>
    <row r="803">
      <c r="B803" s="21"/>
      <c r="C803" s="30"/>
      <c r="D803" s="30"/>
      <c r="E803" s="22">
        <f>IFERROR(__xludf.DUMMYFUNCTION("IFERROR(MIN(QUERY(FILTER(Recipes!$K$4:$N1003, Recipes!$L$4:$L1003 = A803, Recipes!$K$4:$K1003=TRUE), ""select Col4"")), -1)"),0.0)</f>
        <v>0</v>
      </c>
    </row>
    <row r="804">
      <c r="B804" s="21"/>
      <c r="C804" s="30"/>
      <c r="D804" s="30"/>
      <c r="E804" s="22">
        <f>IFERROR(__xludf.DUMMYFUNCTION("IFERROR(MIN(QUERY(FILTER(Recipes!$K$4:$N1003, Recipes!$L$4:$L1003 = A804, Recipes!$K$4:$K1003=TRUE), ""select Col4"")), -1)"),0.0)</f>
        <v>0</v>
      </c>
    </row>
    <row r="805">
      <c r="B805" s="21"/>
      <c r="C805" s="30"/>
      <c r="D805" s="30"/>
      <c r="E805" s="22">
        <f>IFERROR(__xludf.DUMMYFUNCTION("IFERROR(MIN(QUERY(FILTER(Recipes!$K$4:$N1003, Recipes!$L$4:$L1003 = A805, Recipes!$K$4:$K1003=TRUE), ""select Col4"")), -1)"),0.0)</f>
        <v>0</v>
      </c>
    </row>
    <row r="806">
      <c r="B806" s="21"/>
      <c r="C806" s="30"/>
      <c r="D806" s="30"/>
      <c r="E806" s="22">
        <f>IFERROR(__xludf.DUMMYFUNCTION("IFERROR(MIN(QUERY(FILTER(Recipes!$K$4:$N1003, Recipes!$L$4:$L1003 = A806, Recipes!$K$4:$K1003=TRUE), ""select Col4"")), -1)"),0.0)</f>
        <v>0</v>
      </c>
    </row>
    <row r="807">
      <c r="B807" s="21"/>
      <c r="C807" s="30"/>
      <c r="D807" s="30"/>
      <c r="E807" s="22">
        <f>IFERROR(__xludf.DUMMYFUNCTION("IFERROR(MIN(QUERY(FILTER(Recipes!$K$4:$N1003, Recipes!$L$4:$L1003 = A807, Recipes!$K$4:$K1003=TRUE), ""select Col4"")), -1)"),0.0)</f>
        <v>0</v>
      </c>
    </row>
    <row r="808">
      <c r="B808" s="21"/>
      <c r="C808" s="30"/>
      <c r="D808" s="30"/>
      <c r="E808" s="22">
        <f>IFERROR(__xludf.DUMMYFUNCTION("IFERROR(MIN(QUERY(FILTER(Recipes!$K$4:$N1003, Recipes!$L$4:$L1003 = A808, Recipes!$K$4:$K1003=TRUE), ""select Col4"")), -1)"),0.0)</f>
        <v>0</v>
      </c>
    </row>
    <row r="809">
      <c r="B809" s="21"/>
      <c r="C809" s="30"/>
      <c r="D809" s="30"/>
      <c r="E809" s="22">
        <f>IFERROR(__xludf.DUMMYFUNCTION("IFERROR(MIN(QUERY(FILTER(Recipes!$K$4:$N1003, Recipes!$L$4:$L1003 = A809, Recipes!$K$4:$K1003=TRUE), ""select Col4"")), -1)"),0.0)</f>
        <v>0</v>
      </c>
    </row>
    <row r="810">
      <c r="B810" s="21"/>
      <c r="C810" s="30"/>
      <c r="D810" s="30"/>
      <c r="E810" s="22">
        <f>IFERROR(__xludf.DUMMYFUNCTION("IFERROR(MIN(QUERY(FILTER(Recipes!$K$4:$N1003, Recipes!$L$4:$L1003 = A810, Recipes!$K$4:$K1003=TRUE), ""select Col4"")), -1)"),0.0)</f>
        <v>0</v>
      </c>
    </row>
    <row r="811">
      <c r="B811" s="21"/>
      <c r="C811" s="30"/>
      <c r="D811" s="30"/>
      <c r="E811" s="22">
        <f>IFERROR(__xludf.DUMMYFUNCTION("IFERROR(MIN(QUERY(FILTER(Recipes!$K$4:$N1003, Recipes!$L$4:$L1003 = A811, Recipes!$K$4:$K1003=TRUE), ""select Col4"")), -1)"),0.0)</f>
        <v>0</v>
      </c>
    </row>
    <row r="812">
      <c r="B812" s="21"/>
      <c r="C812" s="30"/>
      <c r="D812" s="30"/>
      <c r="E812" s="22">
        <f>IFERROR(__xludf.DUMMYFUNCTION("IFERROR(MIN(QUERY(FILTER(Recipes!$K$4:$N1003, Recipes!$L$4:$L1003 = A812, Recipes!$K$4:$K1003=TRUE), ""select Col4"")), -1)"),0.0)</f>
        <v>0</v>
      </c>
    </row>
    <row r="813">
      <c r="B813" s="21"/>
      <c r="C813" s="30"/>
      <c r="D813" s="30"/>
      <c r="E813" s="22">
        <f>IFERROR(__xludf.DUMMYFUNCTION("IFERROR(MIN(QUERY(FILTER(Recipes!$K$4:$N1003, Recipes!$L$4:$L1003 = A813, Recipes!$K$4:$K1003=TRUE), ""select Col4"")), -1)"),0.0)</f>
        <v>0</v>
      </c>
    </row>
    <row r="814">
      <c r="B814" s="21"/>
      <c r="C814" s="30"/>
      <c r="D814" s="30"/>
      <c r="E814" s="22">
        <f>IFERROR(__xludf.DUMMYFUNCTION("IFERROR(MIN(QUERY(FILTER(Recipes!$K$4:$N1003, Recipes!$L$4:$L1003 = A814, Recipes!$K$4:$K1003=TRUE), ""select Col4"")), -1)"),0.0)</f>
        <v>0</v>
      </c>
    </row>
    <row r="815">
      <c r="B815" s="21"/>
      <c r="C815" s="30"/>
      <c r="D815" s="30"/>
      <c r="E815" s="22">
        <f>IFERROR(__xludf.DUMMYFUNCTION("IFERROR(MIN(QUERY(FILTER(Recipes!$K$4:$N1003, Recipes!$L$4:$L1003 = A815, Recipes!$K$4:$K1003=TRUE), ""select Col4"")), -1)"),0.0)</f>
        <v>0</v>
      </c>
    </row>
    <row r="816">
      <c r="B816" s="21"/>
      <c r="C816" s="30"/>
      <c r="D816" s="30"/>
      <c r="E816" s="22">
        <f>IFERROR(__xludf.DUMMYFUNCTION("IFERROR(MIN(QUERY(FILTER(Recipes!$K$4:$N1003, Recipes!$L$4:$L1003 = A816, Recipes!$K$4:$K1003=TRUE), ""select Col4"")), -1)"),0.0)</f>
        <v>0</v>
      </c>
    </row>
    <row r="817">
      <c r="B817" s="21"/>
      <c r="C817" s="30"/>
      <c r="D817" s="30"/>
      <c r="E817" s="22">
        <f>IFERROR(__xludf.DUMMYFUNCTION("IFERROR(MIN(QUERY(FILTER(Recipes!$K$4:$N1003, Recipes!$L$4:$L1003 = A817, Recipes!$K$4:$K1003=TRUE), ""select Col4"")), -1)"),0.0)</f>
        <v>0</v>
      </c>
    </row>
    <row r="818">
      <c r="B818" s="21"/>
      <c r="C818" s="30"/>
      <c r="D818" s="30"/>
      <c r="E818" s="22">
        <f>IFERROR(__xludf.DUMMYFUNCTION("IFERROR(MIN(QUERY(FILTER(Recipes!$K$4:$N1003, Recipes!$L$4:$L1003 = A818, Recipes!$K$4:$K1003=TRUE), ""select Col4"")), -1)"),0.0)</f>
        <v>0</v>
      </c>
    </row>
    <row r="819">
      <c r="B819" s="21"/>
      <c r="C819" s="30"/>
      <c r="D819" s="30"/>
      <c r="E819" s="22">
        <f>IFERROR(__xludf.DUMMYFUNCTION("IFERROR(MIN(QUERY(FILTER(Recipes!$K$4:$N1003, Recipes!$L$4:$L1003 = A819, Recipes!$K$4:$K1003=TRUE), ""select Col4"")), -1)"),0.0)</f>
        <v>0</v>
      </c>
    </row>
    <row r="820">
      <c r="B820" s="21"/>
      <c r="C820" s="30"/>
      <c r="D820" s="30"/>
      <c r="E820" s="22">
        <f>IFERROR(__xludf.DUMMYFUNCTION("IFERROR(MIN(QUERY(FILTER(Recipes!$K$4:$N1003, Recipes!$L$4:$L1003 = A820, Recipes!$K$4:$K1003=TRUE), ""select Col4"")), -1)"),0.0)</f>
        <v>0</v>
      </c>
    </row>
    <row r="821">
      <c r="B821" s="21"/>
      <c r="C821" s="30"/>
      <c r="D821" s="30"/>
      <c r="E821" s="22">
        <f>IFERROR(__xludf.DUMMYFUNCTION("IFERROR(MIN(QUERY(FILTER(Recipes!$K$4:$N1003, Recipes!$L$4:$L1003 = A821, Recipes!$K$4:$K1003=TRUE), ""select Col4"")), -1)"),0.0)</f>
        <v>0</v>
      </c>
    </row>
    <row r="822">
      <c r="B822" s="21"/>
      <c r="C822" s="30"/>
      <c r="D822" s="30"/>
      <c r="E822" s="22">
        <f>IFERROR(__xludf.DUMMYFUNCTION("IFERROR(MIN(QUERY(FILTER(Recipes!$K$4:$N1003, Recipes!$L$4:$L1003 = A822, Recipes!$K$4:$K1003=TRUE), ""select Col4"")), -1)"),0.0)</f>
        <v>0</v>
      </c>
    </row>
    <row r="823">
      <c r="B823" s="21"/>
      <c r="C823" s="30"/>
      <c r="D823" s="30"/>
      <c r="E823" s="22">
        <f>IFERROR(__xludf.DUMMYFUNCTION("IFERROR(MIN(QUERY(FILTER(Recipes!$K$4:$N1003, Recipes!$L$4:$L1003 = A823, Recipes!$K$4:$K1003=TRUE), ""select Col4"")), -1)"),0.0)</f>
        <v>0</v>
      </c>
    </row>
    <row r="824">
      <c r="B824" s="21"/>
      <c r="C824" s="30"/>
      <c r="D824" s="30"/>
      <c r="E824" s="22">
        <f>IFERROR(__xludf.DUMMYFUNCTION("IFERROR(MIN(QUERY(FILTER(Recipes!$K$4:$N1003, Recipes!$L$4:$L1003 = A824, Recipes!$K$4:$K1003=TRUE), ""select Col4"")), -1)"),0.0)</f>
        <v>0</v>
      </c>
    </row>
    <row r="825">
      <c r="B825" s="21"/>
      <c r="C825" s="30"/>
      <c r="D825" s="30"/>
      <c r="E825" s="22">
        <f>IFERROR(__xludf.DUMMYFUNCTION("IFERROR(MIN(QUERY(FILTER(Recipes!$K$4:$N1003, Recipes!$L$4:$L1003 = A825, Recipes!$K$4:$K1003=TRUE), ""select Col4"")), -1)"),0.0)</f>
        <v>0</v>
      </c>
    </row>
    <row r="826">
      <c r="B826" s="21"/>
      <c r="C826" s="30"/>
      <c r="D826" s="30"/>
      <c r="E826" s="22">
        <f>IFERROR(__xludf.DUMMYFUNCTION("IFERROR(MIN(QUERY(FILTER(Recipes!$K$4:$N1003, Recipes!$L$4:$L1003 = A826, Recipes!$K$4:$K1003=TRUE), ""select Col4"")), -1)"),0.0)</f>
        <v>0</v>
      </c>
    </row>
    <row r="827">
      <c r="B827" s="21"/>
      <c r="C827" s="30"/>
      <c r="D827" s="30"/>
      <c r="E827" s="22">
        <f>IFERROR(__xludf.DUMMYFUNCTION("IFERROR(MIN(QUERY(FILTER(Recipes!$K$4:$N1003, Recipes!$L$4:$L1003 = A827, Recipes!$K$4:$K1003=TRUE), ""select Col4"")), -1)"),0.0)</f>
        <v>0</v>
      </c>
    </row>
    <row r="828">
      <c r="B828" s="21"/>
      <c r="C828" s="30"/>
      <c r="D828" s="30"/>
      <c r="E828" s="22">
        <f>IFERROR(__xludf.DUMMYFUNCTION("IFERROR(MIN(QUERY(FILTER(Recipes!$K$4:$N1003, Recipes!$L$4:$L1003 = A828, Recipes!$K$4:$K1003=TRUE), ""select Col4"")), -1)"),0.0)</f>
        <v>0</v>
      </c>
    </row>
    <row r="829">
      <c r="B829" s="21"/>
      <c r="C829" s="30"/>
      <c r="D829" s="30"/>
      <c r="E829" s="22">
        <f>IFERROR(__xludf.DUMMYFUNCTION("IFERROR(MIN(QUERY(FILTER(Recipes!$K$4:$N1003, Recipes!$L$4:$L1003 = A829, Recipes!$K$4:$K1003=TRUE), ""select Col4"")), -1)"),0.0)</f>
        <v>0</v>
      </c>
    </row>
    <row r="830">
      <c r="B830" s="21"/>
      <c r="C830" s="30"/>
      <c r="D830" s="30"/>
      <c r="E830" s="22">
        <f>IFERROR(__xludf.DUMMYFUNCTION("IFERROR(MIN(QUERY(FILTER(Recipes!$K$4:$N1003, Recipes!$L$4:$L1003 = A830, Recipes!$K$4:$K1003=TRUE), ""select Col4"")), -1)"),0.0)</f>
        <v>0</v>
      </c>
    </row>
    <row r="831">
      <c r="B831" s="21"/>
      <c r="C831" s="30"/>
      <c r="D831" s="30"/>
      <c r="E831" s="22">
        <f>IFERROR(__xludf.DUMMYFUNCTION("IFERROR(MIN(QUERY(FILTER(Recipes!$K$4:$N1003, Recipes!$L$4:$L1003 = A831, Recipes!$K$4:$K1003=TRUE), ""select Col4"")), -1)"),0.0)</f>
        <v>0</v>
      </c>
    </row>
    <row r="832">
      <c r="B832" s="21"/>
      <c r="C832" s="30"/>
      <c r="D832" s="30"/>
      <c r="E832" s="22">
        <f>IFERROR(__xludf.DUMMYFUNCTION("IFERROR(MIN(QUERY(FILTER(Recipes!$K$4:$N1003, Recipes!$L$4:$L1003 = A832, Recipes!$K$4:$K1003=TRUE), ""select Col4"")), -1)"),0.0)</f>
        <v>0</v>
      </c>
    </row>
    <row r="833">
      <c r="B833" s="21"/>
      <c r="C833" s="30"/>
      <c r="D833" s="30"/>
      <c r="E833" s="22">
        <f>IFERROR(__xludf.DUMMYFUNCTION("IFERROR(MIN(QUERY(FILTER(Recipes!$K$4:$N1003, Recipes!$L$4:$L1003 = A833, Recipes!$K$4:$K1003=TRUE), ""select Col4"")), -1)"),0.0)</f>
        <v>0</v>
      </c>
    </row>
    <row r="834">
      <c r="B834" s="21"/>
      <c r="C834" s="30"/>
      <c r="D834" s="30"/>
      <c r="E834" s="22">
        <f>IFERROR(__xludf.DUMMYFUNCTION("IFERROR(MIN(QUERY(FILTER(Recipes!$K$4:$N1003, Recipes!$L$4:$L1003 = A834, Recipes!$K$4:$K1003=TRUE), ""select Col4"")), -1)"),0.0)</f>
        <v>0</v>
      </c>
    </row>
    <row r="835">
      <c r="B835" s="21"/>
      <c r="C835" s="30"/>
      <c r="D835" s="30"/>
      <c r="E835" s="22">
        <f>IFERROR(__xludf.DUMMYFUNCTION("IFERROR(MIN(QUERY(FILTER(Recipes!$K$4:$N1003, Recipes!$L$4:$L1003 = A835, Recipes!$K$4:$K1003=TRUE), ""select Col4"")), -1)"),0.0)</f>
        <v>0</v>
      </c>
    </row>
    <row r="836">
      <c r="B836" s="21"/>
      <c r="C836" s="30"/>
      <c r="D836" s="30"/>
      <c r="E836" s="22">
        <f>IFERROR(__xludf.DUMMYFUNCTION("IFERROR(MIN(QUERY(FILTER(Recipes!$K$4:$N1003, Recipes!$L$4:$L1003 = A836, Recipes!$K$4:$K1003=TRUE), ""select Col4"")), -1)"),0.0)</f>
        <v>0</v>
      </c>
    </row>
    <row r="837">
      <c r="B837" s="21"/>
      <c r="C837" s="30"/>
      <c r="D837" s="30"/>
      <c r="E837" s="22">
        <f>IFERROR(__xludf.DUMMYFUNCTION("IFERROR(MIN(QUERY(FILTER(Recipes!$K$4:$N1003, Recipes!$L$4:$L1003 = A837, Recipes!$K$4:$K1003=TRUE), ""select Col4"")), -1)"),0.0)</f>
        <v>0</v>
      </c>
    </row>
    <row r="838">
      <c r="B838" s="21"/>
      <c r="C838" s="30"/>
      <c r="D838" s="30"/>
      <c r="E838" s="22">
        <f>IFERROR(__xludf.DUMMYFUNCTION("IFERROR(MIN(QUERY(FILTER(Recipes!$K$4:$N1003, Recipes!$L$4:$L1003 = A838, Recipes!$K$4:$K1003=TRUE), ""select Col4"")), -1)"),0.0)</f>
        <v>0</v>
      </c>
    </row>
    <row r="839">
      <c r="B839" s="21"/>
      <c r="C839" s="30"/>
      <c r="D839" s="30"/>
      <c r="E839" s="22">
        <f>IFERROR(__xludf.DUMMYFUNCTION("IFERROR(MIN(QUERY(FILTER(Recipes!$K$4:$N1003, Recipes!$L$4:$L1003 = A839, Recipes!$K$4:$K1003=TRUE), ""select Col4"")), -1)"),0.0)</f>
        <v>0</v>
      </c>
    </row>
    <row r="840">
      <c r="B840" s="21"/>
      <c r="C840" s="30"/>
      <c r="D840" s="30"/>
      <c r="E840" s="22">
        <f>IFERROR(__xludf.DUMMYFUNCTION("IFERROR(MIN(QUERY(FILTER(Recipes!$K$4:$N1003, Recipes!$L$4:$L1003 = A840, Recipes!$K$4:$K1003=TRUE), ""select Col4"")), -1)"),0.0)</f>
        <v>0</v>
      </c>
    </row>
    <row r="841">
      <c r="B841" s="21"/>
      <c r="C841" s="30"/>
      <c r="D841" s="30"/>
      <c r="E841" s="22">
        <f>IFERROR(__xludf.DUMMYFUNCTION("IFERROR(MIN(QUERY(FILTER(Recipes!$K$4:$N1003, Recipes!$L$4:$L1003 = A841, Recipes!$K$4:$K1003=TRUE), ""select Col4"")), -1)"),0.0)</f>
        <v>0</v>
      </c>
    </row>
    <row r="842">
      <c r="B842" s="21"/>
      <c r="C842" s="30"/>
      <c r="D842" s="30"/>
      <c r="E842" s="22">
        <f>IFERROR(__xludf.DUMMYFUNCTION("IFERROR(MIN(QUERY(FILTER(Recipes!$K$4:$N1003, Recipes!$L$4:$L1003 = A842, Recipes!$K$4:$K1003=TRUE), ""select Col4"")), -1)"),0.0)</f>
        <v>0</v>
      </c>
    </row>
    <row r="843">
      <c r="B843" s="21"/>
      <c r="C843" s="30"/>
      <c r="D843" s="30"/>
      <c r="E843" s="22">
        <f>IFERROR(__xludf.DUMMYFUNCTION("IFERROR(MIN(QUERY(FILTER(Recipes!$K$4:$N1003, Recipes!$L$4:$L1003 = A843, Recipes!$K$4:$K1003=TRUE), ""select Col4"")), -1)"),0.0)</f>
        <v>0</v>
      </c>
    </row>
    <row r="844">
      <c r="B844" s="21"/>
      <c r="C844" s="30"/>
      <c r="D844" s="30"/>
      <c r="E844" s="22">
        <f>IFERROR(__xludf.DUMMYFUNCTION("IFERROR(MIN(QUERY(FILTER(Recipes!$K$4:$N1003, Recipes!$L$4:$L1003 = A844, Recipes!$K$4:$K1003=TRUE), ""select Col4"")), -1)"),0.0)</f>
        <v>0</v>
      </c>
    </row>
    <row r="845">
      <c r="B845" s="21"/>
      <c r="C845" s="30"/>
      <c r="D845" s="30"/>
      <c r="E845" s="22">
        <f>IFERROR(__xludf.DUMMYFUNCTION("IFERROR(MIN(QUERY(FILTER(Recipes!$K$4:$N1003, Recipes!$L$4:$L1003 = A845, Recipes!$K$4:$K1003=TRUE), ""select Col4"")), -1)"),0.0)</f>
        <v>0</v>
      </c>
    </row>
    <row r="846">
      <c r="B846" s="21"/>
      <c r="C846" s="30"/>
      <c r="D846" s="30"/>
      <c r="E846" s="22">
        <f>IFERROR(__xludf.DUMMYFUNCTION("IFERROR(MIN(QUERY(FILTER(Recipes!$K$4:$N1003, Recipes!$L$4:$L1003 = A846, Recipes!$K$4:$K1003=TRUE), ""select Col4"")), -1)"),0.0)</f>
        <v>0</v>
      </c>
    </row>
    <row r="847">
      <c r="B847" s="21"/>
      <c r="C847" s="30"/>
      <c r="D847" s="30"/>
      <c r="E847" s="22">
        <f>IFERROR(__xludf.DUMMYFUNCTION("IFERROR(MIN(QUERY(FILTER(Recipes!$K$4:$N1003, Recipes!$L$4:$L1003 = A847, Recipes!$K$4:$K1003=TRUE), ""select Col4"")), -1)"),0.0)</f>
        <v>0</v>
      </c>
    </row>
    <row r="848">
      <c r="B848" s="21"/>
      <c r="C848" s="30"/>
      <c r="D848" s="30"/>
      <c r="E848" s="22">
        <f>IFERROR(__xludf.DUMMYFUNCTION("IFERROR(MIN(QUERY(FILTER(Recipes!$K$4:$N1003, Recipes!$L$4:$L1003 = A848, Recipes!$K$4:$K1003=TRUE), ""select Col4"")), -1)"),0.0)</f>
        <v>0</v>
      </c>
    </row>
    <row r="849">
      <c r="B849" s="21"/>
      <c r="C849" s="30"/>
      <c r="D849" s="30"/>
      <c r="E849" s="22">
        <f>IFERROR(__xludf.DUMMYFUNCTION("IFERROR(MIN(QUERY(FILTER(Recipes!$K$4:$N1003, Recipes!$L$4:$L1003 = A849, Recipes!$K$4:$K1003=TRUE), ""select Col4"")), -1)"),0.0)</f>
        <v>0</v>
      </c>
    </row>
    <row r="850">
      <c r="B850" s="21"/>
      <c r="C850" s="30"/>
      <c r="D850" s="30"/>
      <c r="E850" s="22">
        <f>IFERROR(__xludf.DUMMYFUNCTION("IFERROR(MIN(QUERY(FILTER(Recipes!$K$4:$N1003, Recipes!$L$4:$L1003 = A850, Recipes!$K$4:$K1003=TRUE), ""select Col4"")), -1)"),0.0)</f>
        <v>0</v>
      </c>
    </row>
    <row r="851">
      <c r="B851" s="21"/>
      <c r="C851" s="30"/>
      <c r="D851" s="30"/>
      <c r="E851" s="22">
        <f>IFERROR(__xludf.DUMMYFUNCTION("IFERROR(MIN(QUERY(FILTER(Recipes!$K$4:$N1003, Recipes!$L$4:$L1003 = A851, Recipes!$K$4:$K1003=TRUE), ""select Col4"")), -1)"),0.0)</f>
        <v>0</v>
      </c>
    </row>
    <row r="852">
      <c r="B852" s="21"/>
      <c r="C852" s="30"/>
      <c r="D852" s="30"/>
      <c r="E852" s="22">
        <f>IFERROR(__xludf.DUMMYFUNCTION("IFERROR(MIN(QUERY(FILTER(Recipes!$K$4:$N1003, Recipes!$L$4:$L1003 = A852, Recipes!$K$4:$K1003=TRUE), ""select Col4"")), -1)"),0.0)</f>
        <v>0</v>
      </c>
    </row>
    <row r="853">
      <c r="B853" s="21"/>
      <c r="C853" s="30"/>
      <c r="D853" s="30"/>
      <c r="E853" s="22">
        <f>IFERROR(__xludf.DUMMYFUNCTION("IFERROR(MIN(QUERY(FILTER(Recipes!$K$4:$N1003, Recipes!$L$4:$L1003 = A853, Recipes!$K$4:$K1003=TRUE), ""select Col4"")), -1)"),0.0)</f>
        <v>0</v>
      </c>
    </row>
    <row r="854">
      <c r="B854" s="21"/>
      <c r="C854" s="30"/>
      <c r="D854" s="30"/>
      <c r="E854" s="22">
        <f>IFERROR(__xludf.DUMMYFUNCTION("IFERROR(MIN(QUERY(FILTER(Recipes!$K$4:$N1003, Recipes!$L$4:$L1003 = A854, Recipes!$K$4:$K1003=TRUE), ""select Col4"")), -1)"),0.0)</f>
        <v>0</v>
      </c>
    </row>
    <row r="855">
      <c r="B855" s="21"/>
      <c r="C855" s="30"/>
      <c r="D855" s="30"/>
      <c r="E855" s="22">
        <f>IFERROR(__xludf.DUMMYFUNCTION("IFERROR(MIN(QUERY(FILTER(Recipes!$K$4:$N1003, Recipes!$L$4:$L1003 = A855, Recipes!$K$4:$K1003=TRUE), ""select Col4"")), -1)"),0.0)</f>
        <v>0</v>
      </c>
    </row>
    <row r="856">
      <c r="B856" s="21"/>
      <c r="C856" s="30"/>
      <c r="D856" s="30"/>
      <c r="E856" s="22">
        <f>IFERROR(__xludf.DUMMYFUNCTION("IFERROR(MIN(QUERY(FILTER(Recipes!$K$4:$N1003, Recipes!$L$4:$L1003 = A856, Recipes!$K$4:$K1003=TRUE), ""select Col4"")), -1)"),0.0)</f>
        <v>0</v>
      </c>
    </row>
    <row r="857">
      <c r="B857" s="21"/>
      <c r="C857" s="30"/>
      <c r="D857" s="30"/>
      <c r="E857" s="22">
        <f>IFERROR(__xludf.DUMMYFUNCTION("IFERROR(MIN(QUERY(FILTER(Recipes!$K$4:$N1003, Recipes!$L$4:$L1003 = A857, Recipes!$K$4:$K1003=TRUE), ""select Col4"")), -1)"),0.0)</f>
        <v>0</v>
      </c>
    </row>
    <row r="858">
      <c r="B858" s="21"/>
      <c r="C858" s="30"/>
      <c r="D858" s="30"/>
      <c r="E858" s="22">
        <f>IFERROR(__xludf.DUMMYFUNCTION("IFERROR(MIN(QUERY(FILTER(Recipes!$K$4:$N1003, Recipes!$L$4:$L1003 = A858, Recipes!$K$4:$K1003=TRUE), ""select Col4"")), -1)"),0.0)</f>
        <v>0</v>
      </c>
    </row>
    <row r="859">
      <c r="B859" s="21"/>
      <c r="C859" s="30"/>
      <c r="D859" s="30"/>
      <c r="E859" s="22">
        <f>IFERROR(__xludf.DUMMYFUNCTION("IFERROR(MIN(QUERY(FILTER(Recipes!$K$4:$N1003, Recipes!$L$4:$L1003 = A859, Recipes!$K$4:$K1003=TRUE), ""select Col4"")), -1)"),0.0)</f>
        <v>0</v>
      </c>
    </row>
    <row r="860">
      <c r="B860" s="21"/>
      <c r="C860" s="30"/>
      <c r="D860" s="30"/>
      <c r="E860" s="22">
        <f>IFERROR(__xludf.DUMMYFUNCTION("IFERROR(MIN(QUERY(FILTER(Recipes!$K$4:$N1003, Recipes!$L$4:$L1003 = A860, Recipes!$K$4:$K1003=TRUE), ""select Col4"")), -1)"),0.0)</f>
        <v>0</v>
      </c>
    </row>
    <row r="861">
      <c r="B861" s="21"/>
      <c r="C861" s="30"/>
      <c r="D861" s="30"/>
      <c r="E861" s="22">
        <f>IFERROR(__xludf.DUMMYFUNCTION("IFERROR(MIN(QUERY(FILTER(Recipes!$K$4:$N1003, Recipes!$L$4:$L1003 = A861, Recipes!$K$4:$K1003=TRUE), ""select Col4"")), -1)"),0.0)</f>
        <v>0</v>
      </c>
    </row>
    <row r="862">
      <c r="B862" s="21"/>
      <c r="C862" s="30"/>
      <c r="D862" s="30"/>
      <c r="E862" s="22">
        <f>IFERROR(__xludf.DUMMYFUNCTION("IFERROR(MIN(QUERY(FILTER(Recipes!$K$4:$N1003, Recipes!$L$4:$L1003 = A862, Recipes!$K$4:$K1003=TRUE), ""select Col4"")), -1)"),0.0)</f>
        <v>0</v>
      </c>
    </row>
    <row r="863">
      <c r="B863" s="21"/>
      <c r="C863" s="30"/>
      <c r="D863" s="30"/>
      <c r="E863" s="22">
        <f>IFERROR(__xludf.DUMMYFUNCTION("IFERROR(MIN(QUERY(FILTER(Recipes!$K$4:$N1003, Recipes!$L$4:$L1003 = A863, Recipes!$K$4:$K1003=TRUE), ""select Col4"")), -1)"),0.0)</f>
        <v>0</v>
      </c>
    </row>
    <row r="864">
      <c r="B864" s="21"/>
      <c r="C864" s="30"/>
      <c r="D864" s="30"/>
      <c r="E864" s="22">
        <f>IFERROR(__xludf.DUMMYFUNCTION("IFERROR(MIN(QUERY(FILTER(Recipes!$K$4:$N1003, Recipes!$L$4:$L1003 = A864, Recipes!$K$4:$K1003=TRUE), ""select Col4"")), -1)"),0.0)</f>
        <v>0</v>
      </c>
    </row>
    <row r="865">
      <c r="B865" s="21"/>
      <c r="C865" s="30"/>
      <c r="D865" s="30"/>
      <c r="E865" s="22">
        <f>IFERROR(__xludf.DUMMYFUNCTION("IFERROR(MIN(QUERY(FILTER(Recipes!$K$4:$N1003, Recipes!$L$4:$L1003 = A865, Recipes!$K$4:$K1003=TRUE), ""select Col4"")), -1)"),0.0)</f>
        <v>0</v>
      </c>
    </row>
    <row r="866">
      <c r="B866" s="21"/>
      <c r="C866" s="30"/>
      <c r="D866" s="30"/>
      <c r="E866" s="22">
        <f>IFERROR(__xludf.DUMMYFUNCTION("IFERROR(MIN(QUERY(FILTER(Recipes!$K$4:$N1003, Recipes!$L$4:$L1003 = A866, Recipes!$K$4:$K1003=TRUE), ""select Col4"")), -1)"),0.0)</f>
        <v>0</v>
      </c>
    </row>
    <row r="867">
      <c r="B867" s="21"/>
      <c r="C867" s="30"/>
      <c r="D867" s="30"/>
      <c r="E867" s="22">
        <f>IFERROR(__xludf.DUMMYFUNCTION("IFERROR(MIN(QUERY(FILTER(Recipes!$K$4:$N1003, Recipes!$L$4:$L1003 = A867, Recipes!$K$4:$K1003=TRUE), ""select Col4"")), -1)"),0.0)</f>
        <v>0</v>
      </c>
    </row>
    <row r="868">
      <c r="B868" s="21"/>
      <c r="C868" s="30"/>
      <c r="D868" s="30"/>
      <c r="E868" s="22">
        <f>IFERROR(__xludf.DUMMYFUNCTION("IFERROR(MIN(QUERY(FILTER(Recipes!$K$4:$N1003, Recipes!$L$4:$L1003 = A868, Recipes!$K$4:$K1003=TRUE), ""select Col4"")), -1)"),0.0)</f>
        <v>0</v>
      </c>
    </row>
    <row r="869">
      <c r="B869" s="21"/>
      <c r="C869" s="30"/>
      <c r="D869" s="30"/>
      <c r="E869" s="22">
        <f>IFERROR(__xludf.DUMMYFUNCTION("IFERROR(MIN(QUERY(FILTER(Recipes!$K$4:$N1003, Recipes!$L$4:$L1003 = A869, Recipes!$K$4:$K1003=TRUE), ""select Col4"")), -1)"),0.0)</f>
        <v>0</v>
      </c>
    </row>
    <row r="870">
      <c r="B870" s="21"/>
      <c r="C870" s="30"/>
      <c r="D870" s="30"/>
      <c r="E870" s="22">
        <f>IFERROR(__xludf.DUMMYFUNCTION("IFERROR(MIN(QUERY(FILTER(Recipes!$K$4:$N1003, Recipes!$L$4:$L1003 = A870, Recipes!$K$4:$K1003=TRUE), ""select Col4"")), -1)"),0.0)</f>
        <v>0</v>
      </c>
    </row>
    <row r="871">
      <c r="B871" s="21"/>
      <c r="C871" s="30"/>
      <c r="D871" s="30"/>
      <c r="E871" s="22">
        <f>IFERROR(__xludf.DUMMYFUNCTION("IFERROR(MIN(QUERY(FILTER(Recipes!$K$4:$N1003, Recipes!$L$4:$L1003 = A871, Recipes!$K$4:$K1003=TRUE), ""select Col4"")), -1)"),0.0)</f>
        <v>0</v>
      </c>
    </row>
    <row r="872">
      <c r="B872" s="21"/>
      <c r="C872" s="30"/>
      <c r="D872" s="30"/>
      <c r="E872" s="22">
        <f>IFERROR(__xludf.DUMMYFUNCTION("IFERROR(MIN(QUERY(FILTER(Recipes!$K$4:$N1003, Recipes!$L$4:$L1003 = A872, Recipes!$K$4:$K1003=TRUE), ""select Col4"")), -1)"),0.0)</f>
        <v>0</v>
      </c>
    </row>
    <row r="873">
      <c r="B873" s="21"/>
      <c r="C873" s="30"/>
      <c r="D873" s="30"/>
      <c r="E873" s="22">
        <f>IFERROR(__xludf.DUMMYFUNCTION("IFERROR(MIN(QUERY(FILTER(Recipes!$K$4:$N1003, Recipes!$L$4:$L1003 = A873, Recipes!$K$4:$K1003=TRUE), ""select Col4"")), -1)"),0.0)</f>
        <v>0</v>
      </c>
    </row>
    <row r="874">
      <c r="B874" s="21"/>
      <c r="C874" s="30"/>
      <c r="D874" s="30"/>
      <c r="E874" s="22">
        <f>IFERROR(__xludf.DUMMYFUNCTION("IFERROR(MIN(QUERY(FILTER(Recipes!$K$4:$N1003, Recipes!$L$4:$L1003 = A874, Recipes!$K$4:$K1003=TRUE), ""select Col4"")), -1)"),0.0)</f>
        <v>0</v>
      </c>
    </row>
    <row r="875">
      <c r="B875" s="21"/>
      <c r="C875" s="30"/>
      <c r="D875" s="30"/>
      <c r="E875" s="22">
        <f>IFERROR(__xludf.DUMMYFUNCTION("IFERROR(MIN(QUERY(FILTER(Recipes!$K$4:$N1003, Recipes!$L$4:$L1003 = A875, Recipes!$K$4:$K1003=TRUE), ""select Col4"")), -1)"),0.0)</f>
        <v>0</v>
      </c>
    </row>
    <row r="876">
      <c r="B876" s="21"/>
      <c r="C876" s="30"/>
      <c r="D876" s="30"/>
      <c r="E876" s="22">
        <f>IFERROR(__xludf.DUMMYFUNCTION("IFERROR(MIN(QUERY(FILTER(Recipes!$K$4:$N1003, Recipes!$L$4:$L1003 = A876, Recipes!$K$4:$K1003=TRUE), ""select Col4"")), -1)"),0.0)</f>
        <v>0</v>
      </c>
    </row>
    <row r="877">
      <c r="B877" s="21"/>
      <c r="C877" s="30"/>
      <c r="D877" s="30"/>
      <c r="E877" s="22">
        <f>IFERROR(__xludf.DUMMYFUNCTION("IFERROR(MIN(QUERY(FILTER(Recipes!$K$4:$N1003, Recipes!$L$4:$L1003 = A877, Recipes!$K$4:$K1003=TRUE), ""select Col4"")), -1)"),0.0)</f>
        <v>0</v>
      </c>
    </row>
    <row r="878">
      <c r="B878" s="21"/>
      <c r="C878" s="30"/>
      <c r="D878" s="30"/>
      <c r="E878" s="22">
        <f>IFERROR(__xludf.DUMMYFUNCTION("IFERROR(MIN(QUERY(FILTER(Recipes!$K$4:$N1003, Recipes!$L$4:$L1003 = A878, Recipes!$K$4:$K1003=TRUE), ""select Col4"")), -1)"),0.0)</f>
        <v>0</v>
      </c>
    </row>
    <row r="879">
      <c r="B879" s="21"/>
      <c r="C879" s="30"/>
      <c r="D879" s="30"/>
      <c r="E879" s="22">
        <f>IFERROR(__xludf.DUMMYFUNCTION("IFERROR(MIN(QUERY(FILTER(Recipes!$K$4:$N1003, Recipes!$L$4:$L1003 = A879, Recipes!$K$4:$K1003=TRUE), ""select Col4"")), -1)"),0.0)</f>
        <v>0</v>
      </c>
    </row>
    <row r="880">
      <c r="B880" s="21"/>
      <c r="C880" s="30"/>
      <c r="D880" s="30"/>
      <c r="E880" s="22">
        <f>IFERROR(__xludf.DUMMYFUNCTION("IFERROR(MIN(QUERY(FILTER(Recipes!$K$4:$N1003, Recipes!$L$4:$L1003 = A880, Recipes!$K$4:$K1003=TRUE), ""select Col4"")), -1)"),0.0)</f>
        <v>0</v>
      </c>
    </row>
    <row r="881">
      <c r="B881" s="21"/>
      <c r="C881" s="30"/>
      <c r="D881" s="30"/>
      <c r="E881" s="22">
        <f>IFERROR(__xludf.DUMMYFUNCTION("IFERROR(MIN(QUERY(FILTER(Recipes!$K$4:$N1003, Recipes!$L$4:$L1003 = A881, Recipes!$K$4:$K1003=TRUE), ""select Col4"")), -1)"),0.0)</f>
        <v>0</v>
      </c>
    </row>
    <row r="882">
      <c r="B882" s="21"/>
      <c r="C882" s="30"/>
      <c r="D882" s="30"/>
      <c r="E882" s="22">
        <f>IFERROR(__xludf.DUMMYFUNCTION("IFERROR(MIN(QUERY(FILTER(Recipes!$K$4:$N1003, Recipes!$L$4:$L1003 = A882, Recipes!$K$4:$K1003=TRUE), ""select Col4"")), -1)"),0.0)</f>
        <v>0</v>
      </c>
    </row>
    <row r="883">
      <c r="B883" s="21"/>
      <c r="C883" s="30"/>
      <c r="D883" s="30"/>
      <c r="E883" s="22">
        <f>IFERROR(__xludf.DUMMYFUNCTION("IFERROR(MIN(QUERY(FILTER(Recipes!$K$4:$N1003, Recipes!$L$4:$L1003 = A883, Recipes!$K$4:$K1003=TRUE), ""select Col4"")), -1)"),0.0)</f>
        <v>0</v>
      </c>
    </row>
    <row r="884">
      <c r="B884" s="21"/>
      <c r="C884" s="30"/>
      <c r="D884" s="30"/>
      <c r="E884" s="22">
        <f>IFERROR(__xludf.DUMMYFUNCTION("IFERROR(MIN(QUERY(FILTER(Recipes!$K$4:$N1003, Recipes!$L$4:$L1003 = A884, Recipes!$K$4:$K1003=TRUE), ""select Col4"")), -1)"),0.0)</f>
        <v>0</v>
      </c>
    </row>
    <row r="885">
      <c r="B885" s="21"/>
      <c r="C885" s="30"/>
      <c r="D885" s="30"/>
      <c r="E885" s="22">
        <f>IFERROR(__xludf.DUMMYFUNCTION("IFERROR(MIN(QUERY(FILTER(Recipes!$K$4:$N1003, Recipes!$L$4:$L1003 = A885, Recipes!$K$4:$K1003=TRUE), ""select Col4"")), -1)"),0.0)</f>
        <v>0</v>
      </c>
    </row>
    <row r="886">
      <c r="B886" s="21"/>
      <c r="C886" s="30"/>
      <c r="D886" s="30"/>
      <c r="E886" s="22">
        <f>IFERROR(__xludf.DUMMYFUNCTION("IFERROR(MIN(QUERY(FILTER(Recipes!$K$4:$N1003, Recipes!$L$4:$L1003 = A886, Recipes!$K$4:$K1003=TRUE), ""select Col4"")), -1)"),0.0)</f>
        <v>0</v>
      </c>
    </row>
    <row r="887">
      <c r="B887" s="21"/>
      <c r="C887" s="30"/>
      <c r="D887" s="30"/>
      <c r="E887" s="22">
        <f>IFERROR(__xludf.DUMMYFUNCTION("IFERROR(MIN(QUERY(FILTER(Recipes!$K$4:$N1003, Recipes!$L$4:$L1003 = A887, Recipes!$K$4:$K1003=TRUE), ""select Col4"")), -1)"),0.0)</f>
        <v>0</v>
      </c>
    </row>
    <row r="888">
      <c r="B888" s="21"/>
      <c r="C888" s="30"/>
      <c r="D888" s="30"/>
      <c r="E888" s="22">
        <f>IFERROR(__xludf.DUMMYFUNCTION("IFERROR(MIN(QUERY(FILTER(Recipes!$K$4:$N1003, Recipes!$L$4:$L1003 = A888, Recipes!$K$4:$K1003=TRUE), ""select Col4"")), -1)"),0.0)</f>
        <v>0</v>
      </c>
    </row>
    <row r="889">
      <c r="B889" s="21"/>
      <c r="C889" s="30"/>
      <c r="D889" s="30"/>
      <c r="E889" s="22">
        <f>IFERROR(__xludf.DUMMYFUNCTION("IFERROR(MIN(QUERY(FILTER(Recipes!$K$4:$N1003, Recipes!$L$4:$L1003 = A889, Recipes!$K$4:$K1003=TRUE), ""select Col4"")), -1)"),0.0)</f>
        <v>0</v>
      </c>
    </row>
    <row r="890">
      <c r="B890" s="21"/>
      <c r="C890" s="30"/>
      <c r="D890" s="30"/>
      <c r="E890" s="22">
        <f>IFERROR(__xludf.DUMMYFUNCTION("IFERROR(MIN(QUERY(FILTER(Recipes!$K$4:$N1003, Recipes!$L$4:$L1003 = A890, Recipes!$K$4:$K1003=TRUE), ""select Col4"")), -1)"),0.0)</f>
        <v>0</v>
      </c>
    </row>
    <row r="891">
      <c r="B891" s="21"/>
      <c r="C891" s="30"/>
      <c r="D891" s="30"/>
      <c r="E891" s="22">
        <f>IFERROR(__xludf.DUMMYFUNCTION("IFERROR(MIN(QUERY(FILTER(Recipes!$K$4:$N1003, Recipes!$L$4:$L1003 = A891, Recipes!$K$4:$K1003=TRUE), ""select Col4"")), -1)"),0.0)</f>
        <v>0</v>
      </c>
    </row>
    <row r="892">
      <c r="B892" s="21"/>
      <c r="C892" s="30"/>
      <c r="D892" s="30"/>
      <c r="E892" s="22">
        <f>IFERROR(__xludf.DUMMYFUNCTION("IFERROR(MIN(QUERY(FILTER(Recipes!$K$4:$N1003, Recipes!$L$4:$L1003 = A892, Recipes!$K$4:$K1003=TRUE), ""select Col4"")), -1)"),0.0)</f>
        <v>0</v>
      </c>
    </row>
    <row r="893">
      <c r="B893" s="21"/>
      <c r="C893" s="30"/>
      <c r="D893" s="30"/>
      <c r="E893" s="22">
        <f>IFERROR(__xludf.DUMMYFUNCTION("IFERROR(MIN(QUERY(FILTER(Recipes!$K$4:$N1003, Recipes!$L$4:$L1003 = A893, Recipes!$K$4:$K1003=TRUE), ""select Col4"")), -1)"),0.0)</f>
        <v>0</v>
      </c>
    </row>
    <row r="894">
      <c r="B894" s="21"/>
      <c r="C894" s="30"/>
      <c r="D894" s="30"/>
      <c r="E894" s="22">
        <f>IFERROR(__xludf.DUMMYFUNCTION("IFERROR(MIN(QUERY(FILTER(Recipes!$K$4:$N1003, Recipes!$L$4:$L1003 = A894, Recipes!$K$4:$K1003=TRUE), ""select Col4"")), -1)"),0.0)</f>
        <v>0</v>
      </c>
    </row>
    <row r="895">
      <c r="B895" s="21"/>
      <c r="C895" s="30"/>
      <c r="D895" s="30"/>
      <c r="E895" s="22">
        <f>IFERROR(__xludf.DUMMYFUNCTION("IFERROR(MIN(QUERY(FILTER(Recipes!$K$4:$N1003, Recipes!$L$4:$L1003 = A895, Recipes!$K$4:$K1003=TRUE), ""select Col4"")), -1)"),0.0)</f>
        <v>0</v>
      </c>
    </row>
    <row r="896">
      <c r="B896" s="21"/>
      <c r="C896" s="30"/>
      <c r="D896" s="30"/>
      <c r="E896" s="22">
        <f>IFERROR(__xludf.DUMMYFUNCTION("IFERROR(MIN(QUERY(FILTER(Recipes!$K$4:$N1003, Recipes!$L$4:$L1003 = A896, Recipes!$K$4:$K1003=TRUE), ""select Col4"")), -1)"),0.0)</f>
        <v>0</v>
      </c>
    </row>
    <row r="897">
      <c r="B897" s="21"/>
      <c r="C897" s="30"/>
      <c r="D897" s="30"/>
      <c r="E897" s="22">
        <f>IFERROR(__xludf.DUMMYFUNCTION("IFERROR(MIN(QUERY(FILTER(Recipes!$K$4:$N1003, Recipes!$L$4:$L1003 = A897, Recipes!$K$4:$K1003=TRUE), ""select Col4"")), -1)"),0.0)</f>
        <v>0</v>
      </c>
    </row>
    <row r="898">
      <c r="B898" s="21"/>
      <c r="C898" s="30"/>
      <c r="D898" s="30"/>
      <c r="E898" s="22">
        <f>IFERROR(__xludf.DUMMYFUNCTION("IFERROR(MIN(QUERY(FILTER(Recipes!$K$4:$N1003, Recipes!$L$4:$L1003 = A898, Recipes!$K$4:$K1003=TRUE), ""select Col4"")), -1)"),0.0)</f>
        <v>0</v>
      </c>
    </row>
    <row r="899">
      <c r="B899" s="21"/>
      <c r="C899" s="30"/>
      <c r="D899" s="30"/>
      <c r="E899" s="22">
        <f>IFERROR(__xludf.DUMMYFUNCTION("IFERROR(MIN(QUERY(FILTER(Recipes!$K$4:$N1003, Recipes!$L$4:$L1003 = A899, Recipes!$K$4:$K1003=TRUE), ""select Col4"")), -1)"),0.0)</f>
        <v>0</v>
      </c>
    </row>
    <row r="900">
      <c r="B900" s="21"/>
      <c r="C900" s="30"/>
      <c r="D900" s="30"/>
      <c r="E900" s="22">
        <f>IFERROR(__xludf.DUMMYFUNCTION("IFERROR(MIN(QUERY(FILTER(Recipes!$K$4:$N1003, Recipes!$L$4:$L1003 = A900, Recipes!$K$4:$K1003=TRUE), ""select Col4"")), -1)"),0.0)</f>
        <v>0</v>
      </c>
    </row>
    <row r="901">
      <c r="B901" s="21"/>
      <c r="C901" s="30"/>
      <c r="D901" s="30"/>
      <c r="E901" s="22">
        <f>IFERROR(__xludf.DUMMYFUNCTION("IFERROR(MIN(QUERY(FILTER(Recipes!$K$4:$N1003, Recipes!$L$4:$L1003 = A901, Recipes!$K$4:$K1003=TRUE), ""select Col4"")), -1)"),0.0)</f>
        <v>0</v>
      </c>
    </row>
    <row r="902">
      <c r="B902" s="21"/>
      <c r="C902" s="30"/>
      <c r="D902" s="30"/>
      <c r="E902" s="22">
        <f>IFERROR(__xludf.DUMMYFUNCTION("IFERROR(MIN(QUERY(FILTER(Recipes!$K$4:$N1003, Recipes!$L$4:$L1003 = A902, Recipes!$K$4:$K1003=TRUE), ""select Col4"")), -1)"),0.0)</f>
        <v>0</v>
      </c>
    </row>
    <row r="903">
      <c r="B903" s="21"/>
      <c r="C903" s="30"/>
      <c r="D903" s="30"/>
      <c r="E903" s="22">
        <f>IFERROR(__xludf.DUMMYFUNCTION("IFERROR(MIN(QUERY(FILTER(Recipes!$K$4:$N1003, Recipes!$L$4:$L1003 = A903, Recipes!$K$4:$K1003=TRUE), ""select Col4"")), -1)"),0.0)</f>
        <v>0</v>
      </c>
    </row>
    <row r="904">
      <c r="B904" s="21"/>
      <c r="C904" s="30"/>
      <c r="D904" s="30"/>
      <c r="E904" s="22">
        <f>IFERROR(__xludf.DUMMYFUNCTION("IFERROR(MIN(QUERY(FILTER(Recipes!$K$4:$N1003, Recipes!$L$4:$L1003 = A904, Recipes!$K$4:$K1003=TRUE), ""select Col4"")), -1)"),0.0)</f>
        <v>0</v>
      </c>
    </row>
    <row r="905">
      <c r="B905" s="21"/>
      <c r="C905" s="30"/>
      <c r="D905" s="30"/>
      <c r="E905" s="22">
        <f>IFERROR(__xludf.DUMMYFUNCTION("IFERROR(MIN(QUERY(FILTER(Recipes!$K$4:$N1003, Recipes!$L$4:$L1003 = A905, Recipes!$K$4:$K1003=TRUE), ""select Col4"")), -1)"),0.0)</f>
        <v>0</v>
      </c>
    </row>
    <row r="906">
      <c r="B906" s="21"/>
      <c r="C906" s="30"/>
      <c r="D906" s="30"/>
      <c r="E906" s="22">
        <f>IFERROR(__xludf.DUMMYFUNCTION("IFERROR(MIN(QUERY(FILTER(Recipes!$K$4:$N1003, Recipes!$L$4:$L1003 = A906, Recipes!$K$4:$K1003=TRUE), ""select Col4"")), -1)"),0.0)</f>
        <v>0</v>
      </c>
    </row>
    <row r="907">
      <c r="B907" s="21"/>
      <c r="C907" s="30"/>
      <c r="D907" s="30"/>
      <c r="E907" s="22">
        <f>IFERROR(__xludf.DUMMYFUNCTION("IFERROR(MIN(QUERY(FILTER(Recipes!$K$4:$N1003, Recipes!$L$4:$L1003 = A907, Recipes!$K$4:$K1003=TRUE), ""select Col4"")), -1)"),0.0)</f>
        <v>0</v>
      </c>
    </row>
    <row r="908">
      <c r="B908" s="21"/>
      <c r="C908" s="30"/>
      <c r="D908" s="30"/>
      <c r="E908" s="22">
        <f>IFERROR(__xludf.DUMMYFUNCTION("IFERROR(MIN(QUERY(FILTER(Recipes!$K$4:$N1003, Recipes!$L$4:$L1003 = A908, Recipes!$K$4:$K1003=TRUE), ""select Col4"")), -1)"),0.0)</f>
        <v>0</v>
      </c>
    </row>
    <row r="909">
      <c r="B909" s="21"/>
      <c r="C909" s="30"/>
      <c r="D909" s="30"/>
      <c r="E909" s="22">
        <f>IFERROR(__xludf.DUMMYFUNCTION("IFERROR(MIN(QUERY(FILTER(Recipes!$K$4:$N1003, Recipes!$L$4:$L1003 = A909, Recipes!$K$4:$K1003=TRUE), ""select Col4"")), -1)"),0.0)</f>
        <v>0</v>
      </c>
    </row>
    <row r="910">
      <c r="B910" s="21"/>
      <c r="C910" s="30"/>
      <c r="D910" s="30"/>
      <c r="E910" s="22">
        <f>IFERROR(__xludf.DUMMYFUNCTION("IFERROR(MIN(QUERY(FILTER(Recipes!$K$4:$N1003, Recipes!$L$4:$L1003 = A910, Recipes!$K$4:$K1003=TRUE), ""select Col4"")), -1)"),0.0)</f>
        <v>0</v>
      </c>
    </row>
    <row r="911">
      <c r="B911" s="21"/>
      <c r="C911" s="30"/>
      <c r="D911" s="30"/>
      <c r="E911" s="22">
        <f>IFERROR(__xludf.DUMMYFUNCTION("IFERROR(MIN(QUERY(FILTER(Recipes!$K$4:$N1003, Recipes!$L$4:$L1003 = A911, Recipes!$K$4:$K1003=TRUE), ""select Col4"")), -1)"),0.0)</f>
        <v>0</v>
      </c>
    </row>
    <row r="912">
      <c r="B912" s="21"/>
      <c r="C912" s="30"/>
      <c r="D912" s="30"/>
      <c r="E912" s="22">
        <f>IFERROR(__xludf.DUMMYFUNCTION("IFERROR(MIN(QUERY(FILTER(Recipes!$K$4:$N1003, Recipes!$L$4:$L1003 = A912, Recipes!$K$4:$K1003=TRUE), ""select Col4"")), -1)"),0.0)</f>
        <v>0</v>
      </c>
    </row>
    <row r="913">
      <c r="B913" s="21"/>
      <c r="C913" s="30"/>
      <c r="D913" s="30"/>
      <c r="E913" s="22">
        <f>IFERROR(__xludf.DUMMYFUNCTION("IFERROR(MIN(QUERY(FILTER(Recipes!$K$4:$N1003, Recipes!$L$4:$L1003 = A913, Recipes!$K$4:$K1003=TRUE), ""select Col4"")), -1)"),0.0)</f>
        <v>0</v>
      </c>
    </row>
    <row r="914">
      <c r="B914" s="21"/>
      <c r="C914" s="30"/>
      <c r="D914" s="30"/>
      <c r="E914" s="22">
        <f>IFERROR(__xludf.DUMMYFUNCTION("IFERROR(MIN(QUERY(FILTER(Recipes!$K$4:$N1003, Recipes!$L$4:$L1003 = A914, Recipes!$K$4:$K1003=TRUE), ""select Col4"")), -1)"),0.0)</f>
        <v>0</v>
      </c>
    </row>
    <row r="915">
      <c r="B915" s="21"/>
      <c r="C915" s="30"/>
      <c r="D915" s="30"/>
      <c r="E915" s="22">
        <f>IFERROR(__xludf.DUMMYFUNCTION("IFERROR(MIN(QUERY(FILTER(Recipes!$K$4:$N1003, Recipes!$L$4:$L1003 = A915, Recipes!$K$4:$K1003=TRUE), ""select Col4"")), -1)"),0.0)</f>
        <v>0</v>
      </c>
    </row>
    <row r="916">
      <c r="B916" s="21"/>
      <c r="C916" s="30"/>
      <c r="D916" s="30"/>
      <c r="E916" s="22">
        <f>IFERROR(__xludf.DUMMYFUNCTION("IFERROR(MIN(QUERY(FILTER(Recipes!$K$4:$N1003, Recipes!$L$4:$L1003 = A916, Recipes!$K$4:$K1003=TRUE), ""select Col4"")), -1)"),0.0)</f>
        <v>0</v>
      </c>
    </row>
    <row r="917">
      <c r="B917" s="21"/>
      <c r="C917" s="30"/>
      <c r="D917" s="30"/>
      <c r="E917" s="22">
        <f>IFERROR(__xludf.DUMMYFUNCTION("IFERROR(MIN(QUERY(FILTER(Recipes!$K$4:$N1003, Recipes!$L$4:$L1003 = A917, Recipes!$K$4:$K1003=TRUE), ""select Col4"")), -1)"),0.0)</f>
        <v>0</v>
      </c>
    </row>
    <row r="918">
      <c r="B918" s="21"/>
      <c r="C918" s="30"/>
      <c r="D918" s="30"/>
      <c r="E918" s="22">
        <f>IFERROR(__xludf.DUMMYFUNCTION("IFERROR(MIN(QUERY(FILTER(Recipes!$K$4:$N1003, Recipes!$L$4:$L1003 = A918, Recipes!$K$4:$K1003=TRUE), ""select Col4"")), -1)"),0.0)</f>
        <v>0</v>
      </c>
    </row>
    <row r="919">
      <c r="B919" s="21"/>
      <c r="C919" s="30"/>
      <c r="D919" s="30"/>
      <c r="E919" s="22">
        <f>IFERROR(__xludf.DUMMYFUNCTION("IFERROR(MIN(QUERY(FILTER(Recipes!$K$4:$N1003, Recipes!$L$4:$L1003 = A919, Recipes!$K$4:$K1003=TRUE), ""select Col4"")), -1)"),0.0)</f>
        <v>0</v>
      </c>
    </row>
    <row r="920">
      <c r="B920" s="21"/>
      <c r="C920" s="30"/>
      <c r="D920" s="30"/>
      <c r="E920" s="22">
        <f>IFERROR(__xludf.DUMMYFUNCTION("IFERROR(MIN(QUERY(FILTER(Recipes!$K$4:$N1003, Recipes!$L$4:$L1003 = A920, Recipes!$K$4:$K1003=TRUE), ""select Col4"")), -1)"),0.0)</f>
        <v>0</v>
      </c>
    </row>
    <row r="921">
      <c r="B921" s="21"/>
      <c r="C921" s="30"/>
      <c r="D921" s="30"/>
      <c r="E921" s="22">
        <f>IFERROR(__xludf.DUMMYFUNCTION("IFERROR(MIN(QUERY(FILTER(Recipes!$K$4:$N1003, Recipes!$L$4:$L1003 = A921, Recipes!$K$4:$K1003=TRUE), ""select Col4"")), -1)"),0.0)</f>
        <v>0</v>
      </c>
    </row>
    <row r="922">
      <c r="B922" s="21"/>
      <c r="C922" s="30"/>
      <c r="D922" s="30"/>
      <c r="E922" s="22">
        <f>IFERROR(__xludf.DUMMYFUNCTION("IFERROR(MIN(QUERY(FILTER(Recipes!$K$4:$N1003, Recipes!$L$4:$L1003 = A922, Recipes!$K$4:$K1003=TRUE), ""select Col4"")), -1)"),0.0)</f>
        <v>0</v>
      </c>
    </row>
    <row r="923">
      <c r="B923" s="21"/>
      <c r="C923" s="30"/>
      <c r="D923" s="30"/>
      <c r="E923" s="22">
        <f>IFERROR(__xludf.DUMMYFUNCTION("IFERROR(MIN(QUERY(FILTER(Recipes!$K$4:$N1003, Recipes!$L$4:$L1003 = A923, Recipes!$K$4:$K1003=TRUE), ""select Col4"")), -1)"),0.0)</f>
        <v>0</v>
      </c>
    </row>
    <row r="924">
      <c r="B924" s="21"/>
      <c r="C924" s="30"/>
      <c r="D924" s="30"/>
      <c r="E924" s="22">
        <f>IFERROR(__xludf.DUMMYFUNCTION("IFERROR(MIN(QUERY(FILTER(Recipes!$K$4:$N1003, Recipes!$L$4:$L1003 = A924, Recipes!$K$4:$K1003=TRUE), ""select Col4"")), -1)"),0.0)</f>
        <v>0</v>
      </c>
    </row>
    <row r="925">
      <c r="B925" s="21"/>
      <c r="C925" s="30"/>
      <c r="D925" s="30"/>
      <c r="E925" s="22">
        <f>IFERROR(__xludf.DUMMYFUNCTION("IFERROR(MIN(QUERY(FILTER(Recipes!$K$4:$N1003, Recipes!$L$4:$L1003 = A925, Recipes!$K$4:$K1003=TRUE), ""select Col4"")), -1)"),0.0)</f>
        <v>0</v>
      </c>
    </row>
    <row r="926">
      <c r="B926" s="21"/>
      <c r="C926" s="30"/>
      <c r="D926" s="30"/>
      <c r="E926" s="22">
        <f>IFERROR(__xludf.DUMMYFUNCTION("IFERROR(MIN(QUERY(FILTER(Recipes!$K$4:$N1003, Recipes!$L$4:$L1003 = A926, Recipes!$K$4:$K1003=TRUE), ""select Col4"")), -1)"),0.0)</f>
        <v>0</v>
      </c>
    </row>
    <row r="927">
      <c r="B927" s="21"/>
      <c r="C927" s="30"/>
      <c r="D927" s="30"/>
      <c r="E927" s="22">
        <f>IFERROR(__xludf.DUMMYFUNCTION("IFERROR(MIN(QUERY(FILTER(Recipes!$K$4:$N1003, Recipes!$L$4:$L1003 = A927, Recipes!$K$4:$K1003=TRUE), ""select Col4"")), -1)"),0.0)</f>
        <v>0</v>
      </c>
    </row>
    <row r="928">
      <c r="B928" s="21"/>
      <c r="C928" s="30"/>
      <c r="D928" s="30"/>
      <c r="E928" s="22">
        <f>IFERROR(__xludf.DUMMYFUNCTION("IFERROR(MIN(QUERY(FILTER(Recipes!$K$4:$N1003, Recipes!$L$4:$L1003 = A928, Recipes!$K$4:$K1003=TRUE), ""select Col4"")), -1)"),0.0)</f>
        <v>0</v>
      </c>
    </row>
    <row r="929">
      <c r="B929" s="21"/>
      <c r="C929" s="30"/>
      <c r="D929" s="30"/>
      <c r="E929" s="22">
        <f>IFERROR(__xludf.DUMMYFUNCTION("IFERROR(MIN(QUERY(FILTER(Recipes!$K$4:$N1003, Recipes!$L$4:$L1003 = A929, Recipes!$K$4:$K1003=TRUE), ""select Col4"")), -1)"),0.0)</f>
        <v>0</v>
      </c>
    </row>
    <row r="930">
      <c r="B930" s="21"/>
      <c r="C930" s="30"/>
      <c r="D930" s="30"/>
      <c r="E930" s="22">
        <f>IFERROR(__xludf.DUMMYFUNCTION("IFERROR(MIN(QUERY(FILTER(Recipes!$K$4:$N1003, Recipes!$L$4:$L1003 = A930, Recipes!$K$4:$K1003=TRUE), ""select Col4"")), -1)"),0.0)</f>
        <v>0</v>
      </c>
    </row>
    <row r="931">
      <c r="B931" s="21"/>
      <c r="C931" s="30"/>
      <c r="D931" s="30"/>
      <c r="E931" s="22">
        <f>IFERROR(__xludf.DUMMYFUNCTION("IFERROR(MIN(QUERY(FILTER(Recipes!$K$4:$N1003, Recipes!$L$4:$L1003 = A931, Recipes!$K$4:$K1003=TRUE), ""select Col4"")), -1)"),0.0)</f>
        <v>0</v>
      </c>
    </row>
    <row r="932">
      <c r="B932" s="21"/>
      <c r="C932" s="30"/>
      <c r="D932" s="30"/>
      <c r="E932" s="22">
        <f>IFERROR(__xludf.DUMMYFUNCTION("IFERROR(MIN(QUERY(FILTER(Recipes!$K$4:$N1003, Recipes!$L$4:$L1003 = A932, Recipes!$K$4:$K1003=TRUE), ""select Col4"")), -1)"),0.0)</f>
        <v>0</v>
      </c>
    </row>
    <row r="933">
      <c r="B933" s="21"/>
      <c r="C933" s="30"/>
      <c r="D933" s="30"/>
      <c r="E933" s="22">
        <f>IFERROR(__xludf.DUMMYFUNCTION("IFERROR(MIN(QUERY(FILTER(Recipes!$K$4:$N1003, Recipes!$L$4:$L1003 = A933, Recipes!$K$4:$K1003=TRUE), ""select Col4"")), -1)"),0.0)</f>
        <v>0</v>
      </c>
    </row>
    <row r="934">
      <c r="B934" s="21"/>
      <c r="C934" s="30"/>
      <c r="D934" s="30"/>
      <c r="E934" s="22">
        <f>IFERROR(__xludf.DUMMYFUNCTION("IFERROR(MIN(QUERY(FILTER(Recipes!$K$4:$N1003, Recipes!$L$4:$L1003 = A934, Recipes!$K$4:$K1003=TRUE), ""select Col4"")), -1)"),0.0)</f>
        <v>0</v>
      </c>
    </row>
    <row r="935">
      <c r="B935" s="21"/>
      <c r="C935" s="30"/>
      <c r="D935" s="30"/>
      <c r="E935" s="22">
        <f>IFERROR(__xludf.DUMMYFUNCTION("IFERROR(MIN(QUERY(FILTER(Recipes!$K$4:$N1003, Recipes!$L$4:$L1003 = A935, Recipes!$K$4:$K1003=TRUE), ""select Col4"")), -1)"),0.0)</f>
        <v>0</v>
      </c>
    </row>
    <row r="936">
      <c r="B936" s="21"/>
      <c r="C936" s="30"/>
      <c r="D936" s="30"/>
      <c r="E936" s="22">
        <f>IFERROR(__xludf.DUMMYFUNCTION("IFERROR(MIN(QUERY(FILTER(Recipes!$K$4:$N1003, Recipes!$L$4:$L1003 = A936, Recipes!$K$4:$K1003=TRUE), ""select Col4"")), -1)"),0.0)</f>
        <v>0</v>
      </c>
    </row>
    <row r="937">
      <c r="B937" s="21"/>
      <c r="C937" s="30"/>
      <c r="D937" s="30"/>
      <c r="E937" s="22">
        <f>IFERROR(__xludf.DUMMYFUNCTION("IFERROR(MIN(QUERY(FILTER(Recipes!$K$4:$N1003, Recipes!$L$4:$L1003 = A937, Recipes!$K$4:$K1003=TRUE), ""select Col4"")), -1)"),0.0)</f>
        <v>0</v>
      </c>
    </row>
    <row r="938">
      <c r="B938" s="21"/>
      <c r="C938" s="30"/>
      <c r="D938" s="30"/>
      <c r="E938" s="22">
        <f>IFERROR(__xludf.DUMMYFUNCTION("IFERROR(MIN(QUERY(FILTER(Recipes!$K$4:$N1003, Recipes!$L$4:$L1003 = A938, Recipes!$K$4:$K1003=TRUE), ""select Col4"")), -1)"),0.0)</f>
        <v>0</v>
      </c>
    </row>
    <row r="939">
      <c r="B939" s="21"/>
      <c r="C939" s="30"/>
      <c r="D939" s="30"/>
      <c r="E939" s="22">
        <f>IFERROR(__xludf.DUMMYFUNCTION("IFERROR(MIN(QUERY(FILTER(Recipes!$K$4:$N1003, Recipes!$L$4:$L1003 = A939, Recipes!$K$4:$K1003=TRUE), ""select Col4"")), -1)"),0.0)</f>
        <v>0</v>
      </c>
    </row>
    <row r="940">
      <c r="B940" s="21"/>
      <c r="C940" s="30"/>
      <c r="D940" s="30"/>
      <c r="E940" s="22">
        <f>IFERROR(__xludf.DUMMYFUNCTION("IFERROR(MIN(QUERY(FILTER(Recipes!$K$4:$N1003, Recipes!$L$4:$L1003 = A940, Recipes!$K$4:$K1003=TRUE), ""select Col4"")), -1)"),0.0)</f>
        <v>0</v>
      </c>
    </row>
    <row r="941">
      <c r="B941" s="21"/>
      <c r="C941" s="30"/>
      <c r="D941" s="30"/>
      <c r="E941" s="22">
        <f>IFERROR(__xludf.DUMMYFUNCTION("IFERROR(MIN(QUERY(FILTER(Recipes!$K$4:$N1003, Recipes!$L$4:$L1003 = A941, Recipes!$K$4:$K1003=TRUE), ""select Col4"")), -1)"),0.0)</f>
        <v>0</v>
      </c>
    </row>
    <row r="942">
      <c r="B942" s="21"/>
      <c r="C942" s="30"/>
      <c r="D942" s="30"/>
      <c r="E942" s="22">
        <f>IFERROR(__xludf.DUMMYFUNCTION("IFERROR(MIN(QUERY(FILTER(Recipes!$K$4:$N1003, Recipes!$L$4:$L1003 = A942, Recipes!$K$4:$K1003=TRUE), ""select Col4"")), -1)"),0.0)</f>
        <v>0</v>
      </c>
    </row>
    <row r="943">
      <c r="B943" s="21"/>
      <c r="C943" s="30"/>
      <c r="D943" s="30"/>
      <c r="E943" s="22">
        <f>IFERROR(__xludf.DUMMYFUNCTION("IFERROR(MIN(QUERY(FILTER(Recipes!$K$4:$N1003, Recipes!$L$4:$L1003 = A943, Recipes!$K$4:$K1003=TRUE), ""select Col4"")), -1)"),0.0)</f>
        <v>0</v>
      </c>
    </row>
    <row r="944">
      <c r="B944" s="21"/>
      <c r="C944" s="30"/>
      <c r="D944" s="30"/>
      <c r="E944" s="22">
        <f>IFERROR(__xludf.DUMMYFUNCTION("IFERROR(MIN(QUERY(FILTER(Recipes!$K$4:$N1003, Recipes!$L$4:$L1003 = A944, Recipes!$K$4:$K1003=TRUE), ""select Col4"")), -1)"),0.0)</f>
        <v>0</v>
      </c>
    </row>
    <row r="945">
      <c r="B945" s="21"/>
      <c r="C945" s="30"/>
      <c r="D945" s="30"/>
      <c r="E945" s="22">
        <f>IFERROR(__xludf.DUMMYFUNCTION("IFERROR(MIN(QUERY(FILTER(Recipes!$K$4:$N1003, Recipes!$L$4:$L1003 = A945, Recipes!$K$4:$K1003=TRUE), ""select Col4"")), -1)"),0.0)</f>
        <v>0</v>
      </c>
    </row>
    <row r="946">
      <c r="B946" s="21"/>
      <c r="C946" s="30"/>
      <c r="D946" s="30"/>
      <c r="E946" s="22">
        <f>IFERROR(__xludf.DUMMYFUNCTION("IFERROR(MIN(QUERY(FILTER(Recipes!$K$4:$N1003, Recipes!$L$4:$L1003 = A946, Recipes!$K$4:$K1003=TRUE), ""select Col4"")), -1)"),0.0)</f>
        <v>0</v>
      </c>
    </row>
    <row r="947">
      <c r="B947" s="21"/>
      <c r="C947" s="30"/>
      <c r="D947" s="30"/>
      <c r="E947" s="22">
        <f>IFERROR(__xludf.DUMMYFUNCTION("IFERROR(MIN(QUERY(FILTER(Recipes!$K$4:$N1003, Recipes!$L$4:$L1003 = A947, Recipes!$K$4:$K1003=TRUE), ""select Col4"")), -1)"),0.0)</f>
        <v>0</v>
      </c>
    </row>
    <row r="948">
      <c r="B948" s="21"/>
      <c r="C948" s="30"/>
      <c r="D948" s="30"/>
      <c r="E948" s="22">
        <f>IFERROR(__xludf.DUMMYFUNCTION("IFERROR(MIN(QUERY(FILTER(Recipes!$K$4:$N1003, Recipes!$L$4:$L1003 = A948, Recipes!$K$4:$K1003=TRUE), ""select Col4"")), -1)"),0.0)</f>
        <v>0</v>
      </c>
    </row>
    <row r="949">
      <c r="B949" s="21"/>
      <c r="C949" s="30"/>
      <c r="D949" s="30"/>
      <c r="E949" s="22">
        <f>IFERROR(__xludf.DUMMYFUNCTION("IFERROR(MIN(QUERY(FILTER(Recipes!$K$4:$N1003, Recipes!$L$4:$L1003 = A949, Recipes!$K$4:$K1003=TRUE), ""select Col4"")), -1)"),0.0)</f>
        <v>0</v>
      </c>
    </row>
    <row r="950">
      <c r="B950" s="21"/>
      <c r="C950" s="30"/>
      <c r="D950" s="30"/>
      <c r="E950" s="22">
        <f>IFERROR(__xludf.DUMMYFUNCTION("IFERROR(MIN(QUERY(FILTER(Recipes!$K$4:$N1003, Recipes!$L$4:$L1003 = A950, Recipes!$K$4:$K1003=TRUE), ""select Col4"")), -1)"),0.0)</f>
        <v>0</v>
      </c>
    </row>
    <row r="951">
      <c r="B951" s="21"/>
      <c r="C951" s="30"/>
      <c r="D951" s="30"/>
      <c r="E951" s="22">
        <f>IFERROR(__xludf.DUMMYFUNCTION("IFERROR(MIN(QUERY(FILTER(Recipes!$K$4:$N1003, Recipes!$L$4:$L1003 = A951, Recipes!$K$4:$K1003=TRUE), ""select Col4"")), -1)"),0.0)</f>
        <v>0</v>
      </c>
    </row>
    <row r="952">
      <c r="B952" s="21"/>
      <c r="C952" s="30"/>
      <c r="D952" s="30"/>
      <c r="E952" s="22">
        <f>IFERROR(__xludf.DUMMYFUNCTION("IFERROR(MIN(QUERY(FILTER(Recipes!$K$4:$N1003, Recipes!$L$4:$L1003 = A952, Recipes!$K$4:$K1003=TRUE), ""select Col4"")), -1)"),0.0)</f>
        <v>0</v>
      </c>
    </row>
    <row r="953">
      <c r="B953" s="21"/>
      <c r="C953" s="30"/>
      <c r="D953" s="30"/>
      <c r="E953" s="22">
        <f>IFERROR(__xludf.DUMMYFUNCTION("IFERROR(MIN(QUERY(FILTER(Recipes!$K$4:$N1003, Recipes!$L$4:$L1003 = A953, Recipes!$K$4:$K1003=TRUE), ""select Col4"")), -1)"),0.0)</f>
        <v>0</v>
      </c>
    </row>
    <row r="954">
      <c r="B954" s="21"/>
      <c r="C954" s="30"/>
      <c r="D954" s="30"/>
      <c r="E954" s="22">
        <f>IFERROR(__xludf.DUMMYFUNCTION("IFERROR(MIN(QUERY(FILTER(Recipes!$K$4:$N1003, Recipes!$L$4:$L1003 = A954, Recipes!$K$4:$K1003=TRUE), ""select Col4"")), -1)"),0.0)</f>
        <v>0</v>
      </c>
    </row>
    <row r="955">
      <c r="B955" s="21"/>
      <c r="C955" s="30"/>
      <c r="D955" s="30"/>
      <c r="E955" s="22">
        <f>IFERROR(__xludf.DUMMYFUNCTION("IFERROR(MIN(QUERY(FILTER(Recipes!$K$4:$N1003, Recipes!$L$4:$L1003 = A955, Recipes!$K$4:$K1003=TRUE), ""select Col4"")), -1)"),0.0)</f>
        <v>0</v>
      </c>
    </row>
    <row r="956">
      <c r="B956" s="21"/>
      <c r="C956" s="30"/>
      <c r="D956" s="30"/>
      <c r="E956" s="22">
        <f>IFERROR(__xludf.DUMMYFUNCTION("IFERROR(MIN(QUERY(FILTER(Recipes!$K$4:$N1003, Recipes!$L$4:$L1003 = A956, Recipes!$K$4:$K1003=TRUE), ""select Col4"")), -1)"),0.0)</f>
        <v>0</v>
      </c>
    </row>
    <row r="957">
      <c r="B957" s="21"/>
      <c r="C957" s="30"/>
      <c r="D957" s="30"/>
      <c r="E957" s="22">
        <f>IFERROR(__xludf.DUMMYFUNCTION("IFERROR(MIN(QUERY(FILTER(Recipes!$K$4:$N1003, Recipes!$L$4:$L1003 = A957, Recipes!$K$4:$K1003=TRUE), ""select Col4"")), -1)"),0.0)</f>
        <v>0</v>
      </c>
    </row>
    <row r="958">
      <c r="B958" s="21"/>
      <c r="C958" s="30"/>
      <c r="D958" s="30"/>
      <c r="E958" s="22">
        <f>IFERROR(__xludf.DUMMYFUNCTION("IFERROR(MIN(QUERY(FILTER(Recipes!$K$4:$N1003, Recipes!$L$4:$L1003 = A958, Recipes!$K$4:$K1003=TRUE), ""select Col4"")), -1)"),0.0)</f>
        <v>0</v>
      </c>
    </row>
    <row r="959">
      <c r="B959" s="21"/>
      <c r="C959" s="30"/>
      <c r="D959" s="30"/>
      <c r="E959" s="22">
        <f>IFERROR(__xludf.DUMMYFUNCTION("IFERROR(MIN(QUERY(FILTER(Recipes!$K$4:$N1003, Recipes!$L$4:$L1003 = A959, Recipes!$K$4:$K1003=TRUE), ""select Col4"")), -1)"),0.0)</f>
        <v>0</v>
      </c>
    </row>
    <row r="960">
      <c r="B960" s="21"/>
      <c r="C960" s="30"/>
      <c r="D960" s="30"/>
      <c r="E960" s="22">
        <f>IFERROR(__xludf.DUMMYFUNCTION("IFERROR(MIN(QUERY(FILTER(Recipes!$K$4:$N1003, Recipes!$L$4:$L1003 = A960, Recipes!$K$4:$K1003=TRUE), ""select Col4"")), -1)"),0.0)</f>
        <v>0</v>
      </c>
    </row>
    <row r="961">
      <c r="B961" s="21"/>
      <c r="C961" s="30"/>
      <c r="D961" s="30"/>
      <c r="E961" s="22">
        <f>IFERROR(__xludf.DUMMYFUNCTION("IFERROR(MIN(QUERY(FILTER(Recipes!$K$4:$N1003, Recipes!$L$4:$L1003 = A961, Recipes!$K$4:$K1003=TRUE), ""select Col4"")), -1)"),0.0)</f>
        <v>0</v>
      </c>
    </row>
    <row r="962">
      <c r="B962" s="21"/>
      <c r="C962" s="30"/>
      <c r="D962" s="30"/>
      <c r="E962" s="22">
        <f>IFERROR(__xludf.DUMMYFUNCTION("IFERROR(MIN(QUERY(FILTER(Recipes!$K$4:$N1003, Recipes!$L$4:$L1003 = A962, Recipes!$K$4:$K1003=TRUE), ""select Col4"")), -1)"),0.0)</f>
        <v>0</v>
      </c>
    </row>
    <row r="963">
      <c r="B963" s="21"/>
      <c r="C963" s="30"/>
      <c r="D963" s="30"/>
      <c r="E963" s="22">
        <f>IFERROR(__xludf.DUMMYFUNCTION("IFERROR(MIN(QUERY(FILTER(Recipes!$K$4:$N1003, Recipes!$L$4:$L1003 = A963, Recipes!$K$4:$K1003=TRUE), ""select Col4"")), -1)"),0.0)</f>
        <v>0</v>
      </c>
    </row>
    <row r="964">
      <c r="B964" s="21"/>
      <c r="C964" s="30"/>
      <c r="D964" s="30"/>
      <c r="E964" s="22">
        <f>IFERROR(__xludf.DUMMYFUNCTION("IFERROR(MIN(QUERY(FILTER(Recipes!$K$4:$N1003, Recipes!$L$4:$L1003 = A964, Recipes!$K$4:$K1003=TRUE), ""select Col4"")), -1)"),0.0)</f>
        <v>0</v>
      </c>
    </row>
    <row r="965">
      <c r="B965" s="21"/>
      <c r="C965" s="30"/>
      <c r="D965" s="30"/>
      <c r="E965" s="22">
        <f>IFERROR(__xludf.DUMMYFUNCTION("IFERROR(MIN(QUERY(FILTER(Recipes!$K$4:$N1003, Recipes!$L$4:$L1003 = A965, Recipes!$K$4:$K1003=TRUE), ""select Col4"")), -1)"),0.0)</f>
        <v>0</v>
      </c>
    </row>
    <row r="966">
      <c r="B966" s="21"/>
      <c r="C966" s="30"/>
      <c r="D966" s="30"/>
      <c r="E966" s="22">
        <f>IFERROR(__xludf.DUMMYFUNCTION("IFERROR(MIN(QUERY(FILTER(Recipes!$K$4:$N1003, Recipes!$L$4:$L1003 = A966, Recipes!$K$4:$K1003=TRUE), ""select Col4"")), -1)"),0.0)</f>
        <v>0</v>
      </c>
    </row>
    <row r="967">
      <c r="B967" s="21"/>
      <c r="C967" s="30"/>
      <c r="D967" s="30"/>
      <c r="E967" s="22">
        <f>IFERROR(__xludf.DUMMYFUNCTION("IFERROR(MIN(QUERY(FILTER(Recipes!$K$4:$N1003, Recipes!$L$4:$L1003 = A967, Recipes!$K$4:$K1003=TRUE), ""select Col4"")), -1)"),0.0)</f>
        <v>0</v>
      </c>
    </row>
    <row r="968">
      <c r="B968" s="21"/>
      <c r="C968" s="30"/>
      <c r="D968" s="30"/>
      <c r="E968" s="22">
        <f>IFERROR(__xludf.DUMMYFUNCTION("IFERROR(MIN(QUERY(FILTER(Recipes!$K$4:$N1003, Recipes!$L$4:$L1003 = A968, Recipes!$K$4:$K1003=TRUE), ""select Col4"")), -1)"),0.0)</f>
        <v>0</v>
      </c>
    </row>
    <row r="969">
      <c r="B969" s="21"/>
      <c r="C969" s="30"/>
      <c r="D969" s="30"/>
      <c r="E969" s="22">
        <f>IFERROR(__xludf.DUMMYFUNCTION("IFERROR(MIN(QUERY(FILTER(Recipes!$K$4:$N1003, Recipes!$L$4:$L1003 = A969, Recipes!$K$4:$K1003=TRUE), ""select Col4"")), -1)"),0.0)</f>
        <v>0</v>
      </c>
    </row>
    <row r="970">
      <c r="B970" s="21"/>
      <c r="C970" s="30"/>
      <c r="D970" s="30"/>
      <c r="E970" s="22">
        <f>IFERROR(__xludf.DUMMYFUNCTION("IFERROR(MIN(QUERY(FILTER(Recipes!$K$4:$N1003, Recipes!$L$4:$L1003 = A970, Recipes!$K$4:$K1003=TRUE), ""select Col4"")), -1)"),0.0)</f>
        <v>0</v>
      </c>
    </row>
    <row r="971">
      <c r="B971" s="21"/>
      <c r="C971" s="30"/>
      <c r="D971" s="30"/>
      <c r="E971" s="22">
        <f>IFERROR(__xludf.DUMMYFUNCTION("IFERROR(MIN(QUERY(FILTER(Recipes!$K$4:$N1003, Recipes!$L$4:$L1003 = A971, Recipes!$K$4:$K1003=TRUE), ""select Col4"")), -1)"),0.0)</f>
        <v>0</v>
      </c>
    </row>
    <row r="972">
      <c r="B972" s="21"/>
      <c r="C972" s="30"/>
      <c r="D972" s="30"/>
      <c r="E972" s="22">
        <f>IFERROR(__xludf.DUMMYFUNCTION("IFERROR(MIN(QUERY(FILTER(Recipes!$K$4:$N1003, Recipes!$L$4:$L1003 = A972, Recipes!$K$4:$K1003=TRUE), ""select Col4"")), -1)"),0.0)</f>
        <v>0</v>
      </c>
    </row>
    <row r="973">
      <c r="B973" s="21"/>
      <c r="C973" s="30"/>
      <c r="D973" s="30"/>
      <c r="E973" s="22">
        <f>IFERROR(__xludf.DUMMYFUNCTION("IFERROR(MIN(QUERY(FILTER(Recipes!$K$4:$N1003, Recipes!$L$4:$L1003 = A973, Recipes!$K$4:$K1003=TRUE), ""select Col4"")), -1)"),0.0)</f>
        <v>0</v>
      </c>
    </row>
    <row r="974">
      <c r="B974" s="21"/>
      <c r="C974" s="30"/>
      <c r="D974" s="30"/>
      <c r="E974" s="22">
        <f>IFERROR(__xludf.DUMMYFUNCTION("IFERROR(MIN(QUERY(FILTER(Recipes!$K$4:$N1003, Recipes!$L$4:$L1003 = A974, Recipes!$K$4:$K1003=TRUE), ""select Col4"")), -1)"),0.0)</f>
        <v>0</v>
      </c>
    </row>
    <row r="975">
      <c r="B975" s="21"/>
      <c r="C975" s="30"/>
      <c r="D975" s="30"/>
      <c r="E975" s="22">
        <f>IFERROR(__xludf.DUMMYFUNCTION("IFERROR(MIN(QUERY(FILTER(Recipes!$K$4:$N1003, Recipes!$L$4:$L1003 = A975, Recipes!$K$4:$K1003=TRUE), ""select Col4"")), -1)"),0.0)</f>
        <v>0</v>
      </c>
    </row>
    <row r="976">
      <c r="B976" s="21"/>
      <c r="C976" s="30"/>
      <c r="D976" s="30"/>
      <c r="E976" s="22">
        <f>IFERROR(__xludf.DUMMYFUNCTION("IFERROR(MIN(QUERY(FILTER(Recipes!$K$4:$N1003, Recipes!$L$4:$L1003 = A976, Recipes!$K$4:$K1003=TRUE), ""select Col4"")), -1)"),0.0)</f>
        <v>0</v>
      </c>
    </row>
    <row r="977">
      <c r="B977" s="21"/>
      <c r="C977" s="30"/>
      <c r="D977" s="30"/>
      <c r="E977" s="22">
        <f>IFERROR(__xludf.DUMMYFUNCTION("IFERROR(MIN(QUERY(FILTER(Recipes!$K$4:$N1003, Recipes!$L$4:$L1003 = A977, Recipes!$K$4:$K1003=TRUE), ""select Col4"")), -1)"),0.0)</f>
        <v>0</v>
      </c>
    </row>
    <row r="978">
      <c r="B978" s="21"/>
      <c r="C978" s="30"/>
      <c r="D978" s="30"/>
      <c r="E978" s="22">
        <f>IFERROR(__xludf.DUMMYFUNCTION("IFERROR(MIN(QUERY(FILTER(Recipes!$K$4:$N1003, Recipes!$L$4:$L1003 = A978, Recipes!$K$4:$K1003=TRUE), ""select Col4"")), -1)"),0.0)</f>
        <v>0</v>
      </c>
    </row>
    <row r="979">
      <c r="B979" s="21"/>
      <c r="C979" s="30"/>
      <c r="D979" s="30"/>
      <c r="E979" s="22">
        <f>IFERROR(__xludf.DUMMYFUNCTION("IFERROR(MIN(QUERY(FILTER(Recipes!$K$4:$N1003, Recipes!$L$4:$L1003 = A979, Recipes!$K$4:$K1003=TRUE), ""select Col4"")), -1)"),0.0)</f>
        <v>0</v>
      </c>
    </row>
    <row r="980">
      <c r="B980" s="21"/>
      <c r="C980" s="30"/>
      <c r="D980" s="30"/>
      <c r="E980" s="22">
        <f>IFERROR(__xludf.DUMMYFUNCTION("IFERROR(MIN(QUERY(FILTER(Recipes!$K$4:$N1003, Recipes!$L$4:$L1003 = A980, Recipes!$K$4:$K1003=TRUE), ""select Col4"")), -1)"),0.0)</f>
        <v>0</v>
      </c>
    </row>
    <row r="981">
      <c r="B981" s="21"/>
      <c r="C981" s="30"/>
      <c r="D981" s="30"/>
      <c r="E981" s="22">
        <f>IFERROR(__xludf.DUMMYFUNCTION("IFERROR(MIN(QUERY(FILTER(Recipes!$K$4:$N1003, Recipes!$L$4:$L1003 = A981, Recipes!$K$4:$K1003=TRUE), ""select Col4"")), -1)"),0.0)</f>
        <v>0</v>
      </c>
    </row>
    <row r="982">
      <c r="B982" s="21"/>
      <c r="C982" s="30"/>
      <c r="D982" s="30"/>
      <c r="E982" s="22">
        <f>IFERROR(__xludf.DUMMYFUNCTION("IFERROR(MIN(QUERY(FILTER(Recipes!$K$4:$N1003, Recipes!$L$4:$L1003 = A982, Recipes!$K$4:$K1003=TRUE), ""select Col4"")), -1)"),0.0)</f>
        <v>0</v>
      </c>
    </row>
    <row r="983">
      <c r="B983" s="21"/>
      <c r="C983" s="30"/>
      <c r="D983" s="30"/>
      <c r="E983" s="22">
        <f>IFERROR(__xludf.DUMMYFUNCTION("IFERROR(MIN(QUERY(FILTER(Recipes!$K$4:$N1003, Recipes!$L$4:$L1003 = A983, Recipes!$K$4:$K1003=TRUE), ""select Col4"")), -1)"),0.0)</f>
        <v>0</v>
      </c>
    </row>
    <row r="984">
      <c r="B984" s="21"/>
      <c r="C984" s="30"/>
      <c r="D984" s="30"/>
      <c r="E984" s="22">
        <f>IFERROR(__xludf.DUMMYFUNCTION("IFERROR(MIN(QUERY(FILTER(Recipes!$K$4:$N1003, Recipes!$L$4:$L1003 = A984, Recipes!$K$4:$K1003=TRUE), ""select Col4"")), -1)"),0.0)</f>
        <v>0</v>
      </c>
    </row>
    <row r="985">
      <c r="B985" s="21"/>
      <c r="C985" s="30"/>
      <c r="D985" s="30"/>
      <c r="E985" s="22">
        <f>IFERROR(__xludf.DUMMYFUNCTION("IFERROR(MIN(QUERY(FILTER(Recipes!$K$4:$N1003, Recipes!$L$4:$L1003 = A985, Recipes!$K$4:$K1003=TRUE), ""select Col4"")), -1)"),0.0)</f>
        <v>0</v>
      </c>
    </row>
    <row r="986">
      <c r="B986" s="21"/>
      <c r="C986" s="30"/>
      <c r="D986" s="30"/>
      <c r="E986" s="22">
        <f>IFERROR(__xludf.DUMMYFUNCTION("IFERROR(MIN(QUERY(FILTER(Recipes!$K$4:$N1003, Recipes!$L$4:$L1003 = A986, Recipes!$K$4:$K1003=TRUE), ""select Col4"")), -1)"),0.0)</f>
        <v>0</v>
      </c>
    </row>
    <row r="987">
      <c r="B987" s="21"/>
      <c r="C987" s="30"/>
      <c r="D987" s="30"/>
      <c r="E987" s="22">
        <f>IFERROR(__xludf.DUMMYFUNCTION("IFERROR(MIN(QUERY(FILTER(Recipes!$K$4:$N1003, Recipes!$L$4:$L1003 = A987, Recipes!$K$4:$K1003=TRUE), ""select Col4"")), -1)"),0.0)</f>
        <v>0</v>
      </c>
    </row>
    <row r="988">
      <c r="B988" s="21"/>
      <c r="C988" s="30"/>
      <c r="D988" s="30"/>
      <c r="E988" s="22">
        <f>IFERROR(__xludf.DUMMYFUNCTION("IFERROR(MIN(QUERY(FILTER(Recipes!$K$4:$N1003, Recipes!$L$4:$L1003 = A988, Recipes!$K$4:$K1003=TRUE), ""select Col4"")), -1)"),0.0)</f>
        <v>0</v>
      </c>
    </row>
    <row r="989">
      <c r="B989" s="21"/>
      <c r="C989" s="30"/>
      <c r="D989" s="30"/>
      <c r="E989" s="22">
        <f>IFERROR(__xludf.DUMMYFUNCTION("IFERROR(MIN(QUERY(FILTER(Recipes!$K$4:$N1003, Recipes!$L$4:$L1003 = A989, Recipes!$K$4:$K1003=TRUE), ""select Col4"")), -1)"),0.0)</f>
        <v>0</v>
      </c>
    </row>
    <row r="990">
      <c r="B990" s="21"/>
      <c r="C990" s="30"/>
      <c r="D990" s="30"/>
      <c r="E990" s="22">
        <f>IFERROR(__xludf.DUMMYFUNCTION("IFERROR(MIN(QUERY(FILTER(Recipes!$K$4:$N1003, Recipes!$L$4:$L1003 = A990, Recipes!$K$4:$K1003=TRUE), ""select Col4"")), -1)"),0.0)</f>
        <v>0</v>
      </c>
    </row>
    <row r="991">
      <c r="B991" s="21"/>
      <c r="C991" s="30"/>
      <c r="D991" s="30"/>
      <c r="E991" s="22">
        <f>IFERROR(__xludf.DUMMYFUNCTION("IFERROR(MIN(QUERY(FILTER(Recipes!$K$4:$N1003, Recipes!$L$4:$L1003 = A991, Recipes!$K$4:$K1003=TRUE), ""select Col4"")), -1)"),0.0)</f>
        <v>0</v>
      </c>
    </row>
    <row r="992">
      <c r="B992" s="21"/>
      <c r="C992" s="30"/>
      <c r="D992" s="30"/>
      <c r="E992" s="22">
        <f>IFERROR(__xludf.DUMMYFUNCTION("IFERROR(MIN(QUERY(FILTER(Recipes!$K$4:$N1003, Recipes!$L$4:$L1003 = A992, Recipes!$K$4:$K1003=TRUE), ""select Col4"")), -1)"),0.0)</f>
        <v>0</v>
      </c>
    </row>
    <row r="993">
      <c r="B993" s="21"/>
      <c r="C993" s="30"/>
      <c r="D993" s="30"/>
      <c r="E993" s="22">
        <f>IFERROR(__xludf.DUMMYFUNCTION("IFERROR(MIN(QUERY(FILTER(Recipes!$K$4:$N1003, Recipes!$L$4:$L1003 = A993, Recipes!$K$4:$K1003=TRUE), ""select Col4"")), -1)"),0.0)</f>
        <v>0</v>
      </c>
    </row>
    <row r="994">
      <c r="B994" s="21"/>
      <c r="C994" s="30"/>
      <c r="D994" s="30"/>
      <c r="E994" s="22">
        <f>IFERROR(__xludf.DUMMYFUNCTION("IFERROR(MIN(QUERY(FILTER(Recipes!$K$4:$N1003, Recipes!$L$4:$L1003 = A994, Recipes!$K$4:$K1003=TRUE), ""select Col4"")), -1)"),0.0)</f>
        <v>0</v>
      </c>
    </row>
    <row r="995">
      <c r="B995" s="21"/>
      <c r="C995" s="30"/>
      <c r="D995" s="30"/>
      <c r="E995" s="22">
        <f>IFERROR(__xludf.DUMMYFUNCTION("IFERROR(MIN(QUERY(FILTER(Recipes!$K$4:$N1003, Recipes!$L$4:$L1003 = A995, Recipes!$K$4:$K1003=TRUE), ""select Col4"")), -1)"),0.0)</f>
        <v>0</v>
      </c>
    </row>
    <row r="996">
      <c r="B996" s="21"/>
      <c r="C996" s="30"/>
      <c r="D996" s="30"/>
      <c r="E996" s="22">
        <f>IFERROR(__xludf.DUMMYFUNCTION("IFERROR(MIN(QUERY(FILTER(Recipes!$K$4:$N1003, Recipes!$L$4:$L1003 = A996, Recipes!$K$4:$K1003=TRUE), ""select Col4"")), -1)"),0.0)</f>
        <v>0</v>
      </c>
    </row>
    <row r="997">
      <c r="B997" s="21"/>
      <c r="C997" s="30"/>
      <c r="D997" s="30"/>
      <c r="E997" s="22">
        <f>IFERROR(__xludf.DUMMYFUNCTION("IFERROR(MIN(QUERY(FILTER(Recipes!$K$4:$N1003, Recipes!$L$4:$L1003 = A997, Recipes!$K$4:$K1003=TRUE), ""select Col4"")), -1)"),0.0)</f>
        <v>0</v>
      </c>
    </row>
    <row r="998">
      <c r="B998" s="21"/>
      <c r="C998" s="30"/>
      <c r="D998" s="30"/>
      <c r="E998" s="22">
        <f>IFERROR(__xludf.DUMMYFUNCTION("IFERROR(MIN(QUERY(FILTER(Recipes!$K$4:$N1003, Recipes!$L$4:$L1003 = A998, Recipes!$K$4:$K1003=TRUE), ""select Col4"")), -1)"),0.0)</f>
        <v>0</v>
      </c>
    </row>
    <row r="999">
      <c r="B999" s="21"/>
      <c r="C999" s="30"/>
      <c r="D999" s="30"/>
      <c r="E999" s="22">
        <f>IFERROR(__xludf.DUMMYFUNCTION("IFERROR(MIN(QUERY(FILTER(Recipes!$K$4:$N1003, Recipes!$L$4:$L1003 = A999, Recipes!$K$4:$K1003=TRUE), ""select Col4"")), -1)"),0.0)</f>
        <v>0</v>
      </c>
    </row>
    <row r="1000">
      <c r="B1000" s="21"/>
      <c r="C1000" s="30"/>
      <c r="D1000" s="30"/>
      <c r="E1000" s="22">
        <f>IFERROR(__xludf.DUMMYFUNCTION("IFERROR(MIN(QUERY(FILTER(Recipes!$K$4:$N1003, Recipes!$L$4:$L1003 = A1000, Recipes!$K$4:$K1003=TRUE), ""select Col4"")), -1)"),0.0)</f>
        <v>0</v>
      </c>
    </row>
    <row r="1001">
      <c r="B1001" s="21"/>
      <c r="C1001" s="30"/>
      <c r="D1001" s="30"/>
      <c r="E1001" s="22">
        <f>IFERROR(__xludf.DUMMYFUNCTION("IFERROR(MIN(QUERY(FILTER(Recipes!$K$4:$N1003, Recipes!$L$4:$L1003 = A1001, Recipes!$K$4:$K1003=TRUE), ""select Col4"")), -1)"),0.0)</f>
        <v>0</v>
      </c>
    </row>
    <row r="1002">
      <c r="B1002" s="21"/>
      <c r="C1002" s="30"/>
      <c r="D1002" s="30"/>
      <c r="E1002" s="22">
        <f>IFERROR(__xludf.DUMMYFUNCTION("IFERROR(MIN(QUERY(FILTER(Recipes!$K$4:$N1003, Recipes!$L$4:$L1003 = A1002, Recipes!$K$4:$K1003=TRUE), ""select Col4"")), -1)"),0.0)</f>
        <v>0</v>
      </c>
    </row>
    <row r="1003">
      <c r="B1003" s="21"/>
      <c r="C1003" s="30"/>
      <c r="D1003" s="30"/>
      <c r="E1003" s="22">
        <f>IFERROR(__xludf.DUMMYFUNCTION("IFERROR(MIN(QUERY(FILTER(Recipes!$K$4:$N1003, Recipes!$L$4:$L1003 = A1003, Recipes!$K$4:$K1003=TRUE), ""select Col4"")), -1)"),0.0)</f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3.25"/>
    <col customWidth="1" min="3" max="3" width="18.38"/>
    <col customWidth="1" min="4" max="4" width="12.63"/>
  </cols>
  <sheetData>
    <row r="1">
      <c r="A1" s="35" t="s">
        <v>2</v>
      </c>
      <c r="B1" s="35" t="s">
        <v>47</v>
      </c>
      <c r="C1" s="35" t="s">
        <v>269</v>
      </c>
      <c r="D1" s="35" t="s">
        <v>270</v>
      </c>
      <c r="E1" s="35" t="s">
        <v>238</v>
      </c>
      <c r="F1" s="35" t="s">
        <v>271</v>
      </c>
      <c r="G1" s="35" t="s">
        <v>272</v>
      </c>
      <c r="H1" s="35" t="s">
        <v>273</v>
      </c>
      <c r="I1" s="35" t="s">
        <v>275</v>
      </c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</row>
    <row r="2">
      <c r="A2" s="7" t="s">
        <v>93</v>
      </c>
      <c r="B2" s="7" t="s">
        <v>278</v>
      </c>
      <c r="C2" s="7"/>
      <c r="D2" s="22">
        <f>General!$D$42*C2 + I2+G2</f>
        <v>0</v>
      </c>
      <c r="F2" s="7">
        <f t="shared" ref="F2:F34" si="1">E2/3600</f>
        <v>0</v>
      </c>
      <c r="G2" s="7">
        <f>F2*General!$D$1</f>
        <v>0</v>
      </c>
      <c r="I2" s="22">
        <f>H2*General!$E$45</f>
        <v>0</v>
      </c>
    </row>
    <row r="3">
      <c r="A3" s="7" t="s">
        <v>247</v>
      </c>
      <c r="B3" s="7" t="s">
        <v>212</v>
      </c>
      <c r="D3" s="22">
        <f>General!$D$42*C3 + I3+G3</f>
        <v>0</v>
      </c>
      <c r="F3" s="7">
        <f t="shared" si="1"/>
        <v>0</v>
      </c>
      <c r="G3" s="7">
        <f>F3*General!$D$1</f>
        <v>0</v>
      </c>
      <c r="I3" s="22">
        <f>H3*General!$E$45</f>
        <v>0</v>
      </c>
    </row>
    <row r="4">
      <c r="A4" s="7" t="s">
        <v>100</v>
      </c>
      <c r="B4" s="7" t="s">
        <v>278</v>
      </c>
      <c r="D4" s="22">
        <f>General!$D$42*C4 + I4+G4</f>
        <v>0</v>
      </c>
      <c r="F4" s="7">
        <f t="shared" si="1"/>
        <v>0</v>
      </c>
      <c r="G4" s="7">
        <f>F4*General!$D$1</f>
        <v>0</v>
      </c>
      <c r="I4" s="22">
        <f>H4*General!$E$45</f>
        <v>0</v>
      </c>
    </row>
    <row r="5">
      <c r="A5" s="7" t="s">
        <v>287</v>
      </c>
      <c r="B5" s="7" t="s">
        <v>278</v>
      </c>
      <c r="D5" s="22">
        <f>General!$D$42*C5 + I5+G5</f>
        <v>0</v>
      </c>
      <c r="F5" s="7">
        <f t="shared" si="1"/>
        <v>0</v>
      </c>
      <c r="G5" s="7">
        <f>F5*General!$D$1</f>
        <v>0</v>
      </c>
      <c r="I5" s="22">
        <f>H5*General!$E$45</f>
        <v>0</v>
      </c>
    </row>
    <row r="6">
      <c r="A6" s="7" t="s">
        <v>289</v>
      </c>
      <c r="B6" s="7" t="s">
        <v>290</v>
      </c>
      <c r="C6" s="7">
        <v>50.0</v>
      </c>
      <c r="D6" s="22">
        <f>General!$D$42*C6 + I6+G6</f>
        <v>0.001875</v>
      </c>
      <c r="F6" s="7">
        <f t="shared" si="1"/>
        <v>0</v>
      </c>
      <c r="G6" s="7">
        <f>F6*General!$D$1</f>
        <v>0</v>
      </c>
      <c r="I6" s="22">
        <f>H6*General!$E$45</f>
        <v>0</v>
      </c>
    </row>
    <row r="7">
      <c r="A7" s="7" t="s">
        <v>294</v>
      </c>
      <c r="B7" s="7" t="s">
        <v>278</v>
      </c>
      <c r="D7" s="22">
        <f>General!$D$42*C7 + I7+G7</f>
        <v>0</v>
      </c>
      <c r="F7" s="7">
        <f t="shared" si="1"/>
        <v>0</v>
      </c>
      <c r="G7" s="7">
        <f>F7*General!$D$1</f>
        <v>0</v>
      </c>
      <c r="I7" s="22">
        <f>H7*General!$E$45</f>
        <v>0</v>
      </c>
    </row>
    <row r="8">
      <c r="A8" s="7" t="s">
        <v>296</v>
      </c>
      <c r="B8" s="7" t="s">
        <v>290</v>
      </c>
      <c r="D8" s="22">
        <f>General!$D$42*C8 + I8+G8</f>
        <v>0</v>
      </c>
      <c r="F8" s="7">
        <f t="shared" si="1"/>
        <v>0</v>
      </c>
      <c r="G8" s="7">
        <f>F8*General!$D$1</f>
        <v>0</v>
      </c>
      <c r="I8" s="22">
        <f>H8*General!$E$45</f>
        <v>0</v>
      </c>
    </row>
    <row r="9">
      <c r="A9" s="7" t="s">
        <v>299</v>
      </c>
      <c r="B9" s="7" t="s">
        <v>278</v>
      </c>
      <c r="D9" s="22">
        <f>General!$D$42*C9 + I9+G9</f>
        <v>0</v>
      </c>
      <c r="F9" s="7">
        <f t="shared" si="1"/>
        <v>0</v>
      </c>
      <c r="G9" s="7">
        <f>F9*General!$D$1</f>
        <v>0</v>
      </c>
      <c r="I9" s="22">
        <f>H9*General!$E$45</f>
        <v>0</v>
      </c>
    </row>
    <row r="10">
      <c r="A10" s="7" t="s">
        <v>301</v>
      </c>
      <c r="B10" s="7" t="s">
        <v>212</v>
      </c>
      <c r="D10" s="22">
        <f>General!$D$42*C10 + I10+G10</f>
        <v>0</v>
      </c>
      <c r="F10" s="7">
        <f t="shared" si="1"/>
        <v>0</v>
      </c>
      <c r="G10" s="7">
        <f>F10*General!$D$1</f>
        <v>0</v>
      </c>
      <c r="I10" s="22">
        <f>H10*General!$E$45</f>
        <v>0</v>
      </c>
    </row>
    <row r="11">
      <c r="A11" s="7" t="s">
        <v>304</v>
      </c>
      <c r="B11" s="7" t="s">
        <v>278</v>
      </c>
      <c r="D11" s="22">
        <f>General!$D$42*C11 + I11+G11</f>
        <v>0</v>
      </c>
      <c r="F11" s="7">
        <f t="shared" si="1"/>
        <v>0</v>
      </c>
      <c r="G11" s="7">
        <f>F11*General!$D$1</f>
        <v>0</v>
      </c>
      <c r="I11" s="22">
        <f>H11*General!$E$45</f>
        <v>0</v>
      </c>
    </row>
    <row r="12">
      <c r="A12" s="7" t="s">
        <v>308</v>
      </c>
      <c r="B12" s="7" t="s">
        <v>278</v>
      </c>
      <c r="D12" s="22">
        <f>General!$D$42*C12 + I12+G12</f>
        <v>0</v>
      </c>
      <c r="F12" s="7">
        <f t="shared" si="1"/>
        <v>0</v>
      </c>
      <c r="G12" s="7">
        <f>F12*General!$D$1</f>
        <v>0</v>
      </c>
      <c r="I12" s="22">
        <f>H12*General!$E$45</f>
        <v>0</v>
      </c>
    </row>
    <row r="13">
      <c r="A13" s="7" t="s">
        <v>179</v>
      </c>
      <c r="B13" s="7" t="s">
        <v>278</v>
      </c>
      <c r="C13" s="7">
        <v>10.0</v>
      </c>
      <c r="D13" s="22">
        <f>General!$D$42*C13 + I13+G13</f>
        <v>0.000375</v>
      </c>
      <c r="F13" s="7">
        <f t="shared" si="1"/>
        <v>0</v>
      </c>
      <c r="G13" s="7">
        <f>F13*General!$D$1</f>
        <v>0</v>
      </c>
      <c r="I13" s="22">
        <f>H13*General!$E$45</f>
        <v>0</v>
      </c>
    </row>
    <row r="14">
      <c r="A14" s="7" t="s">
        <v>313</v>
      </c>
      <c r="B14" s="7" t="s">
        <v>290</v>
      </c>
      <c r="C14" s="7">
        <v>50.0</v>
      </c>
      <c r="D14" s="22">
        <f>General!$D$42*C14 + I14+G14</f>
        <v>0.02798611111</v>
      </c>
      <c r="E14" s="7">
        <v>0.94</v>
      </c>
      <c r="F14" s="7">
        <f t="shared" si="1"/>
        <v>0.0002611111111</v>
      </c>
      <c r="G14" s="7">
        <f>F14*General!$D$1</f>
        <v>0.02611111111</v>
      </c>
      <c r="I14" s="22">
        <f>H14*General!$E$45</f>
        <v>0</v>
      </c>
    </row>
    <row r="15">
      <c r="A15" s="7" t="s">
        <v>316</v>
      </c>
      <c r="B15" s="7" t="s">
        <v>290</v>
      </c>
      <c r="C15" s="7">
        <v>50.0</v>
      </c>
      <c r="D15" s="22">
        <f>General!$D$42*C15 + I15+G15</f>
        <v>0.02798611111</v>
      </c>
      <c r="E15" s="7">
        <v>0.94</v>
      </c>
      <c r="F15" s="7">
        <f t="shared" si="1"/>
        <v>0.0002611111111</v>
      </c>
      <c r="G15" s="7">
        <f>F15*General!$D$1</f>
        <v>0.02611111111</v>
      </c>
      <c r="I15" s="22">
        <f>H15*General!$E$45</f>
        <v>0</v>
      </c>
    </row>
    <row r="16">
      <c r="A16" s="7" t="s">
        <v>317</v>
      </c>
      <c r="B16" s="7" t="s">
        <v>290</v>
      </c>
      <c r="C16" s="7">
        <v>30.0</v>
      </c>
      <c r="D16" s="22">
        <f>General!$D$42*C16 + I16+G16</f>
        <v>0.03751388889</v>
      </c>
      <c r="E16" s="7">
        <v>1.31</v>
      </c>
      <c r="F16" s="7">
        <f t="shared" si="1"/>
        <v>0.0003638888889</v>
      </c>
      <c r="G16" s="7">
        <f>F16*General!$D$1</f>
        <v>0.03638888889</v>
      </c>
      <c r="I16" s="22">
        <f>H16*General!$E$45</f>
        <v>0</v>
      </c>
    </row>
    <row r="17">
      <c r="A17" s="7" t="s">
        <v>315</v>
      </c>
      <c r="B17" s="7" t="s">
        <v>290</v>
      </c>
      <c r="C17" s="7">
        <v>30.0</v>
      </c>
      <c r="D17" s="22">
        <f>General!$D$42*C17 + I17+G17</f>
        <v>0.001125</v>
      </c>
      <c r="F17" s="7">
        <f t="shared" si="1"/>
        <v>0</v>
      </c>
      <c r="G17" s="7">
        <f>F17*General!$D$1</f>
        <v>0</v>
      </c>
      <c r="I17" s="22">
        <f>H17*General!$E$45</f>
        <v>0</v>
      </c>
    </row>
    <row r="18">
      <c r="A18" s="7" t="s">
        <v>324</v>
      </c>
      <c r="B18" s="7" t="s">
        <v>290</v>
      </c>
      <c r="D18" s="22">
        <f>General!$D$42*C18 + I18+G18</f>
        <v>0</v>
      </c>
      <c r="F18" s="7">
        <f t="shared" si="1"/>
        <v>0</v>
      </c>
      <c r="G18" s="7">
        <f>F18*General!$D$1</f>
        <v>0</v>
      </c>
      <c r="H18" s="7">
        <v>500.0</v>
      </c>
      <c r="I18" s="22">
        <f>H18*General!$E$45</f>
        <v>0</v>
      </c>
    </row>
    <row r="19">
      <c r="A19" s="7" t="s">
        <v>327</v>
      </c>
      <c r="B19" s="7" t="s">
        <v>328</v>
      </c>
      <c r="D19" s="22">
        <f>General!$D$42*C19 + I19+G19</f>
        <v>0</v>
      </c>
      <c r="F19" s="7">
        <f t="shared" si="1"/>
        <v>0</v>
      </c>
      <c r="G19" s="7">
        <f>F19*General!$D$1</f>
        <v>0</v>
      </c>
      <c r="H19" s="7">
        <v>500.0</v>
      </c>
      <c r="I19" s="22">
        <f>H19*General!$E$45</f>
        <v>0</v>
      </c>
    </row>
    <row r="20">
      <c r="A20" s="7" t="s">
        <v>331</v>
      </c>
      <c r="B20" s="7" t="s">
        <v>278</v>
      </c>
      <c r="D20" s="22">
        <f>General!$D$42*C20 + I20+G20</f>
        <v>0</v>
      </c>
      <c r="F20" s="7">
        <f t="shared" si="1"/>
        <v>0</v>
      </c>
      <c r="G20" s="7">
        <f>F20*General!$D$1</f>
        <v>0</v>
      </c>
      <c r="I20" s="22">
        <f>H20*General!$E$45</f>
        <v>0</v>
      </c>
    </row>
    <row r="21">
      <c r="A21" s="7" t="s">
        <v>333</v>
      </c>
      <c r="B21" s="7" t="s">
        <v>278</v>
      </c>
      <c r="D21" s="22">
        <f>General!$D$42*C21 + I21+G21</f>
        <v>0</v>
      </c>
      <c r="F21" s="7">
        <f t="shared" si="1"/>
        <v>0</v>
      </c>
      <c r="G21" s="7">
        <f>F21*General!$D$1</f>
        <v>0</v>
      </c>
      <c r="I21" s="22">
        <f>H21*General!$E$45</f>
        <v>0</v>
      </c>
    </row>
    <row r="22">
      <c r="A22" s="7" t="s">
        <v>337</v>
      </c>
      <c r="B22" s="7" t="s">
        <v>212</v>
      </c>
      <c r="D22" s="22">
        <f>General!$D$42*C22 + I22+G22</f>
        <v>0</v>
      </c>
      <c r="F22" s="7">
        <f t="shared" si="1"/>
        <v>0</v>
      </c>
      <c r="G22" s="7">
        <f>F22*General!$D$1</f>
        <v>0</v>
      </c>
      <c r="H22" s="7">
        <v>500.0</v>
      </c>
      <c r="I22" s="22">
        <f>H22*General!$E$45</f>
        <v>0</v>
      </c>
    </row>
    <row r="23">
      <c r="A23" s="7" t="s">
        <v>339</v>
      </c>
      <c r="B23" s="7" t="s">
        <v>328</v>
      </c>
      <c r="D23" s="22">
        <f>General!$D$42*C23 + I23+G23</f>
        <v>0</v>
      </c>
      <c r="F23" s="7">
        <f t="shared" si="1"/>
        <v>0</v>
      </c>
      <c r="G23" s="7">
        <f>F23*General!$D$1</f>
        <v>0</v>
      </c>
      <c r="H23" s="7">
        <v>500.0</v>
      </c>
      <c r="I23" s="22">
        <f>H23*General!$E$45</f>
        <v>0</v>
      </c>
    </row>
    <row r="24">
      <c r="A24" s="7" t="s">
        <v>342</v>
      </c>
      <c r="B24" s="7" t="s">
        <v>328</v>
      </c>
      <c r="C24" s="7">
        <v>50.0</v>
      </c>
      <c r="D24" s="22">
        <f>General!$D$42*C24 + I24+G24</f>
        <v>0.001875</v>
      </c>
      <c r="F24" s="7">
        <f t="shared" si="1"/>
        <v>0</v>
      </c>
      <c r="G24" s="7">
        <f>F24*General!$D$1</f>
        <v>0</v>
      </c>
      <c r="I24" s="22">
        <f>H24*General!$E$45</f>
        <v>0</v>
      </c>
    </row>
    <row r="25">
      <c r="A25" s="7" t="s">
        <v>344</v>
      </c>
      <c r="B25" s="7" t="s">
        <v>328</v>
      </c>
      <c r="D25" s="22">
        <f>General!$D$42*C25 + I25+G25</f>
        <v>0</v>
      </c>
      <c r="F25" s="7">
        <f t="shared" si="1"/>
        <v>0</v>
      </c>
      <c r="G25" s="7">
        <f>F25*General!$D$1</f>
        <v>0</v>
      </c>
      <c r="I25" s="22">
        <f>H25*General!$E$45</f>
        <v>0</v>
      </c>
    </row>
    <row r="26">
      <c r="A26" s="7" t="s">
        <v>129</v>
      </c>
      <c r="B26" s="7" t="s">
        <v>290</v>
      </c>
      <c r="C26" s="7">
        <v>50.0</v>
      </c>
      <c r="D26" s="22">
        <f>General!$D$42*C26 + I26+G26</f>
        <v>0.001875</v>
      </c>
      <c r="F26" s="7">
        <f t="shared" si="1"/>
        <v>0</v>
      </c>
      <c r="G26" s="7">
        <f>F26*General!$D$1</f>
        <v>0</v>
      </c>
      <c r="I26" s="22">
        <f>H26*General!$E$45</f>
        <v>0</v>
      </c>
    </row>
    <row r="27">
      <c r="A27" s="7" t="s">
        <v>265</v>
      </c>
      <c r="B27" s="7" t="s">
        <v>328</v>
      </c>
      <c r="D27" s="22">
        <f>General!$D$42*C27 + I27+G27</f>
        <v>0</v>
      </c>
      <c r="F27" s="7">
        <f t="shared" si="1"/>
        <v>0</v>
      </c>
      <c r="G27" s="7">
        <f>F27*General!$D$1</f>
        <v>0</v>
      </c>
      <c r="H27" s="7">
        <v>6000.0</v>
      </c>
      <c r="I27" s="22">
        <f>H27*General!$E$45</f>
        <v>0</v>
      </c>
    </row>
    <row r="28">
      <c r="A28" s="7" t="s">
        <v>350</v>
      </c>
      <c r="B28" s="7" t="s">
        <v>278</v>
      </c>
      <c r="D28" s="22">
        <f>General!$D$42*C28 + I28+G28</f>
        <v>0</v>
      </c>
      <c r="F28" s="7">
        <f t="shared" si="1"/>
        <v>0</v>
      </c>
      <c r="G28" s="7">
        <f>F28*General!$D$1</f>
        <v>0</v>
      </c>
    </row>
    <row r="29">
      <c r="A29" s="7" t="s">
        <v>351</v>
      </c>
      <c r="B29" s="7" t="s">
        <v>290</v>
      </c>
      <c r="D29" s="22">
        <f>General!$D$42*C29 + I29+G29</f>
        <v>0</v>
      </c>
      <c r="F29" s="7">
        <f t="shared" si="1"/>
        <v>0</v>
      </c>
      <c r="G29" s="7">
        <f>F29*General!$D$1</f>
        <v>0</v>
      </c>
    </row>
    <row r="30">
      <c r="A30" s="7" t="s">
        <v>302</v>
      </c>
      <c r="B30" s="7" t="s">
        <v>212</v>
      </c>
      <c r="D30" s="22">
        <f>General!$D$42*C30 + I30+G30</f>
        <v>0</v>
      </c>
      <c r="F30" s="7">
        <f t="shared" si="1"/>
        <v>0</v>
      </c>
      <c r="G30" s="7">
        <f>F30*General!$D$1</f>
        <v>0</v>
      </c>
    </row>
    <row r="31">
      <c r="A31" s="7" t="s">
        <v>355</v>
      </c>
      <c r="B31" s="7" t="s">
        <v>290</v>
      </c>
      <c r="D31" s="22">
        <f>General!$D$42*C31 + I31+G31</f>
        <v>0</v>
      </c>
      <c r="F31" s="7">
        <f t="shared" si="1"/>
        <v>0</v>
      </c>
      <c r="G31" s="7">
        <f>F31*General!$D$1</f>
        <v>0</v>
      </c>
    </row>
    <row r="32">
      <c r="A32" s="7" t="s">
        <v>358</v>
      </c>
      <c r="B32" s="7" t="s">
        <v>290</v>
      </c>
      <c r="D32" s="22">
        <f>General!$D$42*C32 + I32+G32</f>
        <v>0</v>
      </c>
      <c r="F32" s="7">
        <f t="shared" si="1"/>
        <v>0</v>
      </c>
      <c r="G32" s="7">
        <f>F32*General!$D$1</f>
        <v>0</v>
      </c>
    </row>
    <row r="33">
      <c r="A33" s="7" t="s">
        <v>360</v>
      </c>
      <c r="B33" s="7" t="s">
        <v>290</v>
      </c>
      <c r="D33" s="22">
        <f>General!$D$42*C33 + I33+G33</f>
        <v>0</v>
      </c>
      <c r="F33" s="7">
        <f t="shared" si="1"/>
        <v>0</v>
      </c>
      <c r="G33" s="7">
        <f>F33*General!$D$1</f>
        <v>0</v>
      </c>
    </row>
    <row r="34">
      <c r="A34" s="7" t="s">
        <v>363</v>
      </c>
      <c r="B34" s="7" t="s">
        <v>290</v>
      </c>
      <c r="D34" s="22">
        <f>General!$D$42*C34 + I34+G34</f>
        <v>0</v>
      </c>
      <c r="F34" s="7">
        <f t="shared" si="1"/>
        <v>0</v>
      </c>
      <c r="G34" s="7">
        <f>F34*General!$D$1</f>
        <v>0</v>
      </c>
    </row>
    <row r="35">
      <c r="A35" s="7" t="s">
        <v>181</v>
      </c>
      <c r="B35" s="7" t="s">
        <v>278</v>
      </c>
    </row>
    <row r="36">
      <c r="A36" s="7" t="s">
        <v>367</v>
      </c>
      <c r="B36" s="7" t="s">
        <v>278</v>
      </c>
    </row>
  </sheetData>
  <dataValidations>
    <dataValidation type="list" allowBlank="1" showErrorMessage="1" sqref="B2:B36">
      <formula1>"Basic,None,Advanced,Modern"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5.5"/>
    <col customWidth="1" min="3" max="3" width="6.88"/>
    <col customWidth="1" min="4" max="4" width="7.5"/>
    <col customWidth="1" min="5" max="5" width="8.5"/>
    <col customWidth="1" min="6" max="6" width="4.5"/>
    <col customWidth="1" min="7" max="7" width="15.63"/>
    <col customWidth="1" min="8" max="8" width="9.13"/>
    <col customWidth="1" min="12" max="13" width="17.63"/>
    <col customWidth="1" min="17" max="19" width="1.88"/>
    <col customWidth="1" min="20" max="20" width="3.75"/>
    <col customWidth="1" min="21" max="21" width="3.38"/>
    <col customWidth="1" min="22" max="58" width="2.63"/>
  </cols>
  <sheetData>
    <row r="1">
      <c r="A1" s="38" t="s">
        <v>378</v>
      </c>
      <c r="B1" s="38" t="s">
        <v>379</v>
      </c>
      <c r="C1" s="38" t="s">
        <v>380</v>
      </c>
      <c r="D1" s="38" t="s">
        <v>381</v>
      </c>
      <c r="E1" s="39"/>
      <c r="F1" s="38" t="s">
        <v>382</v>
      </c>
      <c r="G1" s="38" t="s">
        <v>383</v>
      </c>
      <c r="H1" s="38" t="s">
        <v>384</v>
      </c>
      <c r="I1" s="38" t="s">
        <v>385</v>
      </c>
      <c r="J1" s="38" t="s">
        <v>386</v>
      </c>
      <c r="K1" s="38" t="s">
        <v>387</v>
      </c>
      <c r="L1" s="38" t="s">
        <v>388</v>
      </c>
      <c r="M1" s="38" t="s">
        <v>389</v>
      </c>
    </row>
    <row r="2">
      <c r="A2" s="7" t="s">
        <v>390</v>
      </c>
      <c r="B2" s="20">
        <v>1.0</v>
      </c>
      <c r="C2" s="20">
        <v>12.0</v>
      </c>
      <c r="D2" s="40">
        <f t="shared" ref="D2:D11" si="1">C2*B2</f>
        <v>12</v>
      </c>
      <c r="F2" s="20">
        <v>5.0</v>
      </c>
      <c r="G2" s="20">
        <v>60.0</v>
      </c>
      <c r="H2" s="41">
        <f t="shared" ref="H2:H11" si="2">IFERROR(SERIESSUM((1 - G2/100),0,1, SEQUENCE(1, B2,F2,0)), "")</f>
        <v>5</v>
      </c>
      <c r="I2" s="20">
        <v>30.0</v>
      </c>
      <c r="J2" s="40">
        <f t="shared" ref="J2:J11" si="3">I2*B2</f>
        <v>30</v>
      </c>
      <c r="K2" s="20">
        <v>3.0</v>
      </c>
      <c r="L2" s="7">
        <f t="shared" ref="L2:L11" si="4">K2*B2</f>
        <v>3</v>
      </c>
      <c r="M2" s="20" t="s">
        <v>391</v>
      </c>
    </row>
    <row r="3">
      <c r="A3" s="7" t="s">
        <v>392</v>
      </c>
      <c r="B3" s="20">
        <v>2.0</v>
      </c>
      <c r="C3" s="20">
        <v>4.0</v>
      </c>
      <c r="D3" s="40">
        <f t="shared" si="1"/>
        <v>8</v>
      </c>
      <c r="F3" s="20">
        <v>2.5</v>
      </c>
      <c r="G3" s="20">
        <v>40.0</v>
      </c>
      <c r="H3" s="41">
        <f t="shared" si="2"/>
        <v>4</v>
      </c>
      <c r="I3" s="20">
        <v>30.0</v>
      </c>
      <c r="J3" s="40">
        <f t="shared" si="3"/>
        <v>60</v>
      </c>
      <c r="K3" s="20">
        <v>2.0</v>
      </c>
      <c r="L3" s="7">
        <f t="shared" si="4"/>
        <v>4</v>
      </c>
      <c r="M3" s="20" t="s">
        <v>393</v>
      </c>
    </row>
    <row r="4">
      <c r="A4" s="7" t="s">
        <v>92</v>
      </c>
      <c r="B4" s="20">
        <v>1.0</v>
      </c>
      <c r="C4" s="20">
        <v>12.0</v>
      </c>
      <c r="D4" s="40">
        <f t="shared" si="1"/>
        <v>12</v>
      </c>
      <c r="F4" s="20">
        <v>2.0</v>
      </c>
      <c r="G4" s="20">
        <v>50.0</v>
      </c>
      <c r="H4" s="41">
        <f t="shared" si="2"/>
        <v>2</v>
      </c>
      <c r="I4" s="20">
        <v>25.0</v>
      </c>
      <c r="J4" s="40">
        <f t="shared" si="3"/>
        <v>25</v>
      </c>
      <c r="K4" s="20">
        <v>4.0</v>
      </c>
      <c r="L4" s="7">
        <f t="shared" si="4"/>
        <v>4</v>
      </c>
      <c r="M4" s="20" t="s">
        <v>394</v>
      </c>
    </row>
    <row r="5">
      <c r="A5" s="7" t="s">
        <v>395</v>
      </c>
      <c r="B5" s="20">
        <v>0.0</v>
      </c>
      <c r="C5" s="20">
        <v>6.0</v>
      </c>
      <c r="D5" s="40">
        <f t="shared" si="1"/>
        <v>0</v>
      </c>
      <c r="F5" s="20">
        <v>1.0</v>
      </c>
      <c r="G5" s="20">
        <v>50.0</v>
      </c>
      <c r="H5" s="41" t="str">
        <f t="shared" si="2"/>
        <v/>
      </c>
      <c r="I5" s="20">
        <v>30.0</v>
      </c>
      <c r="J5" s="40">
        <f t="shared" si="3"/>
        <v>0</v>
      </c>
      <c r="K5" s="20">
        <v>2.0</v>
      </c>
      <c r="L5" s="7">
        <f t="shared" si="4"/>
        <v>0</v>
      </c>
      <c r="M5" s="20" t="s">
        <v>396</v>
      </c>
    </row>
    <row r="6">
      <c r="A6" s="7" t="s">
        <v>397</v>
      </c>
      <c r="B6" s="20">
        <v>0.0</v>
      </c>
      <c r="C6" s="20">
        <v>8.0</v>
      </c>
      <c r="D6" s="40">
        <f t="shared" si="1"/>
        <v>0</v>
      </c>
      <c r="F6" s="20">
        <v>1.7</v>
      </c>
      <c r="G6" s="20">
        <v>90.0</v>
      </c>
      <c r="H6" s="41" t="str">
        <f t="shared" si="2"/>
        <v/>
      </c>
      <c r="I6" s="20">
        <v>30.0</v>
      </c>
      <c r="J6" s="40">
        <f t="shared" si="3"/>
        <v>0</v>
      </c>
      <c r="K6" s="20">
        <v>2.0</v>
      </c>
      <c r="L6" s="7">
        <f t="shared" si="4"/>
        <v>0</v>
      </c>
      <c r="M6" s="20" t="s">
        <v>396</v>
      </c>
    </row>
    <row r="7">
      <c r="A7" s="7" t="s">
        <v>398</v>
      </c>
      <c r="B7" s="20">
        <v>0.0</v>
      </c>
      <c r="C7" s="20">
        <v>8.0</v>
      </c>
      <c r="D7" s="40">
        <f t="shared" si="1"/>
        <v>0</v>
      </c>
      <c r="F7" s="20">
        <v>1.5</v>
      </c>
      <c r="G7" s="20">
        <v>50.0</v>
      </c>
      <c r="H7" s="41" t="str">
        <f t="shared" si="2"/>
        <v/>
      </c>
      <c r="I7" s="20">
        <v>15.0</v>
      </c>
      <c r="J7" s="40">
        <f t="shared" si="3"/>
        <v>0</v>
      </c>
      <c r="K7" s="20">
        <v>0.0</v>
      </c>
      <c r="L7" s="7">
        <f t="shared" si="4"/>
        <v>0</v>
      </c>
      <c r="M7" s="20" t="s">
        <v>399</v>
      </c>
      <c r="Q7" s="7"/>
      <c r="R7" s="7"/>
      <c r="S7" s="7"/>
    </row>
    <row r="8">
      <c r="A8" s="7" t="s">
        <v>400</v>
      </c>
      <c r="B8" s="20">
        <v>1.0</v>
      </c>
      <c r="C8" s="20">
        <v>0.0</v>
      </c>
      <c r="D8" s="40">
        <f t="shared" si="1"/>
        <v>0</v>
      </c>
      <c r="F8" s="20">
        <v>3.0</v>
      </c>
      <c r="G8" s="20">
        <v>70.0</v>
      </c>
      <c r="H8" s="41">
        <f t="shared" si="2"/>
        <v>3</v>
      </c>
      <c r="I8" s="20">
        <v>15.0</v>
      </c>
      <c r="J8" s="40">
        <f t="shared" si="3"/>
        <v>15</v>
      </c>
      <c r="K8" s="20">
        <v>0.0</v>
      </c>
      <c r="L8" s="7">
        <f t="shared" si="4"/>
        <v>0</v>
      </c>
      <c r="M8" s="20" t="s">
        <v>396</v>
      </c>
      <c r="Q8" s="7"/>
      <c r="R8" s="7"/>
      <c r="S8" s="7"/>
    </row>
    <row r="9">
      <c r="A9" s="7"/>
      <c r="B9" s="20">
        <v>0.0</v>
      </c>
      <c r="C9" s="20">
        <v>0.0</v>
      </c>
      <c r="D9" s="40">
        <f t="shared" si="1"/>
        <v>0</v>
      </c>
      <c r="F9" s="20">
        <v>1.0</v>
      </c>
      <c r="G9" s="20">
        <v>40.0</v>
      </c>
      <c r="H9" s="41" t="str">
        <f t="shared" si="2"/>
        <v/>
      </c>
      <c r="I9" s="20">
        <v>15.0</v>
      </c>
      <c r="J9" s="40">
        <f t="shared" si="3"/>
        <v>0</v>
      </c>
      <c r="K9" s="20">
        <v>0.0</v>
      </c>
      <c r="L9" s="7">
        <f t="shared" si="4"/>
        <v>0</v>
      </c>
      <c r="M9" s="20" t="s">
        <v>396</v>
      </c>
      <c r="Q9" s="7"/>
      <c r="R9" s="7"/>
      <c r="S9" s="7"/>
    </row>
    <row r="10">
      <c r="A10" s="7"/>
      <c r="B10" s="20">
        <v>0.0</v>
      </c>
      <c r="C10" s="20">
        <v>0.0</v>
      </c>
      <c r="D10" s="40">
        <f t="shared" si="1"/>
        <v>0</v>
      </c>
      <c r="F10" s="20">
        <v>1.0</v>
      </c>
      <c r="G10" s="20">
        <v>40.0</v>
      </c>
      <c r="H10" s="41" t="str">
        <f t="shared" si="2"/>
        <v/>
      </c>
      <c r="I10" s="20">
        <v>15.0</v>
      </c>
      <c r="J10" s="40">
        <f t="shared" si="3"/>
        <v>0</v>
      </c>
      <c r="K10" s="20">
        <v>0.0</v>
      </c>
      <c r="L10" s="7">
        <f t="shared" si="4"/>
        <v>0</v>
      </c>
      <c r="M10" s="20" t="s">
        <v>396</v>
      </c>
      <c r="Q10" s="7"/>
      <c r="R10" s="7"/>
      <c r="S10" s="7"/>
    </row>
    <row r="11">
      <c r="A11" s="7"/>
      <c r="B11" s="20">
        <v>0.0</v>
      </c>
      <c r="C11" s="20">
        <v>0.0</v>
      </c>
      <c r="D11" s="40">
        <f t="shared" si="1"/>
        <v>0</v>
      </c>
      <c r="F11" s="20">
        <v>1.0</v>
      </c>
      <c r="G11" s="20">
        <v>40.0</v>
      </c>
      <c r="H11" s="41" t="str">
        <f t="shared" si="2"/>
        <v/>
      </c>
      <c r="I11" s="20">
        <v>15.0</v>
      </c>
      <c r="J11" s="40">
        <f t="shared" si="3"/>
        <v>0</v>
      </c>
      <c r="K11" s="20">
        <v>0.0</v>
      </c>
      <c r="L11" s="7">
        <f t="shared" si="4"/>
        <v>0</v>
      </c>
      <c r="M11" s="20" t="s">
        <v>396</v>
      </c>
      <c r="Q11" s="7" t="s">
        <v>401</v>
      </c>
      <c r="R11" s="7" t="s">
        <v>402</v>
      </c>
      <c r="S11" s="7" t="s">
        <v>403</v>
      </c>
      <c r="T11" s="7" t="s">
        <v>404</v>
      </c>
      <c r="U11" s="7" t="s">
        <v>405</v>
      </c>
    </row>
    <row r="12">
      <c r="A12" s="42" t="s">
        <v>406</v>
      </c>
      <c r="B12" s="43"/>
      <c r="C12" s="43"/>
      <c r="D12" s="43">
        <f>SUM(D2:D11)</f>
        <v>32</v>
      </c>
      <c r="E12" s="43"/>
      <c r="F12" s="43"/>
      <c r="G12" s="43"/>
      <c r="H12" s="43">
        <f>SUM(H2:H11)</f>
        <v>14</v>
      </c>
      <c r="I12" s="44"/>
      <c r="J12" s="43">
        <f>SUM(J2:J11)</f>
        <v>130</v>
      </c>
      <c r="K12" s="43"/>
      <c r="L12" s="43">
        <f>SUM(L2:L11)</f>
        <v>11</v>
      </c>
      <c r="M12" s="44"/>
      <c r="N12" s="7" t="s">
        <v>407</v>
      </c>
      <c r="O12" s="22">
        <f>D12/L12</f>
        <v>2.909090909</v>
      </c>
      <c r="P12" s="7" t="s">
        <v>408</v>
      </c>
      <c r="Q12" s="7">
        <v>3.0</v>
      </c>
      <c r="R12" s="7">
        <v>4.0</v>
      </c>
      <c r="S12" s="7">
        <v>4.0</v>
      </c>
      <c r="T12" s="22">
        <f>Q12*R12*S12</f>
        <v>48</v>
      </c>
      <c r="U12" s="22">
        <f>Q12*R12</f>
        <v>12</v>
      </c>
    </row>
    <row r="14">
      <c r="A14" s="38" t="s">
        <v>409</v>
      </c>
      <c r="B14" s="39"/>
      <c r="C14" s="39"/>
      <c r="D14" s="39"/>
      <c r="E14" s="39"/>
      <c r="F14" s="39"/>
      <c r="G14" s="39"/>
      <c r="H14" s="39"/>
      <c r="I14" s="39"/>
      <c r="J14" s="39"/>
      <c r="K14" s="38" t="s">
        <v>410</v>
      </c>
      <c r="L14" s="38"/>
      <c r="M14" s="38" t="s">
        <v>389</v>
      </c>
    </row>
    <row r="15">
      <c r="A15" s="7" t="s">
        <v>411</v>
      </c>
      <c r="B15" s="20">
        <v>1.0</v>
      </c>
      <c r="C15" s="20">
        <v>4.0</v>
      </c>
      <c r="D15" s="40">
        <f t="shared" ref="D15:D22" si="5">C15*B15</f>
        <v>4</v>
      </c>
      <c r="F15" s="20">
        <v>3.0</v>
      </c>
      <c r="G15" s="20">
        <v>90.0</v>
      </c>
      <c r="H15" s="41">
        <f t="shared" ref="H15:H22" si="6">IFERROR(SERIESSUM((1 - G15/100),0,1, SEQUENCE(1, B15,F15,0)), "")</f>
        <v>3</v>
      </c>
      <c r="I15" s="20">
        <v>25.0</v>
      </c>
      <c r="J15" s="40">
        <f t="shared" ref="J15:J22" si="7">I15*B15</f>
        <v>25</v>
      </c>
      <c r="K15" s="20">
        <v>1.0</v>
      </c>
      <c r="L15" s="7">
        <f t="shared" ref="L15:L22" si="8">K15*B15</f>
        <v>1</v>
      </c>
      <c r="M15" s="20" t="s">
        <v>412</v>
      </c>
    </row>
    <row r="16">
      <c r="A16" s="7" t="s">
        <v>413</v>
      </c>
      <c r="B16" s="20">
        <v>1.0</v>
      </c>
      <c r="C16" s="20">
        <v>4.0</v>
      </c>
      <c r="D16" s="40">
        <f t="shared" si="5"/>
        <v>4</v>
      </c>
      <c r="F16" s="20">
        <v>2.0</v>
      </c>
      <c r="G16" s="20">
        <v>50.0</v>
      </c>
      <c r="H16" s="41">
        <f t="shared" si="6"/>
        <v>2</v>
      </c>
      <c r="I16" s="20">
        <v>15.0</v>
      </c>
      <c r="J16" s="40">
        <f t="shared" si="7"/>
        <v>15</v>
      </c>
      <c r="K16" s="20">
        <v>1.0</v>
      </c>
      <c r="L16" s="7">
        <f t="shared" si="8"/>
        <v>1</v>
      </c>
      <c r="M16" s="20" t="s">
        <v>412</v>
      </c>
    </row>
    <row r="17">
      <c r="A17" s="7" t="s">
        <v>395</v>
      </c>
      <c r="B17" s="20">
        <v>0.0</v>
      </c>
      <c r="C17" s="20">
        <v>6.0</v>
      </c>
      <c r="D17" s="40">
        <f t="shared" si="5"/>
        <v>0</v>
      </c>
      <c r="F17" s="20">
        <v>1.0</v>
      </c>
      <c r="G17" s="20">
        <v>50.0</v>
      </c>
      <c r="H17" s="41" t="str">
        <f t="shared" si="6"/>
        <v/>
      </c>
      <c r="I17" s="20">
        <v>30.0</v>
      </c>
      <c r="J17" s="40">
        <f t="shared" si="7"/>
        <v>0</v>
      </c>
      <c r="K17" s="20">
        <v>2.0</v>
      </c>
      <c r="L17" s="7">
        <f t="shared" si="8"/>
        <v>0</v>
      </c>
      <c r="M17" s="20" t="s">
        <v>396</v>
      </c>
    </row>
    <row r="18">
      <c r="A18" s="7" t="s">
        <v>397</v>
      </c>
      <c r="B18" s="20">
        <v>0.0</v>
      </c>
      <c r="C18" s="20">
        <v>8.0</v>
      </c>
      <c r="D18" s="40">
        <f t="shared" si="5"/>
        <v>0</v>
      </c>
      <c r="F18" s="20">
        <v>1.7</v>
      </c>
      <c r="G18" s="20">
        <v>90.0</v>
      </c>
      <c r="H18" s="41" t="str">
        <f t="shared" si="6"/>
        <v/>
      </c>
      <c r="I18" s="20">
        <v>30.0</v>
      </c>
      <c r="J18" s="40">
        <f t="shared" si="7"/>
        <v>0</v>
      </c>
      <c r="K18" s="20">
        <v>2.0</v>
      </c>
      <c r="L18" s="7">
        <f t="shared" si="8"/>
        <v>0</v>
      </c>
      <c r="M18" s="20" t="s">
        <v>396</v>
      </c>
    </row>
    <row r="19">
      <c r="A19" s="7" t="s">
        <v>414</v>
      </c>
      <c r="B19" s="20">
        <v>1.0</v>
      </c>
      <c r="C19" s="20">
        <v>4.0</v>
      </c>
      <c r="D19" s="40">
        <f t="shared" si="5"/>
        <v>4</v>
      </c>
      <c r="F19" s="20">
        <v>4.0</v>
      </c>
      <c r="G19" s="20">
        <v>50.0</v>
      </c>
      <c r="H19" s="41">
        <f t="shared" si="6"/>
        <v>4</v>
      </c>
      <c r="I19" s="20">
        <v>100.0</v>
      </c>
      <c r="J19" s="40">
        <f t="shared" si="7"/>
        <v>100</v>
      </c>
      <c r="K19" s="20">
        <v>0.0</v>
      </c>
      <c r="L19" s="7">
        <f t="shared" si="8"/>
        <v>0</v>
      </c>
      <c r="M19" s="20" t="s">
        <v>415</v>
      </c>
    </row>
    <row r="20">
      <c r="A20" s="7" t="s">
        <v>400</v>
      </c>
      <c r="B20" s="20">
        <v>1.0</v>
      </c>
      <c r="C20" s="20">
        <v>0.0</v>
      </c>
      <c r="D20" s="40">
        <f t="shared" si="5"/>
        <v>0</v>
      </c>
      <c r="F20" s="20">
        <v>3.0</v>
      </c>
      <c r="G20" s="20">
        <v>70.0</v>
      </c>
      <c r="H20" s="41">
        <f t="shared" si="6"/>
        <v>3</v>
      </c>
      <c r="I20" s="20">
        <v>15.0</v>
      </c>
      <c r="J20" s="40">
        <f t="shared" si="7"/>
        <v>15</v>
      </c>
      <c r="K20" s="20">
        <v>2.0</v>
      </c>
      <c r="L20" s="7">
        <f t="shared" si="8"/>
        <v>2</v>
      </c>
      <c r="M20" s="20" t="s">
        <v>396</v>
      </c>
    </row>
    <row r="21">
      <c r="B21" s="20">
        <v>0.0</v>
      </c>
      <c r="C21" s="20">
        <v>0.0</v>
      </c>
      <c r="D21" s="40">
        <f t="shared" si="5"/>
        <v>0</v>
      </c>
      <c r="F21" s="20">
        <v>1.0</v>
      </c>
      <c r="G21" s="20">
        <v>40.0</v>
      </c>
      <c r="H21" s="41" t="str">
        <f t="shared" si="6"/>
        <v/>
      </c>
      <c r="I21" s="20">
        <v>15.0</v>
      </c>
      <c r="J21" s="40">
        <f t="shared" si="7"/>
        <v>0</v>
      </c>
      <c r="K21" s="20">
        <v>2.0</v>
      </c>
      <c r="L21" s="7">
        <f t="shared" si="8"/>
        <v>0</v>
      </c>
      <c r="M21" s="20" t="s">
        <v>396</v>
      </c>
    </row>
    <row r="22">
      <c r="B22" s="20">
        <v>0.0</v>
      </c>
      <c r="C22" s="20">
        <v>0.0</v>
      </c>
      <c r="D22" s="40">
        <f t="shared" si="5"/>
        <v>0</v>
      </c>
      <c r="F22" s="20">
        <v>1.0</v>
      </c>
      <c r="G22" s="20">
        <v>40.0</v>
      </c>
      <c r="H22" s="41" t="str">
        <f t="shared" si="6"/>
        <v/>
      </c>
      <c r="I22" s="20">
        <v>15.0</v>
      </c>
      <c r="J22" s="40">
        <f t="shared" si="7"/>
        <v>0</v>
      </c>
      <c r="K22" s="20">
        <v>2.0</v>
      </c>
      <c r="L22" s="7">
        <f t="shared" si="8"/>
        <v>0</v>
      </c>
      <c r="M22" s="20" t="s">
        <v>396</v>
      </c>
      <c r="Q22" s="7" t="s">
        <v>401</v>
      </c>
      <c r="R22" s="7" t="s">
        <v>402</v>
      </c>
      <c r="S22" s="7" t="s">
        <v>403</v>
      </c>
      <c r="T22" s="7" t="s">
        <v>404</v>
      </c>
      <c r="U22" s="7" t="s">
        <v>405</v>
      </c>
    </row>
    <row r="23">
      <c r="A23" s="42" t="s">
        <v>406</v>
      </c>
      <c r="B23" s="43"/>
      <c r="C23" s="43"/>
      <c r="D23" s="43">
        <f>SUM(D15:D22)</f>
        <v>12</v>
      </c>
      <c r="E23" s="43"/>
      <c r="F23" s="43"/>
      <c r="G23" s="43"/>
      <c r="H23" s="43">
        <f>SUM(H15:H22)</f>
        <v>12</v>
      </c>
      <c r="I23" s="44"/>
      <c r="J23" s="43">
        <f>SUM(J15:J22)</f>
        <v>155</v>
      </c>
      <c r="K23" s="44"/>
      <c r="L23" s="43">
        <f>SUM(L13:L18)</f>
        <v>2</v>
      </c>
      <c r="M23" s="44"/>
      <c r="N23" s="7" t="s">
        <v>407</v>
      </c>
      <c r="O23" s="22">
        <f>D23/L23</f>
        <v>6</v>
      </c>
      <c r="P23" s="7" t="s">
        <v>408</v>
      </c>
      <c r="Q23" s="7">
        <v>3.0</v>
      </c>
      <c r="R23" s="7">
        <v>1.0</v>
      </c>
      <c r="S23" s="7">
        <v>4.0</v>
      </c>
      <c r="T23" s="22">
        <f>Q23*R23*S23</f>
        <v>12</v>
      </c>
      <c r="U23" s="22">
        <f>Q23*R23</f>
        <v>3</v>
      </c>
    </row>
    <row r="25">
      <c r="A25" s="38" t="s">
        <v>416</v>
      </c>
      <c r="B25" s="39"/>
      <c r="C25" s="39"/>
      <c r="D25" s="39"/>
      <c r="E25" s="39"/>
      <c r="F25" s="39"/>
      <c r="G25" s="39"/>
      <c r="H25" s="39"/>
      <c r="I25" s="39"/>
      <c r="J25" s="39"/>
      <c r="K25" s="38" t="s">
        <v>410</v>
      </c>
      <c r="L25" s="38"/>
      <c r="M25" s="38" t="s">
        <v>389</v>
      </c>
    </row>
    <row r="26">
      <c r="A26" s="7" t="s">
        <v>84</v>
      </c>
      <c r="B26" s="20">
        <v>0.0</v>
      </c>
      <c r="C26" s="20">
        <v>18.0</v>
      </c>
      <c r="D26" s="40">
        <f t="shared" ref="D26:D32" si="9">C26*B26</f>
        <v>0</v>
      </c>
      <c r="F26" s="20">
        <v>2.0</v>
      </c>
      <c r="G26" s="20">
        <v>50.0</v>
      </c>
      <c r="H26" s="41" t="str">
        <f t="shared" ref="H26:H32" si="10">IFERROR(SERIESSUM((1 - G26/100),0,1, SEQUENCE(1, B26,F26,0)), "")</f>
        <v/>
      </c>
      <c r="I26" s="20">
        <v>20.0</v>
      </c>
      <c r="J26" s="40">
        <f t="shared" ref="J26:J31" si="11">I26*B26</f>
        <v>0</v>
      </c>
      <c r="K26" s="20">
        <v>2.0</v>
      </c>
      <c r="L26" s="7">
        <f t="shared" ref="L26:L31" si="12">K26*B26</f>
        <v>0</v>
      </c>
      <c r="M26" s="20" t="s">
        <v>396</v>
      </c>
    </row>
    <row r="27">
      <c r="A27" s="7" t="s">
        <v>417</v>
      </c>
      <c r="B27" s="20">
        <v>2.0</v>
      </c>
      <c r="C27" s="20">
        <v>8.0</v>
      </c>
      <c r="D27" s="40">
        <f t="shared" si="9"/>
        <v>16</v>
      </c>
      <c r="F27" s="20">
        <v>3.0</v>
      </c>
      <c r="G27" s="20">
        <v>50.0</v>
      </c>
      <c r="H27" s="41">
        <f t="shared" si="10"/>
        <v>4.5</v>
      </c>
      <c r="I27" s="20">
        <v>25.0</v>
      </c>
      <c r="J27" s="40">
        <f t="shared" si="11"/>
        <v>50</v>
      </c>
      <c r="K27" s="20">
        <v>2.0</v>
      </c>
      <c r="L27" s="7">
        <f t="shared" si="12"/>
        <v>4</v>
      </c>
      <c r="M27" s="20" t="s">
        <v>396</v>
      </c>
    </row>
    <row r="28">
      <c r="A28" s="7" t="s">
        <v>418</v>
      </c>
      <c r="B28" s="20">
        <v>1.0</v>
      </c>
      <c r="C28" s="20">
        <v>4.0</v>
      </c>
      <c r="D28" s="40">
        <f t="shared" si="9"/>
        <v>4</v>
      </c>
      <c r="F28" s="20">
        <v>3.0</v>
      </c>
      <c r="G28" s="20">
        <v>80.0</v>
      </c>
      <c r="H28" s="41">
        <f t="shared" si="10"/>
        <v>3</v>
      </c>
      <c r="I28" s="20">
        <v>20.0</v>
      </c>
      <c r="J28" s="40">
        <f t="shared" si="11"/>
        <v>20</v>
      </c>
      <c r="K28" s="20">
        <v>1.0</v>
      </c>
      <c r="L28" s="7">
        <f t="shared" si="12"/>
        <v>1</v>
      </c>
      <c r="M28" s="20" t="s">
        <v>412</v>
      </c>
    </row>
    <row r="29">
      <c r="A29" s="7" t="s">
        <v>395</v>
      </c>
      <c r="B29" s="20">
        <v>0.0</v>
      </c>
      <c r="C29" s="20">
        <v>6.0</v>
      </c>
      <c r="D29" s="40">
        <f t="shared" si="9"/>
        <v>0</v>
      </c>
      <c r="F29" s="20">
        <v>1.0</v>
      </c>
      <c r="G29" s="20">
        <v>50.0</v>
      </c>
      <c r="H29" s="41" t="str">
        <f t="shared" si="10"/>
        <v/>
      </c>
      <c r="I29" s="20">
        <v>30.0</v>
      </c>
      <c r="J29" s="40">
        <f t="shared" si="11"/>
        <v>0</v>
      </c>
      <c r="K29" s="20">
        <v>2.0</v>
      </c>
      <c r="L29" s="7">
        <f t="shared" si="12"/>
        <v>0</v>
      </c>
      <c r="M29" s="20" t="s">
        <v>396</v>
      </c>
    </row>
    <row r="30">
      <c r="A30" s="7" t="s">
        <v>397</v>
      </c>
      <c r="B30" s="20">
        <v>1.0</v>
      </c>
      <c r="C30" s="20">
        <v>8.0</v>
      </c>
      <c r="D30" s="40">
        <f t="shared" si="9"/>
        <v>8</v>
      </c>
      <c r="F30" s="20">
        <v>1.7</v>
      </c>
      <c r="G30" s="20">
        <v>90.0</v>
      </c>
      <c r="H30" s="41">
        <f t="shared" si="10"/>
        <v>1.7</v>
      </c>
      <c r="I30" s="20">
        <v>30.0</v>
      </c>
      <c r="J30" s="40">
        <f t="shared" si="11"/>
        <v>30</v>
      </c>
      <c r="K30" s="20">
        <v>2.0</v>
      </c>
      <c r="L30" s="7">
        <f t="shared" si="12"/>
        <v>2</v>
      </c>
      <c r="M30" s="20" t="s">
        <v>396</v>
      </c>
    </row>
    <row r="31">
      <c r="A31" s="7" t="s">
        <v>398</v>
      </c>
      <c r="B31" s="20">
        <v>0.0</v>
      </c>
      <c r="C31" s="20">
        <v>8.0</v>
      </c>
      <c r="D31" s="40">
        <f t="shared" si="9"/>
        <v>0</v>
      </c>
      <c r="F31" s="20">
        <v>1.5</v>
      </c>
      <c r="G31" s="20">
        <v>50.0</v>
      </c>
      <c r="H31" s="41" t="str">
        <f t="shared" si="10"/>
        <v/>
      </c>
      <c r="I31" s="20">
        <v>15.0</v>
      </c>
      <c r="J31" s="40">
        <f t="shared" si="11"/>
        <v>0</v>
      </c>
      <c r="K31" s="20">
        <v>0.0</v>
      </c>
      <c r="L31" s="7">
        <f t="shared" si="12"/>
        <v>0</v>
      </c>
      <c r="M31" s="20" t="s">
        <v>399</v>
      </c>
    </row>
    <row r="32">
      <c r="A32" s="7" t="s">
        <v>400</v>
      </c>
      <c r="B32" s="20">
        <v>1.0</v>
      </c>
      <c r="C32" s="20">
        <v>0.0</v>
      </c>
      <c r="D32" s="40">
        <f t="shared" si="9"/>
        <v>0</v>
      </c>
      <c r="F32" s="20">
        <v>3.0</v>
      </c>
      <c r="G32" s="20">
        <v>70.0</v>
      </c>
      <c r="H32" s="41">
        <f t="shared" si="10"/>
        <v>3</v>
      </c>
      <c r="I32" s="20"/>
      <c r="J32" s="40"/>
      <c r="K32" s="20"/>
      <c r="L32" s="7"/>
      <c r="M32" s="20"/>
      <c r="Q32" s="7" t="s">
        <v>401</v>
      </c>
      <c r="R32" s="7" t="s">
        <v>402</v>
      </c>
      <c r="S32" s="7" t="s">
        <v>403</v>
      </c>
      <c r="T32" s="7" t="s">
        <v>404</v>
      </c>
      <c r="U32" s="7" t="s">
        <v>405</v>
      </c>
    </row>
    <row r="33">
      <c r="A33" s="42" t="s">
        <v>406</v>
      </c>
      <c r="B33" s="43"/>
      <c r="C33" s="43"/>
      <c r="D33" s="43">
        <f>SUM(D26:D31)</f>
        <v>28</v>
      </c>
      <c r="E33" s="43"/>
      <c r="F33" s="43"/>
      <c r="G33" s="43"/>
      <c r="H33" s="43">
        <f>SUM(H26:H31)</f>
        <v>9.2</v>
      </c>
      <c r="I33" s="44"/>
      <c r="J33" s="43">
        <f>SUM(J26:J32)</f>
        <v>100</v>
      </c>
      <c r="K33" s="44"/>
      <c r="L33" s="43">
        <f>SUM(L26:L31)</f>
        <v>7</v>
      </c>
      <c r="M33" s="44"/>
      <c r="N33" s="7" t="s">
        <v>407</v>
      </c>
      <c r="O33" s="22">
        <f>D33/L33</f>
        <v>4</v>
      </c>
      <c r="P33" s="7" t="s">
        <v>408</v>
      </c>
      <c r="Q33" s="7">
        <v>3.0</v>
      </c>
      <c r="R33" s="7">
        <v>3.0</v>
      </c>
      <c r="S33" s="7">
        <v>4.0</v>
      </c>
      <c r="T33" s="22">
        <f>Q33*R33*S33</f>
        <v>36</v>
      </c>
      <c r="U33" s="22">
        <f>Q33*R33</f>
        <v>9</v>
      </c>
    </row>
    <row r="35">
      <c r="A35" s="38" t="s">
        <v>419</v>
      </c>
      <c r="B35" s="39"/>
      <c r="C35" s="39"/>
      <c r="D35" s="39"/>
      <c r="E35" s="39"/>
      <c r="F35" s="39"/>
      <c r="G35" s="39"/>
      <c r="H35" s="39"/>
      <c r="I35" s="39"/>
      <c r="J35" s="39"/>
      <c r="K35" s="38" t="s">
        <v>410</v>
      </c>
      <c r="L35" s="38"/>
      <c r="M35" s="38" t="s">
        <v>389</v>
      </c>
    </row>
    <row r="36">
      <c r="A36" s="7" t="s">
        <v>420</v>
      </c>
      <c r="B36" s="20">
        <v>0.0</v>
      </c>
      <c r="C36" s="20">
        <v>4.0</v>
      </c>
      <c r="D36" s="40">
        <f t="shared" ref="D36:D42" si="13">C36*B36</f>
        <v>0</v>
      </c>
      <c r="F36" s="20">
        <v>3.5</v>
      </c>
      <c r="G36" s="20">
        <v>50.0</v>
      </c>
      <c r="H36" s="41" t="str">
        <f t="shared" ref="H36:H42" si="14">IFERROR(SERIESSUM((1 - G36/100),0,1, SEQUENCE(1, B36,F36,0)), "")</f>
        <v/>
      </c>
      <c r="I36" s="20">
        <v>150.0</v>
      </c>
      <c r="J36" s="40">
        <f t="shared" ref="J36:J42" si="15">I36*B36</f>
        <v>0</v>
      </c>
      <c r="K36" s="20">
        <v>1.0</v>
      </c>
      <c r="L36" s="7">
        <f t="shared" ref="L36:L42" si="16">K36*B36</f>
        <v>0</v>
      </c>
      <c r="M36" s="20" t="s">
        <v>412</v>
      </c>
    </row>
    <row r="37">
      <c r="A37" s="7" t="s">
        <v>421</v>
      </c>
      <c r="B37" s="20">
        <v>0.0</v>
      </c>
      <c r="C37" s="20">
        <v>8.0</v>
      </c>
      <c r="D37" s="40">
        <f t="shared" si="13"/>
        <v>0</v>
      </c>
      <c r="F37" s="20">
        <v>0.5</v>
      </c>
      <c r="G37" s="20">
        <v>50.0</v>
      </c>
      <c r="H37" s="41" t="str">
        <f t="shared" si="14"/>
        <v/>
      </c>
      <c r="I37" s="20">
        <v>40.0</v>
      </c>
      <c r="J37" s="40">
        <f t="shared" si="15"/>
        <v>0</v>
      </c>
      <c r="K37" s="20">
        <v>2.0</v>
      </c>
      <c r="L37" s="7">
        <f t="shared" si="16"/>
        <v>0</v>
      </c>
      <c r="M37" s="20" t="s">
        <v>396</v>
      </c>
    </row>
    <row r="38">
      <c r="A38" s="7" t="s">
        <v>422</v>
      </c>
      <c r="B38" s="20">
        <v>1.0</v>
      </c>
      <c r="C38" s="20">
        <v>12.0</v>
      </c>
      <c r="D38" s="40">
        <f t="shared" si="13"/>
        <v>12</v>
      </c>
      <c r="F38" s="20">
        <v>5.0</v>
      </c>
      <c r="G38" s="20">
        <v>90.0</v>
      </c>
      <c r="H38" s="41">
        <f t="shared" si="14"/>
        <v>5</v>
      </c>
      <c r="I38" s="20">
        <v>45.0</v>
      </c>
      <c r="J38" s="40">
        <f t="shared" si="15"/>
        <v>45</v>
      </c>
      <c r="K38" s="20">
        <v>2.0</v>
      </c>
      <c r="L38" s="7">
        <f t="shared" si="16"/>
        <v>2</v>
      </c>
      <c r="M38" s="20" t="s">
        <v>423</v>
      </c>
    </row>
    <row r="39">
      <c r="A39" s="7" t="s">
        <v>424</v>
      </c>
      <c r="B39" s="20">
        <v>1.0</v>
      </c>
      <c r="C39" s="20">
        <v>6.0</v>
      </c>
      <c r="D39" s="40">
        <f t="shared" si="13"/>
        <v>6</v>
      </c>
      <c r="F39" s="20">
        <v>2.0</v>
      </c>
      <c r="G39" s="20">
        <v>20.0</v>
      </c>
      <c r="H39" s="41">
        <f t="shared" si="14"/>
        <v>2</v>
      </c>
      <c r="I39" s="20">
        <v>100.0</v>
      </c>
      <c r="J39" s="40">
        <f t="shared" si="15"/>
        <v>100</v>
      </c>
      <c r="K39" s="20">
        <v>1.0</v>
      </c>
      <c r="L39" s="7">
        <f t="shared" si="16"/>
        <v>1</v>
      </c>
      <c r="M39" s="20" t="s">
        <v>412</v>
      </c>
    </row>
    <row r="40">
      <c r="A40" s="7" t="s">
        <v>398</v>
      </c>
      <c r="B40" s="20">
        <v>0.0</v>
      </c>
      <c r="C40" s="20">
        <v>8.0</v>
      </c>
      <c r="D40" s="40">
        <f t="shared" si="13"/>
        <v>0</v>
      </c>
      <c r="F40" s="20">
        <v>1.5</v>
      </c>
      <c r="G40" s="20">
        <v>50.0</v>
      </c>
      <c r="H40" s="41" t="str">
        <f t="shared" si="14"/>
        <v/>
      </c>
      <c r="I40" s="20">
        <v>15.0</v>
      </c>
      <c r="J40" s="40">
        <f t="shared" si="15"/>
        <v>0</v>
      </c>
      <c r="K40" s="20">
        <v>0.0</v>
      </c>
      <c r="L40" s="7">
        <f t="shared" si="16"/>
        <v>0</v>
      </c>
      <c r="M40" s="20" t="s">
        <v>425</v>
      </c>
    </row>
    <row r="41">
      <c r="A41" s="7" t="s">
        <v>400</v>
      </c>
      <c r="B41" s="20">
        <v>1.0</v>
      </c>
      <c r="C41" s="20">
        <v>0.0</v>
      </c>
      <c r="D41" s="40">
        <f t="shared" si="13"/>
        <v>0</v>
      </c>
      <c r="F41" s="20">
        <v>3.0</v>
      </c>
      <c r="G41" s="20">
        <v>70.0</v>
      </c>
      <c r="H41" s="41">
        <f t="shared" si="14"/>
        <v>3</v>
      </c>
      <c r="I41" s="20">
        <v>30.0</v>
      </c>
      <c r="J41" s="40">
        <f t="shared" si="15"/>
        <v>30</v>
      </c>
      <c r="K41" s="20">
        <v>2.0</v>
      </c>
      <c r="L41" s="7">
        <f t="shared" si="16"/>
        <v>2</v>
      </c>
      <c r="M41" s="20" t="s">
        <v>396</v>
      </c>
    </row>
    <row r="42">
      <c r="A42" s="7" t="s">
        <v>397</v>
      </c>
      <c r="B42" s="20">
        <v>1.0</v>
      </c>
      <c r="C42" s="20">
        <v>8.0</v>
      </c>
      <c r="D42" s="40">
        <f t="shared" si="13"/>
        <v>8</v>
      </c>
      <c r="F42" s="20">
        <v>1.7</v>
      </c>
      <c r="G42" s="20">
        <v>90.0</v>
      </c>
      <c r="H42" s="41">
        <f t="shared" si="14"/>
        <v>1.7</v>
      </c>
      <c r="I42" s="20">
        <v>30.0</v>
      </c>
      <c r="J42" s="40">
        <f t="shared" si="15"/>
        <v>30</v>
      </c>
      <c r="K42" s="20">
        <v>2.0</v>
      </c>
      <c r="L42" s="7">
        <f t="shared" si="16"/>
        <v>2</v>
      </c>
      <c r="M42" s="20" t="s">
        <v>396</v>
      </c>
      <c r="Q42" s="7" t="s">
        <v>401</v>
      </c>
      <c r="R42" s="7" t="s">
        <v>402</v>
      </c>
      <c r="S42" s="7" t="s">
        <v>403</v>
      </c>
      <c r="T42" s="7" t="s">
        <v>404</v>
      </c>
      <c r="U42" s="7" t="s">
        <v>405</v>
      </c>
    </row>
    <row r="43">
      <c r="A43" s="42" t="s">
        <v>406</v>
      </c>
      <c r="B43" s="43"/>
      <c r="C43" s="43"/>
      <c r="D43" s="43">
        <f>SUM(D36:D42)</f>
        <v>26</v>
      </c>
      <c r="E43" s="43"/>
      <c r="F43" s="43"/>
      <c r="G43" s="43"/>
      <c r="H43" s="43">
        <f>SUM(H36:H42)</f>
        <v>11.7</v>
      </c>
      <c r="I43" s="44"/>
      <c r="J43" s="43">
        <f>SUM(J36:J42)</f>
        <v>205</v>
      </c>
      <c r="K43" s="44"/>
      <c r="L43" s="43">
        <f>SUM(L36:L42)</f>
        <v>7</v>
      </c>
      <c r="M43" s="44"/>
      <c r="N43" s="7" t="s">
        <v>407</v>
      </c>
      <c r="O43" s="22">
        <f>D43/L43</f>
        <v>3.714285714</v>
      </c>
      <c r="P43" s="7" t="s">
        <v>408</v>
      </c>
      <c r="Q43" s="7">
        <v>3.0</v>
      </c>
      <c r="R43" s="7">
        <v>3.0</v>
      </c>
      <c r="S43" s="7">
        <v>4.0</v>
      </c>
      <c r="T43" s="22">
        <f>Q43*R43*S43</f>
        <v>36</v>
      </c>
      <c r="U43" s="22">
        <f>Q43*R43</f>
        <v>9</v>
      </c>
    </row>
    <row r="44">
      <c r="A44" s="7"/>
      <c r="S44" s="34"/>
      <c r="T44" s="34"/>
      <c r="U44" s="34"/>
    </row>
    <row r="45">
      <c r="A45" s="38" t="s">
        <v>426</v>
      </c>
      <c r="B45" s="39"/>
      <c r="C45" s="39"/>
      <c r="D45" s="39"/>
      <c r="E45" s="39"/>
      <c r="F45" s="39"/>
      <c r="G45" s="39"/>
      <c r="H45" s="39"/>
      <c r="I45" s="39"/>
      <c r="J45" s="39"/>
      <c r="K45" s="38" t="s">
        <v>410</v>
      </c>
      <c r="L45" s="38"/>
      <c r="M45" s="38" t="s">
        <v>389</v>
      </c>
    </row>
    <row r="46">
      <c r="A46" s="7" t="s">
        <v>427</v>
      </c>
      <c r="B46" s="20">
        <v>1.0</v>
      </c>
      <c r="C46" s="20">
        <v>0.0</v>
      </c>
      <c r="D46" s="45">
        <f t="shared" ref="D46:D50" si="17">C46*B46</f>
        <v>0</v>
      </c>
      <c r="F46" s="20">
        <v>5.0</v>
      </c>
      <c r="G46" s="20">
        <v>80.0</v>
      </c>
      <c r="H46" s="41">
        <f t="shared" ref="H46:H50" si="18">IFERROR(SERIESSUM((1 - G46/100),0,1, SEQUENCE(1, B46,F46,0)), "")</f>
        <v>5</v>
      </c>
      <c r="I46" s="20">
        <v>18.0</v>
      </c>
      <c r="J46" s="40">
        <f t="shared" ref="J46:J50" si="19">I46*B46</f>
        <v>18</v>
      </c>
      <c r="K46" s="20">
        <v>4.0</v>
      </c>
      <c r="L46" s="7">
        <f t="shared" ref="L46:L50" si="20">K46*B46</f>
        <v>4</v>
      </c>
      <c r="M46" s="20" t="s">
        <v>394</v>
      </c>
      <c r="AG46" s="46" t="s">
        <v>428</v>
      </c>
      <c r="AI46" s="47"/>
      <c r="AJ46" s="48"/>
      <c r="AK46" s="48"/>
    </row>
    <row r="47">
      <c r="A47" s="7" t="s">
        <v>429</v>
      </c>
      <c r="B47" s="20">
        <v>2.0</v>
      </c>
      <c r="C47" s="20">
        <v>0.0</v>
      </c>
      <c r="D47" s="45">
        <f t="shared" si="17"/>
        <v>0</v>
      </c>
      <c r="F47" s="20">
        <v>4.0</v>
      </c>
      <c r="G47" s="20">
        <v>30.0</v>
      </c>
      <c r="H47" s="41">
        <f t="shared" si="18"/>
        <v>6.8</v>
      </c>
      <c r="I47" s="20">
        <v>30.0</v>
      </c>
      <c r="J47" s="40">
        <f t="shared" si="19"/>
        <v>60</v>
      </c>
      <c r="K47" s="20">
        <v>9.0</v>
      </c>
      <c r="L47" s="7">
        <f t="shared" si="20"/>
        <v>18</v>
      </c>
      <c r="M47" s="20" t="s">
        <v>430</v>
      </c>
      <c r="AG47" s="49"/>
      <c r="AI47" s="47" t="s">
        <v>416</v>
      </c>
      <c r="AJ47" s="48"/>
      <c r="AK47" s="48"/>
    </row>
    <row r="48">
      <c r="A48" s="7" t="s">
        <v>431</v>
      </c>
      <c r="B48" s="20">
        <v>0.0</v>
      </c>
      <c r="C48" s="20">
        <v>0.0</v>
      </c>
      <c r="D48" s="45">
        <f t="shared" si="17"/>
        <v>0</v>
      </c>
      <c r="F48" s="20">
        <v>2.0</v>
      </c>
      <c r="G48" s="20">
        <v>60.0</v>
      </c>
      <c r="H48" s="41" t="str">
        <f t="shared" si="18"/>
        <v/>
      </c>
      <c r="I48" s="20">
        <v>10.0</v>
      </c>
      <c r="J48" s="40">
        <f t="shared" si="19"/>
        <v>0</v>
      </c>
      <c r="K48" s="20">
        <v>2.0</v>
      </c>
      <c r="L48" s="7">
        <f t="shared" si="20"/>
        <v>0</v>
      </c>
      <c r="M48" s="20" t="s">
        <v>394</v>
      </c>
      <c r="AG48" s="49"/>
      <c r="AI48" s="48"/>
      <c r="AJ48" s="48"/>
      <c r="AK48" s="48"/>
    </row>
    <row r="49">
      <c r="A49" s="7" t="s">
        <v>432</v>
      </c>
      <c r="B49" s="20">
        <v>1.0</v>
      </c>
      <c r="C49" s="20">
        <v>0.0</v>
      </c>
      <c r="D49" s="45">
        <f t="shared" si="17"/>
        <v>0</v>
      </c>
      <c r="F49" s="20">
        <v>4.0</v>
      </c>
      <c r="G49" s="20">
        <v>70.0</v>
      </c>
      <c r="H49" s="41">
        <f t="shared" si="18"/>
        <v>4</v>
      </c>
      <c r="I49" s="20">
        <v>0.0</v>
      </c>
      <c r="J49" s="40">
        <f t="shared" si="19"/>
        <v>0</v>
      </c>
      <c r="K49" s="20">
        <v>0.0</v>
      </c>
      <c r="L49" s="7">
        <f t="shared" si="20"/>
        <v>0</v>
      </c>
      <c r="M49" s="20"/>
    </row>
    <row r="50">
      <c r="B50" s="20">
        <v>0.0</v>
      </c>
      <c r="C50" s="20">
        <v>0.0</v>
      </c>
      <c r="D50" s="45">
        <f t="shared" si="17"/>
        <v>0</v>
      </c>
      <c r="F50" s="20">
        <v>1.0</v>
      </c>
      <c r="G50" s="20">
        <v>40.0</v>
      </c>
      <c r="H50" s="41" t="str">
        <f t="shared" si="18"/>
        <v/>
      </c>
      <c r="I50" s="20">
        <v>0.0</v>
      </c>
      <c r="J50" s="40">
        <f t="shared" si="19"/>
        <v>0</v>
      </c>
      <c r="K50" s="20">
        <v>0.0</v>
      </c>
      <c r="L50" s="7">
        <f t="shared" si="20"/>
        <v>0</v>
      </c>
      <c r="M50" s="20"/>
      <c r="Q50" s="7" t="s">
        <v>401</v>
      </c>
      <c r="R50" s="7" t="s">
        <v>402</v>
      </c>
      <c r="S50" s="7" t="s">
        <v>403</v>
      </c>
    </row>
    <row r="51">
      <c r="A51" s="42" t="s">
        <v>406</v>
      </c>
      <c r="B51" s="43"/>
      <c r="C51" s="43"/>
      <c r="D51" s="43">
        <f>SUM(D46:D50)</f>
        <v>0</v>
      </c>
      <c r="E51" s="43"/>
      <c r="F51" s="43"/>
      <c r="G51" s="43"/>
      <c r="H51" s="43">
        <f>SUM(H46:H50)</f>
        <v>15.8</v>
      </c>
      <c r="I51" s="44"/>
      <c r="J51" s="43">
        <f>SUM(J46:J50)</f>
        <v>78</v>
      </c>
      <c r="K51" s="44"/>
      <c r="L51" s="43">
        <f>SUM(L46:L50)</f>
        <v>22</v>
      </c>
      <c r="M51" s="44"/>
      <c r="N51" s="7" t="s">
        <v>407</v>
      </c>
      <c r="O51" s="22">
        <f>D51/L51</f>
        <v>0</v>
      </c>
      <c r="P51" s="7" t="s">
        <v>408</v>
      </c>
      <c r="Q51" s="7">
        <v>4.0</v>
      </c>
      <c r="R51" s="7">
        <v>4.0</v>
      </c>
      <c r="S51" s="7">
        <v>4.0</v>
      </c>
      <c r="T51" s="22">
        <f>Q51*R51*S51</f>
        <v>64</v>
      </c>
    </row>
    <row r="52">
      <c r="A52" s="7"/>
      <c r="G52" s="3" t="s">
        <v>433</v>
      </c>
      <c r="H52" s="34">
        <f>H51+H43+H33+H23+H12</f>
        <v>62.7</v>
      </c>
      <c r="S52" s="34"/>
      <c r="T52" s="34">
        <f t="shared" ref="T52:U52" si="21">T43+T33+T23+T12</f>
        <v>132</v>
      </c>
      <c r="U52" s="34">
        <f t="shared" si="21"/>
        <v>33</v>
      </c>
      <c r="W52" s="50"/>
      <c r="X52" s="51"/>
      <c r="Y52" s="51"/>
      <c r="Z52" s="51"/>
      <c r="AA52" s="52"/>
      <c r="AB52" s="50"/>
      <c r="AC52" s="51"/>
      <c r="AD52" s="51"/>
      <c r="AE52" s="51"/>
      <c r="AF52" s="52"/>
      <c r="AG52" s="50"/>
      <c r="AH52" s="51"/>
      <c r="AI52" s="51"/>
      <c r="AJ52" s="51"/>
      <c r="AK52" s="52"/>
      <c r="AL52" s="50"/>
      <c r="AM52" s="51"/>
      <c r="AN52" s="51"/>
      <c r="AO52" s="51"/>
      <c r="AP52" s="53"/>
    </row>
    <row r="53">
      <c r="A53" s="3" t="s">
        <v>434</v>
      </c>
      <c r="B53" s="7" t="s">
        <v>435</v>
      </c>
      <c r="C53" s="7" t="s">
        <v>436</v>
      </c>
      <c r="D53" s="7" t="s">
        <v>437</v>
      </c>
      <c r="G53" s="3" t="s">
        <v>438</v>
      </c>
      <c r="H53" s="34">
        <f>H43+H33+H23+H12</f>
        <v>46.9</v>
      </c>
      <c r="W53" s="54"/>
      <c r="X53" s="55" t="s">
        <v>378</v>
      </c>
      <c r="Y53" s="56"/>
      <c r="Z53" s="56"/>
      <c r="AA53" s="57"/>
      <c r="AB53" s="54"/>
      <c r="AC53" s="58"/>
      <c r="AD53" s="59"/>
      <c r="AE53" s="59"/>
      <c r="AF53" s="60"/>
      <c r="AG53" s="61"/>
      <c r="AH53" s="59"/>
      <c r="AI53" s="59"/>
      <c r="AJ53" s="45"/>
      <c r="AK53" s="62" t="s">
        <v>378</v>
      </c>
      <c r="AL53" s="63"/>
      <c r="AM53" s="56"/>
      <c r="AN53" s="56"/>
      <c r="AO53" s="45"/>
      <c r="AP53" s="33"/>
    </row>
    <row r="54">
      <c r="A54" s="7" t="s">
        <v>439</v>
      </c>
      <c r="B54" s="7">
        <v>0.6</v>
      </c>
      <c r="C54" s="7">
        <v>852.0</v>
      </c>
      <c r="D54" s="21">
        <f>C54*B54</f>
        <v>511.2</v>
      </c>
      <c r="W54" s="54"/>
      <c r="X54" s="55"/>
      <c r="Y54" s="56"/>
      <c r="Z54" s="56"/>
      <c r="AA54" s="57"/>
      <c r="AB54" s="54"/>
      <c r="AC54" s="58" t="s">
        <v>440</v>
      </c>
      <c r="AD54" s="59"/>
      <c r="AE54" s="59"/>
      <c r="AF54" s="60"/>
      <c r="AG54" s="61" t="s">
        <v>440</v>
      </c>
      <c r="AH54" s="59"/>
      <c r="AI54" s="59"/>
      <c r="AJ54" s="45"/>
      <c r="AK54" s="62"/>
      <c r="AL54" s="63"/>
      <c r="AM54" s="56"/>
      <c r="AN54" s="56"/>
      <c r="AO54" s="45"/>
      <c r="AP54" s="33"/>
    </row>
    <row r="55">
      <c r="A55" s="7" t="s">
        <v>441</v>
      </c>
      <c r="D55" s="21">
        <f>(J43+J33+J23+J12)*3</f>
        <v>1770</v>
      </c>
      <c r="W55" s="54"/>
      <c r="X55" s="56"/>
      <c r="Y55" s="56"/>
      <c r="Z55" s="56"/>
      <c r="AA55" s="57"/>
      <c r="AB55" s="54"/>
      <c r="AC55" s="59"/>
      <c r="AD55" s="59"/>
      <c r="AE55" s="59"/>
      <c r="AF55" s="60"/>
      <c r="AG55" s="64"/>
      <c r="AH55" s="59"/>
      <c r="AI55" s="59"/>
      <c r="AJ55" s="45"/>
      <c r="AK55" s="57"/>
      <c r="AL55" s="63"/>
      <c r="AM55" s="56"/>
      <c r="AN55" s="56"/>
      <c r="AO55" s="45"/>
      <c r="AP55" s="33"/>
    </row>
    <row r="56">
      <c r="A56" s="7" t="s">
        <v>442</v>
      </c>
      <c r="D56" s="19">
        <f>500</f>
        <v>500</v>
      </c>
      <c r="W56" s="65"/>
      <c r="X56" s="66"/>
      <c r="Y56" s="66"/>
      <c r="Z56" s="66"/>
      <c r="AA56" s="67"/>
      <c r="AB56" s="65"/>
      <c r="AC56" s="66"/>
      <c r="AD56" s="66"/>
      <c r="AE56" s="66"/>
      <c r="AF56" s="67"/>
      <c r="AG56" s="65"/>
      <c r="AH56" s="66"/>
      <c r="AI56" s="66"/>
      <c r="AJ56" s="66"/>
      <c r="AK56" s="67"/>
      <c r="AL56" s="65"/>
      <c r="AM56" s="66"/>
      <c r="AN56" s="66"/>
      <c r="AO56" s="66"/>
      <c r="AP56" s="68"/>
    </row>
    <row r="57">
      <c r="A57" s="7" t="s">
        <v>443</v>
      </c>
      <c r="D57" s="69">
        <f>D56+D55+D54</f>
        <v>2781.2</v>
      </c>
      <c r="W57" s="70" t="s">
        <v>426</v>
      </c>
      <c r="X57" s="71"/>
      <c r="Y57" s="71"/>
      <c r="Z57" s="51"/>
      <c r="AA57" s="72" t="s">
        <v>428</v>
      </c>
      <c r="AB57" s="50"/>
      <c r="AC57" s="73"/>
      <c r="AD57" s="74"/>
      <c r="AE57" s="74"/>
      <c r="AF57" s="52"/>
      <c r="AG57" s="75"/>
      <c r="AH57" s="74"/>
      <c r="AI57" s="74"/>
      <c r="AJ57" s="51"/>
      <c r="AK57" s="72" t="s">
        <v>428</v>
      </c>
      <c r="AL57" s="50"/>
      <c r="AM57" s="76" t="s">
        <v>426</v>
      </c>
      <c r="AN57" s="71"/>
      <c r="AO57" s="71"/>
      <c r="AP57" s="53"/>
    </row>
    <row r="58">
      <c r="A58" s="7" t="s">
        <v>444</v>
      </c>
      <c r="B58" s="7">
        <v>15.0</v>
      </c>
      <c r="C58" s="7">
        <v>3.0</v>
      </c>
      <c r="D58" s="19">
        <f>B58*C58</f>
        <v>45</v>
      </c>
      <c r="W58" s="77"/>
      <c r="X58" s="78"/>
      <c r="Y58" s="78"/>
      <c r="Z58" s="45"/>
      <c r="AA58" s="79"/>
      <c r="AB58" s="54"/>
      <c r="AC58" s="47" t="s">
        <v>416</v>
      </c>
      <c r="AD58" s="48"/>
      <c r="AE58" s="48"/>
      <c r="AF58" s="60"/>
      <c r="AG58" s="80" t="s">
        <v>416</v>
      </c>
      <c r="AH58" s="48"/>
      <c r="AI58" s="48"/>
      <c r="AJ58" s="45"/>
      <c r="AK58" s="79"/>
      <c r="AL58" s="54"/>
      <c r="AM58" s="78"/>
      <c r="AN58" s="78"/>
      <c r="AO58" s="78"/>
      <c r="AP58" s="33"/>
    </row>
    <row r="59">
      <c r="A59" s="7" t="s">
        <v>445</v>
      </c>
      <c r="D59" s="21">
        <f>D58*0.75</f>
        <v>33.75</v>
      </c>
      <c r="W59" s="77"/>
      <c r="X59" s="78"/>
      <c r="Y59" s="78"/>
      <c r="Z59" s="45"/>
      <c r="AA59" s="79"/>
      <c r="AB59" s="54"/>
      <c r="AC59" s="48"/>
      <c r="AD59" s="48"/>
      <c r="AE59" s="48"/>
      <c r="AF59" s="60"/>
      <c r="AG59" s="81"/>
      <c r="AH59" s="48"/>
      <c r="AI59" s="48"/>
      <c r="AJ59" s="45"/>
      <c r="AK59" s="79"/>
      <c r="AL59" s="54"/>
      <c r="AM59" s="78"/>
      <c r="AN59" s="78"/>
      <c r="AO59" s="78"/>
      <c r="AP59" s="33"/>
    </row>
    <row r="60">
      <c r="A60" s="7" t="s">
        <v>446</v>
      </c>
      <c r="D60" s="21">
        <f>D57/D59</f>
        <v>82.40592593</v>
      </c>
      <c r="W60" s="77"/>
      <c r="X60" s="78"/>
      <c r="Y60" s="78"/>
      <c r="Z60" s="45"/>
      <c r="AA60" s="60"/>
      <c r="AB60" s="54"/>
      <c r="AC60" s="45"/>
      <c r="AD60" s="45"/>
      <c r="AE60" s="45"/>
      <c r="AF60" s="60"/>
      <c r="AG60" s="54"/>
      <c r="AH60" s="45"/>
      <c r="AI60" s="45"/>
      <c r="AJ60" s="45"/>
      <c r="AK60" s="60"/>
      <c r="AL60" s="54"/>
      <c r="AM60" s="78"/>
      <c r="AN60" s="78"/>
      <c r="AO60" s="78"/>
      <c r="AP60" s="33"/>
    </row>
    <row r="61">
      <c r="W61" s="82"/>
      <c r="X61" s="83"/>
      <c r="Y61" s="83"/>
      <c r="Z61" s="39"/>
      <c r="AA61" s="68"/>
      <c r="AB61" s="84" t="s">
        <v>447</v>
      </c>
      <c r="AC61" s="39"/>
      <c r="AD61" s="39"/>
      <c r="AE61" s="39"/>
      <c r="AF61" s="85"/>
      <c r="AG61" s="86"/>
      <c r="AH61" s="87"/>
      <c r="AI61" s="87"/>
      <c r="AJ61" s="88" t="s">
        <v>447</v>
      </c>
      <c r="AK61" s="85"/>
      <c r="AL61" s="86"/>
      <c r="AM61" s="83"/>
      <c r="AN61" s="83"/>
      <c r="AO61" s="83"/>
      <c r="AP61" s="68"/>
    </row>
    <row r="62">
      <c r="A62" s="7" t="s">
        <v>448</v>
      </c>
      <c r="B62" s="7" t="s">
        <v>449</v>
      </c>
      <c r="C62" s="7" t="s">
        <v>450</v>
      </c>
      <c r="D62" s="7" t="s">
        <v>451</v>
      </c>
      <c r="Y62" s="7"/>
    </row>
    <row r="63">
      <c r="A63" s="7" t="s">
        <v>413</v>
      </c>
      <c r="B63" s="20">
        <v>6.0</v>
      </c>
      <c r="C63" s="20">
        <v>6.0</v>
      </c>
      <c r="D63" s="22">
        <f t="shared" ref="D63:D81" si="22">B63-C63</f>
        <v>0</v>
      </c>
    </row>
    <row r="64">
      <c r="A64" s="7" t="s">
        <v>418</v>
      </c>
      <c r="B64" s="20">
        <v>3.0</v>
      </c>
      <c r="C64" s="20">
        <v>3.0</v>
      </c>
      <c r="D64" s="22">
        <f t="shared" si="22"/>
        <v>0</v>
      </c>
    </row>
    <row r="65">
      <c r="A65" s="7" t="s">
        <v>452</v>
      </c>
      <c r="B65" s="20">
        <v>0.0</v>
      </c>
      <c r="C65" s="20">
        <v>0.0</v>
      </c>
      <c r="D65" s="22">
        <f t="shared" si="22"/>
        <v>0</v>
      </c>
      <c r="Z65" s="7"/>
    </row>
    <row r="66">
      <c r="A66" s="7" t="s">
        <v>453</v>
      </c>
      <c r="B66" s="20">
        <v>3.0</v>
      </c>
      <c r="C66" s="20">
        <v>3.0</v>
      </c>
      <c r="D66" s="22">
        <f t="shared" si="22"/>
        <v>0</v>
      </c>
    </row>
    <row r="67">
      <c r="A67" s="7" t="s">
        <v>395</v>
      </c>
      <c r="B67" s="20">
        <v>0.0</v>
      </c>
      <c r="C67" s="20">
        <v>0.0</v>
      </c>
      <c r="D67" s="22">
        <f t="shared" si="22"/>
        <v>0</v>
      </c>
    </row>
    <row r="68">
      <c r="A68" s="7" t="s">
        <v>397</v>
      </c>
      <c r="B68" s="20">
        <v>6.0</v>
      </c>
      <c r="C68" s="20">
        <v>6.0</v>
      </c>
      <c r="D68" s="22">
        <f t="shared" si="22"/>
        <v>0</v>
      </c>
    </row>
    <row r="69">
      <c r="A69" s="7" t="s">
        <v>454</v>
      </c>
      <c r="B69" s="20">
        <v>3.0</v>
      </c>
      <c r="C69" s="20">
        <v>3.0</v>
      </c>
      <c r="D69" s="22">
        <f t="shared" si="22"/>
        <v>0</v>
      </c>
    </row>
    <row r="70">
      <c r="A70" s="7" t="s">
        <v>392</v>
      </c>
      <c r="B70" s="20">
        <v>6.0</v>
      </c>
      <c r="C70" s="20">
        <v>6.0</v>
      </c>
      <c r="D70" s="22">
        <f t="shared" si="22"/>
        <v>0</v>
      </c>
      <c r="V70" s="50"/>
      <c r="W70" s="51"/>
      <c r="X70" s="51"/>
      <c r="Y70" s="51"/>
      <c r="Z70" s="52"/>
      <c r="AA70" s="50"/>
      <c r="AB70" s="51"/>
      <c r="AC70" s="51"/>
      <c r="AD70" s="51"/>
      <c r="AE70" s="51"/>
      <c r="AF70" s="50"/>
      <c r="AG70" s="51"/>
      <c r="AH70" s="51"/>
      <c r="AI70" s="51"/>
      <c r="AJ70" s="52"/>
      <c r="AK70" s="51"/>
      <c r="AL70" s="51"/>
      <c r="AM70" s="51"/>
      <c r="AN70" s="51"/>
      <c r="AO70" s="53"/>
    </row>
    <row r="71">
      <c r="A71" s="7" t="s">
        <v>92</v>
      </c>
      <c r="B71" s="20">
        <v>3.0</v>
      </c>
      <c r="C71" s="20">
        <v>3.0</v>
      </c>
      <c r="D71" s="22">
        <f t="shared" si="22"/>
        <v>0</v>
      </c>
      <c r="V71" s="54"/>
      <c r="W71" s="58"/>
      <c r="X71" s="59"/>
      <c r="Y71" s="45"/>
      <c r="Z71" s="89"/>
      <c r="AA71" s="81"/>
      <c r="AB71" s="48"/>
      <c r="AC71" s="45"/>
      <c r="AD71" s="46" t="s">
        <v>428</v>
      </c>
      <c r="AE71" s="45"/>
      <c r="AF71" s="90" t="s">
        <v>428</v>
      </c>
      <c r="AG71" s="45"/>
      <c r="AH71" s="47"/>
      <c r="AI71" s="48"/>
      <c r="AJ71" s="91"/>
      <c r="AK71" s="45"/>
      <c r="AL71" s="58"/>
      <c r="AM71" s="59"/>
      <c r="AN71" s="45"/>
      <c r="AO71" s="33"/>
    </row>
    <row r="72">
      <c r="A72" s="7" t="s">
        <v>455</v>
      </c>
      <c r="B72" s="20">
        <v>3.0</v>
      </c>
      <c r="C72" s="20">
        <v>3.0</v>
      </c>
      <c r="D72" s="22">
        <f t="shared" si="22"/>
        <v>0</v>
      </c>
      <c r="V72" s="54"/>
      <c r="W72" s="58" t="s">
        <v>440</v>
      </c>
      <c r="X72" s="59"/>
      <c r="Y72" s="45"/>
      <c r="Z72" s="89" t="s">
        <v>416</v>
      </c>
      <c r="AA72" s="81"/>
      <c r="AB72" s="48"/>
      <c r="AC72" s="45"/>
      <c r="AD72" s="49"/>
      <c r="AE72" s="45"/>
      <c r="AF72" s="92"/>
      <c r="AG72" s="45"/>
      <c r="AH72" s="47" t="s">
        <v>416</v>
      </c>
      <c r="AI72" s="48"/>
      <c r="AJ72" s="91"/>
      <c r="AK72" s="45"/>
      <c r="AL72" s="58" t="s">
        <v>440</v>
      </c>
      <c r="AM72" s="59"/>
      <c r="AN72" s="45"/>
      <c r="AO72" s="33"/>
    </row>
    <row r="73">
      <c r="A73" s="7" t="s">
        <v>84</v>
      </c>
      <c r="B73" s="20">
        <v>0.0</v>
      </c>
      <c r="C73" s="20">
        <v>0.0</v>
      </c>
      <c r="D73" s="22">
        <f t="shared" si="22"/>
        <v>0</v>
      </c>
      <c r="V73" s="54"/>
      <c r="W73" s="59"/>
      <c r="X73" s="59"/>
      <c r="Y73" s="45"/>
      <c r="Z73" s="91"/>
      <c r="AA73" s="81"/>
      <c r="AB73" s="48"/>
      <c r="AC73" s="45"/>
      <c r="AD73" s="49"/>
      <c r="AE73" s="45"/>
      <c r="AF73" s="92"/>
      <c r="AG73" s="45"/>
      <c r="AH73" s="48"/>
      <c r="AI73" s="48"/>
      <c r="AJ73" s="91"/>
      <c r="AK73" s="45"/>
      <c r="AL73" s="59"/>
      <c r="AM73" s="59"/>
      <c r="AN73" s="45"/>
      <c r="AO73" s="33"/>
    </row>
    <row r="74">
      <c r="A74" s="7" t="s">
        <v>417</v>
      </c>
      <c r="B74" s="20">
        <v>6.0</v>
      </c>
      <c r="C74" s="20">
        <v>6.0</v>
      </c>
      <c r="D74" s="22">
        <f t="shared" si="22"/>
        <v>0</v>
      </c>
      <c r="V74" s="65"/>
      <c r="W74" s="66"/>
      <c r="X74" s="66"/>
      <c r="Y74" s="66"/>
      <c r="Z74" s="67"/>
      <c r="AA74" s="65"/>
      <c r="AB74" s="66"/>
      <c r="AC74" s="66"/>
      <c r="AD74" s="66"/>
      <c r="AE74" s="66"/>
      <c r="AF74" s="54"/>
      <c r="AG74" s="45"/>
      <c r="AH74" s="45"/>
      <c r="AI74" s="45"/>
      <c r="AJ74" s="60"/>
      <c r="AK74" s="45"/>
      <c r="AL74" s="45"/>
      <c r="AM74" s="45"/>
      <c r="AN74" s="45"/>
      <c r="AO74" s="33"/>
    </row>
    <row r="75">
      <c r="A75" s="7" t="s">
        <v>398</v>
      </c>
      <c r="B75" s="20">
        <v>9.0</v>
      </c>
      <c r="C75" s="20">
        <v>9.0</v>
      </c>
      <c r="D75" s="22">
        <f t="shared" si="22"/>
        <v>0</v>
      </c>
      <c r="V75" s="50"/>
      <c r="W75" s="93" t="s">
        <v>378</v>
      </c>
      <c r="X75" s="94"/>
      <c r="Y75" s="94"/>
      <c r="Z75" s="52"/>
      <c r="AA75" s="95"/>
      <c r="AB75" s="96"/>
      <c r="AC75" s="96"/>
      <c r="AD75" s="96"/>
      <c r="AE75" s="96"/>
      <c r="AF75" s="95"/>
      <c r="AG75" s="96"/>
      <c r="AH75" s="96"/>
      <c r="AI75" s="96"/>
      <c r="AJ75" s="52"/>
      <c r="AK75" s="93" t="s">
        <v>378</v>
      </c>
      <c r="AL75" s="94"/>
      <c r="AM75" s="94"/>
      <c r="AN75" s="51"/>
      <c r="AO75" s="53"/>
    </row>
    <row r="76">
      <c r="A76" s="7" t="s">
        <v>429</v>
      </c>
      <c r="B76" s="20">
        <v>1.0</v>
      </c>
      <c r="C76" s="20">
        <v>1.0</v>
      </c>
      <c r="D76" s="22">
        <f t="shared" si="22"/>
        <v>0</v>
      </c>
      <c r="V76" s="54"/>
      <c r="W76" s="56"/>
      <c r="X76" s="56"/>
      <c r="Y76" s="56"/>
      <c r="Z76" s="60"/>
      <c r="AA76" s="97"/>
      <c r="AB76" s="98"/>
      <c r="AC76" s="98"/>
      <c r="AD76" s="98"/>
      <c r="AE76" s="98"/>
      <c r="AF76" s="97"/>
      <c r="AG76" s="98"/>
      <c r="AH76" s="98"/>
      <c r="AI76" s="98"/>
      <c r="AJ76" s="60"/>
      <c r="AK76" s="56"/>
      <c r="AL76" s="56"/>
      <c r="AM76" s="56"/>
      <c r="AN76" s="45"/>
      <c r="AO76" s="33"/>
    </row>
    <row r="77">
      <c r="A77" s="7" t="s">
        <v>424</v>
      </c>
      <c r="B77" s="20">
        <v>3.0</v>
      </c>
      <c r="C77" s="20">
        <v>3.0</v>
      </c>
      <c r="D77" s="22">
        <f t="shared" si="22"/>
        <v>0</v>
      </c>
      <c r="V77" s="54"/>
      <c r="W77" s="56"/>
      <c r="X77" s="56"/>
      <c r="Y77" s="56"/>
      <c r="Z77" s="60"/>
      <c r="AA77" s="97"/>
      <c r="AB77" s="98"/>
      <c r="AC77" s="98"/>
      <c r="AD77" s="98"/>
      <c r="AE77" s="98"/>
      <c r="AF77" s="97"/>
      <c r="AG77" s="98"/>
      <c r="AH77" s="98"/>
      <c r="AI77" s="98"/>
      <c r="AJ77" s="60"/>
      <c r="AK77" s="56"/>
      <c r="AL77" s="56"/>
      <c r="AM77" s="56"/>
      <c r="AN77" s="45"/>
      <c r="AO77" s="33"/>
    </row>
    <row r="78">
      <c r="A78" s="7" t="s">
        <v>414</v>
      </c>
      <c r="B78" s="20">
        <v>3.0</v>
      </c>
      <c r="C78" s="20">
        <v>0.0</v>
      </c>
      <c r="D78" s="22">
        <f t="shared" si="22"/>
        <v>3</v>
      </c>
      <c r="V78" s="54"/>
      <c r="W78" s="56"/>
      <c r="X78" s="56"/>
      <c r="Y78" s="56"/>
      <c r="Z78" s="60"/>
      <c r="AA78" s="99" t="s">
        <v>447</v>
      </c>
      <c r="AB78" s="98"/>
      <c r="AC78" s="98"/>
      <c r="AD78" s="98"/>
      <c r="AE78" s="100"/>
      <c r="AF78" s="101"/>
      <c r="AG78" s="100"/>
      <c r="AH78" s="100"/>
      <c r="AI78" s="102" t="s">
        <v>447</v>
      </c>
      <c r="AJ78" s="60"/>
      <c r="AK78" s="56"/>
      <c r="AL78" s="56"/>
      <c r="AM78" s="56"/>
      <c r="AN78" s="45"/>
      <c r="AO78" s="33"/>
    </row>
    <row r="79">
      <c r="B79" s="20">
        <v>0.0</v>
      </c>
      <c r="C79" s="20">
        <v>0.0</v>
      </c>
      <c r="D79" s="22">
        <f t="shared" si="22"/>
        <v>0</v>
      </c>
      <c r="V79" s="65"/>
      <c r="W79" s="66"/>
      <c r="X79" s="66"/>
      <c r="Y79" s="66"/>
      <c r="Z79" s="67"/>
      <c r="AA79" s="86"/>
      <c r="AB79" s="87"/>
      <c r="AC79" s="87"/>
      <c r="AD79" s="87"/>
      <c r="AE79" s="87"/>
      <c r="AF79" s="86"/>
      <c r="AG79" s="87"/>
      <c r="AH79" s="87"/>
      <c r="AI79" s="87"/>
      <c r="AJ79" s="67"/>
      <c r="AK79" s="66"/>
      <c r="AL79" s="66"/>
      <c r="AM79" s="66"/>
      <c r="AN79" s="66"/>
      <c r="AO79" s="68"/>
    </row>
    <row r="80">
      <c r="B80" s="20">
        <v>0.0</v>
      </c>
      <c r="C80" s="20">
        <v>0.0</v>
      </c>
      <c r="D80" s="22">
        <f t="shared" si="22"/>
        <v>0</v>
      </c>
    </row>
    <row r="81">
      <c r="B81" s="20">
        <v>0.0</v>
      </c>
      <c r="C81" s="20">
        <v>0.0</v>
      </c>
      <c r="D81" s="22">
        <f t="shared" si="22"/>
        <v>0</v>
      </c>
    </row>
  </sheetData>
  <conditionalFormatting sqref="B2:B42 B45:B50">
    <cfRule type="cellIs" dxfId="0" priority="1" operator="greaterThan">
      <formula>0</formula>
    </cfRule>
  </conditionalFormatting>
  <conditionalFormatting sqref="D63:D81">
    <cfRule type="cellIs" dxfId="0" priority="2" operator="greaterThan">
      <formula>0</formula>
    </cfRule>
  </conditionalFormatting>
  <conditionalFormatting sqref="T12">
    <cfRule type="cellIs" dxfId="1" priority="3" operator="greaterThanOrEqual">
      <formula>"D12"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5.5"/>
    <col customWidth="1" min="3" max="3" width="4.75"/>
    <col customWidth="1" min="4" max="4" width="6.88"/>
    <col customWidth="1" min="5" max="5" width="8.5"/>
    <col customWidth="1" min="6" max="6" width="4.5"/>
    <col customWidth="1" min="7" max="7" width="15.63"/>
    <col customWidth="1" min="8" max="8" width="13.88"/>
    <col customWidth="1" min="12" max="13" width="17.63"/>
    <col customWidth="1" min="17" max="19" width="1.88"/>
    <col customWidth="1" min="21" max="40" width="2.63"/>
  </cols>
  <sheetData>
    <row r="1">
      <c r="A1" s="38" t="s">
        <v>378</v>
      </c>
      <c r="B1" s="38" t="s">
        <v>379</v>
      </c>
      <c r="C1" s="38" t="s">
        <v>380</v>
      </c>
      <c r="D1" s="38" t="s">
        <v>381</v>
      </c>
      <c r="E1" s="39"/>
      <c r="F1" s="38" t="s">
        <v>382</v>
      </c>
      <c r="G1" s="38" t="s">
        <v>383</v>
      </c>
      <c r="H1" s="38" t="s">
        <v>456</v>
      </c>
      <c r="I1" s="38" t="s">
        <v>385</v>
      </c>
      <c r="J1" s="38" t="s">
        <v>386</v>
      </c>
      <c r="K1" s="38" t="s">
        <v>410</v>
      </c>
      <c r="L1" s="38" t="s">
        <v>457</v>
      </c>
      <c r="M1" s="38" t="s">
        <v>389</v>
      </c>
    </row>
    <row r="2">
      <c r="A2" s="7" t="s">
        <v>458</v>
      </c>
      <c r="B2" s="7">
        <v>2.0</v>
      </c>
      <c r="C2" s="7">
        <v>18.0</v>
      </c>
      <c r="D2" s="22">
        <f t="shared" ref="D2:D7" si="1">C2*B2</f>
        <v>36</v>
      </c>
      <c r="F2" s="7">
        <v>7.5</v>
      </c>
      <c r="G2" s="7">
        <v>70.0</v>
      </c>
      <c r="H2" s="41">
        <f t="shared" ref="H2:H7" si="2">IFERROR(SERIESSUM((1 - G2/100),0,1, SEQUENCE(1, B2,F2,0)), "")</f>
        <v>9.75</v>
      </c>
      <c r="I2" s="7">
        <v>60.0</v>
      </c>
      <c r="J2" s="22">
        <f t="shared" ref="J2:J7" si="3">I2*B2</f>
        <v>120</v>
      </c>
      <c r="K2" s="7">
        <v>6.0</v>
      </c>
      <c r="L2" s="7">
        <f t="shared" ref="L2:L7" si="4">K2*B2</f>
        <v>12</v>
      </c>
      <c r="M2" s="7" t="s">
        <v>459</v>
      </c>
    </row>
    <row r="3">
      <c r="A3" s="7" t="s">
        <v>392</v>
      </c>
      <c r="B3" s="7">
        <v>2.0</v>
      </c>
      <c r="C3" s="7">
        <v>4.0</v>
      </c>
      <c r="D3" s="22">
        <f t="shared" si="1"/>
        <v>8</v>
      </c>
      <c r="F3" s="7">
        <v>2.5</v>
      </c>
      <c r="G3" s="7">
        <v>40.0</v>
      </c>
      <c r="H3" s="41">
        <f t="shared" si="2"/>
        <v>4</v>
      </c>
      <c r="I3" s="7">
        <v>15.0</v>
      </c>
      <c r="J3" s="22">
        <f t="shared" si="3"/>
        <v>30</v>
      </c>
      <c r="K3" s="7">
        <v>2.0</v>
      </c>
      <c r="L3" s="7">
        <f t="shared" si="4"/>
        <v>4</v>
      </c>
      <c r="M3" s="7" t="s">
        <v>393</v>
      </c>
    </row>
    <row r="4">
      <c r="A4" s="7" t="s">
        <v>460</v>
      </c>
      <c r="B4" s="7">
        <v>2.0</v>
      </c>
      <c r="C4" s="7">
        <v>12.0</v>
      </c>
      <c r="D4" s="22">
        <f t="shared" si="1"/>
        <v>24</v>
      </c>
      <c r="F4" s="7">
        <v>5.0</v>
      </c>
      <c r="G4" s="7">
        <v>50.0</v>
      </c>
      <c r="H4" s="41">
        <f t="shared" si="2"/>
        <v>7.5</v>
      </c>
      <c r="I4" s="7">
        <v>30.0</v>
      </c>
      <c r="J4" s="22">
        <f t="shared" si="3"/>
        <v>60</v>
      </c>
      <c r="K4" s="7">
        <v>2.0</v>
      </c>
      <c r="L4" s="7">
        <f t="shared" si="4"/>
        <v>4</v>
      </c>
      <c r="M4" s="7" t="s">
        <v>396</v>
      </c>
    </row>
    <row r="5">
      <c r="A5" s="7" t="s">
        <v>461</v>
      </c>
      <c r="B5" s="7">
        <v>1.0</v>
      </c>
      <c r="C5" s="7">
        <v>6.0</v>
      </c>
      <c r="D5" s="22">
        <f t="shared" si="1"/>
        <v>6</v>
      </c>
      <c r="F5" s="7">
        <v>3.0</v>
      </c>
      <c r="G5" s="7">
        <v>50.0</v>
      </c>
      <c r="H5" s="41">
        <f t="shared" si="2"/>
        <v>3</v>
      </c>
      <c r="I5" s="7">
        <v>15.0</v>
      </c>
      <c r="J5" s="22">
        <f t="shared" si="3"/>
        <v>15</v>
      </c>
      <c r="K5" s="7">
        <v>2.0</v>
      </c>
      <c r="L5" s="7">
        <f t="shared" si="4"/>
        <v>2</v>
      </c>
      <c r="M5" s="7" t="s">
        <v>396</v>
      </c>
    </row>
    <row r="6">
      <c r="A6" s="7" t="s">
        <v>462</v>
      </c>
      <c r="B6" s="7">
        <v>0.0</v>
      </c>
      <c r="C6" s="7">
        <v>12.0</v>
      </c>
      <c r="D6" s="22">
        <f t="shared" si="1"/>
        <v>0</v>
      </c>
      <c r="F6" s="7">
        <v>3.0</v>
      </c>
      <c r="G6" s="7">
        <v>90.0</v>
      </c>
      <c r="H6" s="41" t="str">
        <f t="shared" si="2"/>
        <v/>
      </c>
      <c r="I6" s="7">
        <v>115.0</v>
      </c>
      <c r="J6" s="22">
        <f t="shared" si="3"/>
        <v>0</v>
      </c>
      <c r="K6" s="7">
        <v>3.0</v>
      </c>
      <c r="L6" s="7">
        <f t="shared" si="4"/>
        <v>0</v>
      </c>
      <c r="M6" s="7" t="s">
        <v>391</v>
      </c>
    </row>
    <row r="7">
      <c r="A7" s="7" t="s">
        <v>463</v>
      </c>
      <c r="B7" s="7">
        <v>1.0</v>
      </c>
      <c r="C7" s="7">
        <v>8.0</v>
      </c>
      <c r="D7" s="22">
        <f t="shared" si="1"/>
        <v>8</v>
      </c>
      <c r="F7" s="7">
        <v>2.5</v>
      </c>
      <c r="G7" s="7">
        <v>40.0</v>
      </c>
      <c r="H7" s="41">
        <f t="shared" si="2"/>
        <v>2.5</v>
      </c>
      <c r="I7" s="7">
        <v>50.0</v>
      </c>
      <c r="J7" s="22">
        <f t="shared" si="3"/>
        <v>50</v>
      </c>
      <c r="K7" s="7">
        <v>2.0</v>
      </c>
      <c r="L7" s="7">
        <f t="shared" si="4"/>
        <v>2</v>
      </c>
      <c r="M7" s="7" t="s">
        <v>396</v>
      </c>
      <c r="Q7" s="7" t="s">
        <v>401</v>
      </c>
      <c r="R7" s="7" t="s">
        <v>402</v>
      </c>
      <c r="S7" s="7" t="s">
        <v>403</v>
      </c>
    </row>
    <row r="8">
      <c r="A8" s="42" t="s">
        <v>406</v>
      </c>
      <c r="B8" s="43"/>
      <c r="C8" s="43"/>
      <c r="D8" s="43">
        <f>SUM(D2:D7)</f>
        <v>82</v>
      </c>
      <c r="E8" s="43"/>
      <c r="F8" s="43"/>
      <c r="G8" s="43"/>
      <c r="H8" s="43">
        <f>SUM(H2:H7)</f>
        <v>26.75</v>
      </c>
      <c r="I8" s="44"/>
      <c r="J8" s="43">
        <f>SUM(J2:J7)</f>
        <v>275</v>
      </c>
      <c r="K8" s="43"/>
      <c r="L8" s="43">
        <f>SUM(L2:L7)</f>
        <v>24</v>
      </c>
      <c r="M8" s="44"/>
      <c r="N8" s="7" t="s">
        <v>407</v>
      </c>
      <c r="O8" s="22">
        <f>D8/L8</f>
        <v>3.416666667</v>
      </c>
      <c r="P8" s="7" t="s">
        <v>408</v>
      </c>
      <c r="Q8" s="7">
        <v>4.0</v>
      </c>
      <c r="R8" s="7">
        <v>8.0</v>
      </c>
      <c r="S8" s="7">
        <v>4.0</v>
      </c>
      <c r="T8" s="22">
        <f>Q8*R8*S8</f>
        <v>128</v>
      </c>
      <c r="U8" s="103"/>
      <c r="V8" s="44"/>
      <c r="W8" s="44"/>
      <c r="X8" s="44"/>
      <c r="Y8" s="53"/>
      <c r="Z8" s="103"/>
      <c r="AA8" s="44"/>
      <c r="AB8" s="44"/>
      <c r="AC8" s="44"/>
      <c r="AD8" s="53"/>
      <c r="AE8" s="103"/>
      <c r="AF8" s="44"/>
      <c r="AG8" s="44"/>
      <c r="AH8" s="44"/>
      <c r="AI8" s="53"/>
    </row>
    <row r="9">
      <c r="U9" s="104"/>
      <c r="V9" s="56"/>
      <c r="W9" s="56"/>
      <c r="X9" s="56"/>
      <c r="Y9" s="57"/>
      <c r="Z9" s="104"/>
      <c r="AA9" s="48"/>
      <c r="AB9" s="48"/>
      <c r="AC9" s="48"/>
      <c r="AD9" s="91"/>
      <c r="AE9" s="104"/>
      <c r="AF9" s="59"/>
      <c r="AG9" s="59"/>
      <c r="AH9" s="59"/>
      <c r="AI9" s="33"/>
      <c r="AK9" s="49"/>
      <c r="AL9" s="49"/>
      <c r="AM9" s="49"/>
      <c r="AN9" s="49"/>
    </row>
    <row r="10">
      <c r="A10" s="38" t="s">
        <v>409</v>
      </c>
      <c r="B10" s="38" t="s">
        <v>379</v>
      </c>
      <c r="C10" s="38" t="s">
        <v>380</v>
      </c>
      <c r="D10" s="38" t="s">
        <v>381</v>
      </c>
      <c r="E10" s="39"/>
      <c r="F10" s="38" t="s">
        <v>382</v>
      </c>
      <c r="G10" s="38" t="s">
        <v>383</v>
      </c>
      <c r="H10" s="38" t="s">
        <v>464</v>
      </c>
      <c r="I10" s="38" t="s">
        <v>385</v>
      </c>
      <c r="J10" s="38" t="s">
        <v>386</v>
      </c>
      <c r="K10" s="38" t="s">
        <v>410</v>
      </c>
      <c r="L10" s="38" t="s">
        <v>457</v>
      </c>
      <c r="M10" s="38" t="s">
        <v>389</v>
      </c>
      <c r="U10" s="104"/>
      <c r="V10" s="56"/>
      <c r="W10" s="56"/>
      <c r="X10" s="56"/>
      <c r="Y10" s="57"/>
      <c r="Z10" s="104"/>
      <c r="AA10" s="48"/>
      <c r="AB10" s="48"/>
      <c r="AC10" s="48"/>
      <c r="AD10" s="91"/>
      <c r="AE10" s="104"/>
      <c r="AF10" s="59"/>
      <c r="AG10" s="59"/>
      <c r="AH10" s="59"/>
      <c r="AI10" s="33"/>
      <c r="AK10" s="49"/>
      <c r="AL10" s="49"/>
      <c r="AM10" s="49"/>
      <c r="AN10" s="49"/>
    </row>
    <row r="11">
      <c r="A11" s="7" t="s">
        <v>135</v>
      </c>
      <c r="B11" s="7">
        <v>1.0</v>
      </c>
      <c r="C11" s="7">
        <v>6.0</v>
      </c>
      <c r="D11" s="22">
        <f t="shared" ref="D11:D17" si="5">C11*B11</f>
        <v>6</v>
      </c>
      <c r="F11" s="7">
        <v>6.0</v>
      </c>
      <c r="G11" s="7">
        <v>90.0</v>
      </c>
      <c r="H11" s="41">
        <f t="shared" ref="H11:H17" si="6">IFERROR(SERIESSUM((1 - G11/100),0,1, SEQUENCE(1, B11,F11,0)), "")</f>
        <v>6</v>
      </c>
      <c r="I11" s="7">
        <v>145.0</v>
      </c>
      <c r="J11" s="22">
        <f t="shared" ref="J11:J17" si="7">I11*B11</f>
        <v>145</v>
      </c>
      <c r="K11" s="7">
        <v>1.0</v>
      </c>
      <c r="L11" s="7">
        <f t="shared" ref="L11:L17" si="8">K11*B11</f>
        <v>1</v>
      </c>
      <c r="M11" s="7" t="s">
        <v>412</v>
      </c>
      <c r="U11" s="104"/>
      <c r="V11" s="56"/>
      <c r="W11" s="56"/>
      <c r="X11" s="56"/>
      <c r="Y11" s="57"/>
      <c r="Z11" s="104"/>
      <c r="AA11" s="48"/>
      <c r="AB11" s="48"/>
      <c r="AC11" s="48"/>
      <c r="AD11" s="91"/>
      <c r="AE11" s="104"/>
      <c r="AF11" s="59"/>
      <c r="AG11" s="59"/>
      <c r="AH11" s="59"/>
      <c r="AI11" s="33"/>
      <c r="AK11" s="49"/>
      <c r="AL11" s="49"/>
      <c r="AM11" s="49"/>
      <c r="AN11" s="49"/>
    </row>
    <row r="12">
      <c r="A12" s="7" t="s">
        <v>413</v>
      </c>
      <c r="B12" s="7">
        <v>2.0</v>
      </c>
      <c r="C12" s="7">
        <v>4.0</v>
      </c>
      <c r="D12" s="22">
        <f t="shared" si="5"/>
        <v>8</v>
      </c>
      <c r="F12" s="7">
        <v>2.0</v>
      </c>
      <c r="G12" s="7">
        <v>50.0</v>
      </c>
      <c r="H12" s="41">
        <f t="shared" si="6"/>
        <v>3</v>
      </c>
      <c r="I12" s="7">
        <v>10.0</v>
      </c>
      <c r="J12" s="22">
        <f t="shared" si="7"/>
        <v>20</v>
      </c>
      <c r="K12" s="7">
        <v>1.0</v>
      </c>
      <c r="L12" s="7">
        <f t="shared" si="8"/>
        <v>2</v>
      </c>
      <c r="M12" s="7" t="s">
        <v>412</v>
      </c>
      <c r="U12" s="105"/>
      <c r="V12" s="106"/>
      <c r="W12" s="106"/>
      <c r="X12" s="106"/>
      <c r="Y12" s="107"/>
      <c r="Z12" s="105"/>
      <c r="AA12" s="108"/>
      <c r="AB12" s="108"/>
      <c r="AC12" s="108"/>
      <c r="AD12" s="109"/>
      <c r="AE12" s="105"/>
      <c r="AF12" s="110"/>
      <c r="AG12" s="110"/>
      <c r="AH12" s="110"/>
      <c r="AI12" s="68"/>
      <c r="AK12" s="49"/>
      <c r="AL12" s="49"/>
      <c r="AM12" s="49"/>
      <c r="AN12" s="49"/>
    </row>
    <row r="13">
      <c r="A13" s="7" t="s">
        <v>133</v>
      </c>
      <c r="B13" s="7">
        <v>1.0</v>
      </c>
      <c r="C13" s="7">
        <v>6.0</v>
      </c>
      <c r="D13" s="22">
        <f t="shared" si="5"/>
        <v>6</v>
      </c>
      <c r="F13" s="7">
        <v>2.0</v>
      </c>
      <c r="G13" s="7">
        <v>30.0</v>
      </c>
      <c r="H13" s="41">
        <f t="shared" si="6"/>
        <v>2</v>
      </c>
      <c r="I13" s="7">
        <v>180.0</v>
      </c>
      <c r="J13" s="22">
        <f t="shared" si="7"/>
        <v>180</v>
      </c>
      <c r="K13" s="7">
        <v>1.0</v>
      </c>
      <c r="L13" s="7">
        <f t="shared" si="8"/>
        <v>1</v>
      </c>
      <c r="M13" s="7" t="s">
        <v>412</v>
      </c>
      <c r="U13" s="103"/>
      <c r="V13" s="94"/>
      <c r="W13" s="94"/>
      <c r="X13" s="94"/>
      <c r="Y13" s="111"/>
      <c r="Z13" s="103"/>
      <c r="AA13" s="74"/>
      <c r="AB13" s="74"/>
      <c r="AC13" s="74"/>
      <c r="AD13" s="112"/>
      <c r="AE13" s="103"/>
      <c r="AF13" s="113"/>
      <c r="AG13" s="113"/>
      <c r="AH13" s="113"/>
      <c r="AI13" s="53"/>
      <c r="AK13" s="49"/>
      <c r="AL13" s="49"/>
      <c r="AM13" s="49"/>
      <c r="AN13" s="49"/>
    </row>
    <row r="14">
      <c r="A14" s="7" t="s">
        <v>140</v>
      </c>
      <c r="B14" s="7">
        <v>1.0</v>
      </c>
      <c r="C14" s="7">
        <v>12.0</v>
      </c>
      <c r="D14" s="22">
        <f t="shared" si="5"/>
        <v>12</v>
      </c>
      <c r="F14" s="7">
        <v>2.0</v>
      </c>
      <c r="G14" s="7">
        <v>50.0</v>
      </c>
      <c r="H14" s="41">
        <f t="shared" si="6"/>
        <v>2</v>
      </c>
      <c r="I14" s="7">
        <v>220.0</v>
      </c>
      <c r="J14" s="22">
        <f t="shared" si="7"/>
        <v>220</v>
      </c>
      <c r="K14" s="7">
        <v>2.0</v>
      </c>
      <c r="L14" s="7">
        <f t="shared" si="8"/>
        <v>2</v>
      </c>
      <c r="M14" s="7" t="s">
        <v>396</v>
      </c>
      <c r="U14" s="104"/>
      <c r="V14" s="56"/>
      <c r="W14" s="56"/>
      <c r="X14" s="56"/>
      <c r="Y14" s="57"/>
      <c r="Z14" s="104"/>
      <c r="AA14" s="48"/>
      <c r="AB14" s="48"/>
      <c r="AC14" s="48"/>
      <c r="AD14" s="91"/>
      <c r="AE14" s="104"/>
      <c r="AF14" s="59"/>
      <c r="AG14" s="59"/>
      <c r="AH14" s="59"/>
      <c r="AI14" s="33"/>
      <c r="AK14" s="49"/>
      <c r="AL14" s="49"/>
      <c r="AM14" s="49"/>
      <c r="AN14" s="49"/>
    </row>
    <row r="15">
      <c r="A15" s="7" t="s">
        <v>465</v>
      </c>
      <c r="B15" s="7">
        <v>1.0</v>
      </c>
      <c r="C15" s="7">
        <v>8.0</v>
      </c>
      <c r="D15" s="22">
        <f t="shared" si="5"/>
        <v>8</v>
      </c>
      <c r="F15" s="7">
        <v>3.0</v>
      </c>
      <c r="G15" s="7">
        <v>90.0</v>
      </c>
      <c r="H15" s="41">
        <f t="shared" si="6"/>
        <v>3</v>
      </c>
      <c r="I15" s="7">
        <v>110.0</v>
      </c>
      <c r="J15" s="22">
        <f t="shared" si="7"/>
        <v>110</v>
      </c>
      <c r="K15" s="7">
        <v>2.0</v>
      </c>
      <c r="L15" s="7">
        <f t="shared" si="8"/>
        <v>2</v>
      </c>
      <c r="M15" s="7" t="s">
        <v>396</v>
      </c>
      <c r="U15" s="104"/>
      <c r="V15" s="56"/>
      <c r="W15" s="56"/>
      <c r="X15" s="56"/>
      <c r="Y15" s="57"/>
      <c r="Z15" s="104"/>
      <c r="AA15" s="48"/>
      <c r="AB15" s="48"/>
      <c r="AC15" s="48"/>
      <c r="AD15" s="91"/>
      <c r="AE15" s="104"/>
      <c r="AI15" s="33"/>
    </row>
    <row r="16">
      <c r="A16" s="7" t="s">
        <v>463</v>
      </c>
      <c r="B16" s="7">
        <v>1.0</v>
      </c>
      <c r="C16" s="7">
        <v>8.0</v>
      </c>
      <c r="D16" s="22">
        <f t="shared" si="5"/>
        <v>8</v>
      </c>
      <c r="F16" s="7">
        <v>2.0</v>
      </c>
      <c r="G16" s="7">
        <v>40.0</v>
      </c>
      <c r="H16" s="41">
        <f t="shared" si="6"/>
        <v>2</v>
      </c>
      <c r="I16" s="7">
        <v>50.0</v>
      </c>
      <c r="J16" s="22">
        <f t="shared" si="7"/>
        <v>50</v>
      </c>
      <c r="K16" s="7">
        <v>2.0</v>
      </c>
      <c r="L16" s="7">
        <f t="shared" si="8"/>
        <v>2</v>
      </c>
      <c r="M16" s="7" t="s">
        <v>396</v>
      </c>
      <c r="Q16" s="7" t="s">
        <v>401</v>
      </c>
      <c r="R16" s="7" t="s">
        <v>402</v>
      </c>
      <c r="S16" s="7" t="s">
        <v>403</v>
      </c>
      <c r="U16" s="104"/>
      <c r="V16" s="56"/>
      <c r="W16" s="56"/>
      <c r="X16" s="56"/>
      <c r="Y16" s="57"/>
      <c r="Z16" s="104"/>
      <c r="AA16" s="48"/>
      <c r="AB16" s="48"/>
      <c r="AC16" s="48"/>
      <c r="AD16" s="91"/>
      <c r="AE16" s="104"/>
      <c r="AI16" s="33"/>
    </row>
    <row r="17">
      <c r="A17" s="114" t="s">
        <v>414</v>
      </c>
      <c r="B17" s="7">
        <v>1.0</v>
      </c>
      <c r="C17" s="7">
        <v>4.0</v>
      </c>
      <c r="D17" s="22">
        <f t="shared" si="5"/>
        <v>4</v>
      </c>
      <c r="E17" s="34"/>
      <c r="F17" s="7">
        <v>4.0</v>
      </c>
      <c r="G17" s="7">
        <v>50.0</v>
      </c>
      <c r="H17" s="41">
        <f t="shared" si="6"/>
        <v>4</v>
      </c>
      <c r="I17" s="7">
        <v>95.0</v>
      </c>
      <c r="J17" s="22">
        <f t="shared" si="7"/>
        <v>95</v>
      </c>
      <c r="K17" s="7">
        <v>2.0</v>
      </c>
      <c r="L17" s="7">
        <f t="shared" si="8"/>
        <v>2</v>
      </c>
      <c r="M17" s="7" t="s">
        <v>396</v>
      </c>
      <c r="N17" s="7"/>
      <c r="P17" s="7"/>
      <c r="Q17" s="7" t="s">
        <v>401</v>
      </c>
      <c r="R17" s="7" t="s">
        <v>402</v>
      </c>
      <c r="S17" s="7" t="s">
        <v>403</v>
      </c>
      <c r="U17" s="105"/>
      <c r="V17" s="39"/>
      <c r="W17" s="39"/>
      <c r="X17" s="39"/>
      <c r="Y17" s="68"/>
      <c r="Z17" s="105"/>
      <c r="AA17" s="39"/>
      <c r="AB17" s="39"/>
      <c r="AC17" s="39"/>
      <c r="AD17" s="68"/>
      <c r="AE17" s="105"/>
      <c r="AF17" s="39"/>
      <c r="AG17" s="39"/>
      <c r="AH17" s="39"/>
      <c r="AI17" s="68"/>
    </row>
    <row r="18">
      <c r="A18" s="42" t="s">
        <v>406</v>
      </c>
      <c r="B18" s="43"/>
      <c r="C18" s="43"/>
      <c r="D18" s="43">
        <f>SUM(D11:D17)</f>
        <v>52</v>
      </c>
      <c r="E18" s="43"/>
      <c r="F18" s="43"/>
      <c r="G18" s="43"/>
      <c r="H18" s="43">
        <f>SUM(H11:H17)</f>
        <v>22</v>
      </c>
      <c r="I18" s="44"/>
      <c r="J18" s="43">
        <f>SUM(J11:J17)</f>
        <v>820</v>
      </c>
      <c r="K18" s="44"/>
      <c r="L18" s="43">
        <f>SUM(L11:L17)</f>
        <v>12</v>
      </c>
      <c r="M18" s="44"/>
      <c r="N18" s="7" t="s">
        <v>407</v>
      </c>
      <c r="O18" s="22">
        <f>D18/L18</f>
        <v>4.333333333</v>
      </c>
      <c r="P18" s="7" t="s">
        <v>408</v>
      </c>
      <c r="Q18" s="7">
        <v>3.0</v>
      </c>
      <c r="R18" s="7">
        <v>6.0</v>
      </c>
      <c r="S18" s="7">
        <v>4.0</v>
      </c>
      <c r="T18" s="22">
        <f>Q18*R18*S18</f>
        <v>72</v>
      </c>
      <c r="U18" s="103"/>
      <c r="V18" s="115"/>
      <c r="W18" s="115"/>
      <c r="X18" s="115"/>
      <c r="Y18" s="116"/>
      <c r="Z18" s="117"/>
      <c r="AA18" s="44"/>
      <c r="AB18" s="44"/>
      <c r="AC18" s="44"/>
      <c r="AD18" s="53"/>
    </row>
    <row r="19">
      <c r="U19" s="104"/>
      <c r="V19" s="49"/>
      <c r="W19" s="49"/>
      <c r="X19" s="49"/>
      <c r="Y19" s="79"/>
      <c r="Z19" s="92"/>
      <c r="AD19" s="33"/>
    </row>
    <row r="20">
      <c r="A20" s="38" t="s">
        <v>416</v>
      </c>
      <c r="B20" s="38" t="s">
        <v>379</v>
      </c>
      <c r="C20" s="38" t="s">
        <v>380</v>
      </c>
      <c r="D20" s="38" t="s">
        <v>381</v>
      </c>
      <c r="E20" s="39"/>
      <c r="F20" s="38" t="s">
        <v>382</v>
      </c>
      <c r="G20" s="38" t="s">
        <v>383</v>
      </c>
      <c r="H20" s="38" t="s">
        <v>456</v>
      </c>
      <c r="I20" s="38" t="s">
        <v>385</v>
      </c>
      <c r="J20" s="38" t="s">
        <v>386</v>
      </c>
      <c r="K20" s="38" t="s">
        <v>410</v>
      </c>
      <c r="L20" s="38" t="s">
        <v>457</v>
      </c>
      <c r="M20" s="38" t="s">
        <v>389</v>
      </c>
      <c r="U20" s="104"/>
      <c r="V20" s="49"/>
      <c r="W20" s="49"/>
      <c r="X20" s="49"/>
      <c r="Y20" s="79"/>
      <c r="Z20" s="92"/>
      <c r="AD20" s="33"/>
    </row>
    <row r="21">
      <c r="A21" s="7" t="s">
        <v>84</v>
      </c>
      <c r="B21" s="7">
        <v>2.0</v>
      </c>
      <c r="C21" s="7">
        <v>18.0</v>
      </c>
      <c r="D21" s="22">
        <f t="shared" ref="D21:D28" si="9">C21*B21</f>
        <v>36</v>
      </c>
      <c r="F21" s="7">
        <v>2.0</v>
      </c>
      <c r="G21" s="7">
        <v>50.0</v>
      </c>
      <c r="H21" s="41">
        <f t="shared" ref="H21:H28" si="10">IFERROR(SERIESSUM((1 - G21/100),0,1, SEQUENCE(1, B21,F21,0)), "")</f>
        <v>3</v>
      </c>
      <c r="I21" s="7">
        <v>20.0</v>
      </c>
      <c r="J21" s="22">
        <f t="shared" ref="J21:J28" si="11">I21*B21</f>
        <v>40</v>
      </c>
      <c r="K21" s="7">
        <v>2.0</v>
      </c>
      <c r="L21" s="7">
        <f t="shared" ref="L21:L28" si="12">K21*B21</f>
        <v>4</v>
      </c>
      <c r="M21" s="7" t="s">
        <v>396</v>
      </c>
      <c r="U21" s="104"/>
      <c r="V21" s="49"/>
      <c r="W21" s="49"/>
      <c r="X21" s="49"/>
      <c r="Y21" s="79"/>
      <c r="Z21" s="92"/>
      <c r="AD21" s="33"/>
    </row>
    <row r="22">
      <c r="A22" s="7" t="s">
        <v>417</v>
      </c>
      <c r="B22" s="7">
        <v>2.0</v>
      </c>
      <c r="C22" s="7">
        <v>8.0</v>
      </c>
      <c r="D22" s="22">
        <f t="shared" si="9"/>
        <v>16</v>
      </c>
      <c r="F22" s="7">
        <v>3.0</v>
      </c>
      <c r="G22" s="7">
        <v>50.0</v>
      </c>
      <c r="H22" s="41">
        <f t="shared" si="10"/>
        <v>4.5</v>
      </c>
      <c r="I22" s="7">
        <v>15.0</v>
      </c>
      <c r="J22" s="22">
        <f t="shared" si="11"/>
        <v>30</v>
      </c>
      <c r="K22" s="7">
        <v>2.0</v>
      </c>
      <c r="L22" s="7">
        <f t="shared" si="12"/>
        <v>4</v>
      </c>
      <c r="M22" s="7" t="s">
        <v>396</v>
      </c>
      <c r="U22" s="105"/>
      <c r="V22" s="39"/>
      <c r="W22" s="39"/>
      <c r="X22" s="39"/>
      <c r="Y22" s="68"/>
      <c r="Z22" s="105"/>
      <c r="AA22" s="39"/>
      <c r="AB22" s="39"/>
      <c r="AC22" s="39"/>
      <c r="AD22" s="68"/>
    </row>
    <row r="23">
      <c r="A23" s="7" t="s">
        <v>418</v>
      </c>
      <c r="B23" s="7">
        <v>1.0</v>
      </c>
      <c r="C23" s="7">
        <v>4.0</v>
      </c>
      <c r="D23" s="22">
        <f t="shared" si="9"/>
        <v>4</v>
      </c>
      <c r="F23" s="7">
        <v>3.0</v>
      </c>
      <c r="G23" s="7">
        <v>80.0</v>
      </c>
      <c r="H23" s="41">
        <f t="shared" si="10"/>
        <v>3</v>
      </c>
      <c r="I23" s="7">
        <v>15.0</v>
      </c>
      <c r="J23" s="22">
        <f t="shared" si="11"/>
        <v>15</v>
      </c>
      <c r="K23" s="7">
        <v>1.0</v>
      </c>
      <c r="L23" s="7">
        <f t="shared" si="12"/>
        <v>1</v>
      </c>
      <c r="M23" s="7" t="s">
        <v>412</v>
      </c>
    </row>
    <row r="24">
      <c r="A24" s="7" t="s">
        <v>416</v>
      </c>
      <c r="B24" s="7">
        <v>0.0</v>
      </c>
      <c r="C24" s="7">
        <v>18.0</v>
      </c>
      <c r="D24" s="22">
        <f t="shared" si="9"/>
        <v>0</v>
      </c>
      <c r="F24" s="7">
        <v>7.5</v>
      </c>
      <c r="G24" s="7">
        <v>70.0</v>
      </c>
      <c r="H24" s="41" t="str">
        <f t="shared" si="10"/>
        <v/>
      </c>
      <c r="I24" s="7">
        <v>80.0</v>
      </c>
      <c r="J24" s="22">
        <f t="shared" si="11"/>
        <v>0</v>
      </c>
      <c r="K24" s="7">
        <v>3.0</v>
      </c>
      <c r="L24" s="7">
        <f t="shared" si="12"/>
        <v>0</v>
      </c>
      <c r="M24" s="7" t="s">
        <v>396</v>
      </c>
    </row>
    <row r="25">
      <c r="A25" s="7" t="s">
        <v>132</v>
      </c>
      <c r="B25" s="7">
        <v>1.0</v>
      </c>
      <c r="C25" s="7">
        <v>24.0</v>
      </c>
      <c r="D25" s="22">
        <f t="shared" si="9"/>
        <v>24</v>
      </c>
      <c r="F25" s="7">
        <v>5.0</v>
      </c>
      <c r="G25" s="7">
        <v>70.0</v>
      </c>
      <c r="H25" s="41">
        <f t="shared" si="10"/>
        <v>5</v>
      </c>
      <c r="I25" s="7">
        <v>350.0</v>
      </c>
      <c r="J25" s="22">
        <f t="shared" si="11"/>
        <v>350</v>
      </c>
      <c r="K25" s="7">
        <v>6.0</v>
      </c>
      <c r="L25" s="7">
        <f t="shared" si="12"/>
        <v>6</v>
      </c>
      <c r="M25" s="7" t="s">
        <v>466</v>
      </c>
    </row>
    <row r="26">
      <c r="A26" s="7" t="s">
        <v>462</v>
      </c>
      <c r="B26" s="7">
        <v>0.0</v>
      </c>
      <c r="C26" s="7">
        <v>12.0</v>
      </c>
      <c r="D26" s="22">
        <f t="shared" si="9"/>
        <v>0</v>
      </c>
      <c r="F26" s="7">
        <v>3.0</v>
      </c>
      <c r="G26" s="7">
        <v>90.0</v>
      </c>
      <c r="H26" s="41" t="str">
        <f t="shared" si="10"/>
        <v/>
      </c>
      <c r="I26" s="7">
        <v>115.0</v>
      </c>
      <c r="J26" s="22">
        <f t="shared" si="11"/>
        <v>0</v>
      </c>
      <c r="K26" s="7">
        <v>3.0</v>
      </c>
      <c r="L26" s="7">
        <f t="shared" si="12"/>
        <v>0</v>
      </c>
      <c r="M26" s="7" t="s">
        <v>391</v>
      </c>
    </row>
    <row r="27">
      <c r="A27" s="7" t="s">
        <v>461</v>
      </c>
      <c r="B27" s="7">
        <v>1.0</v>
      </c>
      <c r="C27" s="7">
        <v>6.0</v>
      </c>
      <c r="D27" s="22">
        <f t="shared" si="9"/>
        <v>6</v>
      </c>
      <c r="F27" s="7">
        <v>3.0</v>
      </c>
      <c r="G27" s="7">
        <v>50.0</v>
      </c>
      <c r="H27" s="41">
        <f t="shared" si="10"/>
        <v>3</v>
      </c>
      <c r="I27" s="7">
        <v>15.0</v>
      </c>
      <c r="J27" s="22">
        <f t="shared" si="11"/>
        <v>15</v>
      </c>
      <c r="K27" s="7">
        <v>2.0</v>
      </c>
      <c r="L27" s="7">
        <f t="shared" si="12"/>
        <v>2</v>
      </c>
      <c r="M27" s="7" t="s">
        <v>396</v>
      </c>
      <c r="Q27" s="7"/>
      <c r="R27" s="7"/>
      <c r="S27" s="7"/>
    </row>
    <row r="28">
      <c r="A28" s="7" t="s">
        <v>463</v>
      </c>
      <c r="B28" s="7">
        <v>1.0</v>
      </c>
      <c r="C28" s="7">
        <v>8.0</v>
      </c>
      <c r="D28" s="22">
        <f t="shared" si="9"/>
        <v>8</v>
      </c>
      <c r="F28" s="7">
        <v>2.0</v>
      </c>
      <c r="G28" s="7">
        <v>40.0</v>
      </c>
      <c r="H28" s="41">
        <f t="shared" si="10"/>
        <v>2</v>
      </c>
      <c r="I28" s="7">
        <v>50.0</v>
      </c>
      <c r="J28" s="22">
        <f t="shared" si="11"/>
        <v>50</v>
      </c>
      <c r="K28" s="7">
        <v>2.0</v>
      </c>
      <c r="L28" s="7">
        <f t="shared" si="12"/>
        <v>2</v>
      </c>
      <c r="M28" s="7" t="s">
        <v>396</v>
      </c>
      <c r="Q28" s="7" t="s">
        <v>401</v>
      </c>
      <c r="R28" s="7" t="s">
        <v>402</v>
      </c>
      <c r="S28" s="7" t="s">
        <v>403</v>
      </c>
    </row>
    <row r="29">
      <c r="A29" s="42" t="s">
        <v>406</v>
      </c>
      <c r="B29" s="43"/>
      <c r="C29" s="43"/>
      <c r="D29" s="43">
        <f>SUM(D21:D28)</f>
        <v>94</v>
      </c>
      <c r="E29" s="43"/>
      <c r="F29" s="43"/>
      <c r="G29" s="43"/>
      <c r="H29" s="43">
        <f>SUM(H21:H28)</f>
        <v>20.5</v>
      </c>
      <c r="I29" s="44"/>
      <c r="J29" s="43">
        <f>SUM(J21:J28)</f>
        <v>500</v>
      </c>
      <c r="K29" s="44"/>
      <c r="L29" s="43">
        <f>SUM(L21:L28)</f>
        <v>19</v>
      </c>
      <c r="M29" s="44"/>
      <c r="N29" s="7" t="s">
        <v>407</v>
      </c>
      <c r="O29" s="22">
        <f>D29/L29</f>
        <v>4.947368421</v>
      </c>
      <c r="P29" s="7" t="s">
        <v>408</v>
      </c>
      <c r="Q29" s="7">
        <v>4.0</v>
      </c>
      <c r="R29" s="7">
        <v>8.0</v>
      </c>
      <c r="S29" s="7">
        <v>4.0</v>
      </c>
      <c r="T29" s="22">
        <f>Q29*R29*S29</f>
        <v>128</v>
      </c>
    </row>
    <row r="31">
      <c r="A31" s="38" t="s">
        <v>419</v>
      </c>
      <c r="B31" s="38" t="s">
        <v>379</v>
      </c>
      <c r="C31" s="38" t="s">
        <v>380</v>
      </c>
      <c r="D31" s="38" t="s">
        <v>381</v>
      </c>
      <c r="E31" s="39"/>
      <c r="F31" s="38" t="s">
        <v>382</v>
      </c>
      <c r="G31" s="38" t="s">
        <v>383</v>
      </c>
      <c r="H31" s="38" t="s">
        <v>456</v>
      </c>
      <c r="I31" s="38" t="s">
        <v>385</v>
      </c>
      <c r="J31" s="38" t="s">
        <v>386</v>
      </c>
      <c r="K31" s="38" t="s">
        <v>410</v>
      </c>
      <c r="L31" s="38" t="s">
        <v>457</v>
      </c>
      <c r="M31" s="38" t="s">
        <v>389</v>
      </c>
    </row>
    <row r="32">
      <c r="A32" s="7" t="s">
        <v>467</v>
      </c>
      <c r="B32" s="7">
        <v>1.0</v>
      </c>
      <c r="C32" s="7">
        <v>4.0</v>
      </c>
      <c r="D32" s="22">
        <f t="shared" ref="D32:D37" si="13">C32*B32</f>
        <v>4</v>
      </c>
      <c r="F32" s="7">
        <v>3.5</v>
      </c>
      <c r="G32" s="7">
        <v>50.0</v>
      </c>
      <c r="H32" s="41">
        <f t="shared" ref="H32:H37" si="14">IFERROR(SERIESSUM((1 - G32/100),0,1, SEQUENCE(1, B32,F32,0)), "")</f>
        <v>3.5</v>
      </c>
      <c r="I32" s="7">
        <v>120.0</v>
      </c>
      <c r="J32" s="22">
        <f t="shared" ref="J32:J37" si="15">I32*B32</f>
        <v>120</v>
      </c>
      <c r="K32" s="7">
        <v>0.0</v>
      </c>
      <c r="L32" s="7">
        <f t="shared" ref="L32:L37" si="16">K32*B32</f>
        <v>0</v>
      </c>
      <c r="M32" s="7" t="s">
        <v>412</v>
      </c>
    </row>
    <row r="33">
      <c r="A33" s="7" t="s">
        <v>424</v>
      </c>
      <c r="B33" s="7">
        <v>2.0</v>
      </c>
      <c r="C33" s="7">
        <v>4.0</v>
      </c>
      <c r="D33" s="22">
        <f t="shared" si="13"/>
        <v>8</v>
      </c>
      <c r="F33" s="7">
        <v>2.0</v>
      </c>
      <c r="G33" s="7">
        <v>20.0</v>
      </c>
      <c r="H33" s="41">
        <f t="shared" si="14"/>
        <v>3.6</v>
      </c>
      <c r="I33" s="7">
        <v>40.0</v>
      </c>
      <c r="J33" s="22">
        <f t="shared" si="15"/>
        <v>80</v>
      </c>
      <c r="K33" s="7">
        <v>1.0</v>
      </c>
      <c r="L33" s="7">
        <f t="shared" si="16"/>
        <v>2</v>
      </c>
      <c r="M33" s="7" t="s">
        <v>412</v>
      </c>
    </row>
    <row r="34">
      <c r="A34" s="7" t="s">
        <v>138</v>
      </c>
      <c r="B34" s="7">
        <v>1.0</v>
      </c>
      <c r="C34" s="7">
        <v>12.0</v>
      </c>
      <c r="D34" s="22">
        <f t="shared" si="13"/>
        <v>12</v>
      </c>
      <c r="F34" s="7">
        <v>7.5</v>
      </c>
      <c r="G34" s="7">
        <v>90.0</v>
      </c>
      <c r="H34" s="41">
        <f t="shared" si="14"/>
        <v>7.5</v>
      </c>
      <c r="I34" s="7">
        <v>360.0</v>
      </c>
      <c r="J34" s="22">
        <f t="shared" si="15"/>
        <v>360</v>
      </c>
      <c r="K34" s="7">
        <v>3.0</v>
      </c>
      <c r="L34" s="7">
        <f t="shared" si="16"/>
        <v>3</v>
      </c>
      <c r="M34" s="7" t="s">
        <v>396</v>
      </c>
    </row>
    <row r="35">
      <c r="A35" s="7" t="s">
        <v>463</v>
      </c>
      <c r="B35" s="7">
        <v>1.0</v>
      </c>
      <c r="C35" s="7">
        <v>8.0</v>
      </c>
      <c r="D35" s="22">
        <f t="shared" si="13"/>
        <v>8</v>
      </c>
      <c r="F35" s="7">
        <v>2.0</v>
      </c>
      <c r="G35" s="7">
        <v>40.0</v>
      </c>
      <c r="H35" s="41">
        <f t="shared" si="14"/>
        <v>2</v>
      </c>
      <c r="I35" s="7">
        <v>50.0</v>
      </c>
      <c r="J35" s="22">
        <f t="shared" si="15"/>
        <v>50</v>
      </c>
      <c r="K35" s="7">
        <v>2.0</v>
      </c>
      <c r="L35" s="7">
        <f t="shared" si="16"/>
        <v>2</v>
      </c>
      <c r="M35" s="7" t="s">
        <v>396</v>
      </c>
      <c r="Q35" s="7" t="s">
        <v>401</v>
      </c>
      <c r="R35" s="7" t="s">
        <v>402</v>
      </c>
      <c r="S35" s="7" t="s">
        <v>403</v>
      </c>
    </row>
    <row r="36">
      <c r="A36" s="7" t="s">
        <v>468</v>
      </c>
      <c r="B36" s="7">
        <v>2.0</v>
      </c>
      <c r="C36" s="7">
        <v>4.0</v>
      </c>
      <c r="D36" s="22">
        <f t="shared" si="13"/>
        <v>8</v>
      </c>
      <c r="F36" s="7">
        <v>3.0</v>
      </c>
      <c r="G36" s="7">
        <v>50.0</v>
      </c>
      <c r="H36" s="41">
        <f t="shared" si="14"/>
        <v>4.5</v>
      </c>
      <c r="I36" s="7">
        <v>80.0</v>
      </c>
      <c r="J36" s="22">
        <f t="shared" si="15"/>
        <v>160</v>
      </c>
      <c r="K36" s="7">
        <v>1.0</v>
      </c>
      <c r="L36" s="7">
        <f t="shared" si="16"/>
        <v>2</v>
      </c>
      <c r="M36" s="7" t="s">
        <v>412</v>
      </c>
      <c r="Q36" s="7"/>
      <c r="R36" s="7"/>
      <c r="S36" s="7"/>
    </row>
    <row r="37">
      <c r="A37" s="7" t="s">
        <v>462</v>
      </c>
      <c r="B37" s="7">
        <v>0.0</v>
      </c>
      <c r="C37" s="7">
        <v>12.0</v>
      </c>
      <c r="D37" s="22">
        <f t="shared" si="13"/>
        <v>0</v>
      </c>
      <c r="F37" s="7">
        <v>3.0</v>
      </c>
      <c r="G37" s="7">
        <v>90.0</v>
      </c>
      <c r="H37" s="41" t="str">
        <f t="shared" si="14"/>
        <v/>
      </c>
      <c r="I37" s="7">
        <v>115.0</v>
      </c>
      <c r="J37" s="22">
        <f t="shared" si="15"/>
        <v>0</v>
      </c>
      <c r="K37" s="7">
        <v>3.0</v>
      </c>
      <c r="L37" s="7">
        <f t="shared" si="16"/>
        <v>0</v>
      </c>
      <c r="M37" s="7" t="s">
        <v>391</v>
      </c>
    </row>
    <row r="38">
      <c r="A38" s="42" t="s">
        <v>406</v>
      </c>
      <c r="B38" s="43"/>
      <c r="C38" s="43"/>
      <c r="D38" s="43">
        <f>SUM(D32:D37)</f>
        <v>40</v>
      </c>
      <c r="E38" s="43"/>
      <c r="F38" s="43"/>
      <c r="G38" s="43"/>
      <c r="H38" s="43">
        <f>SUM(H32:H37)</f>
        <v>21.1</v>
      </c>
      <c r="I38" s="44"/>
      <c r="J38" s="43">
        <f>SUM(J32:J37)</f>
        <v>770</v>
      </c>
      <c r="K38" s="44"/>
      <c r="L38" s="43">
        <f>SUM(L32:L37)</f>
        <v>9</v>
      </c>
      <c r="M38" s="44"/>
      <c r="N38" s="7" t="s">
        <v>407</v>
      </c>
      <c r="O38" s="22">
        <f>D38/L38</f>
        <v>4.444444444</v>
      </c>
      <c r="P38" s="7" t="s">
        <v>408</v>
      </c>
      <c r="Q38" s="7">
        <v>4.0</v>
      </c>
      <c r="R38" s="7">
        <v>5.0</v>
      </c>
      <c r="S38" s="7">
        <v>4.0</v>
      </c>
      <c r="T38" s="22">
        <f>Q38*R38*S38</f>
        <v>80</v>
      </c>
    </row>
    <row r="39">
      <c r="A39" s="7"/>
      <c r="H39" s="22">
        <f>H38+H29+H18+H8</f>
        <v>90.35</v>
      </c>
      <c r="L39" s="22">
        <f>L38+L29+L18+L8</f>
        <v>64</v>
      </c>
      <c r="S39" s="34"/>
      <c r="T39" s="34">
        <f>T38+T29+T18+T8</f>
        <v>408</v>
      </c>
      <c r="U39" s="50"/>
      <c r="V39" s="51"/>
      <c r="W39" s="51"/>
      <c r="X39" s="51"/>
      <c r="Y39" s="52"/>
      <c r="Z39" s="50"/>
      <c r="AA39" s="51"/>
      <c r="AB39" s="51"/>
      <c r="AC39" s="51"/>
      <c r="AD39" s="52"/>
      <c r="AF39" s="45"/>
      <c r="AG39" s="45"/>
      <c r="AH39" s="45"/>
      <c r="AI39" s="45"/>
      <c r="AJ39" s="45"/>
      <c r="AK39" s="45"/>
      <c r="AL39" s="45"/>
      <c r="AM39" s="45"/>
      <c r="AN39" s="45"/>
    </row>
    <row r="40">
      <c r="A40" s="3" t="s">
        <v>469</v>
      </c>
      <c r="G40" s="7" t="s">
        <v>435</v>
      </c>
      <c r="H40" s="7"/>
      <c r="I40" s="7" t="s">
        <v>436</v>
      </c>
      <c r="J40" s="7" t="s">
        <v>437</v>
      </c>
      <c r="U40" s="54"/>
      <c r="V40" s="58"/>
      <c r="W40" s="59"/>
      <c r="X40" s="59"/>
      <c r="Y40" s="60"/>
      <c r="Z40" s="81"/>
      <c r="AA40" s="48"/>
      <c r="AB40" s="48"/>
      <c r="AC40" s="48"/>
      <c r="AD40" s="60"/>
      <c r="AF40" s="45"/>
      <c r="AG40" s="55" t="s">
        <v>378</v>
      </c>
      <c r="AH40" s="56"/>
      <c r="AI40" s="56"/>
      <c r="AJ40" s="56"/>
      <c r="AK40" s="56"/>
      <c r="AL40" s="45"/>
      <c r="AM40" s="45"/>
      <c r="AN40" s="45"/>
    </row>
    <row r="41">
      <c r="A41" s="7" t="s">
        <v>439</v>
      </c>
      <c r="G41" s="7">
        <v>4.0</v>
      </c>
      <c r="H41" s="7"/>
      <c r="I41" s="22">
        <f>L39*3+11*58</f>
        <v>830</v>
      </c>
      <c r="J41" s="21">
        <f>I41*G41</f>
        <v>3320</v>
      </c>
      <c r="U41" s="54"/>
      <c r="V41" s="58" t="s">
        <v>440</v>
      </c>
      <c r="W41" s="59"/>
      <c r="X41" s="59"/>
      <c r="Y41" s="60"/>
      <c r="Z41" s="80" t="s">
        <v>416</v>
      </c>
      <c r="AA41" s="48"/>
      <c r="AB41" s="48"/>
      <c r="AC41" s="48"/>
      <c r="AD41" s="60"/>
      <c r="AF41" s="45"/>
      <c r="AG41" s="56"/>
      <c r="AH41" s="56"/>
      <c r="AI41" s="56"/>
      <c r="AJ41" s="56"/>
      <c r="AK41" s="56"/>
      <c r="AL41" s="45"/>
      <c r="AM41" s="45"/>
      <c r="AN41" s="45"/>
    </row>
    <row r="42">
      <c r="A42" s="7" t="s">
        <v>441</v>
      </c>
      <c r="J42" s="21">
        <f>(J38+J29+J18+J8)*2</f>
        <v>4730</v>
      </c>
      <c r="U42" s="54"/>
      <c r="V42" s="59"/>
      <c r="W42" s="59"/>
      <c r="X42" s="59"/>
      <c r="Y42" s="60"/>
      <c r="Z42" s="81"/>
      <c r="AA42" s="48"/>
      <c r="AB42" s="48"/>
      <c r="AC42" s="48"/>
      <c r="AD42" s="60"/>
      <c r="AF42" s="45"/>
      <c r="AG42" s="56"/>
      <c r="AH42" s="56"/>
      <c r="AI42" s="56"/>
      <c r="AJ42" s="56"/>
      <c r="AK42" s="56"/>
      <c r="AL42" s="45"/>
      <c r="AM42" s="45"/>
      <c r="AN42" s="45"/>
    </row>
    <row r="43">
      <c r="A43" s="7" t="s">
        <v>442</v>
      </c>
      <c r="J43" s="19">
        <v>600.0</v>
      </c>
      <c r="U43" s="65"/>
      <c r="V43" s="110"/>
      <c r="W43" s="110"/>
      <c r="X43" s="110"/>
      <c r="Y43" s="67"/>
      <c r="Z43" s="118"/>
      <c r="AA43" s="108"/>
      <c r="AB43" s="108"/>
      <c r="AC43" s="108"/>
      <c r="AD43" s="67"/>
      <c r="AF43" s="45"/>
      <c r="AG43" s="56"/>
      <c r="AH43" s="56"/>
      <c r="AI43" s="56"/>
      <c r="AJ43" s="56"/>
      <c r="AK43" s="56"/>
      <c r="AL43" s="45"/>
      <c r="AM43" s="45"/>
      <c r="AN43" s="45"/>
    </row>
    <row r="44">
      <c r="A44" s="7" t="s">
        <v>443</v>
      </c>
      <c r="J44" s="69">
        <f>J43+J42+J41</f>
        <v>8650</v>
      </c>
      <c r="U44" s="50"/>
      <c r="V44" s="113"/>
      <c r="W44" s="113"/>
      <c r="X44" s="113"/>
      <c r="Y44" s="52"/>
      <c r="Z44" s="119"/>
      <c r="AA44" s="74"/>
      <c r="AB44" s="74"/>
      <c r="AC44" s="74"/>
      <c r="AD44" s="52"/>
      <c r="AF44" s="45"/>
      <c r="AG44" s="45"/>
      <c r="AH44" s="45"/>
      <c r="AI44" s="45"/>
      <c r="AJ44" s="45"/>
      <c r="AK44" s="45"/>
      <c r="AL44" s="45"/>
      <c r="AM44" s="45"/>
      <c r="AN44" s="45"/>
    </row>
    <row r="45">
      <c r="A45" s="7" t="s">
        <v>444</v>
      </c>
      <c r="G45" s="7">
        <v>80.0</v>
      </c>
      <c r="H45" s="7"/>
      <c r="I45" s="7">
        <v>1.0</v>
      </c>
      <c r="J45" s="19">
        <f>G45*I45</f>
        <v>80</v>
      </c>
      <c r="U45" s="54"/>
      <c r="V45" s="45"/>
      <c r="W45" s="45"/>
      <c r="X45" s="45"/>
      <c r="Y45" s="60"/>
      <c r="Z45" s="54"/>
      <c r="AA45" s="45"/>
      <c r="AB45" s="45"/>
      <c r="AC45" s="45"/>
      <c r="AD45" s="60"/>
      <c r="AF45" s="45"/>
      <c r="AG45" s="45"/>
      <c r="AH45" s="45"/>
      <c r="AI45" s="45"/>
      <c r="AJ45" s="45"/>
      <c r="AK45" s="45"/>
      <c r="AL45" s="45"/>
      <c r="AM45" s="45"/>
      <c r="AN45" s="45"/>
    </row>
    <row r="46">
      <c r="A46" s="7" t="s">
        <v>445</v>
      </c>
      <c r="J46" s="21">
        <f>J45*0.8</f>
        <v>64</v>
      </c>
      <c r="U46" s="54"/>
      <c r="V46" s="46" t="s">
        <v>428</v>
      </c>
      <c r="W46" s="49"/>
      <c r="X46" s="49"/>
      <c r="Y46" s="60"/>
      <c r="Z46" s="120" t="s">
        <v>378</v>
      </c>
      <c r="AA46" s="56"/>
      <c r="AB46" s="56"/>
      <c r="AC46" s="56"/>
      <c r="AD46" s="60"/>
      <c r="AF46" s="45"/>
      <c r="AG46" s="45"/>
      <c r="AH46" s="45"/>
      <c r="AI46" s="45"/>
      <c r="AJ46" s="45"/>
      <c r="AK46" s="45"/>
      <c r="AL46" s="45"/>
      <c r="AM46" s="45"/>
      <c r="AN46" s="45"/>
    </row>
    <row r="47">
      <c r="A47" s="7" t="s">
        <v>446</v>
      </c>
      <c r="J47" s="21">
        <f>J44/J46</f>
        <v>135.15625</v>
      </c>
      <c r="U47" s="54"/>
      <c r="V47" s="49"/>
      <c r="W47" s="49"/>
      <c r="X47" s="49"/>
      <c r="Y47" s="60"/>
      <c r="Z47" s="63"/>
      <c r="AA47" s="56"/>
      <c r="AB47" s="56"/>
      <c r="AC47" s="56"/>
      <c r="AD47" s="60"/>
      <c r="AF47" s="45"/>
      <c r="AG47" s="45"/>
      <c r="AH47" s="45"/>
      <c r="AI47" s="45"/>
      <c r="AJ47" s="45"/>
      <c r="AK47" s="45"/>
      <c r="AL47" s="45"/>
      <c r="AM47" s="45"/>
      <c r="AN47" s="45"/>
    </row>
    <row r="48">
      <c r="U48" s="65"/>
      <c r="V48" s="121"/>
      <c r="W48" s="121"/>
      <c r="X48" s="121"/>
      <c r="Y48" s="67"/>
      <c r="Z48" s="122"/>
      <c r="AA48" s="106"/>
      <c r="AB48" s="106"/>
      <c r="AC48" s="106"/>
      <c r="AD48" s="67"/>
      <c r="AF48" s="45"/>
      <c r="AG48" s="45"/>
      <c r="AH48" s="45"/>
      <c r="AI48" s="45"/>
      <c r="AJ48" s="45"/>
      <c r="AK48" s="45"/>
      <c r="AL48" s="45"/>
      <c r="AM48" s="45"/>
      <c r="AN48" s="45"/>
    </row>
    <row r="49">
      <c r="A49" s="7" t="s">
        <v>448</v>
      </c>
      <c r="B49" s="7" t="s">
        <v>449</v>
      </c>
      <c r="C49" s="7" t="s">
        <v>450</v>
      </c>
      <c r="D49" s="7" t="s">
        <v>451</v>
      </c>
      <c r="U49" s="50"/>
      <c r="V49" s="49"/>
      <c r="W49" s="49"/>
      <c r="X49" s="49"/>
      <c r="Y49" s="52"/>
      <c r="Z49" s="123"/>
      <c r="AA49" s="94"/>
      <c r="AB49" s="94"/>
      <c r="AC49" s="94"/>
      <c r="AD49" s="52"/>
    </row>
    <row r="50">
      <c r="A50" s="7" t="s">
        <v>458</v>
      </c>
      <c r="B50" s="7">
        <v>2.0</v>
      </c>
      <c r="C50" s="7">
        <v>2.0</v>
      </c>
      <c r="D50" s="22">
        <f t="shared" ref="D50:D67" si="17">B50-C50</f>
        <v>0</v>
      </c>
      <c r="U50" s="54"/>
      <c r="V50" s="45"/>
      <c r="W50" s="45"/>
      <c r="X50" s="45"/>
      <c r="Y50" s="60"/>
      <c r="Z50" s="63"/>
      <c r="AA50" s="56"/>
      <c r="AB50" s="56"/>
      <c r="AC50" s="56"/>
      <c r="AD50" s="60"/>
    </row>
    <row r="51">
      <c r="A51" s="7" t="s">
        <v>392</v>
      </c>
      <c r="B51" s="7">
        <v>4.0</v>
      </c>
      <c r="C51" s="7">
        <v>4.0</v>
      </c>
      <c r="D51" s="22">
        <f t="shared" si="17"/>
        <v>0</v>
      </c>
      <c r="U51" s="97"/>
      <c r="V51" s="98"/>
      <c r="W51" s="98"/>
      <c r="X51" s="98"/>
      <c r="Y51" s="60"/>
      <c r="Z51" s="54"/>
      <c r="AA51" s="45"/>
      <c r="AB51" s="45"/>
      <c r="AC51" s="45"/>
      <c r="AD51" s="60"/>
    </row>
    <row r="52">
      <c r="A52" s="7" t="s">
        <v>460</v>
      </c>
      <c r="B52" s="7">
        <v>4.0</v>
      </c>
      <c r="C52" s="7">
        <v>4.0</v>
      </c>
      <c r="D52" s="22">
        <f t="shared" si="17"/>
        <v>0</v>
      </c>
      <c r="U52" s="97"/>
      <c r="V52" s="102"/>
      <c r="W52" s="98"/>
      <c r="X52" s="98"/>
      <c r="Y52" s="124"/>
      <c r="Z52" s="104"/>
      <c r="AD52" s="33"/>
    </row>
    <row r="53">
      <c r="A53" s="7" t="s">
        <v>462</v>
      </c>
      <c r="B53" s="7">
        <v>6.0</v>
      </c>
      <c r="C53" s="7">
        <v>6.0</v>
      </c>
      <c r="D53" s="22">
        <f t="shared" si="17"/>
        <v>0</v>
      </c>
      <c r="U53" s="86"/>
      <c r="V53" s="87"/>
      <c r="W53" s="87"/>
      <c r="X53" s="87"/>
      <c r="Y53" s="85"/>
      <c r="Z53" s="105"/>
      <c r="AA53" s="39"/>
      <c r="AB53" s="39"/>
      <c r="AC53" s="39"/>
      <c r="AD53" s="68"/>
    </row>
    <row r="54">
      <c r="A54" s="7" t="s">
        <v>463</v>
      </c>
      <c r="B54" s="7">
        <v>8.0</v>
      </c>
      <c r="C54" s="7">
        <v>8.0</v>
      </c>
      <c r="D54" s="22">
        <f t="shared" si="17"/>
        <v>0</v>
      </c>
    </row>
    <row r="55">
      <c r="A55" s="7" t="s">
        <v>135</v>
      </c>
      <c r="B55" s="7">
        <v>2.0</v>
      </c>
      <c r="C55" s="7">
        <v>2.0</v>
      </c>
      <c r="D55" s="22">
        <f t="shared" si="17"/>
        <v>0</v>
      </c>
    </row>
    <row r="56">
      <c r="A56" s="7" t="s">
        <v>140</v>
      </c>
      <c r="B56" s="7">
        <v>2.0</v>
      </c>
      <c r="C56" s="7">
        <v>2.0</v>
      </c>
      <c r="D56" s="22">
        <f t="shared" si="17"/>
        <v>0</v>
      </c>
    </row>
    <row r="57">
      <c r="A57" s="7" t="s">
        <v>414</v>
      </c>
      <c r="B57" s="7">
        <v>2.0</v>
      </c>
      <c r="C57" s="7">
        <v>2.0</v>
      </c>
      <c r="D57" s="22">
        <f t="shared" si="17"/>
        <v>0</v>
      </c>
      <c r="U57" s="50"/>
      <c r="V57" s="51"/>
      <c r="W57" s="51"/>
      <c r="X57" s="51"/>
      <c r="Y57" s="52"/>
      <c r="Z57" s="50"/>
      <c r="AA57" s="51"/>
      <c r="AB57" s="51"/>
      <c r="AC57" s="51"/>
      <c r="AD57" s="51"/>
      <c r="AE57" s="50"/>
      <c r="AF57" s="51"/>
      <c r="AG57" s="51"/>
      <c r="AH57" s="51"/>
      <c r="AI57" s="52"/>
      <c r="AJ57" s="51"/>
      <c r="AK57" s="51"/>
      <c r="AL57" s="51"/>
      <c r="AM57" s="51"/>
      <c r="AN57" s="53"/>
    </row>
    <row r="58">
      <c r="A58" s="7" t="s">
        <v>84</v>
      </c>
      <c r="B58" s="7">
        <v>2.0</v>
      </c>
      <c r="C58" s="7">
        <v>2.0</v>
      </c>
      <c r="D58" s="22">
        <f t="shared" si="17"/>
        <v>0</v>
      </c>
      <c r="U58" s="54"/>
      <c r="V58" s="58"/>
      <c r="W58" s="59"/>
      <c r="X58" s="45"/>
      <c r="Y58" s="89"/>
      <c r="Z58" s="81"/>
      <c r="AA58" s="48"/>
      <c r="AB58" s="45"/>
      <c r="AC58" s="46" t="s">
        <v>428</v>
      </c>
      <c r="AD58" s="45"/>
      <c r="AE58" s="90" t="s">
        <v>428</v>
      </c>
      <c r="AF58" s="45"/>
      <c r="AG58" s="47"/>
      <c r="AH58" s="48"/>
      <c r="AI58" s="91"/>
      <c r="AJ58" s="45"/>
      <c r="AK58" s="58"/>
      <c r="AL58" s="59"/>
      <c r="AM58" s="45"/>
      <c r="AN58" s="33"/>
    </row>
    <row r="59">
      <c r="A59" s="7" t="s">
        <v>417</v>
      </c>
      <c r="B59" s="7">
        <v>2.0</v>
      </c>
      <c r="C59" s="7">
        <v>2.0</v>
      </c>
      <c r="D59" s="22">
        <f t="shared" si="17"/>
        <v>0</v>
      </c>
      <c r="U59" s="54"/>
      <c r="V59" s="58" t="s">
        <v>440</v>
      </c>
      <c r="W59" s="59"/>
      <c r="X59" s="45"/>
      <c r="Y59" s="89" t="s">
        <v>416</v>
      </c>
      <c r="Z59" s="81"/>
      <c r="AA59" s="48"/>
      <c r="AB59" s="45"/>
      <c r="AC59" s="49"/>
      <c r="AD59" s="45"/>
      <c r="AE59" s="92"/>
      <c r="AF59" s="45"/>
      <c r="AG59" s="47" t="s">
        <v>416</v>
      </c>
      <c r="AH59" s="48"/>
      <c r="AI59" s="91"/>
      <c r="AJ59" s="45"/>
      <c r="AK59" s="58" t="s">
        <v>440</v>
      </c>
      <c r="AL59" s="59"/>
      <c r="AM59" s="45"/>
      <c r="AN59" s="33"/>
    </row>
    <row r="60">
      <c r="A60" s="7" t="s">
        <v>418</v>
      </c>
      <c r="B60" s="7">
        <v>2.0</v>
      </c>
      <c r="C60" s="7">
        <v>2.0</v>
      </c>
      <c r="D60" s="22">
        <f t="shared" si="17"/>
        <v>0</v>
      </c>
      <c r="U60" s="54"/>
      <c r="V60" s="59"/>
      <c r="W60" s="59"/>
      <c r="X60" s="45"/>
      <c r="Y60" s="91"/>
      <c r="Z60" s="81"/>
      <c r="AA60" s="48"/>
      <c r="AB60" s="45"/>
      <c r="AC60" s="49"/>
      <c r="AD60" s="45"/>
      <c r="AE60" s="92"/>
      <c r="AF60" s="45"/>
      <c r="AG60" s="48"/>
      <c r="AH60" s="48"/>
      <c r="AI60" s="91"/>
      <c r="AJ60" s="45"/>
      <c r="AK60" s="59"/>
      <c r="AL60" s="59"/>
      <c r="AM60" s="45"/>
      <c r="AN60" s="33"/>
    </row>
    <row r="61">
      <c r="A61" s="7" t="s">
        <v>416</v>
      </c>
      <c r="B61" s="7">
        <v>2.0</v>
      </c>
      <c r="C61" s="7">
        <v>2.0</v>
      </c>
      <c r="D61" s="22">
        <f t="shared" si="17"/>
        <v>0</v>
      </c>
      <c r="U61" s="65"/>
      <c r="V61" s="66"/>
      <c r="W61" s="66"/>
      <c r="X61" s="66"/>
      <c r="Y61" s="67"/>
      <c r="Z61" s="65"/>
      <c r="AA61" s="66"/>
      <c r="AB61" s="66"/>
      <c r="AC61" s="66"/>
      <c r="AD61" s="66"/>
      <c r="AE61" s="54"/>
      <c r="AF61" s="45"/>
      <c r="AG61" s="45"/>
      <c r="AH61" s="45"/>
      <c r="AI61" s="60"/>
      <c r="AJ61" s="45"/>
      <c r="AK61" s="45"/>
      <c r="AL61" s="45"/>
      <c r="AM61" s="45"/>
      <c r="AN61" s="33"/>
    </row>
    <row r="62">
      <c r="A62" s="7" t="s">
        <v>420</v>
      </c>
      <c r="B62" s="7">
        <v>2.0</v>
      </c>
      <c r="C62" s="7">
        <v>2.0</v>
      </c>
      <c r="D62" s="22">
        <f t="shared" si="17"/>
        <v>0</v>
      </c>
      <c r="U62" s="50"/>
      <c r="V62" s="93" t="s">
        <v>378</v>
      </c>
      <c r="W62" s="94"/>
      <c r="X62" s="94"/>
      <c r="Y62" s="52"/>
      <c r="Z62" s="95"/>
      <c r="AA62" s="96"/>
      <c r="AB62" s="96"/>
      <c r="AC62" s="96"/>
      <c r="AD62" s="96"/>
      <c r="AE62" s="95"/>
      <c r="AF62" s="96"/>
      <c r="AG62" s="96"/>
      <c r="AH62" s="96"/>
      <c r="AI62" s="52"/>
      <c r="AJ62" s="93" t="s">
        <v>378</v>
      </c>
      <c r="AK62" s="94"/>
      <c r="AL62" s="94"/>
      <c r="AM62" s="51"/>
      <c r="AN62" s="53"/>
    </row>
    <row r="63">
      <c r="A63" s="7" t="s">
        <v>424</v>
      </c>
      <c r="B63" s="7">
        <v>4.0</v>
      </c>
      <c r="C63" s="7">
        <v>4.0</v>
      </c>
      <c r="D63" s="22">
        <f t="shared" si="17"/>
        <v>0</v>
      </c>
      <c r="U63" s="54"/>
      <c r="V63" s="56"/>
      <c r="W63" s="56"/>
      <c r="X63" s="56"/>
      <c r="Y63" s="60"/>
      <c r="Z63" s="97"/>
      <c r="AA63" s="98"/>
      <c r="AB63" s="98"/>
      <c r="AC63" s="98"/>
      <c r="AD63" s="98"/>
      <c r="AE63" s="97"/>
      <c r="AF63" s="98"/>
      <c r="AG63" s="98"/>
      <c r="AH63" s="98"/>
      <c r="AI63" s="60"/>
      <c r="AJ63" s="56"/>
      <c r="AK63" s="56"/>
      <c r="AL63" s="56"/>
      <c r="AM63" s="45"/>
      <c r="AN63" s="33"/>
    </row>
    <row r="64">
      <c r="A64" s="7" t="s">
        <v>453</v>
      </c>
      <c r="B64" s="7">
        <v>2.0</v>
      </c>
      <c r="C64" s="7">
        <v>2.0</v>
      </c>
      <c r="D64" s="22">
        <f t="shared" si="17"/>
        <v>0</v>
      </c>
      <c r="U64" s="54"/>
      <c r="V64" s="56"/>
      <c r="W64" s="56"/>
      <c r="X64" s="56"/>
      <c r="Y64" s="60"/>
      <c r="Z64" s="97"/>
      <c r="AA64" s="98"/>
      <c r="AB64" s="98"/>
      <c r="AC64" s="98"/>
      <c r="AD64" s="98"/>
      <c r="AE64" s="97"/>
      <c r="AF64" s="98"/>
      <c r="AG64" s="98"/>
      <c r="AH64" s="98"/>
      <c r="AI64" s="60"/>
      <c r="AJ64" s="56"/>
      <c r="AK64" s="56"/>
      <c r="AL64" s="56"/>
      <c r="AM64" s="45"/>
      <c r="AN64" s="33"/>
    </row>
    <row r="65">
      <c r="A65" s="7" t="s">
        <v>468</v>
      </c>
      <c r="B65" s="7">
        <v>4.0</v>
      </c>
      <c r="C65" s="7">
        <v>4.0</v>
      </c>
      <c r="D65" s="22">
        <f t="shared" si="17"/>
        <v>0</v>
      </c>
      <c r="U65" s="54"/>
      <c r="V65" s="56"/>
      <c r="W65" s="56"/>
      <c r="X65" s="56"/>
      <c r="Y65" s="60"/>
      <c r="Z65" s="99" t="s">
        <v>447</v>
      </c>
      <c r="AA65" s="98"/>
      <c r="AB65" s="98"/>
      <c r="AC65" s="98"/>
      <c r="AD65" s="100"/>
      <c r="AE65" s="101"/>
      <c r="AF65" s="100"/>
      <c r="AG65" s="100"/>
      <c r="AH65" s="102" t="s">
        <v>447</v>
      </c>
      <c r="AI65" s="60"/>
      <c r="AJ65" s="56"/>
      <c r="AK65" s="56"/>
      <c r="AL65" s="56"/>
      <c r="AM65" s="45"/>
      <c r="AN65" s="33"/>
    </row>
    <row r="66">
      <c r="A66" s="7" t="s">
        <v>470</v>
      </c>
      <c r="B66" s="7">
        <v>2.0</v>
      </c>
      <c r="C66" s="7">
        <v>2.0</v>
      </c>
      <c r="D66" s="22">
        <f t="shared" si="17"/>
        <v>0</v>
      </c>
      <c r="U66" s="65"/>
      <c r="V66" s="66"/>
      <c r="W66" s="66"/>
      <c r="X66" s="66"/>
      <c r="Y66" s="67"/>
      <c r="Z66" s="86"/>
      <c r="AA66" s="87"/>
      <c r="AB66" s="87"/>
      <c r="AC66" s="87"/>
      <c r="AD66" s="87"/>
      <c r="AE66" s="86"/>
      <c r="AF66" s="87"/>
      <c r="AG66" s="87"/>
      <c r="AH66" s="87"/>
      <c r="AI66" s="67"/>
      <c r="AJ66" s="66"/>
      <c r="AK66" s="66"/>
      <c r="AL66" s="66"/>
      <c r="AM66" s="66"/>
      <c r="AN66" s="68"/>
    </row>
    <row r="67">
      <c r="D67" s="22">
        <f t="shared" si="17"/>
        <v>0</v>
      </c>
    </row>
  </sheetData>
  <conditionalFormatting sqref="B2:B9 B11:B19 B21:B30 B32:B37">
    <cfRule type="cellIs" dxfId="0" priority="1" operator="greaterThan">
      <formula>0</formula>
    </cfRule>
  </conditionalFormatting>
  <conditionalFormatting sqref="D50:D67">
    <cfRule type="cellIs" dxfId="0" priority="2" operator="greaterThan">
      <formula>0</formula>
    </cfRule>
  </conditionalFormatting>
  <drawing r:id="rId1"/>
</worksheet>
</file>